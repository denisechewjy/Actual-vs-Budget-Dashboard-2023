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nis\Downloads\Project_1 - Actual vs Budget Dashboard 2025\Financial Excel projects\"/>
    </mc:Choice>
  </mc:AlternateContent>
  <xr:revisionPtr revIDLastSave="0" documentId="13_ncr:1_{75556FE7-6E3C-4920-9F75-7B9E7399522D}" xr6:coauthVersionLast="47" xr6:coauthVersionMax="47" xr10:uidLastSave="{00000000-0000-0000-0000-000000000000}"/>
  <bookViews>
    <workbookView xWindow="-108" yWindow="-108" windowWidth="23256" windowHeight="13896" xr2:uid="{00000000-000D-0000-FFFF-FFFF00000000}"/>
  </bookViews>
  <sheets>
    <sheet name="Dashboard with slicers" sheetId="4" r:id="rId1"/>
    <sheet name="Dashboard" sheetId="2" r:id="rId2"/>
    <sheet name="Pivot Tables" sheetId="3" r:id="rId3"/>
    <sheet name="Clean Ledger Data" sheetId="1" r:id="rId4"/>
  </sheets>
  <definedNames>
    <definedName name="_xlnm._FilterDatabase" localSheetId="3" hidden="1">'Clean Ledger Data'!$A$1:$I$6776</definedName>
    <definedName name="actualex">'Pivot Tables'!$C$7</definedName>
    <definedName name="actualin">'Pivot Tables'!$C$5</definedName>
    <definedName name="budgetex">'Pivot Tables'!$B$7</definedName>
    <definedName name="budgetin">'Pivot Tables'!$B$5</definedName>
    <definedName name="month">Dashboard!$C$5</definedName>
    <definedName name="Slicer_Month">#N/A</definedName>
    <definedName name="Slicer_Region">#N/A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 i="4" l="1"/>
  <c r="AS4" i="4"/>
  <c r="K2" i="1" a="1"/>
  <c r="K2" i="1" s="1"/>
  <c r="D19" i="2"/>
  <c r="C19" i="2"/>
  <c r="D18" i="2"/>
  <c r="C18" i="2"/>
  <c r="D17" i="2"/>
  <c r="C17" i="2"/>
  <c r="D16" i="2"/>
  <c r="C16" i="2"/>
  <c r="D15" i="2"/>
  <c r="C15" i="2"/>
  <c r="D14" i="2"/>
  <c r="C14" i="2"/>
  <c r="D10" i="2"/>
  <c r="C10" i="2"/>
  <c r="D9" i="2"/>
  <c r="C9" i="2"/>
  <c r="G18" i="2" l="1"/>
  <c r="C11" i="2"/>
  <c r="F17" i="2"/>
  <c r="F15" i="2"/>
  <c r="D11" i="2"/>
  <c r="G16" i="2"/>
  <c r="F10" i="2"/>
  <c r="G10" i="2"/>
  <c r="G17" i="2"/>
  <c r="G9" i="2"/>
  <c r="F19" i="2"/>
  <c r="D20" i="2"/>
  <c r="G19" i="2"/>
  <c r="F14" i="2"/>
  <c r="G14" i="2"/>
  <c r="F18" i="2"/>
  <c r="C20" i="2"/>
  <c r="G15" i="2"/>
  <c r="F9" i="2"/>
  <c r="F16" i="2"/>
  <c r="C22" i="2" l="1"/>
  <c r="D22" i="2"/>
  <c r="F11" i="2"/>
  <c r="G11" i="2"/>
  <c r="F20" i="2"/>
  <c r="G20" i="2"/>
  <c r="G22" i="2" l="1"/>
  <c r="F2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<sst xmlns="http://schemas.openxmlformats.org/spreadsheetml/2006/main" count="40745" uniqueCount="6832">
  <si>
    <t>Date</t>
  </si>
  <si>
    <t>Month</t>
  </si>
  <si>
    <t>Category</t>
  </si>
  <si>
    <t>Region</t>
  </si>
  <si>
    <t>Payment Method</t>
  </si>
  <si>
    <t>Transaction ID</t>
  </si>
  <si>
    <t>Product Revenue</t>
  </si>
  <si>
    <t>Central</t>
  </si>
  <si>
    <t>Cash</t>
  </si>
  <si>
    <t>Income</t>
  </si>
  <si>
    <t>Travel</t>
  </si>
  <si>
    <t>Bank Transfer</t>
  </si>
  <si>
    <t>TXN100113</t>
  </si>
  <si>
    <t>Expense</t>
  </si>
  <si>
    <t>Marketing</t>
  </si>
  <si>
    <t>Infrastructure</t>
  </si>
  <si>
    <t>West</t>
  </si>
  <si>
    <t>UPI</t>
  </si>
  <si>
    <t>Salaries</t>
  </si>
  <si>
    <t>South</t>
  </si>
  <si>
    <t>Utilities</t>
  </si>
  <si>
    <t>North</t>
  </si>
  <si>
    <t>Card</t>
  </si>
  <si>
    <t>TXN100017</t>
  </si>
  <si>
    <t>East</t>
  </si>
  <si>
    <t>TXN100119</t>
  </si>
  <si>
    <t>February</t>
  </si>
  <si>
    <t>TXN100068</t>
  </si>
  <si>
    <t>TXN100104</t>
  </si>
  <si>
    <t>TXN100008</t>
  </si>
  <si>
    <t>TXN100045</t>
  </si>
  <si>
    <t>TXN100039</t>
  </si>
  <si>
    <t>Training</t>
  </si>
  <si>
    <t>TXN100089</t>
  </si>
  <si>
    <t>TXN100066</t>
  </si>
  <si>
    <t>TXN100107</t>
  </si>
  <si>
    <t>TXN100128</t>
  </si>
  <si>
    <t>TXN100095</t>
  </si>
  <si>
    <t>TXN100010</t>
  </si>
  <si>
    <t>TXN100058</t>
  </si>
  <si>
    <t>TXN100029</t>
  </si>
  <si>
    <t>TXN100032</t>
  </si>
  <si>
    <t>TXN100147</t>
  </si>
  <si>
    <t>TXN100018</t>
  </si>
  <si>
    <t>TXN100112</t>
  </si>
  <si>
    <t>TXN100106</t>
  </si>
  <si>
    <t>TXN100006</t>
  </si>
  <si>
    <t>TXN100064</t>
  </si>
  <si>
    <t>TXN100111</t>
  </si>
  <si>
    <t>TXN100041</t>
  </si>
  <si>
    <t>TXN100090</t>
  </si>
  <si>
    <t>TXN100141</t>
  </si>
  <si>
    <t>TXN100012</t>
  </si>
  <si>
    <t>TXN100043</t>
  </si>
  <si>
    <t>TXN100025</t>
  </si>
  <si>
    <t>TXN100027</t>
  </si>
  <si>
    <t>TXN100099</t>
  </si>
  <si>
    <t>TXN100133</t>
  </si>
  <si>
    <t>TXN100023</t>
  </si>
  <si>
    <t>TXN100056</t>
  </si>
  <si>
    <t>TXN100126</t>
  </si>
  <si>
    <t>TXN100060</t>
  </si>
  <si>
    <t>TXN100084</t>
  </si>
  <si>
    <t>TXN100115</t>
  </si>
  <si>
    <t>TXN100049</t>
  </si>
  <si>
    <t>TXN100048</t>
  </si>
  <si>
    <t>TXN100102</t>
  </si>
  <si>
    <t>TXN100110</t>
  </si>
  <si>
    <t>TXN100001</t>
  </si>
  <si>
    <t>TXN100129</t>
  </si>
  <si>
    <t>TXN100086</t>
  </si>
  <si>
    <t>TXN100091</t>
  </si>
  <si>
    <t>TXN100121</t>
  </si>
  <si>
    <t>TXN100072</t>
  </si>
  <si>
    <t>TXN100092</t>
  </si>
  <si>
    <t>TXN100149</t>
  </si>
  <si>
    <t>TXN100065</t>
  </si>
  <si>
    <t>TXN100020</t>
  </si>
  <si>
    <t>TXN100077</t>
  </si>
  <si>
    <t>Current Month -&gt;</t>
  </si>
  <si>
    <t>Budget vs. Actual Dashboard</t>
  </si>
  <si>
    <t>category</t>
  </si>
  <si>
    <t>financial type</t>
  </si>
  <si>
    <t>Figures in USD</t>
  </si>
  <si>
    <t xml:space="preserve">Budget </t>
  </si>
  <si>
    <t>Actual</t>
  </si>
  <si>
    <t>Income:</t>
  </si>
  <si>
    <t>Expenses:</t>
  </si>
  <si>
    <t>Total Expenses</t>
  </si>
  <si>
    <t>Var. Abs.</t>
  </si>
  <si>
    <t>Var. %</t>
  </si>
  <si>
    <t>Income: Budget vs Actuals Income</t>
  </si>
  <si>
    <t>Expenses: Actuals Income</t>
  </si>
  <si>
    <t>Service Revenue</t>
  </si>
  <si>
    <t>TXN100152</t>
  </si>
  <si>
    <t>TXN100156</t>
  </si>
  <si>
    <t>TXN100159</t>
  </si>
  <si>
    <t>TXN100161</t>
  </si>
  <si>
    <t>TXN100162</t>
  </si>
  <si>
    <t>TXN100168</t>
  </si>
  <si>
    <t>TXN100169</t>
  </si>
  <si>
    <t>TXN100172</t>
  </si>
  <si>
    <t>TXN100174</t>
  </si>
  <si>
    <t>TXN100177</t>
  </si>
  <si>
    <t>TXN100185</t>
  </si>
  <si>
    <t>TXN100186</t>
  </si>
  <si>
    <t>TXN100188</t>
  </si>
  <si>
    <t>TXN100191</t>
  </si>
  <si>
    <t>TXN100192</t>
  </si>
  <si>
    <t>TXN100194</t>
  </si>
  <si>
    <t>Fiscal Year -&gt;</t>
  </si>
  <si>
    <t>Row Labels</t>
  </si>
  <si>
    <t>Grand Total</t>
  </si>
  <si>
    <t>Column Labels</t>
  </si>
  <si>
    <t>Savings</t>
  </si>
  <si>
    <t>Total Revenue</t>
  </si>
  <si>
    <t>January</t>
  </si>
  <si>
    <t>March</t>
  </si>
  <si>
    <t>April</t>
  </si>
  <si>
    <t>May</t>
  </si>
  <si>
    <t>August</t>
  </si>
  <si>
    <t>July</t>
  </si>
  <si>
    <t>June</t>
  </si>
  <si>
    <t>September</t>
  </si>
  <si>
    <t>October</t>
  </si>
  <si>
    <t>November</t>
  </si>
  <si>
    <t>December</t>
  </si>
  <si>
    <t>Budget</t>
  </si>
  <si>
    <t>TXN100000</t>
  </si>
  <si>
    <t>TXN100206</t>
  </si>
  <si>
    <t>TXN100207</t>
  </si>
  <si>
    <t>TXN100209</t>
  </si>
  <si>
    <t>TXN100210</t>
  </si>
  <si>
    <t>TXN100212</t>
  </si>
  <si>
    <t>TXN100214</t>
  </si>
  <si>
    <t>TXN100217</t>
  </si>
  <si>
    <t>TXN100220</t>
  </si>
  <si>
    <t>TXN100222</t>
  </si>
  <si>
    <t>TXN100223</t>
  </si>
  <si>
    <t>TXN100230</t>
  </si>
  <si>
    <t>TXN100232</t>
  </si>
  <si>
    <t>TXN100233</t>
  </si>
  <si>
    <t>TXN100235</t>
  </si>
  <si>
    <t>TXN100236</t>
  </si>
  <si>
    <t>TXN100239</t>
  </si>
  <si>
    <t>TXN100243</t>
  </si>
  <si>
    <t>TXN100246</t>
  </si>
  <si>
    <t>TXN100253</t>
  </si>
  <si>
    <t>TXN100256</t>
  </si>
  <si>
    <t>TXN100257</t>
  </si>
  <si>
    <t>TXN100264</t>
  </si>
  <si>
    <t>TXN100265</t>
  </si>
  <si>
    <t>TXN100268</t>
  </si>
  <si>
    <t>TXN100270</t>
  </si>
  <si>
    <t>TXN100271</t>
  </si>
  <si>
    <t>TXN100273</t>
  </si>
  <si>
    <t>TXN100276</t>
  </si>
  <si>
    <t>TXN100277</t>
  </si>
  <si>
    <t>TXN100285</t>
  </si>
  <si>
    <t>TXN100287</t>
  </si>
  <si>
    <t>TXN100289</t>
  </si>
  <si>
    <t>TXN100297</t>
  </si>
  <si>
    <t>TXN100298</t>
  </si>
  <si>
    <t>TXN100299</t>
  </si>
  <si>
    <t>TXN100302</t>
  </si>
  <si>
    <t>TXN100304</t>
  </si>
  <si>
    <t>TXN100305</t>
  </si>
  <si>
    <t>TXN100307</t>
  </si>
  <si>
    <t>TXN100308</t>
  </si>
  <si>
    <t>TXN100309</t>
  </si>
  <si>
    <t>TXN100310</t>
  </si>
  <si>
    <t>TXN100312</t>
  </si>
  <si>
    <t>TXN100313</t>
  </si>
  <si>
    <t>TXN100314</t>
  </si>
  <si>
    <t>TXN100321</t>
  </si>
  <si>
    <t>TXN100322</t>
  </si>
  <si>
    <t>TXN100323</t>
  </si>
  <si>
    <t>TXN100325</t>
  </si>
  <si>
    <t>TXN100326</t>
  </si>
  <si>
    <t>TXN100327</t>
  </si>
  <si>
    <t>TXN100330</t>
  </si>
  <si>
    <t>TXN100333</t>
  </si>
  <si>
    <t>TXN100336</t>
  </si>
  <si>
    <t>TXN100337</t>
  </si>
  <si>
    <t>TXN100340</t>
  </si>
  <si>
    <t>TXN100342</t>
  </si>
  <si>
    <t>TXN100343</t>
  </si>
  <si>
    <t>TXN100344</t>
  </si>
  <si>
    <t>TXN100346</t>
  </si>
  <si>
    <t>TXN100347</t>
  </si>
  <si>
    <t>TXN100349</t>
  </si>
  <si>
    <t>TXN100358</t>
  </si>
  <si>
    <t>TXN100359</t>
  </si>
  <si>
    <t>TXN100361</t>
  </si>
  <si>
    <t>TXN100362</t>
  </si>
  <si>
    <t>TXN100364</t>
  </si>
  <si>
    <t>TXN100365</t>
  </si>
  <si>
    <t>TXN100369</t>
  </si>
  <si>
    <t>TXN100371</t>
  </si>
  <si>
    <t>TXN100374</t>
  </si>
  <si>
    <t>TXN100376</t>
  </si>
  <si>
    <t>TXN100381</t>
  </si>
  <si>
    <t>TXN100384</t>
  </si>
  <si>
    <t>TXN100386</t>
  </si>
  <si>
    <t>TXN100388</t>
  </si>
  <si>
    <t>TXN100389</t>
  </si>
  <si>
    <t>TXN100393</t>
  </si>
  <si>
    <t>TXN100396</t>
  </si>
  <si>
    <t>TXN100397</t>
  </si>
  <si>
    <t>TXN100400</t>
  </si>
  <si>
    <t>TXN100402</t>
  </si>
  <si>
    <t>TXN100403</t>
  </si>
  <si>
    <t>TXN100404</t>
  </si>
  <si>
    <t>TXN100410</t>
  </si>
  <si>
    <t>TXN100411</t>
  </si>
  <si>
    <t>TXN100417</t>
  </si>
  <si>
    <t>TXN100425</t>
  </si>
  <si>
    <t>TXN100426</t>
  </si>
  <si>
    <t>TXN100428</t>
  </si>
  <si>
    <t>TXN100429</t>
  </si>
  <si>
    <t>TXN100431</t>
  </si>
  <si>
    <t>TXN100432</t>
  </si>
  <si>
    <t>TXN100433</t>
  </si>
  <si>
    <t>TXN100435</t>
  </si>
  <si>
    <t>TXN100437</t>
  </si>
  <si>
    <t>TXN100438</t>
  </si>
  <si>
    <t>TXN100441</t>
  </si>
  <si>
    <t>TXN100444</t>
  </si>
  <si>
    <t>TXN100446</t>
  </si>
  <si>
    <t>TXN100447</t>
  </si>
  <si>
    <t>TXN100449</t>
  </si>
  <si>
    <t>TXN100451</t>
  </si>
  <si>
    <t>TXN100452</t>
  </si>
  <si>
    <t>TXN100459</t>
  </si>
  <si>
    <t>TXN100461</t>
  </si>
  <si>
    <t>TXN100468</t>
  </si>
  <si>
    <t>TXN100469</t>
  </si>
  <si>
    <t>TXN100472</t>
  </si>
  <si>
    <t>TXN100473</t>
  </si>
  <si>
    <t>TXN100474</t>
  </si>
  <si>
    <t>TXN100479</t>
  </si>
  <si>
    <t>TXN100480</t>
  </si>
  <si>
    <t>TXN100481</t>
  </si>
  <si>
    <t>TXN100487</t>
  </si>
  <si>
    <t>TXN100489</t>
  </si>
  <si>
    <t>TXN100491</t>
  </si>
  <si>
    <t>TXN100495</t>
  </si>
  <si>
    <t>TXN100496</t>
  </si>
  <si>
    <t>TXN100497</t>
  </si>
  <si>
    <t>TXN100498</t>
  </si>
  <si>
    <t>TXN100499</t>
  </si>
  <si>
    <t>TXN100501</t>
  </si>
  <si>
    <t>TXN100504</t>
  </si>
  <si>
    <t>TXN100509</t>
  </si>
  <si>
    <t>TXN100510</t>
  </si>
  <si>
    <t>TXN100512</t>
  </si>
  <si>
    <t>TXN100514</t>
  </si>
  <si>
    <t>TXN100515</t>
  </si>
  <si>
    <t>TXN100517</t>
  </si>
  <si>
    <t>TXN100518</t>
  </si>
  <si>
    <t>TXN100519</t>
  </si>
  <si>
    <t>TXN100520</t>
  </si>
  <si>
    <t>TXN100522</t>
  </si>
  <si>
    <t>TXN100527</t>
  </si>
  <si>
    <t>TXN100528</t>
  </si>
  <si>
    <t>TXN100529</t>
  </si>
  <si>
    <t>TXN100530</t>
  </si>
  <si>
    <t>TXN100531</t>
  </si>
  <si>
    <t>TXN100533</t>
  </si>
  <si>
    <t>TXN100537</t>
  </si>
  <si>
    <t>TXN100539</t>
  </si>
  <si>
    <t>TXN100540</t>
  </si>
  <si>
    <t>TXN100546</t>
  </si>
  <si>
    <t>TXN100550</t>
  </si>
  <si>
    <t>TXN100551</t>
  </si>
  <si>
    <t>TXN100552</t>
  </si>
  <si>
    <t>TXN100562</t>
  </si>
  <si>
    <t>TXN100571</t>
  </si>
  <si>
    <t>TXN100573</t>
  </si>
  <si>
    <t>TXN100576</t>
  </si>
  <si>
    <t>TXN100577</t>
  </si>
  <si>
    <t>TXN100580</t>
  </si>
  <si>
    <t>TXN100581</t>
  </si>
  <si>
    <t>TXN100582</t>
  </si>
  <si>
    <t>TXN100587</t>
  </si>
  <si>
    <t>TXN100588</t>
  </si>
  <si>
    <t>TXN100589</t>
  </si>
  <si>
    <t>TXN100591</t>
  </si>
  <si>
    <t>TXN100592</t>
  </si>
  <si>
    <t>TXN100597</t>
  </si>
  <si>
    <t>TXN100598</t>
  </si>
  <si>
    <t>TXN100600</t>
  </si>
  <si>
    <t>TXN100603</t>
  </si>
  <si>
    <t>TXN100604</t>
  </si>
  <si>
    <t>TXN100607</t>
  </si>
  <si>
    <t>TXN100608</t>
  </si>
  <si>
    <t>TXN100616</t>
  </si>
  <si>
    <t>TXN100617</t>
  </si>
  <si>
    <t>TXN100619</t>
  </si>
  <si>
    <t>TXN100621</t>
  </si>
  <si>
    <t>TXN100628</t>
  </si>
  <si>
    <t>TXN100629</t>
  </si>
  <si>
    <t>TXN100633</t>
  </si>
  <si>
    <t>TXN100638</t>
  </si>
  <si>
    <t>TXN100640</t>
  </si>
  <si>
    <t>TXN100645</t>
  </si>
  <si>
    <t>TXN100648</t>
  </si>
  <si>
    <t>TXN100651</t>
  </si>
  <si>
    <t>TXN100652</t>
  </si>
  <si>
    <t>TXN100668</t>
  </si>
  <si>
    <t>TXN100669</t>
  </si>
  <si>
    <t>TXN100670</t>
  </si>
  <si>
    <t>TXN100671</t>
  </si>
  <si>
    <t>TXN100672</t>
  </si>
  <si>
    <t>TXN100674</t>
  </si>
  <si>
    <t>TXN100675</t>
  </si>
  <si>
    <t>TXN100676</t>
  </si>
  <si>
    <t>TXN100680</t>
  </si>
  <si>
    <t>TXN100683</t>
  </si>
  <si>
    <t>TXN100695</t>
  </si>
  <si>
    <t>TXN100701</t>
  </si>
  <si>
    <t>TXN100706</t>
  </si>
  <si>
    <t>TXN100708</t>
  </si>
  <si>
    <t>TXN100709</t>
  </si>
  <si>
    <t>TXN100710</t>
  </si>
  <si>
    <t>TXN100713</t>
  </si>
  <si>
    <t>TXN100716</t>
  </si>
  <si>
    <t>TXN100723</t>
  </si>
  <si>
    <t>TXN100725</t>
  </si>
  <si>
    <t>TXN100728</t>
  </si>
  <si>
    <t>TXN100730</t>
  </si>
  <si>
    <t>TXN100733</t>
  </si>
  <si>
    <t>TXN100745</t>
  </si>
  <si>
    <t>TXN100747</t>
  </si>
  <si>
    <t>TXN100752</t>
  </si>
  <si>
    <t>TXN100756</t>
  </si>
  <si>
    <t>TXN100757</t>
  </si>
  <si>
    <t>TXN100758</t>
  </si>
  <si>
    <t>TXN100765</t>
  </si>
  <si>
    <t>TXN100766</t>
  </si>
  <si>
    <t>TXN100768</t>
  </si>
  <si>
    <t>TXN100771</t>
  </si>
  <si>
    <t>TXN100776</t>
  </si>
  <si>
    <t>TXN100781</t>
  </si>
  <si>
    <t>TXN100783</t>
  </si>
  <si>
    <t>TXN100786</t>
  </si>
  <si>
    <t>TXN100789</t>
  </si>
  <si>
    <t>TXN100791</t>
  </si>
  <si>
    <t>TXN100793</t>
  </si>
  <si>
    <t>TXN100798</t>
  </si>
  <si>
    <t>TXN100800</t>
  </si>
  <si>
    <t>TXN100804</t>
  </si>
  <si>
    <t>TXN100805</t>
  </si>
  <si>
    <t>TXN100806</t>
  </si>
  <si>
    <t>TXN100811</t>
  </si>
  <si>
    <t>TXN100812</t>
  </si>
  <si>
    <t>TXN100813</t>
  </si>
  <si>
    <t>TXN100816</t>
  </si>
  <si>
    <t>TXN100820</t>
  </si>
  <si>
    <t>TXN100824</t>
  </si>
  <si>
    <t>TXN100825</t>
  </si>
  <si>
    <t>TXN100828</t>
  </si>
  <si>
    <t>TXN100832</t>
  </si>
  <si>
    <t>TXN100839</t>
  </si>
  <si>
    <t>TXN100840</t>
  </si>
  <si>
    <t>TXN100841</t>
  </si>
  <si>
    <t>TXN100842</t>
  </si>
  <si>
    <t>TXN100844</t>
  </si>
  <si>
    <t>TXN100846</t>
  </si>
  <si>
    <t>TXN100847</t>
  </si>
  <si>
    <t>TXN100849</t>
  </si>
  <si>
    <t>TXN100851</t>
  </si>
  <si>
    <t>TXN100853</t>
  </si>
  <si>
    <t>TXN100854</t>
  </si>
  <si>
    <t>TXN100855</t>
  </si>
  <si>
    <t>TXN100857</t>
  </si>
  <si>
    <t>TXN100858</t>
  </si>
  <si>
    <t>TXN100859</t>
  </si>
  <si>
    <t>TXN100862</t>
  </si>
  <si>
    <t>TXN100864</t>
  </si>
  <si>
    <t>TXN100868</t>
  </si>
  <si>
    <t>TXN100878</t>
  </si>
  <si>
    <t>TXN100879</t>
  </si>
  <si>
    <t>TXN100880</t>
  </si>
  <si>
    <t>TXN100881</t>
  </si>
  <si>
    <t>TXN100888</t>
  </si>
  <si>
    <t>TXN100892</t>
  </si>
  <si>
    <t>TXN100893</t>
  </si>
  <si>
    <t>TXN100894</t>
  </si>
  <si>
    <t>TXN100899</t>
  </si>
  <si>
    <t>TXN100902</t>
  </si>
  <si>
    <t>TXN100905</t>
  </si>
  <si>
    <t>TXN100912</t>
  </si>
  <si>
    <t>TXN100914</t>
  </si>
  <si>
    <t>TXN100916</t>
  </si>
  <si>
    <t>TXN100919</t>
  </si>
  <si>
    <t>TXN100921</t>
  </si>
  <si>
    <t>TXN100922</t>
  </si>
  <si>
    <t>TXN100923</t>
  </si>
  <si>
    <t>TXN100925</t>
  </si>
  <si>
    <t>TXN100926</t>
  </si>
  <si>
    <t>TXN100930</t>
  </si>
  <si>
    <t>TXN100931</t>
  </si>
  <si>
    <t>TXN100933</t>
  </si>
  <si>
    <t>TXN100936</t>
  </si>
  <si>
    <t>TXN100937</t>
  </si>
  <si>
    <t>TXN100939</t>
  </si>
  <si>
    <t>TXN100940</t>
  </si>
  <si>
    <t>TXN100942</t>
  </si>
  <si>
    <t>TXN100948</t>
  </si>
  <si>
    <t>TXN100949</t>
  </si>
  <si>
    <t>TXN100950</t>
  </si>
  <si>
    <t>TXN100951</t>
  </si>
  <si>
    <t>TXN100954</t>
  </si>
  <si>
    <t>TXN100957</t>
  </si>
  <si>
    <t>TXN100961</t>
  </si>
  <si>
    <t>TXN100963</t>
  </si>
  <si>
    <t>TXN100964</t>
  </si>
  <si>
    <t>TXN100969</t>
  </si>
  <si>
    <t>TXN100970</t>
  </si>
  <si>
    <t>TXN100971</t>
  </si>
  <si>
    <t>TXN100972</t>
  </si>
  <si>
    <t>TXN100973</t>
  </si>
  <si>
    <t>TXN100974</t>
  </si>
  <si>
    <t>TXN100980</t>
  </si>
  <si>
    <t>TXN100992</t>
  </si>
  <si>
    <t>TXN100994</t>
  </si>
  <si>
    <t>TXN100998</t>
  </si>
  <si>
    <t>TXN101000</t>
  </si>
  <si>
    <t>TXN101001</t>
  </si>
  <si>
    <t>TXN101006</t>
  </si>
  <si>
    <t>TXN101010</t>
  </si>
  <si>
    <t>TXN101012</t>
  </si>
  <si>
    <t>TXN101013</t>
  </si>
  <si>
    <t>TXN101014</t>
  </si>
  <si>
    <t>TXN101018</t>
  </si>
  <si>
    <t>TXN101019</t>
  </si>
  <si>
    <t>TXN101021</t>
  </si>
  <si>
    <t>TXN101027</t>
  </si>
  <si>
    <t>TXN101028</t>
  </si>
  <si>
    <t>TXN101033</t>
  </si>
  <si>
    <t>TXN101036</t>
  </si>
  <si>
    <t>TXN101037</t>
  </si>
  <si>
    <t>TXN101045</t>
  </si>
  <si>
    <t>TXN101047</t>
  </si>
  <si>
    <t>TXN101050</t>
  </si>
  <si>
    <t>TXN101055</t>
  </si>
  <si>
    <t>TXN101058</t>
  </si>
  <si>
    <t>TXN101059</t>
  </si>
  <si>
    <t>TXN101060</t>
  </si>
  <si>
    <t>TXN101061</t>
  </si>
  <si>
    <t>TXN101068</t>
  </si>
  <si>
    <t>TXN101073</t>
  </si>
  <si>
    <t>TXN101074</t>
  </si>
  <si>
    <t>TXN101077</t>
  </si>
  <si>
    <t>TXN101083</t>
  </si>
  <si>
    <t>TXN101085</t>
  </si>
  <si>
    <t>TXN101088</t>
  </si>
  <si>
    <t>TXN101090</t>
  </si>
  <si>
    <t>TXN101091</t>
  </si>
  <si>
    <t>TXN101094</t>
  </si>
  <si>
    <t>TXN101098</t>
  </si>
  <si>
    <t>TXN101099</t>
  </si>
  <si>
    <t>TXN101100</t>
  </si>
  <si>
    <t>TXN101102</t>
  </si>
  <si>
    <t>TXN101106</t>
  </si>
  <si>
    <t>TXN101107</t>
  </si>
  <si>
    <t>TXN101111</t>
  </si>
  <si>
    <t>TXN101113</t>
  </si>
  <si>
    <t>TXN101117</t>
  </si>
  <si>
    <t>TXN101118</t>
  </si>
  <si>
    <t>TXN101119</t>
  </si>
  <si>
    <t>TXN101121</t>
  </si>
  <si>
    <t>TXN101125</t>
  </si>
  <si>
    <t>TXN101130</t>
  </si>
  <si>
    <t>TXN101131</t>
  </si>
  <si>
    <t>TXN101142</t>
  </si>
  <si>
    <t>TXN101145</t>
  </si>
  <si>
    <t>TXN101146</t>
  </si>
  <si>
    <t>TXN101149</t>
  </si>
  <si>
    <t>TXN101151</t>
  </si>
  <si>
    <t>TXN101153</t>
  </si>
  <si>
    <t>TXN101156</t>
  </si>
  <si>
    <t>TXN101157</t>
  </si>
  <si>
    <t>TXN101159</t>
  </si>
  <si>
    <t>TXN101161</t>
  </si>
  <si>
    <t>TXN101162</t>
  </si>
  <si>
    <t>TXN101166</t>
  </si>
  <si>
    <t>TXN101169</t>
  </si>
  <si>
    <t>TXN101172</t>
  </si>
  <si>
    <t>TXN101177</t>
  </si>
  <si>
    <t>TXN101178</t>
  </si>
  <si>
    <t>TXN101181</t>
  </si>
  <si>
    <t>TXN101183</t>
  </si>
  <si>
    <t>TXN101184</t>
  </si>
  <si>
    <t>TXN101185</t>
  </si>
  <si>
    <t>TXN101189</t>
  </si>
  <si>
    <t>TXN101190</t>
  </si>
  <si>
    <t>TXN101191</t>
  </si>
  <si>
    <t>TXN101194</t>
  </si>
  <si>
    <t>TXN101197</t>
  </si>
  <si>
    <t>TXN101198</t>
  </si>
  <si>
    <t>TXN101199</t>
  </si>
  <si>
    <t>TXN101201</t>
  </si>
  <si>
    <t>TXN101207</t>
  </si>
  <si>
    <t>TXN101214</t>
  </si>
  <si>
    <t>TXN101215</t>
  </si>
  <si>
    <t>TXN101225</t>
  </si>
  <si>
    <t>TXN101226</t>
  </si>
  <si>
    <t>TXN101227</t>
  </si>
  <si>
    <t>TXN101236</t>
  </si>
  <si>
    <t>TXN101239</t>
  </si>
  <si>
    <t>TXN101242</t>
  </si>
  <si>
    <t>TXN101245</t>
  </si>
  <si>
    <t>TXN101249</t>
  </si>
  <si>
    <t>TXN101253</t>
  </si>
  <si>
    <t>TXN101255</t>
  </si>
  <si>
    <t>TXN101257</t>
  </si>
  <si>
    <t>TXN101259</t>
  </si>
  <si>
    <t>TXN101261</t>
  </si>
  <si>
    <t>TXN101263</t>
  </si>
  <si>
    <t>TXN101273</t>
  </si>
  <si>
    <t>TXN101274</t>
  </si>
  <si>
    <t>TXN101277</t>
  </si>
  <si>
    <t>TXN101279</t>
  </si>
  <si>
    <t>TXN101280</t>
  </si>
  <si>
    <t>TXN101281</t>
  </si>
  <si>
    <t>TXN101283</t>
  </si>
  <si>
    <t>TXN101286</t>
  </si>
  <si>
    <t>TXN101290</t>
  </si>
  <si>
    <t>TXN101291</t>
  </si>
  <si>
    <t>TXN101293</t>
  </si>
  <si>
    <t>TXN101294</t>
  </si>
  <si>
    <t>TXN101295</t>
  </si>
  <si>
    <t>TXN101296</t>
  </si>
  <si>
    <t>TXN101297</t>
  </si>
  <si>
    <t>TXN101298</t>
  </si>
  <si>
    <t>TXN101301</t>
  </si>
  <si>
    <t>TXN101304</t>
  </si>
  <si>
    <t>TXN101305</t>
  </si>
  <si>
    <t>TXN101306</t>
  </si>
  <si>
    <t>TXN101307</t>
  </si>
  <si>
    <t>TXN101310</t>
  </si>
  <si>
    <t>TXN101312</t>
  </si>
  <si>
    <t>TXN101315</t>
  </si>
  <si>
    <t>TXN101319</t>
  </si>
  <si>
    <t>TXN101322</t>
  </si>
  <si>
    <t>TXN101323</t>
  </si>
  <si>
    <t>TXN101325</t>
  </si>
  <si>
    <t>TXN101329</t>
  </si>
  <si>
    <t>TXN101330</t>
  </si>
  <si>
    <t>TXN101332</t>
  </si>
  <si>
    <t>TXN101338</t>
  </si>
  <si>
    <t>TXN101347</t>
  </si>
  <si>
    <t>TXN101349</t>
  </si>
  <si>
    <t>TXN101353</t>
  </si>
  <si>
    <t>TXN101354</t>
  </si>
  <si>
    <t>TXN101359</t>
  </si>
  <si>
    <t>TXN101363</t>
  </si>
  <si>
    <t>TXN101366</t>
  </si>
  <si>
    <t>TXN101368</t>
  </si>
  <si>
    <t>TXN101372</t>
  </si>
  <si>
    <t>TXN101374</t>
  </si>
  <si>
    <t>TXN101379</t>
  </si>
  <si>
    <t>TXN101389</t>
  </si>
  <si>
    <t>TXN101392</t>
  </si>
  <si>
    <t>TXN101394</t>
  </si>
  <si>
    <t>TXN101395</t>
  </si>
  <si>
    <t>TXN101397</t>
  </si>
  <si>
    <t>TXN101398</t>
  </si>
  <si>
    <t>TXN101399</t>
  </si>
  <si>
    <t>TXN101400</t>
  </si>
  <si>
    <t>TXN101402</t>
  </si>
  <si>
    <t>TXN101404</t>
  </si>
  <si>
    <t>TXN101410</t>
  </si>
  <si>
    <t>TXN101414</t>
  </si>
  <si>
    <t>TXN101415</t>
  </si>
  <si>
    <t>TXN101416</t>
  </si>
  <si>
    <t>TXN101417</t>
  </si>
  <si>
    <t>TXN101422</t>
  </si>
  <si>
    <t>TXN101423</t>
  </si>
  <si>
    <t>TXN101425</t>
  </si>
  <si>
    <t>TXN101428</t>
  </si>
  <si>
    <t>TXN101430</t>
  </si>
  <si>
    <t>TXN101432</t>
  </si>
  <si>
    <t>TXN101434</t>
  </si>
  <si>
    <t>TXN101437</t>
  </si>
  <si>
    <t>TXN101440</t>
  </si>
  <si>
    <t>TXN101442</t>
  </si>
  <si>
    <t>TXN101447</t>
  </si>
  <si>
    <t>TXN101448</t>
  </si>
  <si>
    <t>TXN101449</t>
  </si>
  <si>
    <t>TXN101451</t>
  </si>
  <si>
    <t>TXN101453</t>
  </si>
  <si>
    <t>TXN101459</t>
  </si>
  <si>
    <t>TXN101460</t>
  </si>
  <si>
    <t>TXN101468</t>
  </si>
  <si>
    <t>TXN101469</t>
  </si>
  <si>
    <t>TXN101475</t>
  </si>
  <si>
    <t>TXN101477</t>
  </si>
  <si>
    <t>TXN101481</t>
  </si>
  <si>
    <t>TXN101482</t>
  </si>
  <si>
    <t>TXN101484</t>
  </si>
  <si>
    <t>TXN101488</t>
  </si>
  <si>
    <t>TXN101494</t>
  </si>
  <si>
    <t>TXN101496</t>
  </si>
  <si>
    <t>TXN101498</t>
  </si>
  <si>
    <t>TXN101500</t>
  </si>
  <si>
    <t>TXN101501</t>
  </si>
  <si>
    <t>TXN101503</t>
  </si>
  <si>
    <t>TXN101506</t>
  </si>
  <si>
    <t>TXN101507</t>
  </si>
  <si>
    <t>TXN101508</t>
  </si>
  <si>
    <t>TXN101510</t>
  </si>
  <si>
    <t>TXN101517</t>
  </si>
  <si>
    <t>TXN101520</t>
  </si>
  <si>
    <t>TXN101524</t>
  </si>
  <si>
    <t>TXN101525</t>
  </si>
  <si>
    <t>TXN101527</t>
  </si>
  <si>
    <t>TXN101529</t>
  </si>
  <si>
    <t>TXN101537</t>
  </si>
  <si>
    <t>TXN101539</t>
  </si>
  <si>
    <t>TXN101541</t>
  </si>
  <si>
    <t>TXN101542</t>
  </si>
  <si>
    <t>TXN101543</t>
  </si>
  <si>
    <t>TXN101544</t>
  </si>
  <si>
    <t>TXN101545</t>
  </si>
  <si>
    <t>TXN101547</t>
  </si>
  <si>
    <t>TXN101551</t>
  </si>
  <si>
    <t>TXN101555</t>
  </si>
  <si>
    <t>TXN101559</t>
  </si>
  <si>
    <t>TXN101560</t>
  </si>
  <si>
    <t>TXN101561</t>
  </si>
  <si>
    <t>TXN101564</t>
  </si>
  <si>
    <t>TXN101567</t>
  </si>
  <si>
    <t>TXN101568</t>
  </si>
  <si>
    <t>TXN101571</t>
  </si>
  <si>
    <t>TXN101574</t>
  </si>
  <si>
    <t>TXN101575</t>
  </si>
  <si>
    <t>TXN101576</t>
  </si>
  <si>
    <t>TXN101577</t>
  </si>
  <si>
    <t>TXN101578</t>
  </si>
  <si>
    <t>TXN101579</t>
  </si>
  <si>
    <t>TXN101580</t>
  </si>
  <si>
    <t>TXN101583</t>
  </si>
  <si>
    <t>TXN101589</t>
  </si>
  <si>
    <t>TXN101590</t>
  </si>
  <si>
    <t>TXN101592</t>
  </si>
  <si>
    <t>TXN101596</t>
  </si>
  <si>
    <t>TXN101598</t>
  </si>
  <si>
    <t>TXN101602</t>
  </si>
  <si>
    <t>TXN101605</t>
  </si>
  <si>
    <t>TXN101609</t>
  </si>
  <si>
    <t>TXN101612</t>
  </si>
  <si>
    <t>TXN101613</t>
  </si>
  <si>
    <t>TXN101614</t>
  </si>
  <si>
    <t>TXN101617</t>
  </si>
  <si>
    <t>TXN101626</t>
  </si>
  <si>
    <t>TXN101627</t>
  </si>
  <si>
    <t>TXN101629</t>
  </si>
  <si>
    <t>TXN101633</t>
  </si>
  <si>
    <t>TXN101636</t>
  </si>
  <si>
    <t>TXN101638</t>
  </si>
  <si>
    <t>TXN101640</t>
  </si>
  <si>
    <t>TXN101643</t>
  </si>
  <si>
    <t>TXN101649</t>
  </si>
  <si>
    <t>TXN101650</t>
  </si>
  <si>
    <t>TXN101654</t>
  </si>
  <si>
    <t>TXN101655</t>
  </si>
  <si>
    <t>TXN101657</t>
  </si>
  <si>
    <t>TXN101658</t>
  </si>
  <si>
    <t>TXN101667</t>
  </si>
  <si>
    <t>TXN101669</t>
  </si>
  <si>
    <t>TXN101671</t>
  </si>
  <si>
    <t>TXN101675</t>
  </si>
  <si>
    <t>TXN101676</t>
  </si>
  <si>
    <t>TXN101680</t>
  </si>
  <si>
    <t>TXN101686</t>
  </si>
  <si>
    <t>TXN101688</t>
  </si>
  <si>
    <t>TXN101692</t>
  </si>
  <si>
    <t>TXN101694</t>
  </si>
  <si>
    <t>TXN101697</t>
  </si>
  <si>
    <t>TXN101698</t>
  </si>
  <si>
    <t>TXN101703</t>
  </si>
  <si>
    <t>TXN101705</t>
  </si>
  <si>
    <t>TXN101710</t>
  </si>
  <si>
    <t>TXN101717</t>
  </si>
  <si>
    <t>TXN101725</t>
  </si>
  <si>
    <t>TXN101726</t>
  </si>
  <si>
    <t>TXN101728</t>
  </si>
  <si>
    <t>TXN101739</t>
  </si>
  <si>
    <t>TXN101741</t>
  </si>
  <si>
    <t>TXN101742</t>
  </si>
  <si>
    <t>TXN101743</t>
  </si>
  <si>
    <t>TXN101745</t>
  </si>
  <si>
    <t>TXN101749</t>
  </si>
  <si>
    <t>TXN101752</t>
  </si>
  <si>
    <t>TXN101753</t>
  </si>
  <si>
    <t>TXN101754</t>
  </si>
  <si>
    <t>TXN101756</t>
  </si>
  <si>
    <t>TXN101770</t>
  </si>
  <si>
    <t>TXN101771</t>
  </si>
  <si>
    <t>TXN101772</t>
  </si>
  <si>
    <t>TXN101776</t>
  </si>
  <si>
    <t>TXN101778</t>
  </si>
  <si>
    <t>TXN101780</t>
  </si>
  <si>
    <t>TXN101782</t>
  </si>
  <si>
    <t>TXN101785</t>
  </si>
  <si>
    <t>TXN101787</t>
  </si>
  <si>
    <t>TXN101790</t>
  </si>
  <si>
    <t>TXN101792</t>
  </si>
  <si>
    <t>TXN101793</t>
  </si>
  <si>
    <t>TXN101795</t>
  </si>
  <si>
    <t>TXN101796</t>
  </si>
  <si>
    <t>TXN101797</t>
  </si>
  <si>
    <t>TXN101799</t>
  </si>
  <si>
    <t>TXN101803</t>
  </si>
  <si>
    <t>TXN101804</t>
  </si>
  <si>
    <t>TXN101810</t>
  </si>
  <si>
    <t>TXN101814</t>
  </si>
  <si>
    <t>TXN101815</t>
  </si>
  <si>
    <t>TXN101820</t>
  </si>
  <si>
    <t>TXN101822</t>
  </si>
  <si>
    <t>TXN101826</t>
  </si>
  <si>
    <t>TXN101829</t>
  </si>
  <si>
    <t>TXN101831</t>
  </si>
  <si>
    <t>TXN101833</t>
  </si>
  <si>
    <t>TXN101834</t>
  </si>
  <si>
    <t>TXN101838</t>
  </si>
  <si>
    <t>TXN101839</t>
  </si>
  <si>
    <t>TXN101844</t>
  </si>
  <si>
    <t>TXN101851</t>
  </si>
  <si>
    <t>TXN101854</t>
  </si>
  <si>
    <t>TXN101856</t>
  </si>
  <si>
    <t>TXN101865</t>
  </si>
  <si>
    <t>TXN101877</t>
  </si>
  <si>
    <t>TXN101891</t>
  </si>
  <si>
    <t>TXN101894</t>
  </si>
  <si>
    <t>TXN101896</t>
  </si>
  <si>
    <t>TXN101897</t>
  </si>
  <si>
    <t>TXN101898</t>
  </si>
  <si>
    <t>TXN101901</t>
  </si>
  <si>
    <t>TXN101903</t>
  </si>
  <si>
    <t>TXN101904</t>
  </si>
  <si>
    <t>TXN101907</t>
  </si>
  <si>
    <t>TXN101911</t>
  </si>
  <si>
    <t>TXN101912</t>
  </si>
  <si>
    <t>TXN101917</t>
  </si>
  <si>
    <t>TXN101928</t>
  </si>
  <si>
    <t>TXN101932</t>
  </si>
  <si>
    <t>TXN101935</t>
  </si>
  <si>
    <t>TXN101937</t>
  </si>
  <si>
    <t>TXN101939</t>
  </si>
  <si>
    <t>TXN101940</t>
  </si>
  <si>
    <t>TXN101941</t>
  </si>
  <si>
    <t>TXN101947</t>
  </si>
  <si>
    <t>TXN101951</t>
  </si>
  <si>
    <t>TXN101953</t>
  </si>
  <si>
    <t>TXN101956</t>
  </si>
  <si>
    <t>TXN101959</t>
  </si>
  <si>
    <t>TXN101961</t>
  </si>
  <si>
    <t>TXN101964</t>
  </si>
  <si>
    <t>TXN101966</t>
  </si>
  <si>
    <t>TXN101967</t>
  </si>
  <si>
    <t>TXN101971</t>
  </si>
  <si>
    <t>TXN101975</t>
  </si>
  <si>
    <t>TXN101976</t>
  </si>
  <si>
    <t>TXN101978</t>
  </si>
  <si>
    <t>TXN101991</t>
  </si>
  <si>
    <t>TXN101992</t>
  </si>
  <si>
    <t>TXN101999</t>
  </si>
  <si>
    <t>TXN102009</t>
  </si>
  <si>
    <t>TXN102016</t>
  </si>
  <si>
    <t>TXN102018</t>
  </si>
  <si>
    <t>TXN102021</t>
  </si>
  <si>
    <t>TXN102022</t>
  </si>
  <si>
    <t>TXN102023</t>
  </si>
  <si>
    <t>TXN102025</t>
  </si>
  <si>
    <t>TXN102027</t>
  </si>
  <si>
    <t>TXN102033</t>
  </si>
  <si>
    <t>TXN102035</t>
  </si>
  <si>
    <t>TXN102036</t>
  </si>
  <si>
    <t>TXN102038</t>
  </si>
  <si>
    <t>TXN102039</t>
  </si>
  <si>
    <t>TXN102042</t>
  </si>
  <si>
    <t>TXN102044</t>
  </si>
  <si>
    <t>TXN102046</t>
  </si>
  <si>
    <t>TXN102047</t>
  </si>
  <si>
    <t>TXN102051</t>
  </si>
  <si>
    <t>TXN102053</t>
  </si>
  <si>
    <t>TXN102054</t>
  </si>
  <si>
    <t>TXN102055</t>
  </si>
  <si>
    <t>TXN102062</t>
  </si>
  <si>
    <t>TXN102064</t>
  </si>
  <si>
    <t>TXN102065</t>
  </si>
  <si>
    <t>TXN102071</t>
  </si>
  <si>
    <t>TXN102076</t>
  </si>
  <si>
    <t>TXN102077</t>
  </si>
  <si>
    <t>TXN102078</t>
  </si>
  <si>
    <t>TXN102081</t>
  </si>
  <si>
    <t>TXN102085</t>
  </si>
  <si>
    <t>TXN102086</t>
  </si>
  <si>
    <t>TXN102088</t>
  </si>
  <si>
    <t>TXN102089</t>
  </si>
  <si>
    <t>TXN102090</t>
  </si>
  <si>
    <t>TXN102095</t>
  </si>
  <si>
    <t>TXN102102</t>
  </si>
  <si>
    <t>TXN102106</t>
  </si>
  <si>
    <t>TXN102110</t>
  </si>
  <si>
    <t>TXN102112</t>
  </si>
  <si>
    <t>TXN102115</t>
  </si>
  <si>
    <t>TXN102120</t>
  </si>
  <si>
    <t>TXN102121</t>
  </si>
  <si>
    <t>TXN102122</t>
  </si>
  <si>
    <t>TXN102124</t>
  </si>
  <si>
    <t>TXN102126</t>
  </si>
  <si>
    <t>TXN102129</t>
  </si>
  <si>
    <t>TXN102132</t>
  </si>
  <si>
    <t>TXN102133</t>
  </si>
  <si>
    <t>TXN102136</t>
  </si>
  <si>
    <t>TXN102140</t>
  </si>
  <si>
    <t>TXN102143</t>
  </si>
  <si>
    <t>TXN102146</t>
  </si>
  <si>
    <t>TXN102149</t>
  </si>
  <si>
    <t>TXN102152</t>
  </si>
  <si>
    <t>TXN102155</t>
  </si>
  <si>
    <t>TXN102160</t>
  </si>
  <si>
    <t>TXN102163</t>
  </si>
  <si>
    <t>TXN102169</t>
  </si>
  <si>
    <t>TXN102171</t>
  </si>
  <si>
    <t>TXN102174</t>
  </si>
  <si>
    <t>TXN102179</t>
  </si>
  <si>
    <t>TXN102184</t>
  </si>
  <si>
    <t>TXN102187</t>
  </si>
  <si>
    <t>TXN102188</t>
  </si>
  <si>
    <t>TXN102190</t>
  </si>
  <si>
    <t>TXN102191</t>
  </si>
  <si>
    <t>TXN102192</t>
  </si>
  <si>
    <t>TXN102202</t>
  </si>
  <si>
    <t>TXN102208</t>
  </si>
  <si>
    <t>TXN102209</t>
  </si>
  <si>
    <t>TXN102212</t>
  </si>
  <si>
    <t>TXN102217</t>
  </si>
  <si>
    <t>TXN102218</t>
  </si>
  <si>
    <t>TXN102221</t>
  </si>
  <si>
    <t>TXN102222</t>
  </si>
  <si>
    <t>TXN102225</t>
  </si>
  <si>
    <t>TXN102226</t>
  </si>
  <si>
    <t>TXN102228</t>
  </si>
  <si>
    <t>TXN102234</t>
  </si>
  <si>
    <t>TXN102243</t>
  </si>
  <si>
    <t>TXN102247</t>
  </si>
  <si>
    <t>TXN102250</t>
  </si>
  <si>
    <t>TXN102251</t>
  </si>
  <si>
    <t>TXN102253</t>
  </si>
  <si>
    <t>TXN102258</t>
  </si>
  <si>
    <t>TXN102260</t>
  </si>
  <si>
    <t>TXN102261</t>
  </si>
  <si>
    <t>TXN102263</t>
  </si>
  <si>
    <t>TXN102267</t>
  </si>
  <si>
    <t>TXN102268</t>
  </si>
  <si>
    <t>TXN102272</t>
  </si>
  <si>
    <t>TXN102273</t>
  </si>
  <si>
    <t>TXN102275</t>
  </si>
  <si>
    <t>TXN102278</t>
  </si>
  <si>
    <t>TXN102283</t>
  </si>
  <si>
    <t>TXN102284</t>
  </si>
  <si>
    <t>TXN102291</t>
  </si>
  <si>
    <t>TXN102294</t>
  </si>
  <si>
    <t>TXN102297</t>
  </si>
  <si>
    <t>TXN102300</t>
  </si>
  <si>
    <t>TXN102304</t>
  </si>
  <si>
    <t>TXN102306</t>
  </si>
  <si>
    <t>TXN102308</t>
  </si>
  <si>
    <t>TXN102310</t>
  </si>
  <si>
    <t>TXN102312</t>
  </si>
  <si>
    <t>TXN102313</t>
  </si>
  <si>
    <t>TXN102316</t>
  </si>
  <si>
    <t>TXN102318</t>
  </si>
  <si>
    <t>TXN102320</t>
  </si>
  <si>
    <t>TXN102323</t>
  </si>
  <si>
    <t>TXN102328</t>
  </si>
  <si>
    <t>TXN102329</t>
  </si>
  <si>
    <t>TXN102337</t>
  </si>
  <si>
    <t>TXN102341</t>
  </si>
  <si>
    <t>TXN102346</t>
  </si>
  <si>
    <t>TXN102352</t>
  </si>
  <si>
    <t>TXN102357</t>
  </si>
  <si>
    <t>TXN102363</t>
  </si>
  <si>
    <t>TXN102364</t>
  </si>
  <si>
    <t>TXN102366</t>
  </si>
  <si>
    <t>TXN102368</t>
  </si>
  <si>
    <t>TXN102369</t>
  </si>
  <si>
    <t>TXN102371</t>
  </si>
  <si>
    <t>TXN102372</t>
  </si>
  <si>
    <t>TXN102373</t>
  </si>
  <si>
    <t>TXN102375</t>
  </si>
  <si>
    <t>TXN102377</t>
  </si>
  <si>
    <t>TXN102383</t>
  </si>
  <si>
    <t>TXN102385</t>
  </si>
  <si>
    <t>TXN102386</t>
  </si>
  <si>
    <t>TXN102391</t>
  </si>
  <si>
    <t>TXN102394</t>
  </si>
  <si>
    <t>TXN102396</t>
  </si>
  <si>
    <t>TXN102397</t>
  </si>
  <si>
    <t>TXN102400</t>
  </si>
  <si>
    <t>TXN102401</t>
  </si>
  <si>
    <t>TXN102404</t>
  </si>
  <si>
    <t>TXN102405</t>
  </si>
  <si>
    <t>TXN102406</t>
  </si>
  <si>
    <t>TXN102410</t>
  </si>
  <si>
    <t>TXN102411</t>
  </si>
  <si>
    <t>TXN102420</t>
  </si>
  <si>
    <t>TXN102430</t>
  </si>
  <si>
    <t>TXN102433</t>
  </si>
  <si>
    <t>TXN102436</t>
  </si>
  <si>
    <t>TXN102439</t>
  </si>
  <si>
    <t>TXN102446</t>
  </si>
  <si>
    <t>TXN102447</t>
  </si>
  <si>
    <t>TXN102449</t>
  </si>
  <si>
    <t>TXN102452</t>
  </si>
  <si>
    <t>TXN102454</t>
  </si>
  <si>
    <t>TXN102457</t>
  </si>
  <si>
    <t>TXN102458</t>
  </si>
  <si>
    <t>TXN102466</t>
  </si>
  <si>
    <t>TXN102468</t>
  </si>
  <si>
    <t>TXN102469</t>
  </si>
  <si>
    <t>TXN102471</t>
  </si>
  <si>
    <t>TXN102473</t>
  </si>
  <si>
    <t>TXN102474</t>
  </si>
  <si>
    <t>TXN102480</t>
  </si>
  <si>
    <t>TXN102484</t>
  </si>
  <si>
    <t>TXN102486</t>
  </si>
  <si>
    <t>TXN102488</t>
  </si>
  <si>
    <t>TXN102491</t>
  </si>
  <si>
    <t>TXN102492</t>
  </si>
  <si>
    <t>TXN102498</t>
  </si>
  <si>
    <t>TXN102502</t>
  </si>
  <si>
    <t>TXN102506</t>
  </si>
  <si>
    <t>TXN102510</t>
  </si>
  <si>
    <t>TXN102520</t>
  </si>
  <si>
    <t>TXN102524</t>
  </si>
  <si>
    <t>TXN102530</t>
  </si>
  <si>
    <t>TXN102532</t>
  </si>
  <si>
    <t>TXN102533</t>
  </si>
  <si>
    <t>TXN102534</t>
  </si>
  <si>
    <t>TXN102541</t>
  </si>
  <si>
    <t>TXN102544</t>
  </si>
  <si>
    <t>TXN102546</t>
  </si>
  <si>
    <t>TXN102547</t>
  </si>
  <si>
    <t>TXN102550</t>
  </si>
  <si>
    <t>TXN102551</t>
  </si>
  <si>
    <t>TXN102554</t>
  </si>
  <si>
    <t>TXN102555</t>
  </si>
  <si>
    <t>TXN102556</t>
  </si>
  <si>
    <t>TXN102557</t>
  </si>
  <si>
    <t>TXN102558</t>
  </si>
  <si>
    <t>TXN102566</t>
  </si>
  <si>
    <t>TXN102574</t>
  </si>
  <si>
    <t>TXN102576</t>
  </si>
  <si>
    <t>TXN102579</t>
  </si>
  <si>
    <t>TXN102585</t>
  </si>
  <si>
    <t>TXN102587</t>
  </si>
  <si>
    <t>TXN102591</t>
  </si>
  <si>
    <t>TXN102593</t>
  </si>
  <si>
    <t>TXN102594</t>
  </si>
  <si>
    <t>TXN102595</t>
  </si>
  <si>
    <t>TXN102597</t>
  </si>
  <si>
    <t>TXN102599</t>
  </si>
  <si>
    <t>TXN102603</t>
  </si>
  <si>
    <t>TXN102605</t>
  </si>
  <si>
    <t>TXN102606</t>
  </si>
  <si>
    <t>TXN102608</t>
  </si>
  <si>
    <t>TXN102613</t>
  </si>
  <si>
    <t>TXN102614</t>
  </si>
  <si>
    <t>TXN102616</t>
  </si>
  <si>
    <t>TXN102627</t>
  </si>
  <si>
    <t>TXN102628</t>
  </si>
  <si>
    <t>TXN102630</t>
  </si>
  <si>
    <t>TXN102631</t>
  </si>
  <si>
    <t>TXN102635</t>
  </si>
  <si>
    <t>TXN102636</t>
  </si>
  <si>
    <t>TXN102638</t>
  </si>
  <si>
    <t>TXN102644</t>
  </si>
  <si>
    <t>TXN102646</t>
  </si>
  <si>
    <t>TXN102649</t>
  </si>
  <si>
    <t>TXN102650</t>
  </si>
  <si>
    <t>TXN102653</t>
  </si>
  <si>
    <t>TXN102656</t>
  </si>
  <si>
    <t>TXN102658</t>
  </si>
  <si>
    <t>TXN102659</t>
  </si>
  <si>
    <t>TXN102660</t>
  </si>
  <si>
    <t>TXN102663</t>
  </si>
  <si>
    <t>TXN102664</t>
  </si>
  <si>
    <t>TXN102665</t>
  </si>
  <si>
    <t>TXN102671</t>
  </si>
  <si>
    <t>TXN102680</t>
  </si>
  <si>
    <t>TXN102685</t>
  </si>
  <si>
    <t>TXN102688</t>
  </si>
  <si>
    <t>TXN102697</t>
  </si>
  <si>
    <t>TXN102698</t>
  </si>
  <si>
    <t>TXN102700</t>
  </si>
  <si>
    <t>TXN102705</t>
  </si>
  <si>
    <t>TXN102706</t>
  </si>
  <si>
    <t>TXN102711</t>
  </si>
  <si>
    <t>TXN102716</t>
  </si>
  <si>
    <t>TXN102717</t>
  </si>
  <si>
    <t>TXN102719</t>
  </si>
  <si>
    <t>TXN102720</t>
  </si>
  <si>
    <t>TXN102722</t>
  </si>
  <si>
    <t>TXN102724</t>
  </si>
  <si>
    <t>TXN102725</t>
  </si>
  <si>
    <t>TXN102730</t>
  </si>
  <si>
    <t>TXN102732</t>
  </si>
  <si>
    <t>TXN102737</t>
  </si>
  <si>
    <t>TXN102740</t>
  </si>
  <si>
    <t>TXN102741</t>
  </si>
  <si>
    <t>TXN102742</t>
  </si>
  <si>
    <t>TXN102745</t>
  </si>
  <si>
    <t>TXN102746</t>
  </si>
  <si>
    <t>TXN102747</t>
  </si>
  <si>
    <t>TXN102748</t>
  </si>
  <si>
    <t>TXN102750</t>
  </si>
  <si>
    <t>TXN102751</t>
  </si>
  <si>
    <t>TXN102752</t>
  </si>
  <si>
    <t>TXN102755</t>
  </si>
  <si>
    <t>TXN102758</t>
  </si>
  <si>
    <t>TXN102759</t>
  </si>
  <si>
    <t>TXN102766</t>
  </si>
  <si>
    <t>TXN102767</t>
  </si>
  <si>
    <t>TXN102776</t>
  </si>
  <si>
    <t>TXN102778</t>
  </si>
  <si>
    <t>TXN102779</t>
  </si>
  <si>
    <t>TXN102783</t>
  </si>
  <si>
    <t>TXN102784</t>
  </si>
  <si>
    <t>TXN102787</t>
  </si>
  <si>
    <t>TXN102789</t>
  </si>
  <si>
    <t>TXN102790</t>
  </si>
  <si>
    <t>TXN102791</t>
  </si>
  <si>
    <t>TXN102792</t>
  </si>
  <si>
    <t>TXN102794</t>
  </si>
  <si>
    <t>TXN102796</t>
  </si>
  <si>
    <t>TXN102797</t>
  </si>
  <si>
    <t>TXN102798</t>
  </si>
  <si>
    <t>TXN102800</t>
  </si>
  <si>
    <t>TXN102803</t>
  </si>
  <si>
    <t>TXN102806</t>
  </si>
  <si>
    <t>TXN102809</t>
  </si>
  <si>
    <t>TXN102811</t>
  </si>
  <si>
    <t>TXN102812</t>
  </si>
  <si>
    <t>TXN102814</t>
  </si>
  <si>
    <t>TXN102817</t>
  </si>
  <si>
    <t>TXN102818</t>
  </si>
  <si>
    <t>TXN102826</t>
  </si>
  <si>
    <t>TXN102829</t>
  </si>
  <si>
    <t>TXN102836</t>
  </si>
  <si>
    <t>TXN102840</t>
  </si>
  <si>
    <t>TXN102841</t>
  </si>
  <si>
    <t>TXN102844</t>
  </si>
  <si>
    <t>TXN102849</t>
  </si>
  <si>
    <t>TXN102854</t>
  </si>
  <si>
    <t>TXN102860</t>
  </si>
  <si>
    <t>TXN102866</t>
  </si>
  <si>
    <t>TXN102868</t>
  </si>
  <si>
    <t>TXN102870</t>
  </si>
  <si>
    <t>TXN102871</t>
  </si>
  <si>
    <t>TXN102884</t>
  </si>
  <si>
    <t>TXN102891</t>
  </si>
  <si>
    <t>TXN102896</t>
  </si>
  <si>
    <t>TXN102897</t>
  </si>
  <si>
    <t>TXN102898</t>
  </si>
  <si>
    <t>TXN102900</t>
  </si>
  <si>
    <t>TXN102907</t>
  </si>
  <si>
    <t>TXN102912</t>
  </si>
  <si>
    <t>TXN102915</t>
  </si>
  <si>
    <t>TXN102924</t>
  </si>
  <si>
    <t>TXN102931</t>
  </si>
  <si>
    <t>TXN102937</t>
  </si>
  <si>
    <t>TXN102940</t>
  </si>
  <si>
    <t>TXN102942</t>
  </si>
  <si>
    <t>TXN102943</t>
  </si>
  <si>
    <t>TXN102946</t>
  </si>
  <si>
    <t>TXN102947</t>
  </si>
  <si>
    <t>TXN102951</t>
  </si>
  <si>
    <t>TXN102953</t>
  </si>
  <si>
    <t>TXN102959</t>
  </si>
  <si>
    <t>TXN102960</t>
  </si>
  <si>
    <t>TXN102963</t>
  </si>
  <si>
    <t>TXN102966</t>
  </si>
  <si>
    <t>TXN102972</t>
  </si>
  <si>
    <t>TXN102975</t>
  </si>
  <si>
    <t>TXN102976</t>
  </si>
  <si>
    <t>TXN102978</t>
  </si>
  <si>
    <t>TXN102981</t>
  </si>
  <si>
    <t>TXN102988</t>
  </si>
  <si>
    <t>TXN102992</t>
  </si>
  <si>
    <t>TXN102996</t>
  </si>
  <si>
    <t>TXN102999</t>
  </si>
  <si>
    <t>TXN103001</t>
  </si>
  <si>
    <t>TXN103004</t>
  </si>
  <si>
    <t>TXN103007</t>
  </si>
  <si>
    <t>TXN103008</t>
  </si>
  <si>
    <t>TXN103012</t>
  </si>
  <si>
    <t>TXN103026</t>
  </si>
  <si>
    <t>TXN103027</t>
  </si>
  <si>
    <t>TXN103029</t>
  </si>
  <si>
    <t>TXN103035</t>
  </si>
  <si>
    <t>TXN103037</t>
  </si>
  <si>
    <t>TXN103043</t>
  </si>
  <si>
    <t>TXN103045</t>
  </si>
  <si>
    <t>TXN103051</t>
  </si>
  <si>
    <t>TXN103053</t>
  </si>
  <si>
    <t>TXN103057</t>
  </si>
  <si>
    <t>TXN103065</t>
  </si>
  <si>
    <t>TXN103066</t>
  </si>
  <si>
    <t>TXN103068</t>
  </si>
  <si>
    <t>TXN103071</t>
  </si>
  <si>
    <t>TXN103075</t>
  </si>
  <si>
    <t>TXN103077</t>
  </si>
  <si>
    <t>TXN103081</t>
  </si>
  <si>
    <t>TXN103083</t>
  </si>
  <si>
    <t>TXN103087</t>
  </si>
  <si>
    <t>TXN103090</t>
  </si>
  <si>
    <t>TXN103094</t>
  </si>
  <si>
    <t>TXN103097</t>
  </si>
  <si>
    <t>TXN103098</t>
  </si>
  <si>
    <t>TXN103099</t>
  </si>
  <si>
    <t>TXN103102</t>
  </si>
  <si>
    <t>TXN103104</t>
  </si>
  <si>
    <t>TXN103105</t>
  </si>
  <si>
    <t>TXN103110</t>
  </si>
  <si>
    <t>TXN103123</t>
  </si>
  <si>
    <t>TXN103124</t>
  </si>
  <si>
    <t>TXN103126</t>
  </si>
  <si>
    <t>TXN103130</t>
  </si>
  <si>
    <t>TXN103133</t>
  </si>
  <si>
    <t>TXN103135</t>
  </si>
  <si>
    <t>TXN103136</t>
  </si>
  <si>
    <t>TXN103137</t>
  </si>
  <si>
    <t>TXN103138</t>
  </si>
  <si>
    <t>TXN103143</t>
  </si>
  <si>
    <t>TXN103147</t>
  </si>
  <si>
    <t>TXN103150</t>
  </si>
  <si>
    <t>TXN103151</t>
  </si>
  <si>
    <t>TXN103153</t>
  </si>
  <si>
    <t>TXN103157</t>
  </si>
  <si>
    <t>TXN103162</t>
  </si>
  <si>
    <t>TXN103165</t>
  </si>
  <si>
    <t>TXN103168</t>
  </si>
  <si>
    <t>TXN103169</t>
  </si>
  <si>
    <t>TXN103171</t>
  </si>
  <si>
    <t>TXN103172</t>
  </si>
  <si>
    <t>TXN103173</t>
  </si>
  <si>
    <t>TXN103185</t>
  </si>
  <si>
    <t>TXN103187</t>
  </si>
  <si>
    <t>TXN103189</t>
  </si>
  <si>
    <t>TXN103200</t>
  </si>
  <si>
    <t>TXN103202</t>
  </si>
  <si>
    <t>TXN103214</t>
  </si>
  <si>
    <t>TXN103219</t>
  </si>
  <si>
    <t>TXN103220</t>
  </si>
  <si>
    <t>TXN103224</t>
  </si>
  <si>
    <t>TXN103226</t>
  </si>
  <si>
    <t>TXN103230</t>
  </si>
  <si>
    <t>TXN103233</t>
  </si>
  <si>
    <t>TXN103235</t>
  </si>
  <si>
    <t>TXN103237</t>
  </si>
  <si>
    <t>TXN103238</t>
  </si>
  <si>
    <t>TXN103239</t>
  </si>
  <si>
    <t>TXN103244</t>
  </si>
  <si>
    <t>TXN103246</t>
  </si>
  <si>
    <t>TXN103247</t>
  </si>
  <si>
    <t>TXN103248</t>
  </si>
  <si>
    <t>TXN103252</t>
  </si>
  <si>
    <t>TXN103256</t>
  </si>
  <si>
    <t>TXN103264</t>
  </si>
  <si>
    <t>TXN103265</t>
  </si>
  <si>
    <t>TXN103268</t>
  </si>
  <si>
    <t>TXN103273</t>
  </si>
  <si>
    <t>TXN103275</t>
  </si>
  <si>
    <t>TXN103276</t>
  </si>
  <si>
    <t>TXN103277</t>
  </si>
  <si>
    <t>TXN103280</t>
  </si>
  <si>
    <t>TXN103281</t>
  </si>
  <si>
    <t>TXN103285</t>
  </si>
  <si>
    <t>TXN103286</t>
  </si>
  <si>
    <t>TXN103295</t>
  </si>
  <si>
    <t>TXN103296</t>
  </si>
  <si>
    <t>TXN103297</t>
  </si>
  <si>
    <t>TXN103306</t>
  </si>
  <si>
    <t>TXN103307</t>
  </si>
  <si>
    <t>TXN103311</t>
  </si>
  <si>
    <t>TXN103312</t>
  </si>
  <si>
    <t>TXN103316</t>
  </si>
  <si>
    <t>TXN103322</t>
  </si>
  <si>
    <t>TXN103325</t>
  </si>
  <si>
    <t>TXN103326</t>
  </si>
  <si>
    <t>TXN103328</t>
  </si>
  <si>
    <t>TXN103329</t>
  </si>
  <si>
    <t>TXN103330</t>
  </si>
  <si>
    <t>TXN103331</t>
  </si>
  <si>
    <t>TXN103332</t>
  </si>
  <si>
    <t>TXN103334</t>
  </si>
  <si>
    <t>TXN103335</t>
  </si>
  <si>
    <t>TXN103336</t>
  </si>
  <si>
    <t>TXN103339</t>
  </si>
  <si>
    <t>TXN103343</t>
  </si>
  <si>
    <t>TXN103346</t>
  </si>
  <si>
    <t>TXN103347</t>
  </si>
  <si>
    <t>TXN103353</t>
  </si>
  <si>
    <t>TXN103362</t>
  </si>
  <si>
    <t>TXN103363</t>
  </si>
  <si>
    <t>TXN103365</t>
  </si>
  <si>
    <t>TXN103366</t>
  </si>
  <si>
    <t>TXN103368</t>
  </si>
  <si>
    <t>TXN103369</t>
  </si>
  <si>
    <t>TXN103372</t>
  </si>
  <si>
    <t>TXN103382</t>
  </si>
  <si>
    <t>TXN103383</t>
  </si>
  <si>
    <t>TXN103389</t>
  </si>
  <si>
    <t>TXN103395</t>
  </si>
  <si>
    <t>TXN103397</t>
  </si>
  <si>
    <t>TXN103403</t>
  </si>
  <si>
    <t>TXN103405</t>
  </si>
  <si>
    <t>TXN103407</t>
  </si>
  <si>
    <t>TXN103409</t>
  </si>
  <si>
    <t>TXN103411</t>
  </si>
  <si>
    <t>TXN103414</t>
  </si>
  <si>
    <t>TXN103420</t>
  </si>
  <si>
    <t>TXN103425</t>
  </si>
  <si>
    <t>TXN103427</t>
  </si>
  <si>
    <t>TXN103429</t>
  </si>
  <si>
    <t>TXN103430</t>
  </si>
  <si>
    <t>TXN103436</t>
  </si>
  <si>
    <t>TXN103437</t>
  </si>
  <si>
    <t>TXN103440</t>
  </si>
  <si>
    <t>TXN103444</t>
  </si>
  <si>
    <t>TXN103445</t>
  </si>
  <si>
    <t>TXN103446</t>
  </si>
  <si>
    <t>TXN103453</t>
  </si>
  <si>
    <t>TXN103461</t>
  </si>
  <si>
    <t>TXN103466</t>
  </si>
  <si>
    <t>TXN103468</t>
  </si>
  <si>
    <t>TXN103470</t>
  </si>
  <si>
    <t>TXN103481</t>
  </si>
  <si>
    <t>TXN103484</t>
  </si>
  <si>
    <t>TXN103486</t>
  </si>
  <si>
    <t>TXN103487</t>
  </si>
  <si>
    <t>TXN103490</t>
  </si>
  <si>
    <t>TXN103502</t>
  </si>
  <si>
    <t>TXN103505</t>
  </si>
  <si>
    <t>TXN103508</t>
  </si>
  <si>
    <t>TXN103509</t>
  </si>
  <si>
    <t>TXN103511</t>
  </si>
  <si>
    <t>TXN103516</t>
  </si>
  <si>
    <t>TXN103519</t>
  </si>
  <si>
    <t>TXN103524</t>
  </si>
  <si>
    <t>TXN103526</t>
  </si>
  <si>
    <t>TXN103529</t>
  </si>
  <si>
    <t>TXN103530</t>
  </si>
  <si>
    <t>TXN103531</t>
  </si>
  <si>
    <t>TXN103532</t>
  </si>
  <si>
    <t>TXN103534</t>
  </si>
  <si>
    <t>TXN103535</t>
  </si>
  <si>
    <t>TXN103540</t>
  </si>
  <si>
    <t>TXN103541</t>
  </si>
  <si>
    <t>TXN103542</t>
  </si>
  <si>
    <t>TXN103544</t>
  </si>
  <si>
    <t>TXN103553</t>
  </si>
  <si>
    <t>TXN103554</t>
  </si>
  <si>
    <t>TXN103556</t>
  </si>
  <si>
    <t>TXN103564</t>
  </si>
  <si>
    <t>TXN103567</t>
  </si>
  <si>
    <t>TXN103568</t>
  </si>
  <si>
    <t>TXN103569</t>
  </si>
  <si>
    <t>TXN103570</t>
  </si>
  <si>
    <t>TXN103571</t>
  </si>
  <si>
    <t>TXN103573</t>
  </si>
  <si>
    <t>TXN103574</t>
  </si>
  <si>
    <t>TXN103579</t>
  </si>
  <si>
    <t>TXN103582</t>
  </si>
  <si>
    <t>TXN103583</t>
  </si>
  <si>
    <t>TXN103586</t>
  </si>
  <si>
    <t>TXN103588</t>
  </si>
  <si>
    <t>TXN103596</t>
  </si>
  <si>
    <t>TXN103600</t>
  </si>
  <si>
    <t>TXN103601</t>
  </si>
  <si>
    <t>TXN103606</t>
  </si>
  <si>
    <t>TXN103609</t>
  </si>
  <si>
    <t>TXN103610</t>
  </si>
  <si>
    <t>TXN103611</t>
  </si>
  <si>
    <t>TXN103613</t>
  </si>
  <si>
    <t>TXN103615</t>
  </si>
  <si>
    <t>TXN103618</t>
  </si>
  <si>
    <t>TXN103622</t>
  </si>
  <si>
    <t>TXN103624</t>
  </si>
  <si>
    <t>TXN103637</t>
  </si>
  <si>
    <t>TXN103638</t>
  </si>
  <si>
    <t>TXN103640</t>
  </si>
  <si>
    <t>TXN103642</t>
  </si>
  <si>
    <t>TXN103645</t>
  </si>
  <si>
    <t>TXN103646</t>
  </si>
  <si>
    <t>TXN103648</t>
  </si>
  <si>
    <t>TXN103651</t>
  </si>
  <si>
    <t>TXN103653</t>
  </si>
  <si>
    <t>TXN103656</t>
  </si>
  <si>
    <t>TXN103658</t>
  </si>
  <si>
    <t>TXN103659</t>
  </si>
  <si>
    <t>TXN103661</t>
  </si>
  <si>
    <t>TXN103662</t>
  </si>
  <si>
    <t>TXN103663</t>
  </si>
  <si>
    <t>TXN103664</t>
  </si>
  <si>
    <t>TXN103668</t>
  </si>
  <si>
    <t>TXN103675</t>
  </si>
  <si>
    <t>TXN103676</t>
  </si>
  <si>
    <t>TXN103678</t>
  </si>
  <si>
    <t>TXN103684</t>
  </si>
  <si>
    <t>TXN103685</t>
  </si>
  <si>
    <t>TXN103686</t>
  </si>
  <si>
    <t>TXN103687</t>
  </si>
  <si>
    <t>TXN103688</t>
  </si>
  <si>
    <t>TXN103690</t>
  </si>
  <si>
    <t>TXN103691</t>
  </si>
  <si>
    <t>TXN103693</t>
  </si>
  <si>
    <t>TXN103694</t>
  </si>
  <si>
    <t>TXN103699</t>
  </si>
  <si>
    <t>TXN103700</t>
  </si>
  <si>
    <t>TXN103702</t>
  </si>
  <si>
    <t>TXN103703</t>
  </si>
  <si>
    <t>TXN103704</t>
  </si>
  <si>
    <t>TXN103705</t>
  </si>
  <si>
    <t>TXN103706</t>
  </si>
  <si>
    <t>TXN103709</t>
  </si>
  <si>
    <t>TXN103714</t>
  </si>
  <si>
    <t>TXN103716</t>
  </si>
  <si>
    <t>TXN103720</t>
  </si>
  <si>
    <t>TXN103721</t>
  </si>
  <si>
    <t>TXN103722</t>
  </si>
  <si>
    <t>TXN103723</t>
  </si>
  <si>
    <t>TXN103725</t>
  </si>
  <si>
    <t>TXN103728</t>
  </si>
  <si>
    <t>TXN103732</t>
  </si>
  <si>
    <t>TXN103733</t>
  </si>
  <si>
    <t>TXN103735</t>
  </si>
  <si>
    <t>TXN103743</t>
  </si>
  <si>
    <t>TXN103744</t>
  </si>
  <si>
    <t>TXN103746</t>
  </si>
  <si>
    <t>TXN103749</t>
  </si>
  <si>
    <t>TXN103751</t>
  </si>
  <si>
    <t>TXN103756</t>
  </si>
  <si>
    <t>TXN103764</t>
  </si>
  <si>
    <t>TXN103765</t>
  </si>
  <si>
    <t>TXN103766</t>
  </si>
  <si>
    <t>TXN103767</t>
  </si>
  <si>
    <t>TXN103772</t>
  </si>
  <si>
    <t>TXN103773</t>
  </si>
  <si>
    <t>TXN103776</t>
  </si>
  <si>
    <t>TXN103777</t>
  </si>
  <si>
    <t>TXN103779</t>
  </si>
  <si>
    <t>TXN103781</t>
  </si>
  <si>
    <t>TXN103782</t>
  </si>
  <si>
    <t>TXN103786</t>
  </si>
  <si>
    <t>TXN103787</t>
  </si>
  <si>
    <t>TXN103790</t>
  </si>
  <si>
    <t>TXN103792</t>
  </si>
  <si>
    <t>TXN103795</t>
  </si>
  <si>
    <t>TXN103796</t>
  </si>
  <si>
    <t>TXN103800</t>
  </si>
  <si>
    <t>TXN103802</t>
  </si>
  <si>
    <t>TXN103803</t>
  </si>
  <si>
    <t>TXN103804</t>
  </si>
  <si>
    <t>TXN103805</t>
  </si>
  <si>
    <t>TXN103809</t>
  </si>
  <si>
    <t>TXN103814</t>
  </si>
  <si>
    <t>TXN103815</t>
  </si>
  <si>
    <t>TXN103819</t>
  </si>
  <si>
    <t>TXN103826</t>
  </si>
  <si>
    <t>TXN103829</t>
  </si>
  <si>
    <t>TXN103833</t>
  </si>
  <si>
    <t>TXN103835</t>
  </si>
  <si>
    <t>TXN103840</t>
  </si>
  <si>
    <t>TXN103845</t>
  </si>
  <si>
    <t>TXN103847</t>
  </si>
  <si>
    <t>TXN103848</t>
  </si>
  <si>
    <t>TXN103853</t>
  </si>
  <si>
    <t>TXN103855</t>
  </si>
  <si>
    <t>TXN103856</t>
  </si>
  <si>
    <t>TXN103857</t>
  </si>
  <si>
    <t>TXN103859</t>
  </si>
  <si>
    <t>TXN103860</t>
  </si>
  <si>
    <t>TXN103865</t>
  </si>
  <si>
    <t>TXN103868</t>
  </si>
  <si>
    <t>TXN103869</t>
  </si>
  <si>
    <t>TXN103877</t>
  </si>
  <si>
    <t>TXN103881</t>
  </si>
  <si>
    <t>TXN103882</t>
  </si>
  <si>
    <t>TXN103883</t>
  </si>
  <si>
    <t>TXN103885</t>
  </si>
  <si>
    <t>TXN103886</t>
  </si>
  <si>
    <t>TXN103887</t>
  </si>
  <si>
    <t>TXN103888</t>
  </si>
  <si>
    <t>TXN103891</t>
  </si>
  <si>
    <t>TXN103892</t>
  </si>
  <si>
    <t>TXN103895</t>
  </si>
  <si>
    <t>TXN103899</t>
  </si>
  <si>
    <t>TXN103903</t>
  </si>
  <si>
    <t>TXN103908</t>
  </si>
  <si>
    <t>TXN103911</t>
  </si>
  <si>
    <t>TXN103912</t>
  </si>
  <si>
    <t>TXN103913</t>
  </si>
  <si>
    <t>TXN103915</t>
  </si>
  <si>
    <t>TXN103918</t>
  </si>
  <si>
    <t>TXN103920</t>
  </si>
  <si>
    <t>TXN103925</t>
  </si>
  <si>
    <t>TXN103929</t>
  </si>
  <si>
    <t>TXN103930</t>
  </si>
  <si>
    <t>TXN103932</t>
  </si>
  <si>
    <t>TXN103936</t>
  </si>
  <si>
    <t>TXN103939</t>
  </si>
  <si>
    <t>TXN103940</t>
  </si>
  <si>
    <t>TXN103943</t>
  </si>
  <si>
    <t>TXN103947</t>
  </si>
  <si>
    <t>TXN103949</t>
  </si>
  <si>
    <t>TXN103950</t>
  </si>
  <si>
    <t>TXN103953</t>
  </si>
  <si>
    <t>TXN103954</t>
  </si>
  <si>
    <t>TXN103955</t>
  </si>
  <si>
    <t>TXN103957</t>
  </si>
  <si>
    <t>TXN103965</t>
  </si>
  <si>
    <t>TXN103973</t>
  </si>
  <si>
    <t>TXN103974</t>
  </si>
  <si>
    <t>TXN103977</t>
  </si>
  <si>
    <t>TXN103980</t>
  </si>
  <si>
    <t>TXN103981</t>
  </si>
  <si>
    <t>TXN103982</t>
  </si>
  <si>
    <t>TXN103983</t>
  </si>
  <si>
    <t>TXN103984</t>
  </si>
  <si>
    <t>TXN103985</t>
  </si>
  <si>
    <t>TXN103986</t>
  </si>
  <si>
    <t>TXN103987</t>
  </si>
  <si>
    <t>TXN103990</t>
  </si>
  <si>
    <t>TXN103995</t>
  </si>
  <si>
    <t>TXN103997</t>
  </si>
  <si>
    <t>TXN104001</t>
  </si>
  <si>
    <t>TXN104011</t>
  </si>
  <si>
    <t>TXN104013</t>
  </si>
  <si>
    <t>TXN104015</t>
  </si>
  <si>
    <t>TXN104018</t>
  </si>
  <si>
    <t>TXN104020</t>
  </si>
  <si>
    <t>TXN104021</t>
  </si>
  <si>
    <t>TXN104022</t>
  </si>
  <si>
    <t>TXN104023</t>
  </si>
  <si>
    <t>TXN104030</t>
  </si>
  <si>
    <t>TXN104031</t>
  </si>
  <si>
    <t>TXN104036</t>
  </si>
  <si>
    <t>TXN104048</t>
  </si>
  <si>
    <t>TXN104052</t>
  </si>
  <si>
    <t>TXN104059</t>
  </si>
  <si>
    <t>TXN104061</t>
  </si>
  <si>
    <t>TXN104063</t>
  </si>
  <si>
    <t>TXN104067</t>
  </si>
  <si>
    <t>TXN104068</t>
  </si>
  <si>
    <t>TXN104072</t>
  </si>
  <si>
    <t>TXN104074</t>
  </si>
  <si>
    <t>TXN104077</t>
  </si>
  <si>
    <t>TXN104080</t>
  </si>
  <si>
    <t>TXN104083</t>
  </si>
  <si>
    <t>TXN104084</t>
  </si>
  <si>
    <t>TXN104093</t>
  </si>
  <si>
    <t>TXN104094</t>
  </si>
  <si>
    <t>TXN104096</t>
  </si>
  <si>
    <t>TXN104097</t>
  </si>
  <si>
    <t>TXN104099</t>
  </si>
  <si>
    <t>TXN104101</t>
  </si>
  <si>
    <t>TXN104103</t>
  </si>
  <si>
    <t>TXN104105</t>
  </si>
  <si>
    <t>TXN104107</t>
  </si>
  <si>
    <t>TXN104108</t>
  </si>
  <si>
    <t>TXN104110</t>
  </si>
  <si>
    <t>TXN104114</t>
  </si>
  <si>
    <t>TXN104116</t>
  </si>
  <si>
    <t>TXN104119</t>
  </si>
  <si>
    <t>TXN104120</t>
  </si>
  <si>
    <t>TXN104121</t>
  </si>
  <si>
    <t>TXN104123</t>
  </si>
  <si>
    <t>TXN104124</t>
  </si>
  <si>
    <t>TXN104134</t>
  </si>
  <si>
    <t>TXN104135</t>
  </si>
  <si>
    <t>TXN104140</t>
  </si>
  <si>
    <t>TXN104144</t>
  </si>
  <si>
    <t>TXN104145</t>
  </si>
  <si>
    <t>TXN104146</t>
  </si>
  <si>
    <t>TXN104147</t>
  </si>
  <si>
    <t>TXN104148</t>
  </si>
  <si>
    <t>TXN104149</t>
  </si>
  <si>
    <t>TXN104154</t>
  </si>
  <si>
    <t>TXN104155</t>
  </si>
  <si>
    <t>TXN104156</t>
  </si>
  <si>
    <t>TXN104157</t>
  </si>
  <si>
    <t>TXN104158</t>
  </si>
  <si>
    <t>TXN104164</t>
  </si>
  <si>
    <t>TXN104167</t>
  </si>
  <si>
    <t>TXN104168</t>
  </si>
  <si>
    <t>TXN104169</t>
  </si>
  <si>
    <t>TXN104172</t>
  </si>
  <si>
    <t>TXN104175</t>
  </si>
  <si>
    <t>TXN104177</t>
  </si>
  <si>
    <t>TXN104181</t>
  </si>
  <si>
    <t>TXN104187</t>
  </si>
  <si>
    <t>TXN104189</t>
  </si>
  <si>
    <t>TXN104191</t>
  </si>
  <si>
    <t>TXN104193</t>
  </si>
  <si>
    <t>TXN104194</t>
  </si>
  <si>
    <t>TXN104196</t>
  </si>
  <si>
    <t>TXN104197</t>
  </si>
  <si>
    <t>TXN104200</t>
  </si>
  <si>
    <t>TXN104204</t>
  </si>
  <si>
    <t>TXN104211</t>
  </si>
  <si>
    <t>TXN104213</t>
  </si>
  <si>
    <t>TXN104219</t>
  </si>
  <si>
    <t>TXN104220</t>
  </si>
  <si>
    <t>TXN104224</t>
  </si>
  <si>
    <t>TXN104228</t>
  </si>
  <si>
    <t>TXN104232</t>
  </si>
  <si>
    <t>TXN104233</t>
  </si>
  <si>
    <t>TXN104236</t>
  </si>
  <si>
    <t>TXN104238</t>
  </si>
  <si>
    <t>TXN104239</t>
  </si>
  <si>
    <t>TXN104240</t>
  </si>
  <si>
    <t>TXN104245</t>
  </si>
  <si>
    <t>TXN104249</t>
  </si>
  <si>
    <t>TXN104252</t>
  </si>
  <si>
    <t>TXN104253</t>
  </si>
  <si>
    <t>TXN104254</t>
  </si>
  <si>
    <t>TXN104256</t>
  </si>
  <si>
    <t>TXN104257</t>
  </si>
  <si>
    <t>TXN104258</t>
  </si>
  <si>
    <t>TXN104259</t>
  </si>
  <si>
    <t>TXN104264</t>
  </si>
  <si>
    <t>TXN104268</t>
  </si>
  <si>
    <t>TXN104269</t>
  </si>
  <si>
    <t>TXN104270</t>
  </si>
  <si>
    <t>TXN104275</t>
  </si>
  <si>
    <t>TXN104277</t>
  </si>
  <si>
    <t>TXN104278</t>
  </si>
  <si>
    <t>TXN104281</t>
  </si>
  <si>
    <t>TXN104302</t>
  </si>
  <si>
    <t>TXN104304</t>
  </si>
  <si>
    <t>TXN104305</t>
  </si>
  <si>
    <t>TXN104309</t>
  </si>
  <si>
    <t>TXN104311</t>
  </si>
  <si>
    <t>TXN104318</t>
  </si>
  <si>
    <t>TXN104323</t>
  </si>
  <si>
    <t>TXN104324</t>
  </si>
  <si>
    <t>TXN104326</t>
  </si>
  <si>
    <t>TXN104330</t>
  </si>
  <si>
    <t>TXN104333</t>
  </si>
  <si>
    <t>TXN104334</t>
  </si>
  <si>
    <t>TXN104335</t>
  </si>
  <si>
    <t>TXN104341</t>
  </si>
  <si>
    <t>TXN104350</t>
  </si>
  <si>
    <t>TXN104351</t>
  </si>
  <si>
    <t>TXN104355</t>
  </si>
  <si>
    <t>TXN104361</t>
  </si>
  <si>
    <t>TXN104363</t>
  </si>
  <si>
    <t>TXN104365</t>
  </si>
  <si>
    <t>TXN104370</t>
  </si>
  <si>
    <t>TXN104373</t>
  </si>
  <si>
    <t>TXN104376</t>
  </si>
  <si>
    <t>TXN104385</t>
  </si>
  <si>
    <t>TXN104389</t>
  </si>
  <si>
    <t>TXN104390</t>
  </si>
  <si>
    <t>TXN104398</t>
  </si>
  <si>
    <t>TXN104400</t>
  </si>
  <si>
    <t>TXN104402</t>
  </si>
  <si>
    <t>TXN104404</t>
  </si>
  <si>
    <t>TXN104405</t>
  </si>
  <si>
    <t>TXN104409</t>
  </si>
  <si>
    <t>TXN104410</t>
  </si>
  <si>
    <t>TXN104414</t>
  </si>
  <si>
    <t>TXN104416</t>
  </si>
  <si>
    <t>TXN104419</t>
  </si>
  <si>
    <t>TXN104429</t>
  </si>
  <si>
    <t>TXN104432</t>
  </si>
  <si>
    <t>TXN104439</t>
  </si>
  <si>
    <t>TXN104446</t>
  </si>
  <si>
    <t>TXN104447</t>
  </si>
  <si>
    <t>TXN104449</t>
  </si>
  <si>
    <t>TXN104451</t>
  </si>
  <si>
    <t>TXN104453</t>
  </si>
  <si>
    <t>TXN104455</t>
  </si>
  <si>
    <t>TXN104458</t>
  </si>
  <si>
    <t>TXN104460</t>
  </si>
  <si>
    <t>TXN104463</t>
  </si>
  <si>
    <t>TXN104465</t>
  </si>
  <si>
    <t>TXN104468</t>
  </si>
  <si>
    <t>TXN104469</t>
  </si>
  <si>
    <t>TXN104470</t>
  </si>
  <si>
    <t>TXN104491</t>
  </si>
  <si>
    <t>TXN104492</t>
  </si>
  <si>
    <t>TXN104496</t>
  </si>
  <si>
    <t>TXN104497</t>
  </si>
  <si>
    <t>TXN104498</t>
  </si>
  <si>
    <t>TXN104499</t>
  </si>
  <si>
    <t>TXN104501</t>
  </si>
  <si>
    <t>TXN104504</t>
  </si>
  <si>
    <t>TXN104510</t>
  </si>
  <si>
    <t>TXN104519</t>
  </si>
  <si>
    <t>TXN104524</t>
  </si>
  <si>
    <t>TXN104525</t>
  </si>
  <si>
    <t>TXN104528</t>
  </si>
  <si>
    <t>TXN104529</t>
  </si>
  <si>
    <t>TXN104530</t>
  </si>
  <si>
    <t>TXN104540</t>
  </si>
  <si>
    <t>TXN104542</t>
  </si>
  <si>
    <t>TXN104547</t>
  </si>
  <si>
    <t>TXN104551</t>
  </si>
  <si>
    <t>TXN104552</t>
  </si>
  <si>
    <t>TXN104554</t>
  </si>
  <si>
    <t>TXN104567</t>
  </si>
  <si>
    <t>TXN104572</t>
  </si>
  <si>
    <t>TXN104574</t>
  </si>
  <si>
    <t>TXN104576</t>
  </si>
  <si>
    <t>TXN104577</t>
  </si>
  <si>
    <t>TXN104579</t>
  </si>
  <si>
    <t>TXN104587</t>
  </si>
  <si>
    <t>TXN104589</t>
  </si>
  <si>
    <t>TXN104594</t>
  </si>
  <si>
    <t>TXN104602</t>
  </si>
  <si>
    <t>TXN104607</t>
  </si>
  <si>
    <t>TXN104609</t>
  </si>
  <si>
    <t>TXN104610</t>
  </si>
  <si>
    <t>TXN104612</t>
  </si>
  <si>
    <t>TXN104615</t>
  </si>
  <si>
    <t>TXN104619</t>
  </si>
  <si>
    <t>TXN104620</t>
  </si>
  <si>
    <t>TXN104628</t>
  </si>
  <si>
    <t>TXN104631</t>
  </si>
  <si>
    <t>TXN104634</t>
  </si>
  <si>
    <t>TXN104639</t>
  </si>
  <si>
    <t>TXN104642</t>
  </si>
  <si>
    <t>TXN104644</t>
  </si>
  <si>
    <t>TXN104647</t>
  </si>
  <si>
    <t>TXN104648</t>
  </si>
  <si>
    <t>TXN104651</t>
  </si>
  <si>
    <t>TXN104655</t>
  </si>
  <si>
    <t>TXN104657</t>
  </si>
  <si>
    <t>TXN104659</t>
  </si>
  <si>
    <t>TXN104660</t>
  </si>
  <si>
    <t>TXN104661</t>
  </si>
  <si>
    <t>TXN104663</t>
  </si>
  <si>
    <t>TXN104664</t>
  </si>
  <si>
    <t>TXN104668</t>
  </si>
  <si>
    <t>TXN104670</t>
  </si>
  <si>
    <t>TXN104671</t>
  </si>
  <si>
    <t>TXN104672</t>
  </si>
  <si>
    <t>TXN104676</t>
  </si>
  <si>
    <t>TXN104678</t>
  </si>
  <si>
    <t>TXN104680</t>
  </si>
  <si>
    <t>TXN104681</t>
  </si>
  <si>
    <t>TXN104687</t>
  </si>
  <si>
    <t>TXN104688</t>
  </si>
  <si>
    <t>TXN104693</t>
  </si>
  <si>
    <t>TXN104694</t>
  </si>
  <si>
    <t>TXN104697</t>
  </si>
  <si>
    <t>TXN104702</t>
  </si>
  <si>
    <t>TXN104710</t>
  </si>
  <si>
    <t>TXN104714</t>
  </si>
  <si>
    <t>TXN104720</t>
  </si>
  <si>
    <t>TXN104721</t>
  </si>
  <si>
    <t>TXN104725</t>
  </si>
  <si>
    <t>TXN104726</t>
  </si>
  <si>
    <t>TXN104727</t>
  </si>
  <si>
    <t>TXN104731</t>
  </si>
  <si>
    <t>TXN104745</t>
  </si>
  <si>
    <t>TXN104750</t>
  </si>
  <si>
    <t>TXN104752</t>
  </si>
  <si>
    <t>TXN104753</t>
  </si>
  <si>
    <t>TXN104754</t>
  </si>
  <si>
    <t>TXN104756</t>
  </si>
  <si>
    <t>TXN104758</t>
  </si>
  <si>
    <t>TXN104768</t>
  </si>
  <si>
    <t>TXN104770</t>
  </si>
  <si>
    <t>TXN104771</t>
  </si>
  <si>
    <t>TXN104773</t>
  </si>
  <si>
    <t>TXN104774</t>
  </si>
  <si>
    <t>TXN104778</t>
  </si>
  <si>
    <t>TXN104779</t>
  </si>
  <si>
    <t>TXN104783</t>
  </si>
  <si>
    <t>TXN104784</t>
  </si>
  <si>
    <t>TXN104786</t>
  </si>
  <si>
    <t>TXN104788</t>
  </si>
  <si>
    <t>TXN104799</t>
  </si>
  <si>
    <t>TXN104801</t>
  </si>
  <si>
    <t>TXN104805</t>
  </si>
  <si>
    <t>TXN104806</t>
  </si>
  <si>
    <t>TXN104808</t>
  </si>
  <si>
    <t>TXN104811</t>
  </si>
  <si>
    <t>TXN104813</t>
  </si>
  <si>
    <t>TXN104823</t>
  </si>
  <si>
    <t>TXN104826</t>
  </si>
  <si>
    <t>TXN104828</t>
  </si>
  <si>
    <t>TXN104829</t>
  </si>
  <si>
    <t>TXN104830</t>
  </si>
  <si>
    <t>TXN104834</t>
  </si>
  <si>
    <t>TXN104835</t>
  </si>
  <si>
    <t>TXN104836</t>
  </si>
  <si>
    <t>TXN104839</t>
  </si>
  <si>
    <t>TXN104840</t>
  </si>
  <si>
    <t>TXN104842</t>
  </si>
  <si>
    <t>TXN104843</t>
  </si>
  <si>
    <t>TXN104844</t>
  </si>
  <si>
    <t>TXN104849</t>
  </si>
  <si>
    <t>TXN104851</t>
  </si>
  <si>
    <t>TXN104854</t>
  </si>
  <si>
    <t>TXN104855</t>
  </si>
  <si>
    <t>TXN104859</t>
  </si>
  <si>
    <t>TXN104863</t>
  </si>
  <si>
    <t>TXN104864</t>
  </si>
  <si>
    <t>TXN104868</t>
  </si>
  <si>
    <t>TXN104874</t>
  </si>
  <si>
    <t>TXN104875</t>
  </si>
  <si>
    <t>TXN104877</t>
  </si>
  <si>
    <t>TXN104881</t>
  </si>
  <si>
    <t>TXN104883</t>
  </si>
  <si>
    <t>TXN104884</t>
  </si>
  <si>
    <t>TXN104888</t>
  </si>
  <si>
    <t>TXN104896</t>
  </si>
  <si>
    <t>TXN104898</t>
  </si>
  <si>
    <t>TXN104911</t>
  </si>
  <si>
    <t>TXN104912</t>
  </si>
  <si>
    <t>TXN104914</t>
  </si>
  <si>
    <t>TXN104916</t>
  </si>
  <si>
    <t>TXN104919</t>
  </si>
  <si>
    <t>TXN104924</t>
  </si>
  <si>
    <t>TXN104925</t>
  </si>
  <si>
    <t>TXN104927</t>
  </si>
  <si>
    <t>TXN104928</t>
  </si>
  <si>
    <t>TXN104929</t>
  </si>
  <si>
    <t>TXN104933</t>
  </si>
  <si>
    <t>TXN104935</t>
  </si>
  <si>
    <t>TXN104936</t>
  </si>
  <si>
    <t>TXN104942</t>
  </si>
  <si>
    <t>TXN104945</t>
  </si>
  <si>
    <t>TXN104946</t>
  </si>
  <si>
    <t>TXN104951</t>
  </si>
  <si>
    <t>TXN104952</t>
  </si>
  <si>
    <t>TXN104957</t>
  </si>
  <si>
    <t>TXN104959</t>
  </si>
  <si>
    <t>TXN104961</t>
  </si>
  <si>
    <t>TXN104963</t>
  </si>
  <si>
    <t>TXN104967</t>
  </si>
  <si>
    <t>TXN104971</t>
  </si>
  <si>
    <t>TXN104974</t>
  </si>
  <si>
    <t>TXN104975</t>
  </si>
  <si>
    <t>TXN104986</t>
  </si>
  <si>
    <t>TXN104987</t>
  </si>
  <si>
    <t>TXN104989</t>
  </si>
  <si>
    <t>TXN104992</t>
  </si>
  <si>
    <t>TXN104994</t>
  </si>
  <si>
    <t>TXN105001</t>
  </si>
  <si>
    <t>TXN105003</t>
  </si>
  <si>
    <t>TXN105005</t>
  </si>
  <si>
    <t>TXN105006</t>
  </si>
  <si>
    <t>TXN105007</t>
  </si>
  <si>
    <t>TXN105014</t>
  </si>
  <si>
    <t>TXN105017</t>
  </si>
  <si>
    <t>TXN105019</t>
  </si>
  <si>
    <t>TXN105024</t>
  </si>
  <si>
    <t>TXN105025</t>
  </si>
  <si>
    <t>TXN105029</t>
  </si>
  <si>
    <t>TXN105030</t>
  </si>
  <si>
    <t>TXN105034</t>
  </si>
  <si>
    <t>TXN105046</t>
  </si>
  <si>
    <t>TXN105048</t>
  </si>
  <si>
    <t>TXN105049</t>
  </si>
  <si>
    <t>TXN105050</t>
  </si>
  <si>
    <t>TXN105054</t>
  </si>
  <si>
    <t>TXN105056</t>
  </si>
  <si>
    <t>TXN105059</t>
  </si>
  <si>
    <t>TXN105061</t>
  </si>
  <si>
    <t>TXN105062</t>
  </si>
  <si>
    <t>TXN105069</t>
  </si>
  <si>
    <t>TXN105070</t>
  </si>
  <si>
    <t>TXN105073</t>
  </si>
  <si>
    <t>TXN105078</t>
  </si>
  <si>
    <t>TXN105083</t>
  </si>
  <si>
    <t>TXN105084</t>
  </si>
  <si>
    <t>TXN105087</t>
  </si>
  <si>
    <t>TXN105089</t>
  </si>
  <si>
    <t>TXN105091</t>
  </si>
  <si>
    <t>TXN105096</t>
  </si>
  <si>
    <t>TXN105098</t>
  </si>
  <si>
    <t>TXN105099</t>
  </si>
  <si>
    <t>TXN105105</t>
  </si>
  <si>
    <t>TXN105106</t>
  </si>
  <si>
    <t>TXN105108</t>
  </si>
  <si>
    <t>TXN105120</t>
  </si>
  <si>
    <t>TXN105122</t>
  </si>
  <si>
    <t>TXN105125</t>
  </si>
  <si>
    <t>TXN105129</t>
  </si>
  <si>
    <t>TXN105131</t>
  </si>
  <si>
    <t>TXN105148</t>
  </si>
  <si>
    <t>TXN105149</t>
  </si>
  <si>
    <t>TXN105164</t>
  </si>
  <si>
    <t>TXN105165</t>
  </si>
  <si>
    <t>TXN105166</t>
  </si>
  <si>
    <t>TXN105167</t>
  </si>
  <si>
    <t>TXN105169</t>
  </si>
  <si>
    <t>TXN105172</t>
  </si>
  <si>
    <t>TXN105175</t>
  </si>
  <si>
    <t>TXN105178</t>
  </si>
  <si>
    <t>TXN105184</t>
  </si>
  <si>
    <t>TXN105186</t>
  </si>
  <si>
    <t>TXN105188</t>
  </si>
  <si>
    <t>TXN105193</t>
  </si>
  <si>
    <t>TXN105194</t>
  </si>
  <si>
    <t>TXN105197</t>
  </si>
  <si>
    <t>TXN105204</t>
  </si>
  <si>
    <t>TXN105205</t>
  </si>
  <si>
    <t>TXN105209</t>
  </si>
  <si>
    <t>TXN105211</t>
  </si>
  <si>
    <t>TXN105214</t>
  </si>
  <si>
    <t>TXN105215</t>
  </si>
  <si>
    <t>TXN105217</t>
  </si>
  <si>
    <t>TXN105218</t>
  </si>
  <si>
    <t>TXN105220</t>
  </si>
  <si>
    <t>TXN105226</t>
  </si>
  <si>
    <t>TXN105228</t>
  </si>
  <si>
    <t>TXN105229</t>
  </si>
  <si>
    <t>TXN105236</t>
  </si>
  <si>
    <t>TXN105243</t>
  </si>
  <si>
    <t>TXN105244</t>
  </si>
  <si>
    <t>TXN105246</t>
  </si>
  <si>
    <t>TXN105249</t>
  </si>
  <si>
    <t>TXN105250</t>
  </si>
  <si>
    <t>TXN105251</t>
  </si>
  <si>
    <t>TXN105253</t>
  </si>
  <si>
    <t>TXN105258</t>
  </si>
  <si>
    <t>TXN105260</t>
  </si>
  <si>
    <t>TXN105264</t>
  </si>
  <si>
    <t>TXN105268</t>
  </si>
  <si>
    <t>TXN105269</t>
  </si>
  <si>
    <t>TXN105271</t>
  </si>
  <si>
    <t>TXN105276</t>
  </si>
  <si>
    <t>TXN105279</t>
  </si>
  <si>
    <t>TXN105286</t>
  </si>
  <si>
    <t>TXN105290</t>
  </si>
  <si>
    <t>TXN105291</t>
  </si>
  <si>
    <t>TXN105294</t>
  </si>
  <si>
    <t>TXN105297</t>
  </si>
  <si>
    <t>TXN105298</t>
  </si>
  <si>
    <t>TXN105304</t>
  </si>
  <si>
    <t>TXN105305</t>
  </si>
  <si>
    <t>TXN105306</t>
  </si>
  <si>
    <t>TXN105308</t>
  </si>
  <si>
    <t>TXN105310</t>
  </si>
  <si>
    <t>TXN105311</t>
  </si>
  <si>
    <t>TXN105314</t>
  </si>
  <si>
    <t>TXN105318</t>
  </si>
  <si>
    <t>TXN105320</t>
  </si>
  <si>
    <t>TXN105321</t>
  </si>
  <si>
    <t>TXN105325</t>
  </si>
  <si>
    <t>TXN105327</t>
  </si>
  <si>
    <t>TXN105328</t>
  </si>
  <si>
    <t>TXN105331</t>
  </si>
  <si>
    <t>TXN105334</t>
  </si>
  <si>
    <t>TXN105335</t>
  </si>
  <si>
    <t>TXN105337</t>
  </si>
  <si>
    <t>TXN105340</t>
  </si>
  <si>
    <t>TXN105341</t>
  </si>
  <si>
    <t>TXN105342</t>
  </si>
  <si>
    <t>TXN105346</t>
  </si>
  <si>
    <t>TXN105348</t>
  </si>
  <si>
    <t>TXN105350</t>
  </si>
  <si>
    <t>TXN105355</t>
  </si>
  <si>
    <t>TXN105357</t>
  </si>
  <si>
    <t>TXN105363</t>
  </si>
  <si>
    <t>TXN105364</t>
  </si>
  <si>
    <t>TXN105365</t>
  </si>
  <si>
    <t>TXN105366</t>
  </si>
  <si>
    <t>TXN105367</t>
  </si>
  <si>
    <t>TXN105371</t>
  </si>
  <si>
    <t>TXN105374</t>
  </si>
  <si>
    <t>TXN105375</t>
  </si>
  <si>
    <t>TXN105376</t>
  </si>
  <si>
    <t>TXN105388</t>
  </si>
  <si>
    <t>TXN105392</t>
  </si>
  <si>
    <t>TXN105393</t>
  </si>
  <si>
    <t>TXN105399</t>
  </si>
  <si>
    <t>TXN105405</t>
  </si>
  <si>
    <t>TXN105407</t>
  </si>
  <si>
    <t>TXN105408</t>
  </si>
  <si>
    <t>TXN105410</t>
  </si>
  <si>
    <t>TXN105411</t>
  </si>
  <si>
    <t>TXN105412</t>
  </si>
  <si>
    <t>TXN105413</t>
  </si>
  <si>
    <t>TXN105415</t>
  </si>
  <si>
    <t>TXN105417</t>
  </si>
  <si>
    <t>TXN105421</t>
  </si>
  <si>
    <t>TXN105424</t>
  </si>
  <si>
    <t>TXN105426</t>
  </si>
  <si>
    <t>TXN105427</t>
  </si>
  <si>
    <t>TXN105432</t>
  </si>
  <si>
    <t>TXN105433</t>
  </si>
  <si>
    <t>TXN105435</t>
  </si>
  <si>
    <t>TXN105437</t>
  </si>
  <si>
    <t>TXN105439</t>
  </si>
  <si>
    <t>TXN105443</t>
  </si>
  <si>
    <t>TXN105444</t>
  </si>
  <si>
    <t>TXN105445</t>
  </si>
  <si>
    <t>TXN105448</t>
  </si>
  <si>
    <t>TXN105450</t>
  </si>
  <si>
    <t>TXN105451</t>
  </si>
  <si>
    <t>TXN105456</t>
  </si>
  <si>
    <t>TXN105459</t>
  </si>
  <si>
    <t>TXN105463</t>
  </si>
  <si>
    <t>TXN105468</t>
  </si>
  <si>
    <t>TXN105475</t>
  </si>
  <si>
    <t>TXN105476</t>
  </si>
  <si>
    <t>TXN105480</t>
  </si>
  <si>
    <t>TXN105483</t>
  </si>
  <si>
    <t>TXN105484</t>
  </si>
  <si>
    <t>TXN105489</t>
  </si>
  <si>
    <t>TXN105495</t>
  </si>
  <si>
    <t>TXN105497</t>
  </si>
  <si>
    <t>TXN105500</t>
  </si>
  <si>
    <t>TXN105510</t>
  </si>
  <si>
    <t>TXN105512</t>
  </si>
  <si>
    <t>TXN105513</t>
  </si>
  <si>
    <t>TXN105514</t>
  </si>
  <si>
    <t>TXN105516</t>
  </si>
  <si>
    <t>TXN105518</t>
  </si>
  <si>
    <t>TXN105521</t>
  </si>
  <si>
    <t>TXN105522</t>
  </si>
  <si>
    <t>TXN105525</t>
  </si>
  <si>
    <t>TXN105528</t>
  </si>
  <si>
    <t>TXN105531</t>
  </si>
  <si>
    <t>TXN105532</t>
  </si>
  <si>
    <t>TXN105533</t>
  </si>
  <si>
    <t>TXN105534</t>
  </si>
  <si>
    <t>TXN105537</t>
  </si>
  <si>
    <t>TXN105538</t>
  </si>
  <si>
    <t>TXN105541</t>
  </si>
  <si>
    <t>TXN105544</t>
  </si>
  <si>
    <t>TXN105545</t>
  </si>
  <si>
    <t>TXN105548</t>
  </si>
  <si>
    <t>TXN105552</t>
  </si>
  <si>
    <t>TXN105553</t>
  </si>
  <si>
    <t>TXN105555</t>
  </si>
  <si>
    <t>TXN105560</t>
  </si>
  <si>
    <t>TXN105561</t>
  </si>
  <si>
    <t>TXN105563</t>
  </si>
  <si>
    <t>TXN105564</t>
  </si>
  <si>
    <t>TXN105566</t>
  </si>
  <si>
    <t>TXN105567</t>
  </si>
  <si>
    <t>TXN105568</t>
  </si>
  <si>
    <t>TXN105570</t>
  </si>
  <si>
    <t>TXN105573</t>
  </si>
  <si>
    <t>TXN105579</t>
  </si>
  <si>
    <t>TXN105580</t>
  </si>
  <si>
    <t>TXN105589</t>
  </si>
  <si>
    <t>TXN105590</t>
  </si>
  <si>
    <t>TXN105593</t>
  </si>
  <si>
    <t>TXN105599</t>
  </si>
  <si>
    <t>TXN105600</t>
  </si>
  <si>
    <t>TXN105608</t>
  </si>
  <si>
    <t>TXN105610</t>
  </si>
  <si>
    <t>TXN105613</t>
  </si>
  <si>
    <t>TXN105616</t>
  </si>
  <si>
    <t>TXN105618</t>
  </si>
  <si>
    <t>TXN105624</t>
  </si>
  <si>
    <t>TXN105625</t>
  </si>
  <si>
    <t>TXN105630</t>
  </si>
  <si>
    <t>TXN105631</t>
  </si>
  <si>
    <t>TXN105637</t>
  </si>
  <si>
    <t>TXN105641</t>
  </si>
  <si>
    <t>TXN105645</t>
  </si>
  <si>
    <t>TXN105650</t>
  </si>
  <si>
    <t>TXN105652</t>
  </si>
  <si>
    <t>TXN105660</t>
  </si>
  <si>
    <t>TXN105662</t>
  </si>
  <si>
    <t>TXN105664</t>
  </si>
  <si>
    <t>TXN105669</t>
  </si>
  <si>
    <t>TXN105670</t>
  </si>
  <si>
    <t>TXN105672</t>
  </si>
  <si>
    <t>TXN105673</t>
  </si>
  <si>
    <t>TXN105683</t>
  </si>
  <si>
    <t>TXN105685</t>
  </si>
  <si>
    <t>TXN105687</t>
  </si>
  <si>
    <t>TXN105693</t>
  </si>
  <si>
    <t>TXN105695</t>
  </si>
  <si>
    <t>TXN105700</t>
  </si>
  <si>
    <t>TXN105702</t>
  </si>
  <si>
    <t>TXN105704</t>
  </si>
  <si>
    <t>TXN105705</t>
  </si>
  <si>
    <t>TXN105706</t>
  </si>
  <si>
    <t>TXN105709</t>
  </si>
  <si>
    <t>TXN105711</t>
  </si>
  <si>
    <t>TXN105712</t>
  </si>
  <si>
    <t>TXN105713</t>
  </si>
  <si>
    <t>TXN105722</t>
  </si>
  <si>
    <t>TXN105724</t>
  </si>
  <si>
    <t>TXN105729</t>
  </si>
  <si>
    <t>TXN105731</t>
  </si>
  <si>
    <t>TXN105741</t>
  </si>
  <si>
    <t>TXN105743</t>
  </si>
  <si>
    <t>TXN105748</t>
  </si>
  <si>
    <t>TXN105753</t>
  </si>
  <si>
    <t>TXN105769</t>
  </si>
  <si>
    <t>TXN105771</t>
  </si>
  <si>
    <t>TXN105773</t>
  </si>
  <si>
    <t>TXN105779</t>
  </si>
  <si>
    <t>TXN105782</t>
  </si>
  <si>
    <t>TXN105783</t>
  </si>
  <si>
    <t>TXN105786</t>
  </si>
  <si>
    <t>TXN105787</t>
  </si>
  <si>
    <t>TXN105791</t>
  </si>
  <si>
    <t>TXN105792</t>
  </si>
  <si>
    <t>TXN105796</t>
  </si>
  <si>
    <t>TXN105799</t>
  </si>
  <si>
    <t>TXN105804</t>
  </si>
  <si>
    <t>TXN105810</t>
  </si>
  <si>
    <t>TXN105813</t>
  </si>
  <si>
    <t>TXN105815</t>
  </si>
  <si>
    <t>TXN105823</t>
  </si>
  <si>
    <t>TXN105828</t>
  </si>
  <si>
    <t>TXN105829</t>
  </si>
  <si>
    <t>TXN105830</t>
  </si>
  <si>
    <t>TXN105835</t>
  </si>
  <si>
    <t>TXN105841</t>
  </si>
  <si>
    <t>TXN105842</t>
  </si>
  <si>
    <t>TXN105847</t>
  </si>
  <si>
    <t>TXN105849</t>
  </si>
  <si>
    <t>TXN105850</t>
  </si>
  <si>
    <t>TXN105853</t>
  </si>
  <si>
    <t>TXN105861</t>
  </si>
  <si>
    <t>TXN105867</t>
  </si>
  <si>
    <t>TXN105870</t>
  </si>
  <si>
    <t>TXN105876</t>
  </si>
  <si>
    <t>TXN105877</t>
  </si>
  <si>
    <t>TXN105885</t>
  </si>
  <si>
    <t>TXN105887</t>
  </si>
  <si>
    <t>TXN105888</t>
  </si>
  <si>
    <t>TXN105889</t>
  </si>
  <si>
    <t>TXN105890</t>
  </si>
  <si>
    <t>TXN105891</t>
  </si>
  <si>
    <t>TXN105896</t>
  </si>
  <si>
    <t>TXN105898</t>
  </si>
  <si>
    <t>TXN105899</t>
  </si>
  <si>
    <t>TXN105908</t>
  </si>
  <si>
    <t>TXN105910</t>
  </si>
  <si>
    <t>TXN105913</t>
  </si>
  <si>
    <t>TXN105917</t>
  </si>
  <si>
    <t>TXN105918</t>
  </si>
  <si>
    <t>TXN105920</t>
  </si>
  <si>
    <t>TXN105929</t>
  </si>
  <si>
    <t>TXN105930</t>
  </si>
  <si>
    <t>TXN105933</t>
  </si>
  <si>
    <t>TXN105934</t>
  </si>
  <si>
    <t>TXN105936</t>
  </si>
  <si>
    <t>TXN105939</t>
  </si>
  <si>
    <t>TXN105944</t>
  </si>
  <si>
    <t>TXN105946</t>
  </si>
  <si>
    <t>TXN105948</t>
  </si>
  <si>
    <t>TXN105950</t>
  </si>
  <si>
    <t>TXN105956</t>
  </si>
  <si>
    <t>TXN105958</t>
  </si>
  <si>
    <t>TXN105963</t>
  </si>
  <si>
    <t>TXN105964</t>
  </si>
  <si>
    <t>TXN105966</t>
  </si>
  <si>
    <t>TXN105968</t>
  </si>
  <si>
    <t>TXN105972</t>
  </si>
  <si>
    <t>TXN105974</t>
  </si>
  <si>
    <t>TXN105975</t>
  </si>
  <si>
    <t>TXN105987</t>
  </si>
  <si>
    <t>TXN105988</t>
  </si>
  <si>
    <t>TXN105991</t>
  </si>
  <si>
    <t>TXN105993</t>
  </si>
  <si>
    <t>TXN105995</t>
  </si>
  <si>
    <t>TXN105996</t>
  </si>
  <si>
    <t>TXN105998</t>
  </si>
  <si>
    <t>TXN105999</t>
  </si>
  <si>
    <t>TXN106000</t>
  </si>
  <si>
    <t>TXN106007</t>
  </si>
  <si>
    <t>TXN106009</t>
  </si>
  <si>
    <t>TXN106012</t>
  </si>
  <si>
    <t>TXN106016</t>
  </si>
  <si>
    <t>TXN106019</t>
  </si>
  <si>
    <t>TXN106023</t>
  </si>
  <si>
    <t>TXN106024</t>
  </si>
  <si>
    <t>TXN106025</t>
  </si>
  <si>
    <t>TXN106026</t>
  </si>
  <si>
    <t>TXN106033</t>
  </si>
  <si>
    <t>TXN106034</t>
  </si>
  <si>
    <t>TXN106039</t>
  </si>
  <si>
    <t>TXN106041</t>
  </si>
  <si>
    <t>TXN106043</t>
  </si>
  <si>
    <t>TXN106045</t>
  </si>
  <si>
    <t>TXN106051</t>
  </si>
  <si>
    <t>TXN106052</t>
  </si>
  <si>
    <t>TXN106057</t>
  </si>
  <si>
    <t>TXN106058</t>
  </si>
  <si>
    <t>TXN106073</t>
  </si>
  <si>
    <t>TXN106075</t>
  </si>
  <si>
    <t>TXN106078</t>
  </si>
  <si>
    <t>TXN106080</t>
  </si>
  <si>
    <t>TXN106088</t>
  </si>
  <si>
    <t>TXN106089</t>
  </si>
  <si>
    <t>TXN106090</t>
  </si>
  <si>
    <t>TXN106092</t>
  </si>
  <si>
    <t>TXN106093</t>
  </si>
  <si>
    <t>TXN106098</t>
  </si>
  <si>
    <t>TXN106101</t>
  </si>
  <si>
    <t>TXN106102</t>
  </si>
  <si>
    <t>TXN106104</t>
  </si>
  <si>
    <t>TXN106108</t>
  </si>
  <si>
    <t>TXN106110</t>
  </si>
  <si>
    <t>TXN106118</t>
  </si>
  <si>
    <t>TXN106123</t>
  </si>
  <si>
    <t>TXN106126</t>
  </si>
  <si>
    <t>TXN106127</t>
  </si>
  <si>
    <t>TXN106131</t>
  </si>
  <si>
    <t>TXN106132</t>
  </si>
  <si>
    <t>TXN106135</t>
  </si>
  <si>
    <t>TXN106136</t>
  </si>
  <si>
    <t>TXN106138</t>
  </si>
  <si>
    <t>TXN106140</t>
  </si>
  <si>
    <t>TXN106144</t>
  </si>
  <si>
    <t>TXN106149</t>
  </si>
  <si>
    <t>TXN106154</t>
  </si>
  <si>
    <t>TXN106160</t>
  </si>
  <si>
    <t>TXN106164</t>
  </si>
  <si>
    <t>TXN106171</t>
  </si>
  <si>
    <t>TXN106173</t>
  </si>
  <si>
    <t>TXN106174</t>
  </si>
  <si>
    <t>TXN106176</t>
  </si>
  <si>
    <t>TXN106178</t>
  </si>
  <si>
    <t>TXN106179</t>
  </si>
  <si>
    <t>TXN106184</t>
  </si>
  <si>
    <t>TXN106187</t>
  </si>
  <si>
    <t>TXN106191</t>
  </si>
  <si>
    <t>TXN106202</t>
  </si>
  <si>
    <t>TXN106204</t>
  </si>
  <si>
    <t>TXN106205</t>
  </si>
  <si>
    <t>TXN106207</t>
  </si>
  <si>
    <t>TXN106208</t>
  </si>
  <si>
    <t>TXN106213</t>
  </si>
  <si>
    <t>TXN106225</t>
  </si>
  <si>
    <t>TXN106228</t>
  </si>
  <si>
    <t>TXN106229</t>
  </si>
  <si>
    <t>TXN106232</t>
  </si>
  <si>
    <t>TXN106235</t>
  </si>
  <si>
    <t>TXN106238</t>
  </si>
  <si>
    <t>TXN106240</t>
  </si>
  <si>
    <t>TXN106241</t>
  </si>
  <si>
    <t>TXN106249</t>
  </si>
  <si>
    <t>TXN106250</t>
  </si>
  <si>
    <t>TXN106254</t>
  </si>
  <si>
    <t>TXN106255</t>
  </si>
  <si>
    <t>TXN106257</t>
  </si>
  <si>
    <t>TXN106264</t>
  </si>
  <si>
    <t>TXN106265</t>
  </si>
  <si>
    <t>TXN106266</t>
  </si>
  <si>
    <t>TXN106267</t>
  </si>
  <si>
    <t>TXN106269</t>
  </si>
  <si>
    <t>TXN106270</t>
  </si>
  <si>
    <t>TXN106271</t>
  </si>
  <si>
    <t>TXN106272</t>
  </si>
  <si>
    <t>TXN106274</t>
  </si>
  <si>
    <t>TXN106276</t>
  </si>
  <si>
    <t>TXN106277</t>
  </si>
  <si>
    <t>TXN106284</t>
  </si>
  <si>
    <t>TXN106288</t>
  </si>
  <si>
    <t>TXN106293</t>
  </si>
  <si>
    <t>TXN106294</t>
  </si>
  <si>
    <t>TXN106298</t>
  </si>
  <si>
    <t>TXN106300</t>
  </si>
  <si>
    <t>TXN106302</t>
  </si>
  <si>
    <t>TXN106307</t>
  </si>
  <si>
    <t>TXN106308</t>
  </si>
  <si>
    <t>TXN106309</t>
  </si>
  <si>
    <t>TXN106312</t>
  </si>
  <si>
    <t>TXN106313</t>
  </si>
  <si>
    <t>TXN106314</t>
  </si>
  <si>
    <t>TXN106315</t>
  </si>
  <si>
    <t>TXN106316</t>
  </si>
  <si>
    <t>TXN106317</t>
  </si>
  <si>
    <t>TXN106321</t>
  </si>
  <si>
    <t>TXN106322</t>
  </si>
  <si>
    <t>TXN106325</t>
  </si>
  <si>
    <t>TXN106330</t>
  </si>
  <si>
    <t>TXN106333</t>
  </si>
  <si>
    <t>TXN106340</t>
  </si>
  <si>
    <t>TXN106342</t>
  </si>
  <si>
    <t>TXN106343</t>
  </si>
  <si>
    <t>TXN106352</t>
  </si>
  <si>
    <t>TXN106353</t>
  </si>
  <si>
    <t>TXN106354</t>
  </si>
  <si>
    <t>TXN106356</t>
  </si>
  <si>
    <t>TXN106358</t>
  </si>
  <si>
    <t>TXN106360</t>
  </si>
  <si>
    <t>TXN106361</t>
  </si>
  <si>
    <t>TXN106364</t>
  </si>
  <si>
    <t>TXN106365</t>
  </si>
  <si>
    <t>TXN106367</t>
  </si>
  <si>
    <t>TXN106368</t>
  </si>
  <si>
    <t>TXN106369</t>
  </si>
  <si>
    <t>TXN106371</t>
  </si>
  <si>
    <t>TXN106372</t>
  </si>
  <si>
    <t>TXN106373</t>
  </si>
  <si>
    <t>TXN106379</t>
  </si>
  <si>
    <t>TXN106381</t>
  </si>
  <si>
    <t>TXN106389</t>
  </si>
  <si>
    <t>TXN106393</t>
  </si>
  <si>
    <t>TXN106395</t>
  </si>
  <si>
    <t>TXN106397</t>
  </si>
  <si>
    <t>TXN106398</t>
  </si>
  <si>
    <t>TXN106400</t>
  </si>
  <si>
    <t>TXN106405</t>
  </si>
  <si>
    <t>TXN106406</t>
  </si>
  <si>
    <t>TXN106407</t>
  </si>
  <si>
    <t>TXN106408</t>
  </si>
  <si>
    <t>TXN106411</t>
  </si>
  <si>
    <t>TXN106417</t>
  </si>
  <si>
    <t>TXN106419</t>
  </si>
  <si>
    <t>TXN106420</t>
  </si>
  <si>
    <t>TXN106424</t>
  </si>
  <si>
    <t>TXN106428</t>
  </si>
  <si>
    <t>TXN106433</t>
  </si>
  <si>
    <t>TXN106434</t>
  </si>
  <si>
    <t>TXN106436</t>
  </si>
  <si>
    <t>TXN106438</t>
  </si>
  <si>
    <t>TXN106442</t>
  </si>
  <si>
    <t>TXN106443</t>
  </si>
  <si>
    <t>TXN106445</t>
  </si>
  <si>
    <t>TXN106449</t>
  </si>
  <si>
    <t>TXN106450</t>
  </si>
  <si>
    <t>TXN106453</t>
  </si>
  <si>
    <t>TXN106456</t>
  </si>
  <si>
    <t>TXN106457</t>
  </si>
  <si>
    <t>TXN106459</t>
  </si>
  <si>
    <t>TXN106461</t>
  </si>
  <si>
    <t>TXN106462</t>
  </si>
  <si>
    <t>TXN106465</t>
  </si>
  <si>
    <t>TXN106466</t>
  </si>
  <si>
    <t>TXN106467</t>
  </si>
  <si>
    <t>TXN106469</t>
  </si>
  <si>
    <t>TXN106472</t>
  </si>
  <si>
    <t>TXN106474</t>
  </si>
  <si>
    <t>TXN106475</t>
  </si>
  <si>
    <t>TXN106477</t>
  </si>
  <si>
    <t>TXN106481</t>
  </si>
  <si>
    <t>TXN106483</t>
  </si>
  <si>
    <t>TXN106488</t>
  </si>
  <si>
    <t>TXN106493</t>
  </si>
  <si>
    <t>TXN106495</t>
  </si>
  <si>
    <t>TXN106497</t>
  </si>
  <si>
    <t>TXN106498</t>
  </si>
  <si>
    <t>TXN106500</t>
  </si>
  <si>
    <t>TXN106502</t>
  </si>
  <si>
    <t>TXN106507</t>
  </si>
  <si>
    <t>TXN106516</t>
  </si>
  <si>
    <t>TXN106518</t>
  </si>
  <si>
    <t>TXN106519</t>
  </si>
  <si>
    <t>TXN106520</t>
  </si>
  <si>
    <t>TXN106523</t>
  </si>
  <si>
    <t>TXN106526</t>
  </si>
  <si>
    <t>TXN106528</t>
  </si>
  <si>
    <t>TXN106529</t>
  </si>
  <si>
    <t>TXN106530</t>
  </si>
  <si>
    <t>TXN106534</t>
  </si>
  <si>
    <t>TXN106537</t>
  </si>
  <si>
    <t>TXN106538</t>
  </si>
  <si>
    <t>TXN106539</t>
  </si>
  <si>
    <t>TXN106544</t>
  </si>
  <si>
    <t>TXN106546</t>
  </si>
  <si>
    <t>TXN106548</t>
  </si>
  <si>
    <t>TXN106556</t>
  </si>
  <si>
    <t>TXN106557</t>
  </si>
  <si>
    <t>TXN106559</t>
  </si>
  <si>
    <t>TXN106564</t>
  </si>
  <si>
    <t>TXN106565</t>
  </si>
  <si>
    <t>TXN106567</t>
  </si>
  <si>
    <t>TXN106568</t>
  </si>
  <si>
    <t>TXN106571</t>
  </si>
  <si>
    <t>TXN106572</t>
  </si>
  <si>
    <t>TXN106573</t>
  </si>
  <si>
    <t>TXN106574</t>
  </si>
  <si>
    <t>TXN106578</t>
  </si>
  <si>
    <t>TXN106580</t>
  </si>
  <si>
    <t>TXN106583</t>
  </si>
  <si>
    <t>TXN106587</t>
  </si>
  <si>
    <t>TXN106596</t>
  </si>
  <si>
    <t>TXN106601</t>
  </si>
  <si>
    <t>TXN106602</t>
  </si>
  <si>
    <t>TXN106604</t>
  </si>
  <si>
    <t>TXN106607</t>
  </si>
  <si>
    <t>TXN106610</t>
  </si>
  <si>
    <t>TXN106612</t>
  </si>
  <si>
    <t>TXN106613</t>
  </si>
  <si>
    <t>TXN106615</t>
  </si>
  <si>
    <t>TXN106618</t>
  </si>
  <si>
    <t>TXN106619</t>
  </si>
  <si>
    <t>TXN106620</t>
  </si>
  <si>
    <t>TXN106621</t>
  </si>
  <si>
    <t>TXN106628</t>
  </si>
  <si>
    <t>TXN106629</t>
  </si>
  <si>
    <t>TXN106632</t>
  </si>
  <si>
    <t>TXN106633</t>
  </si>
  <si>
    <t>TXN106634</t>
  </si>
  <si>
    <t>TXN106638</t>
  </si>
  <si>
    <t>TXN106641</t>
  </si>
  <si>
    <t>TXN106642</t>
  </si>
  <si>
    <t>TXN106644</t>
  </si>
  <si>
    <t>TXN106646</t>
  </si>
  <si>
    <t>TXN106648</t>
  </si>
  <si>
    <t>TXN106652</t>
  </si>
  <si>
    <t>TXN106658</t>
  </si>
  <si>
    <t>TXN106659</t>
  </si>
  <si>
    <t>TXN106667</t>
  </si>
  <si>
    <t>TXN106668</t>
  </si>
  <si>
    <t>TXN106669</t>
  </si>
  <si>
    <t>TXN106675</t>
  </si>
  <si>
    <t>TXN106677</t>
  </si>
  <si>
    <t>TXN106679</t>
  </si>
  <si>
    <t>TXN106680</t>
  </si>
  <si>
    <t>TXN106685</t>
  </si>
  <si>
    <t>TXN106688</t>
  </si>
  <si>
    <t>TXN106691</t>
  </si>
  <si>
    <t>TXN106692</t>
  </si>
  <si>
    <t>TXN106693</t>
  </si>
  <si>
    <t>TXN106696</t>
  </si>
  <si>
    <t>TXN106697</t>
  </si>
  <si>
    <t>TXN106700</t>
  </si>
  <si>
    <t>TXN106703</t>
  </si>
  <si>
    <t>TXN106707</t>
  </si>
  <si>
    <t>TXN106708</t>
  </si>
  <si>
    <t>TXN106709</t>
  </si>
  <si>
    <t>TXN106713</t>
  </si>
  <si>
    <t>TXN106718</t>
  </si>
  <si>
    <t>TXN106719</t>
  </si>
  <si>
    <t>TXN106723</t>
  </si>
  <si>
    <t>TXN106724</t>
  </si>
  <si>
    <t>TXN106725</t>
  </si>
  <si>
    <t>TXN106726</t>
  </si>
  <si>
    <t>TXN106727</t>
  </si>
  <si>
    <t>TXN106728</t>
  </si>
  <si>
    <t>TXN106729</t>
  </si>
  <si>
    <t>TXN106732</t>
  </si>
  <si>
    <t>TXN106734</t>
  </si>
  <si>
    <t>TXN106736</t>
  </si>
  <si>
    <t>TXN106738</t>
  </si>
  <si>
    <t>TXN106741</t>
  </si>
  <si>
    <t>TXN106749</t>
  </si>
  <si>
    <t>TXN106760</t>
  </si>
  <si>
    <t>TXN106763</t>
  </si>
  <si>
    <t>TXN106764</t>
  </si>
  <si>
    <t>TXN106766</t>
  </si>
  <si>
    <t>TXN106769</t>
  </si>
  <si>
    <t>TXN106772</t>
  </si>
  <si>
    <t>TXN106776</t>
  </si>
  <si>
    <t>TXN106779</t>
  </si>
  <si>
    <t>TXN106782</t>
  </si>
  <si>
    <t>TXN106783</t>
  </si>
  <si>
    <t>TXN106786</t>
  </si>
  <si>
    <t>TXN106787</t>
  </si>
  <si>
    <t>TXN106788</t>
  </si>
  <si>
    <t>TXN106795</t>
  </si>
  <si>
    <t>TXN106799</t>
  </si>
  <si>
    <t>TXN106805</t>
  </si>
  <si>
    <t>TXN106816</t>
  </si>
  <si>
    <t>TXN106817</t>
  </si>
  <si>
    <t>TXN106821</t>
  </si>
  <si>
    <t>TXN106825</t>
  </si>
  <si>
    <t>TXN106828</t>
  </si>
  <si>
    <t>TXN106829</t>
  </si>
  <si>
    <t>TXN106830</t>
  </si>
  <si>
    <t>TXN106836</t>
  </si>
  <si>
    <t>TXN106837</t>
  </si>
  <si>
    <t>TXN106839</t>
  </si>
  <si>
    <t>TXN106840</t>
  </si>
  <si>
    <t>TXN106842</t>
  </si>
  <si>
    <t>TXN106845</t>
  </si>
  <si>
    <t>TXN106847</t>
  </si>
  <si>
    <t>TXN106848</t>
  </si>
  <si>
    <t>TXN106850</t>
  </si>
  <si>
    <t>TXN106852</t>
  </si>
  <si>
    <t>TXN106853</t>
  </si>
  <si>
    <t>TXN106862</t>
  </si>
  <si>
    <t>TXN106863</t>
  </si>
  <si>
    <t>TXN106867</t>
  </si>
  <si>
    <t>TXN106869</t>
  </si>
  <si>
    <t>TXN106879</t>
  </si>
  <si>
    <t>TXN106880</t>
  </si>
  <si>
    <t>TXN106882</t>
  </si>
  <si>
    <t>TXN106886</t>
  </si>
  <si>
    <t>TXN106887</t>
  </si>
  <si>
    <t>TXN106888</t>
  </si>
  <si>
    <t>TXN106890</t>
  </si>
  <si>
    <t>TXN106901</t>
  </si>
  <si>
    <t>TXN106902</t>
  </si>
  <si>
    <t>TXN106904</t>
  </si>
  <si>
    <t>TXN106912</t>
  </si>
  <si>
    <t>TXN106913</t>
  </si>
  <si>
    <t>TXN106919</t>
  </si>
  <si>
    <t>TXN106921</t>
  </si>
  <si>
    <t>TXN106922</t>
  </si>
  <si>
    <t>TXN106923</t>
  </si>
  <si>
    <t>TXN106925</t>
  </si>
  <si>
    <t>TXN106927</t>
  </si>
  <si>
    <t>TXN106931</t>
  </si>
  <si>
    <t>TXN106935</t>
  </si>
  <si>
    <t>TXN106940</t>
  </si>
  <si>
    <t>TXN106945</t>
  </si>
  <si>
    <t>TXN106947</t>
  </si>
  <si>
    <t>TXN106950</t>
  </si>
  <si>
    <t>TXN106954</t>
  </si>
  <si>
    <t>TXN106955</t>
  </si>
  <si>
    <t>TXN106956</t>
  </si>
  <si>
    <t>TXN106957</t>
  </si>
  <si>
    <t>TXN106961</t>
  </si>
  <si>
    <t>TXN106969</t>
  </si>
  <si>
    <t>TXN106971</t>
  </si>
  <si>
    <t>TXN106973</t>
  </si>
  <si>
    <t>TXN106980</t>
  </si>
  <si>
    <t>TXN106989</t>
  </si>
  <si>
    <t>TXN106991</t>
  </si>
  <si>
    <t>TXN106996</t>
  </si>
  <si>
    <t>TXN106998</t>
  </si>
  <si>
    <t>TXN107003</t>
  </si>
  <si>
    <t>TXN107006</t>
  </si>
  <si>
    <t>TXN107010</t>
  </si>
  <si>
    <t>TXN107012</t>
  </si>
  <si>
    <t>TXN107016</t>
  </si>
  <si>
    <t>TXN107017</t>
  </si>
  <si>
    <t>TXN107022</t>
  </si>
  <si>
    <t>TXN107023</t>
  </si>
  <si>
    <t>TXN107024</t>
  </si>
  <si>
    <t>TXN107027</t>
  </si>
  <si>
    <t>TXN107029</t>
  </si>
  <si>
    <t>TXN107030</t>
  </si>
  <si>
    <t>TXN107034</t>
  </si>
  <si>
    <t>TXN107036</t>
  </si>
  <si>
    <t>TXN107045</t>
  </si>
  <si>
    <t>TXN107048</t>
  </si>
  <si>
    <t>TXN107049</t>
  </si>
  <si>
    <t>TXN107052</t>
  </si>
  <si>
    <t>TXN107053</t>
  </si>
  <si>
    <t>TXN107055</t>
  </si>
  <si>
    <t>TXN107060</t>
  </si>
  <si>
    <t>TXN107061</t>
  </si>
  <si>
    <t>TXN107062</t>
  </si>
  <si>
    <t>TXN107064</t>
  </si>
  <si>
    <t>TXN107066</t>
  </si>
  <si>
    <t>TXN107069</t>
  </si>
  <si>
    <t>TXN107075</t>
  </si>
  <si>
    <t>TXN107076</t>
  </si>
  <si>
    <t>TXN107078</t>
  </si>
  <si>
    <t>TXN107086</t>
  </si>
  <si>
    <t>TXN107087</t>
  </si>
  <si>
    <t>TXN107089</t>
  </si>
  <si>
    <t>TXN107091</t>
  </si>
  <si>
    <t>TXN107095</t>
  </si>
  <si>
    <t>TXN107102</t>
  </si>
  <si>
    <t>TXN107105</t>
  </si>
  <si>
    <t>TXN107106</t>
  </si>
  <si>
    <t>TXN107109</t>
  </si>
  <si>
    <t>TXN107113</t>
  </si>
  <si>
    <t>TXN107117</t>
  </si>
  <si>
    <t>TXN107122</t>
  </si>
  <si>
    <t>TXN107126</t>
  </si>
  <si>
    <t>TXN107129</t>
  </si>
  <si>
    <t>TXN107132</t>
  </si>
  <si>
    <t>TXN107133</t>
  </si>
  <si>
    <t>TXN107141</t>
  </si>
  <si>
    <t>TXN107144</t>
  </si>
  <si>
    <t>TXN107149</t>
  </si>
  <si>
    <t>TXN107152</t>
  </si>
  <si>
    <t>TXN107156</t>
  </si>
  <si>
    <t>TXN107158</t>
  </si>
  <si>
    <t>TXN107159</t>
  </si>
  <si>
    <t>TXN107164</t>
  </si>
  <si>
    <t>TXN107167</t>
  </si>
  <si>
    <t>TXN107169</t>
  </si>
  <si>
    <t>TXN107171</t>
  </si>
  <si>
    <t>TXN107172</t>
  </si>
  <si>
    <t>TXN107174</t>
  </si>
  <si>
    <t>TXN107178</t>
  </si>
  <si>
    <t>TXN107180</t>
  </si>
  <si>
    <t>TXN107183</t>
  </si>
  <si>
    <t>TXN107184</t>
  </si>
  <si>
    <t>TXN107187</t>
  </si>
  <si>
    <t>TXN107188</t>
  </si>
  <si>
    <t>TXN107190</t>
  </si>
  <si>
    <t>TXN107193</t>
  </si>
  <si>
    <t>TXN107194</t>
  </si>
  <si>
    <t>TXN107196</t>
  </si>
  <si>
    <t>TXN107197</t>
  </si>
  <si>
    <t>TXN107205</t>
  </si>
  <si>
    <t>TXN107207</t>
  </si>
  <si>
    <t>TXN107210</t>
  </si>
  <si>
    <t>TXN107212</t>
  </si>
  <si>
    <t>TXN107215</t>
  </si>
  <si>
    <t>TXN107216</t>
  </si>
  <si>
    <t>TXN107220</t>
  </si>
  <si>
    <t>TXN107224</t>
  </si>
  <si>
    <t>TXN107229</t>
  </si>
  <si>
    <t>TXN107231</t>
  </si>
  <si>
    <t>TXN107233</t>
  </si>
  <si>
    <t>TXN107234</t>
  </si>
  <si>
    <t>TXN107235</t>
  </si>
  <si>
    <t>TXN107237</t>
  </si>
  <si>
    <t>TXN107238</t>
  </si>
  <si>
    <t>TXN107240</t>
  </si>
  <si>
    <t>TXN107242</t>
  </si>
  <si>
    <t>TXN107247</t>
  </si>
  <si>
    <t>TXN107252</t>
  </si>
  <si>
    <t>TXN107253</t>
  </si>
  <si>
    <t>TXN107255</t>
  </si>
  <si>
    <t>TXN107256</t>
  </si>
  <si>
    <t>TXN107257</t>
  </si>
  <si>
    <t>TXN107258</t>
  </si>
  <si>
    <t>TXN107265</t>
  </si>
  <si>
    <t>TXN107273</t>
  </si>
  <si>
    <t>TXN107279</t>
  </si>
  <si>
    <t>TXN107280</t>
  </si>
  <si>
    <t>TXN107286</t>
  </si>
  <si>
    <t>TXN107288</t>
  </si>
  <si>
    <t>TXN107297</t>
  </si>
  <si>
    <t>TXN107298</t>
  </si>
  <si>
    <t>TXN107301</t>
  </si>
  <si>
    <t>TXN107307</t>
  </si>
  <si>
    <t>TXN107314</t>
  </si>
  <si>
    <t>TXN107316</t>
  </si>
  <si>
    <t>TXN107320</t>
  </si>
  <si>
    <t>TXN107322</t>
  </si>
  <si>
    <t>TXN107324</t>
  </si>
  <si>
    <t>TXN107326</t>
  </si>
  <si>
    <t>TXN107328</t>
  </si>
  <si>
    <t>TXN107329</t>
  </si>
  <si>
    <t>TXN107331</t>
  </si>
  <si>
    <t>TXN107335</t>
  </si>
  <si>
    <t>TXN107337</t>
  </si>
  <si>
    <t>TXN107342</t>
  </si>
  <si>
    <t>TXN107343</t>
  </si>
  <si>
    <t>TXN107347</t>
  </si>
  <si>
    <t>TXN107349</t>
  </si>
  <si>
    <t>TXN107353</t>
  </si>
  <si>
    <t>TXN107356</t>
  </si>
  <si>
    <t>TXN107359</t>
  </si>
  <si>
    <t>TXN107362</t>
  </si>
  <si>
    <t>TXN107363</t>
  </si>
  <si>
    <t>TXN107370</t>
  </si>
  <si>
    <t>TXN107372</t>
  </si>
  <si>
    <t>TXN107373</t>
  </si>
  <si>
    <t>TXN107374</t>
  </si>
  <si>
    <t>TXN107377</t>
  </si>
  <si>
    <t>TXN107378</t>
  </si>
  <si>
    <t>TXN107380</t>
  </si>
  <si>
    <t>TXN107381</t>
  </si>
  <si>
    <t>TXN107384</t>
  </si>
  <si>
    <t>TXN107385</t>
  </si>
  <si>
    <t>TXN107388</t>
  </si>
  <si>
    <t>TXN107390</t>
  </si>
  <si>
    <t>TXN107392</t>
  </si>
  <si>
    <t>TXN107393</t>
  </si>
  <si>
    <t>TXN107394</t>
  </si>
  <si>
    <t>TXN107396</t>
  </si>
  <si>
    <t>TXN107400</t>
  </si>
  <si>
    <t>TXN107401</t>
  </si>
  <si>
    <t>TXN107415</t>
  </si>
  <si>
    <t>TXN107416</t>
  </si>
  <si>
    <t>TXN107417</t>
  </si>
  <si>
    <t>TXN107425</t>
  </si>
  <si>
    <t>TXN107426</t>
  </si>
  <si>
    <t>TXN107431</t>
  </si>
  <si>
    <t>TXN107433</t>
  </si>
  <si>
    <t>TXN107435</t>
  </si>
  <si>
    <t>TXN107439</t>
  </si>
  <si>
    <t>TXN107440</t>
  </si>
  <si>
    <t>TXN107441</t>
  </si>
  <si>
    <t>TXN107442</t>
  </si>
  <si>
    <t>TXN107449</t>
  </si>
  <si>
    <t>TXN107456</t>
  </si>
  <si>
    <t>TXN107461</t>
  </si>
  <si>
    <t>TXN107464</t>
  </si>
  <si>
    <t>TXN107475</t>
  </si>
  <si>
    <t>TXN107476</t>
  </si>
  <si>
    <t>TXN107484</t>
  </si>
  <si>
    <t>TXN107486</t>
  </si>
  <si>
    <t>TXN107493</t>
  </si>
  <si>
    <t>TXN107494</t>
  </si>
  <si>
    <t>TXN107497</t>
  </si>
  <si>
    <t>TXN107498</t>
  </si>
  <si>
    <t>TXN107504</t>
  </si>
  <si>
    <t>TXN107505</t>
  </si>
  <si>
    <t>TXN107507</t>
  </si>
  <si>
    <t>TXN107509</t>
  </si>
  <si>
    <t>TXN107510</t>
  </si>
  <si>
    <t>TXN107512</t>
  </si>
  <si>
    <t>TXN107513</t>
  </si>
  <si>
    <t>TXN107514</t>
  </si>
  <si>
    <t>TXN107516</t>
  </si>
  <si>
    <t>TXN107517</t>
  </si>
  <si>
    <t>TXN107518</t>
  </si>
  <si>
    <t>TXN107519</t>
  </si>
  <si>
    <t>TXN107520</t>
  </si>
  <si>
    <t>TXN107521</t>
  </si>
  <si>
    <t>TXN107528</t>
  </si>
  <si>
    <t>TXN107531</t>
  </si>
  <si>
    <t>TXN107533</t>
  </si>
  <si>
    <t>TXN107535</t>
  </si>
  <si>
    <t>TXN107545</t>
  </si>
  <si>
    <t>TXN107547</t>
  </si>
  <si>
    <t>TXN107548</t>
  </si>
  <si>
    <t>TXN107550</t>
  </si>
  <si>
    <t>TXN107551</t>
  </si>
  <si>
    <t>TXN107552</t>
  </si>
  <si>
    <t>TXN107556</t>
  </si>
  <si>
    <t>TXN107559</t>
  </si>
  <si>
    <t>TXN107562</t>
  </si>
  <si>
    <t>TXN107563</t>
  </si>
  <si>
    <t>TXN107566</t>
  </si>
  <si>
    <t>TXN107569</t>
  </si>
  <si>
    <t>TXN107571</t>
  </si>
  <si>
    <t>TXN107573</t>
  </si>
  <si>
    <t>TXN107574</t>
  </si>
  <si>
    <t>TXN107583</t>
  </si>
  <si>
    <t>TXN107587</t>
  </si>
  <si>
    <t>TXN107589</t>
  </si>
  <si>
    <t>TXN107590</t>
  </si>
  <si>
    <t>TXN107592</t>
  </si>
  <si>
    <t>TXN107593</t>
  </si>
  <si>
    <t>TXN107596</t>
  </si>
  <si>
    <t>TXN107597</t>
  </si>
  <si>
    <t>TXN107605</t>
  </si>
  <si>
    <t>TXN107606</t>
  </si>
  <si>
    <t>TXN107607</t>
  </si>
  <si>
    <t>TXN107611</t>
  </si>
  <si>
    <t>TXN107613</t>
  </si>
  <si>
    <t>TXN107616</t>
  </si>
  <si>
    <t>TXN107621</t>
  </si>
  <si>
    <t>TXN107622</t>
  </si>
  <si>
    <t>TXN107623</t>
  </si>
  <si>
    <t>TXN107628</t>
  </si>
  <si>
    <t>TXN107630</t>
  </si>
  <si>
    <t>TXN107631</t>
  </si>
  <si>
    <t>TXN107634</t>
  </si>
  <si>
    <t>TXN107635</t>
  </si>
  <si>
    <t>TXN107640</t>
  </si>
  <si>
    <t>TXN107643</t>
  </si>
  <si>
    <t>TXN107646</t>
  </si>
  <si>
    <t>TXN107647</t>
  </si>
  <si>
    <t>TXN107648</t>
  </si>
  <si>
    <t>TXN107649</t>
  </si>
  <si>
    <t>TXN107650</t>
  </si>
  <si>
    <t>TXN107653</t>
  </si>
  <si>
    <t>TXN107657</t>
  </si>
  <si>
    <t>TXN107660</t>
  </si>
  <si>
    <t>TXN107661</t>
  </si>
  <si>
    <t>TXN107662</t>
  </si>
  <si>
    <t>TXN107664</t>
  </si>
  <si>
    <t>TXN107665</t>
  </si>
  <si>
    <t>TXN107666</t>
  </si>
  <si>
    <t>TXN107667</t>
  </si>
  <si>
    <t>TXN107669</t>
  </si>
  <si>
    <t>TXN107670</t>
  </si>
  <si>
    <t>TXN107673</t>
  </si>
  <si>
    <t>TXN107675</t>
  </si>
  <si>
    <t>TXN107677</t>
  </si>
  <si>
    <t>TXN107694</t>
  </si>
  <si>
    <t>TXN107695</t>
  </si>
  <si>
    <t>TXN107696</t>
  </si>
  <si>
    <t>TXN107697</t>
  </si>
  <si>
    <t>TXN107698</t>
  </si>
  <si>
    <t>TXN107702</t>
  </si>
  <si>
    <t>TXN107705</t>
  </si>
  <si>
    <t>TXN107706</t>
  </si>
  <si>
    <t>TXN107707</t>
  </si>
  <si>
    <t>TXN107711</t>
  </si>
  <si>
    <t>TXN107712</t>
  </si>
  <si>
    <t>TXN107721</t>
  </si>
  <si>
    <t>TXN107725</t>
  </si>
  <si>
    <t>TXN107731</t>
  </si>
  <si>
    <t>TXN107732</t>
  </si>
  <si>
    <t>TXN107736</t>
  </si>
  <si>
    <t>TXN107741</t>
  </si>
  <si>
    <t>TXN107743</t>
  </si>
  <si>
    <t>TXN107744</t>
  </si>
  <si>
    <t>TXN107748</t>
  </si>
  <si>
    <t>TXN107749</t>
  </si>
  <si>
    <t>TXN107752</t>
  </si>
  <si>
    <t>TXN107756</t>
  </si>
  <si>
    <t>TXN107759</t>
  </si>
  <si>
    <t>TXN107760</t>
  </si>
  <si>
    <t>TXN107770</t>
  </si>
  <si>
    <t>TXN107772</t>
  </si>
  <si>
    <t>TXN107776</t>
  </si>
  <si>
    <t>TXN107777</t>
  </si>
  <si>
    <t>TXN107783</t>
  </si>
  <si>
    <t>TXN107785</t>
  </si>
  <si>
    <t>TXN107787</t>
  </si>
  <si>
    <t>TXN107790</t>
  </si>
  <si>
    <t>TXN107801</t>
  </si>
  <si>
    <t>TXN107806</t>
  </si>
  <si>
    <t>TXN107808</t>
  </si>
  <si>
    <t>TXN107814</t>
  </si>
  <si>
    <t>TXN107817</t>
  </si>
  <si>
    <t>TXN107818</t>
  </si>
  <si>
    <t>TXN107823</t>
  </si>
  <si>
    <t>TXN107825</t>
  </si>
  <si>
    <t>TXN107828</t>
  </si>
  <si>
    <t>TXN107835</t>
  </si>
  <si>
    <t>TXN107836</t>
  </si>
  <si>
    <t>TXN107840</t>
  </si>
  <si>
    <t>TXN107841</t>
  </si>
  <si>
    <t>TXN107843</t>
  </si>
  <si>
    <t>TXN107844</t>
  </si>
  <si>
    <t>TXN107845</t>
  </si>
  <si>
    <t>TXN107848</t>
  </si>
  <si>
    <t>TXN107851</t>
  </si>
  <si>
    <t>TXN107855</t>
  </si>
  <si>
    <t>TXN107858</t>
  </si>
  <si>
    <t>TXN107859</t>
  </si>
  <si>
    <t>TXN107861</t>
  </si>
  <si>
    <t>TXN107862</t>
  </si>
  <si>
    <t>TXN107864</t>
  </si>
  <si>
    <t>TXN107866</t>
  </si>
  <si>
    <t>TXN107869</t>
  </si>
  <si>
    <t>TXN107871</t>
  </si>
  <si>
    <t>TXN107879</t>
  </si>
  <si>
    <t>TXN107884</t>
  </si>
  <si>
    <t>TXN107885</t>
  </si>
  <si>
    <t>TXN107891</t>
  </si>
  <si>
    <t>TXN107901</t>
  </si>
  <si>
    <t>TXN107902</t>
  </si>
  <si>
    <t>TXN107904</t>
  </si>
  <si>
    <t>TXN107908</t>
  </si>
  <si>
    <t>TXN107910</t>
  </si>
  <si>
    <t>TXN107911</t>
  </si>
  <si>
    <t>TXN107914</t>
  </si>
  <si>
    <t>TXN107915</t>
  </si>
  <si>
    <t>TXN107917</t>
  </si>
  <si>
    <t>TXN107925</t>
  </si>
  <si>
    <t>TXN107926</t>
  </si>
  <si>
    <t>TXN107927</t>
  </si>
  <si>
    <t>TXN107938</t>
  </si>
  <si>
    <t>TXN107939</t>
  </si>
  <si>
    <t>TXN107942</t>
  </si>
  <si>
    <t>TXN107943</t>
  </si>
  <si>
    <t>TXN107944</t>
  </si>
  <si>
    <t>TXN107947</t>
  </si>
  <si>
    <t>TXN107948</t>
  </si>
  <si>
    <t>TXN107949</t>
  </si>
  <si>
    <t>TXN107955</t>
  </si>
  <si>
    <t>TXN107956</t>
  </si>
  <si>
    <t>TXN107957</t>
  </si>
  <si>
    <t>TXN107958</t>
  </si>
  <si>
    <t>TXN107960</t>
  </si>
  <si>
    <t>TXN107961</t>
  </si>
  <si>
    <t>TXN107966</t>
  </si>
  <si>
    <t>TXN107967</t>
  </si>
  <si>
    <t>TXN107971</t>
  </si>
  <si>
    <t>TXN107974</t>
  </si>
  <si>
    <t>TXN107975</t>
  </si>
  <si>
    <t>TXN107976</t>
  </si>
  <si>
    <t>TXN107984</t>
  </si>
  <si>
    <t>TXN107985</t>
  </si>
  <si>
    <t>TXN107987</t>
  </si>
  <si>
    <t>TXN107989</t>
  </si>
  <si>
    <t>TXN107993</t>
  </si>
  <si>
    <t>TXN108002</t>
  </si>
  <si>
    <t>TXN108004</t>
  </si>
  <si>
    <t>TXN108005</t>
  </si>
  <si>
    <t>TXN108009</t>
  </si>
  <si>
    <t>TXN108013</t>
  </si>
  <si>
    <t>TXN108014</t>
  </si>
  <si>
    <t>TXN108015</t>
  </si>
  <si>
    <t>TXN108017</t>
  </si>
  <si>
    <t>TXN108019</t>
  </si>
  <si>
    <t>TXN108024</t>
  </si>
  <si>
    <t>TXN108025</t>
  </si>
  <si>
    <t>TXN108027</t>
  </si>
  <si>
    <t>TXN108034</t>
  </si>
  <si>
    <t>TXN108041</t>
  </si>
  <si>
    <t>TXN108042</t>
  </si>
  <si>
    <t>TXN108044</t>
  </si>
  <si>
    <t>TXN108050</t>
  </si>
  <si>
    <t>TXN108051</t>
  </si>
  <si>
    <t>TXN108054</t>
  </si>
  <si>
    <t>TXN108058</t>
  </si>
  <si>
    <t>TXN108060</t>
  </si>
  <si>
    <t>TXN108061</t>
  </si>
  <si>
    <t>TXN108062</t>
  </si>
  <si>
    <t>TXN108064</t>
  </si>
  <si>
    <t>TXN108065</t>
  </si>
  <si>
    <t>TXN108069</t>
  </si>
  <si>
    <t>TXN108083</t>
  </si>
  <si>
    <t>TXN108084</t>
  </si>
  <si>
    <t>TXN108086</t>
  </si>
  <si>
    <t>TXN108087</t>
  </si>
  <si>
    <t>TXN108090</t>
  </si>
  <si>
    <t>TXN108091</t>
  </si>
  <si>
    <t>TXN108092</t>
  </si>
  <si>
    <t>TXN108094</t>
  </si>
  <si>
    <t>TXN108095</t>
  </si>
  <si>
    <t>TXN108101</t>
  </si>
  <si>
    <t>TXN108102</t>
  </si>
  <si>
    <t>TXN108105</t>
  </si>
  <si>
    <t>TXN108108</t>
  </si>
  <si>
    <t>TXN108119</t>
  </si>
  <si>
    <t>TXN108121</t>
  </si>
  <si>
    <t>TXN108124</t>
  </si>
  <si>
    <t>TXN108129</t>
  </si>
  <si>
    <t>TXN108132</t>
  </si>
  <si>
    <t>TXN108133</t>
  </si>
  <si>
    <t>TXN108135</t>
  </si>
  <si>
    <t>TXN108137</t>
  </si>
  <si>
    <t>TXN108141</t>
  </si>
  <si>
    <t>TXN108144</t>
  </si>
  <si>
    <t>TXN108147</t>
  </si>
  <si>
    <t>TXN108148</t>
  </si>
  <si>
    <t>TXN108152</t>
  </si>
  <si>
    <t>TXN108161</t>
  </si>
  <si>
    <t>TXN108165</t>
  </si>
  <si>
    <t>TXN108168</t>
  </si>
  <si>
    <t>TXN108169</t>
  </si>
  <si>
    <t>TXN108171</t>
  </si>
  <si>
    <t>TXN108174</t>
  </si>
  <si>
    <t>TXN108175</t>
  </si>
  <si>
    <t>TXN108177</t>
  </si>
  <si>
    <t>TXN108178</t>
  </si>
  <si>
    <t>TXN108181</t>
  </si>
  <si>
    <t>TXN108186</t>
  </si>
  <si>
    <t>TXN108187</t>
  </si>
  <si>
    <t>TXN108190</t>
  </si>
  <si>
    <t>TXN108196</t>
  </si>
  <si>
    <t>TXN108197</t>
  </si>
  <si>
    <t>TXN108200</t>
  </si>
  <si>
    <t>TXN108202</t>
  </si>
  <si>
    <t>TXN108203</t>
  </si>
  <si>
    <t>TXN108205</t>
  </si>
  <si>
    <t>TXN108206</t>
  </si>
  <si>
    <t>TXN108215</t>
  </si>
  <si>
    <t>TXN108216</t>
  </si>
  <si>
    <t>TXN108221</t>
  </si>
  <si>
    <t>TXN108223</t>
  </si>
  <si>
    <t>TXN108231</t>
  </si>
  <si>
    <t>TXN108234</t>
  </si>
  <si>
    <t>TXN108235</t>
  </si>
  <si>
    <t>TXN108236</t>
  </si>
  <si>
    <t>TXN108238</t>
  </si>
  <si>
    <t>TXN108248</t>
  </si>
  <si>
    <t>TXN108250</t>
  </si>
  <si>
    <t>TXN108253</t>
  </si>
  <si>
    <t>TXN108255</t>
  </si>
  <si>
    <t>TXN108257</t>
  </si>
  <si>
    <t>TXN108258</t>
  </si>
  <si>
    <t>TXN108260</t>
  </si>
  <si>
    <t>TXN108263</t>
  </si>
  <si>
    <t>TXN108264</t>
  </si>
  <si>
    <t>TXN108265</t>
  </si>
  <si>
    <t>TXN108267</t>
  </si>
  <si>
    <t>TXN108271</t>
  </si>
  <si>
    <t>TXN108272</t>
  </si>
  <si>
    <t>TXN108273</t>
  </si>
  <si>
    <t>TXN108277</t>
  </si>
  <si>
    <t>TXN108278</t>
  </si>
  <si>
    <t>TXN108279</t>
  </si>
  <si>
    <t>TXN108282</t>
  </si>
  <si>
    <t>TXN108283</t>
  </si>
  <si>
    <t>TXN108292</t>
  </si>
  <si>
    <t>TXN108294</t>
  </si>
  <si>
    <t>TXN108297</t>
  </si>
  <si>
    <t>TXN108300</t>
  </si>
  <si>
    <t>TXN108304</t>
  </si>
  <si>
    <t>TXN108308</t>
  </si>
  <si>
    <t>TXN108312</t>
  </si>
  <si>
    <t>TXN108315</t>
  </si>
  <si>
    <t>TXN108317</t>
  </si>
  <si>
    <t>TXN108321</t>
  </si>
  <si>
    <t>TXN108322</t>
  </si>
  <si>
    <t>TXN108325</t>
  </si>
  <si>
    <t>TXN108327</t>
  </si>
  <si>
    <t>TXN108334</t>
  </si>
  <si>
    <t>TXN108335</t>
  </si>
  <si>
    <t>TXN108336</t>
  </si>
  <si>
    <t>TXN108338</t>
  </si>
  <si>
    <t>TXN108339</t>
  </si>
  <si>
    <t>TXN108341</t>
  </si>
  <si>
    <t>TXN108343</t>
  </si>
  <si>
    <t>TXN108344</t>
  </si>
  <si>
    <t>TXN108348</t>
  </si>
  <si>
    <t>TXN108351</t>
  </si>
  <si>
    <t>TXN108353</t>
  </si>
  <si>
    <t>TXN108354</t>
  </si>
  <si>
    <t>TXN108355</t>
  </si>
  <si>
    <t>TXN108360</t>
  </si>
  <si>
    <t>TXN108361</t>
  </si>
  <si>
    <t>TXN108362</t>
  </si>
  <si>
    <t>TXN108366</t>
  </si>
  <si>
    <t>TXN108376</t>
  </si>
  <si>
    <t>TXN108390</t>
  </si>
  <si>
    <t>TXN108391</t>
  </si>
  <si>
    <t>TXN108394</t>
  </si>
  <si>
    <t>TXN108396</t>
  </si>
  <si>
    <t>TXN108397</t>
  </si>
  <si>
    <t>TXN108402</t>
  </si>
  <si>
    <t>TXN108403</t>
  </si>
  <si>
    <t>TXN108411</t>
  </si>
  <si>
    <t>TXN108416</t>
  </si>
  <si>
    <t>TXN108422</t>
  </si>
  <si>
    <t>TXN108425</t>
  </si>
  <si>
    <t>TXN108434</t>
  </si>
  <si>
    <t>TXN108437</t>
  </si>
  <si>
    <t>TXN108440</t>
  </si>
  <si>
    <t>TXN108441</t>
  </si>
  <si>
    <t>TXN108447</t>
  </si>
  <si>
    <t>TXN108448</t>
  </si>
  <si>
    <t>TXN108458</t>
  </si>
  <si>
    <t>TXN108467</t>
  </si>
  <si>
    <t>TXN108469</t>
  </si>
  <si>
    <t>TXN108472</t>
  </si>
  <si>
    <t>TXN108475</t>
  </si>
  <si>
    <t>TXN108483</t>
  </si>
  <si>
    <t>TXN108485</t>
  </si>
  <si>
    <t>TXN108487</t>
  </si>
  <si>
    <t>TXN108491</t>
  </si>
  <si>
    <t>TXN108492</t>
  </si>
  <si>
    <t>TXN108494</t>
  </si>
  <si>
    <t>TXN108497</t>
  </si>
  <si>
    <t>TXN108500</t>
  </si>
  <si>
    <t>TXN108502</t>
  </si>
  <si>
    <t>TXN108505</t>
  </si>
  <si>
    <t>TXN108509</t>
  </si>
  <si>
    <t>TXN108510</t>
  </si>
  <si>
    <t>TXN108513</t>
  </si>
  <si>
    <t>TXN108514</t>
  </si>
  <si>
    <t>TXN108518</t>
  </si>
  <si>
    <t>TXN108521</t>
  </si>
  <si>
    <t>TXN108523</t>
  </si>
  <si>
    <t>TXN108524</t>
  </si>
  <si>
    <t>TXN108525</t>
  </si>
  <si>
    <t>TXN108528</t>
  </si>
  <si>
    <t>TXN108534</t>
  </si>
  <si>
    <t>TXN108535</t>
  </si>
  <si>
    <t>TXN108536</t>
  </si>
  <si>
    <t>TXN108538</t>
  </si>
  <si>
    <t>TXN108539</t>
  </si>
  <si>
    <t>TXN108540</t>
  </si>
  <si>
    <t>TXN108546</t>
  </si>
  <si>
    <t>TXN108547</t>
  </si>
  <si>
    <t>TXN108548</t>
  </si>
  <si>
    <t>TXN108553</t>
  </si>
  <si>
    <t>TXN108554</t>
  </si>
  <si>
    <t>TXN108555</t>
  </si>
  <si>
    <t>TXN108558</t>
  </si>
  <si>
    <t>TXN108559</t>
  </si>
  <si>
    <t>TXN108563</t>
  </si>
  <si>
    <t>TXN108566</t>
  </si>
  <si>
    <t>TXN108567</t>
  </si>
  <si>
    <t>TXN108572</t>
  </si>
  <si>
    <t>TXN108573</t>
  </si>
  <si>
    <t>TXN108576</t>
  </si>
  <si>
    <t>TXN108577</t>
  </si>
  <si>
    <t>TXN108578</t>
  </si>
  <si>
    <t>TXN108580</t>
  </si>
  <si>
    <t>TXN108581</t>
  </si>
  <si>
    <t>TXN108584</t>
  </si>
  <si>
    <t>TXN108586</t>
  </si>
  <si>
    <t>TXN108587</t>
  </si>
  <si>
    <t>TXN108588</t>
  </si>
  <si>
    <t>TXN108589</t>
  </si>
  <si>
    <t>TXN108591</t>
  </si>
  <si>
    <t>TXN108596</t>
  </si>
  <si>
    <t>TXN108600</t>
  </si>
  <si>
    <t>TXN108606</t>
  </si>
  <si>
    <t>TXN108609</t>
  </si>
  <si>
    <t>TXN108613</t>
  </si>
  <si>
    <t>TXN108614</t>
  </si>
  <si>
    <t>TXN108620</t>
  </si>
  <si>
    <t>TXN108628</t>
  </si>
  <si>
    <t>TXN108633</t>
  </si>
  <si>
    <t>TXN108636</t>
  </si>
  <si>
    <t>TXN108638</t>
  </si>
  <si>
    <t>TXN108639</t>
  </si>
  <si>
    <t>TXN108641</t>
  </si>
  <si>
    <t>TXN108645</t>
  </si>
  <si>
    <t>TXN108648</t>
  </si>
  <si>
    <t>TXN108649</t>
  </si>
  <si>
    <t>TXN108652</t>
  </si>
  <si>
    <t>TXN108656</t>
  </si>
  <si>
    <t>TXN108659</t>
  </si>
  <si>
    <t>TXN108663</t>
  </si>
  <si>
    <t>TXN108664</t>
  </si>
  <si>
    <t>TXN108665</t>
  </si>
  <si>
    <t>TXN108666</t>
  </si>
  <si>
    <t>TXN108668</t>
  </si>
  <si>
    <t>TXN108675</t>
  </si>
  <si>
    <t>TXN108679</t>
  </si>
  <si>
    <t>TXN108681</t>
  </si>
  <si>
    <t>TXN108682</t>
  </si>
  <si>
    <t>TXN108683</t>
  </si>
  <si>
    <t>TXN108690</t>
  </si>
  <si>
    <t>TXN108691</t>
  </si>
  <si>
    <t>TXN108694</t>
  </si>
  <si>
    <t>TXN108697</t>
  </si>
  <si>
    <t>TXN108700</t>
  </si>
  <si>
    <t>TXN108702</t>
  </si>
  <si>
    <t>TXN108707</t>
  </si>
  <si>
    <t>TXN108713</t>
  </si>
  <si>
    <t>TXN108717</t>
  </si>
  <si>
    <t>TXN108721</t>
  </si>
  <si>
    <t>TXN108724</t>
  </si>
  <si>
    <t>TXN108728</t>
  </si>
  <si>
    <t>TXN108731</t>
  </si>
  <si>
    <t>TXN108732</t>
  </si>
  <si>
    <t>TXN108733</t>
  </si>
  <si>
    <t>TXN108735</t>
  </si>
  <si>
    <t>TXN108736</t>
  </si>
  <si>
    <t>TXN108738</t>
  </si>
  <si>
    <t>TXN108740</t>
  </si>
  <si>
    <t>TXN108743</t>
  </si>
  <si>
    <t>TXN108746</t>
  </si>
  <si>
    <t>TXN108747</t>
  </si>
  <si>
    <t>TXN108749</t>
  </si>
  <si>
    <t>TXN108750</t>
  </si>
  <si>
    <t>TXN108764</t>
  </si>
  <si>
    <t>TXN108765</t>
  </si>
  <si>
    <t>TXN108767</t>
  </si>
  <si>
    <t>TXN108768</t>
  </si>
  <si>
    <t>TXN108772</t>
  </si>
  <si>
    <t>TXN108775</t>
  </si>
  <si>
    <t>TXN108776</t>
  </si>
  <si>
    <t>TXN108777</t>
  </si>
  <si>
    <t>TXN108778</t>
  </si>
  <si>
    <t>TXN108783</t>
  </si>
  <si>
    <t>TXN108787</t>
  </si>
  <si>
    <t>TXN108790</t>
  </si>
  <si>
    <t>TXN108795</t>
  </si>
  <si>
    <t>TXN108796</t>
  </si>
  <si>
    <t>TXN108813</t>
  </si>
  <si>
    <t>TXN108817</t>
  </si>
  <si>
    <t>TXN108822</t>
  </si>
  <si>
    <t>TXN108828</t>
  </si>
  <si>
    <t>TXN108835</t>
  </si>
  <si>
    <t>TXN108836</t>
  </si>
  <si>
    <t>TXN108842</t>
  </si>
  <si>
    <t>TXN108847</t>
  </si>
  <si>
    <t>TXN108849</t>
  </si>
  <si>
    <t>TXN108852</t>
  </si>
  <si>
    <t>TXN108853</t>
  </si>
  <si>
    <t>TXN108854</t>
  </si>
  <si>
    <t>TXN108860</t>
  </si>
  <si>
    <t>TXN108861</t>
  </si>
  <si>
    <t>TXN108862</t>
  </si>
  <si>
    <t>TXN108867</t>
  </si>
  <si>
    <t>TXN108871</t>
  </si>
  <si>
    <t>TXN108873</t>
  </si>
  <si>
    <t>TXN108878</t>
  </si>
  <si>
    <t>TXN108879</t>
  </si>
  <si>
    <t>TXN108887</t>
  </si>
  <si>
    <t>TXN108892</t>
  </si>
  <si>
    <t>TXN108896</t>
  </si>
  <si>
    <t>TXN108898</t>
  </si>
  <si>
    <t>TXN108902</t>
  </si>
  <si>
    <t>TXN108903</t>
  </si>
  <si>
    <t>TXN108905</t>
  </si>
  <si>
    <t>TXN108906</t>
  </si>
  <si>
    <t>TXN108908</t>
  </si>
  <si>
    <t>TXN108909</t>
  </si>
  <si>
    <t>TXN108911</t>
  </si>
  <si>
    <t>TXN108916</t>
  </si>
  <si>
    <t>TXN108918</t>
  </si>
  <si>
    <t>TXN108924</t>
  </si>
  <si>
    <t>TXN108926</t>
  </si>
  <si>
    <t>TXN108929</t>
  </si>
  <si>
    <t>TXN108930</t>
  </si>
  <si>
    <t>TXN108932</t>
  </si>
  <si>
    <t>TXN108933</t>
  </si>
  <si>
    <t>TXN108934</t>
  </si>
  <si>
    <t>TXN108935</t>
  </si>
  <si>
    <t>TXN108942</t>
  </si>
  <si>
    <t>TXN108948</t>
  </si>
  <si>
    <t>TXN108950</t>
  </si>
  <si>
    <t>TXN108953</t>
  </si>
  <si>
    <t>TXN108959</t>
  </si>
  <si>
    <t>TXN108961</t>
  </si>
  <si>
    <t>TXN108962</t>
  </si>
  <si>
    <t>TXN108963</t>
  </si>
  <si>
    <t>TXN108964</t>
  </si>
  <si>
    <t>TXN108970</t>
  </si>
  <si>
    <t>TXN108972</t>
  </si>
  <si>
    <t>TXN108977</t>
  </si>
  <si>
    <t>TXN108986</t>
  </si>
  <si>
    <t>TXN108989</t>
  </si>
  <si>
    <t>TXN108991</t>
  </si>
  <si>
    <t>TXN108992</t>
  </si>
  <si>
    <t>TXN108995</t>
  </si>
  <si>
    <t>TXN108997</t>
  </si>
  <si>
    <t>TXN108998</t>
  </si>
  <si>
    <t>TXN109002</t>
  </si>
  <si>
    <t>TXN109004</t>
  </si>
  <si>
    <t>TXN109006</t>
  </si>
  <si>
    <t>TXN109015</t>
  </si>
  <si>
    <t>TXN109016</t>
  </si>
  <si>
    <t>TXN109017</t>
  </si>
  <si>
    <t>TXN109029</t>
  </si>
  <si>
    <t>TXN109030</t>
  </si>
  <si>
    <t>TXN109032</t>
  </si>
  <si>
    <t>TXN109034</t>
  </si>
  <si>
    <t>TXN109035</t>
  </si>
  <si>
    <t>TXN109040</t>
  </si>
  <si>
    <t>TXN109041</t>
  </si>
  <si>
    <t>TXN109045</t>
  </si>
  <si>
    <t>TXN109046</t>
  </si>
  <si>
    <t>TXN109050</t>
  </si>
  <si>
    <t>TXN109056</t>
  </si>
  <si>
    <t>TXN109057</t>
  </si>
  <si>
    <t>TXN109060</t>
  </si>
  <si>
    <t>TXN109062</t>
  </si>
  <si>
    <t>TXN109074</t>
  </si>
  <si>
    <t>TXN109075</t>
  </si>
  <si>
    <t>TXN109078</t>
  </si>
  <si>
    <t>TXN109079</t>
  </si>
  <si>
    <t>TXN109081</t>
  </si>
  <si>
    <t>TXN109082</t>
  </si>
  <si>
    <t>TXN109083</t>
  </si>
  <si>
    <t>TXN109084</t>
  </si>
  <si>
    <t>TXN109088</t>
  </si>
  <si>
    <t>TXN109090</t>
  </si>
  <si>
    <t>TXN109100</t>
  </si>
  <si>
    <t>TXN109101</t>
  </si>
  <si>
    <t>TXN109105</t>
  </si>
  <si>
    <t>TXN109107</t>
  </si>
  <si>
    <t>TXN109109</t>
  </si>
  <si>
    <t>TXN109110</t>
  </si>
  <si>
    <t>TXN109114</t>
  </si>
  <si>
    <t>TXN109126</t>
  </si>
  <si>
    <t>TXN109131</t>
  </si>
  <si>
    <t>TXN109132</t>
  </si>
  <si>
    <t>TXN109135</t>
  </si>
  <si>
    <t>TXN109137</t>
  </si>
  <si>
    <t>TXN109143</t>
  </si>
  <si>
    <t>TXN109146</t>
  </si>
  <si>
    <t>TXN109148</t>
  </si>
  <si>
    <t>TXN109155</t>
  </si>
  <si>
    <t>TXN109162</t>
  </si>
  <si>
    <t>TXN109166</t>
  </si>
  <si>
    <t>TXN109167</t>
  </si>
  <si>
    <t>TXN109169</t>
  </si>
  <si>
    <t>TXN109176</t>
  </si>
  <si>
    <t>TXN109179</t>
  </si>
  <si>
    <t>TXN109185</t>
  </si>
  <si>
    <t>TXN109187</t>
  </si>
  <si>
    <t>TXN109191</t>
  </si>
  <si>
    <t>TXN109197</t>
  </si>
  <si>
    <t>TXN109203</t>
  </si>
  <si>
    <t>TXN109206</t>
  </si>
  <si>
    <t>TXN109210</t>
  </si>
  <si>
    <t>TXN109211</t>
  </si>
  <si>
    <t>TXN109224</t>
  </si>
  <si>
    <t>TXN109225</t>
  </si>
  <si>
    <t>TXN109226</t>
  </si>
  <si>
    <t>TXN109228</t>
  </si>
  <si>
    <t>TXN109231</t>
  </si>
  <si>
    <t>TXN109234</t>
  </si>
  <si>
    <t>TXN109238</t>
  </si>
  <si>
    <t>TXN109239</t>
  </si>
  <si>
    <t>TXN109242</t>
  </si>
  <si>
    <t>TXN109243</t>
  </si>
  <si>
    <t>TXN109244</t>
  </si>
  <si>
    <t>TXN109246</t>
  </si>
  <si>
    <t>TXN109248</t>
  </si>
  <si>
    <t>TXN109251</t>
  </si>
  <si>
    <t>TXN109255</t>
  </si>
  <si>
    <t>TXN109256</t>
  </si>
  <si>
    <t>TXN109261</t>
  </si>
  <si>
    <t>TXN109262</t>
  </si>
  <si>
    <t>TXN109263</t>
  </si>
  <si>
    <t>TXN109264</t>
  </si>
  <si>
    <t>TXN109267</t>
  </si>
  <si>
    <t>TXN109268</t>
  </si>
  <si>
    <t>TXN109269</t>
  </si>
  <si>
    <t>TXN109270</t>
  </si>
  <si>
    <t>TXN109271</t>
  </si>
  <si>
    <t>TXN109274</t>
  </si>
  <si>
    <t>TXN109276</t>
  </si>
  <si>
    <t>TXN109277</t>
  </si>
  <si>
    <t>TXN109278</t>
  </si>
  <si>
    <t>TXN109284</t>
  </si>
  <si>
    <t>TXN109285</t>
  </si>
  <si>
    <t>TXN109287</t>
  </si>
  <si>
    <t>TXN109290</t>
  </si>
  <si>
    <t>TXN109293</t>
  </si>
  <si>
    <t>TXN109294</t>
  </si>
  <si>
    <t>TXN109299</t>
  </si>
  <si>
    <t>TXN109301</t>
  </si>
  <si>
    <t>TXN109304</t>
  </si>
  <si>
    <t>TXN109305</t>
  </si>
  <si>
    <t>TXN109306</t>
  </si>
  <si>
    <t>TXN109311</t>
  </si>
  <si>
    <t>TXN109315</t>
  </si>
  <si>
    <t>TXN109320</t>
  </si>
  <si>
    <t>TXN109321</t>
  </si>
  <si>
    <t>TXN109327</t>
  </si>
  <si>
    <t>TXN109328</t>
  </si>
  <si>
    <t>TXN109334</t>
  </si>
  <si>
    <t>TXN109335</t>
  </si>
  <si>
    <t>TXN109336</t>
  </si>
  <si>
    <t>TXN109341</t>
  </si>
  <si>
    <t>TXN109342</t>
  </si>
  <si>
    <t>TXN109347</t>
  </si>
  <si>
    <t>TXN109348</t>
  </si>
  <si>
    <t>TXN109349</t>
  </si>
  <si>
    <t>TXN109353</t>
  </si>
  <si>
    <t>TXN109357</t>
  </si>
  <si>
    <t>TXN109358</t>
  </si>
  <si>
    <t>TXN109370</t>
  </si>
  <si>
    <t>TXN109371</t>
  </si>
  <si>
    <t>TXN109374</t>
  </si>
  <si>
    <t>TXN109375</t>
  </si>
  <si>
    <t>TXN109379</t>
  </si>
  <si>
    <t>TXN109380</t>
  </si>
  <si>
    <t>TXN109386</t>
  </si>
  <si>
    <t>TXN109387</t>
  </si>
  <si>
    <t>TXN109389</t>
  </si>
  <si>
    <t>TXN109391</t>
  </si>
  <si>
    <t>TXN109393</t>
  </si>
  <si>
    <t>TXN109399</t>
  </si>
  <si>
    <t>TXN109407</t>
  </si>
  <si>
    <t>TXN109410</t>
  </si>
  <si>
    <t>TXN109412</t>
  </si>
  <si>
    <t>TXN109413</t>
  </si>
  <si>
    <t>TXN109416</t>
  </si>
  <si>
    <t>TXN109417</t>
  </si>
  <si>
    <t>TXN109418</t>
  </si>
  <si>
    <t>TXN109419</t>
  </si>
  <si>
    <t>TXN109420</t>
  </si>
  <si>
    <t>TXN109421</t>
  </si>
  <si>
    <t>TXN109422</t>
  </si>
  <si>
    <t>TXN109423</t>
  </si>
  <si>
    <t>TXN109427</t>
  </si>
  <si>
    <t>TXN109429</t>
  </si>
  <si>
    <t>TXN109431</t>
  </si>
  <si>
    <t>TXN109439</t>
  </si>
  <si>
    <t>TXN109443</t>
  </si>
  <si>
    <t>TXN109448</t>
  </si>
  <si>
    <t>TXN109451</t>
  </si>
  <si>
    <t>TXN109459</t>
  </si>
  <si>
    <t>TXN109462</t>
  </si>
  <si>
    <t>TXN109466</t>
  </si>
  <si>
    <t>TXN109472</t>
  </si>
  <si>
    <t>TXN109476</t>
  </si>
  <si>
    <t>TXN109478</t>
  </si>
  <si>
    <t>TXN109482</t>
  </si>
  <si>
    <t>TXN109488</t>
  </si>
  <si>
    <t>TXN109489</t>
  </si>
  <si>
    <t>TXN109491</t>
  </si>
  <si>
    <t>TXN109496</t>
  </si>
  <si>
    <t>TXN109498</t>
  </si>
  <si>
    <t>TXN109505</t>
  </si>
  <si>
    <t>TXN109507</t>
  </si>
  <si>
    <t>TXN109512</t>
  </si>
  <si>
    <t>TXN109513</t>
  </si>
  <si>
    <t>TXN109514</t>
  </si>
  <si>
    <t>TXN109516</t>
  </si>
  <si>
    <t>TXN109522</t>
  </si>
  <si>
    <t>TXN109523</t>
  </si>
  <si>
    <t>TXN109525</t>
  </si>
  <si>
    <t>TXN109526</t>
  </si>
  <si>
    <t>TXN109531</t>
  </si>
  <si>
    <t>TXN109533</t>
  </si>
  <si>
    <t>TXN109536</t>
  </si>
  <si>
    <t>TXN109538</t>
  </si>
  <si>
    <t>TXN109544</t>
  </si>
  <si>
    <t>TXN109549</t>
  </si>
  <si>
    <t>TXN109550</t>
  </si>
  <si>
    <t>TXN109552</t>
  </si>
  <si>
    <t>TXN109553</t>
  </si>
  <si>
    <t>TXN109555</t>
  </si>
  <si>
    <t>TXN109556</t>
  </si>
  <si>
    <t>TXN109558</t>
  </si>
  <si>
    <t>TXN109560</t>
  </si>
  <si>
    <t>TXN109562</t>
  </si>
  <si>
    <t>TXN109568</t>
  </si>
  <si>
    <t>TXN109572</t>
  </si>
  <si>
    <t>TXN109573</t>
  </si>
  <si>
    <t>TXN109576</t>
  </si>
  <si>
    <t>TXN109579</t>
  </si>
  <si>
    <t>TXN109585</t>
  </si>
  <si>
    <t>TXN109587</t>
  </si>
  <si>
    <t>TXN109588</t>
  </si>
  <si>
    <t>TXN109589</t>
  </si>
  <si>
    <t>TXN109591</t>
  </si>
  <si>
    <t>TXN109593</t>
  </si>
  <si>
    <t>TXN109595</t>
  </si>
  <si>
    <t>TXN109597</t>
  </si>
  <si>
    <t>TXN109600</t>
  </si>
  <si>
    <t>TXN109602</t>
  </si>
  <si>
    <t>TXN109605</t>
  </si>
  <si>
    <t>TXN109608</t>
  </si>
  <si>
    <t>TXN109610</t>
  </si>
  <si>
    <t>TXN109613</t>
  </si>
  <si>
    <t>TXN109616</t>
  </si>
  <si>
    <t>TXN109619</t>
  </si>
  <si>
    <t>TXN109620</t>
  </si>
  <si>
    <t>TXN109621</t>
  </si>
  <si>
    <t>TXN109626</t>
  </si>
  <si>
    <t>TXN109627</t>
  </si>
  <si>
    <t>TXN109628</t>
  </si>
  <si>
    <t>TXN109630</t>
  </si>
  <si>
    <t>TXN109631</t>
  </si>
  <si>
    <t>TXN109632</t>
  </si>
  <si>
    <t>TXN109640</t>
  </si>
  <si>
    <t>TXN109641</t>
  </si>
  <si>
    <t>TXN109650</t>
  </si>
  <si>
    <t>TXN109654</t>
  </si>
  <si>
    <t>TXN109655</t>
  </si>
  <si>
    <t>TXN109657</t>
  </si>
  <si>
    <t>TXN109659</t>
  </si>
  <si>
    <t>TXN109661</t>
  </si>
  <si>
    <t>TXN109665</t>
  </si>
  <si>
    <t>TXN109669</t>
  </si>
  <si>
    <t>TXN109670</t>
  </si>
  <si>
    <t>TXN109681</t>
  </si>
  <si>
    <t>TXN109685</t>
  </si>
  <si>
    <t>TXN109686</t>
  </si>
  <si>
    <t>TXN109689</t>
  </si>
  <si>
    <t>TXN109693</t>
  </si>
  <si>
    <t>TXN109697</t>
  </si>
  <si>
    <t>TXN109699</t>
  </si>
  <si>
    <t>TXN109700</t>
  </si>
  <si>
    <t>TXN109702</t>
  </si>
  <si>
    <t>TXN109705</t>
  </si>
  <si>
    <t>TXN109711</t>
  </si>
  <si>
    <t>TXN109712</t>
  </si>
  <si>
    <t>TXN109714</t>
  </si>
  <si>
    <t>TXN109715</t>
  </si>
  <si>
    <t>TXN109719</t>
  </si>
  <si>
    <t>TXN109721</t>
  </si>
  <si>
    <t>TXN109722</t>
  </si>
  <si>
    <t>TXN109723</t>
  </si>
  <si>
    <t>TXN109724</t>
  </si>
  <si>
    <t>TXN109725</t>
  </si>
  <si>
    <t>TXN109729</t>
  </si>
  <si>
    <t>TXN109730</t>
  </si>
  <si>
    <t>TXN109734</t>
  </si>
  <si>
    <t>TXN109739</t>
  </si>
  <si>
    <t>TXN109740</t>
  </si>
  <si>
    <t>TXN109742</t>
  </si>
  <si>
    <t>TXN109746</t>
  </si>
  <si>
    <t>TXN109747</t>
  </si>
  <si>
    <t>TXN109749</t>
  </si>
  <si>
    <t>TXN109752</t>
  </si>
  <si>
    <t>TXN109754</t>
  </si>
  <si>
    <t>TXN109760</t>
  </si>
  <si>
    <t>TXN109763</t>
  </si>
  <si>
    <t>TXN109764</t>
  </si>
  <si>
    <t>TXN109769</t>
  </si>
  <si>
    <t>TXN109772</t>
  </si>
  <si>
    <t>TXN109773</t>
  </si>
  <si>
    <t>TXN109782</t>
  </si>
  <si>
    <t>TXN109783</t>
  </si>
  <si>
    <t>TXN109788</t>
  </si>
  <si>
    <t>TXN109789</t>
  </si>
  <si>
    <t>TXN109790</t>
  </si>
  <si>
    <t>TXN109794</t>
  </si>
  <si>
    <t>TXN109796</t>
  </si>
  <si>
    <t>TXN109798</t>
  </si>
  <si>
    <t>TXN109800</t>
  </si>
  <si>
    <t>TXN109801</t>
  </si>
  <si>
    <t>TXN109803</t>
  </si>
  <si>
    <t>TXN109811</t>
  </si>
  <si>
    <t>TXN109812</t>
  </si>
  <si>
    <t>TXN109813</t>
  </si>
  <si>
    <t>TXN109815</t>
  </si>
  <si>
    <t>TXN109816</t>
  </si>
  <si>
    <t>TXN109819</t>
  </si>
  <si>
    <t>TXN109822</t>
  </si>
  <si>
    <t>TXN109829</t>
  </si>
  <si>
    <t>TXN109830</t>
  </si>
  <si>
    <t>TXN109831</t>
  </si>
  <si>
    <t>TXN109834</t>
  </si>
  <si>
    <t>TXN109842</t>
  </si>
  <si>
    <t>TXN109844</t>
  </si>
  <si>
    <t>TXN109852</t>
  </si>
  <si>
    <t>TXN109853</t>
  </si>
  <si>
    <t>TXN109855</t>
  </si>
  <si>
    <t>TXN109857</t>
  </si>
  <si>
    <t>TXN109858</t>
  </si>
  <si>
    <t>TXN109862</t>
  </si>
  <si>
    <t>TXN109867</t>
  </si>
  <si>
    <t>TXN109868</t>
  </si>
  <si>
    <t>TXN109875</t>
  </si>
  <si>
    <t>TXN109876</t>
  </si>
  <si>
    <t>TXN109880</t>
  </si>
  <si>
    <t>TXN109883</t>
  </si>
  <si>
    <t>TXN109887</t>
  </si>
  <si>
    <t>TXN109894</t>
  </si>
  <si>
    <t>TXN109896</t>
  </si>
  <si>
    <t>TXN109898</t>
  </si>
  <si>
    <t>TXN109899</t>
  </si>
  <si>
    <t>TXN109912</t>
  </si>
  <si>
    <t>TXN109913</t>
  </si>
  <si>
    <t>TXN109914</t>
  </si>
  <si>
    <t>TXN109917</t>
  </si>
  <si>
    <t>TXN109918</t>
  </si>
  <si>
    <t>TXN109920</t>
  </si>
  <si>
    <t>TXN109922</t>
  </si>
  <si>
    <t>TXN109924</t>
  </si>
  <si>
    <t>TXN109931</t>
  </si>
  <si>
    <t>TXN109933</t>
  </si>
  <si>
    <t>TXN109934</t>
  </si>
  <si>
    <t>TXN109935</t>
  </si>
  <si>
    <t>TXN109948</t>
  </si>
  <si>
    <t>TXN109952</t>
  </si>
  <si>
    <t>TXN109957</t>
  </si>
  <si>
    <t>TXN109958</t>
  </si>
  <si>
    <t>TXN109960</t>
  </si>
  <si>
    <t>TXN109961</t>
  </si>
  <si>
    <t>TXN109962</t>
  </si>
  <si>
    <t>TXN109963</t>
  </si>
  <si>
    <t>TXN109964</t>
  </si>
  <si>
    <t>TXN109965</t>
  </si>
  <si>
    <t>TXN109967</t>
  </si>
  <si>
    <t>TXN109968</t>
  </si>
  <si>
    <t>TXN109969</t>
  </si>
  <si>
    <t>TXN109971</t>
  </si>
  <si>
    <t>TXN109972</t>
  </si>
  <si>
    <t>TXN109973</t>
  </si>
  <si>
    <t>TXN109982</t>
  </si>
  <si>
    <t>TXN109983</t>
  </si>
  <si>
    <t>TXN109984</t>
  </si>
  <si>
    <t>TXN109985</t>
  </si>
  <si>
    <t>TXN109989</t>
  </si>
  <si>
    <t>TXN109991</t>
  </si>
  <si>
    <t>TXN109993</t>
  </si>
  <si>
    <t>REV100000</t>
  </si>
  <si>
    <t>REV100001</t>
  </si>
  <si>
    <t>REV100002</t>
  </si>
  <si>
    <t>REV100003</t>
  </si>
  <si>
    <t>REV100004</t>
  </si>
  <si>
    <t>REV100005</t>
  </si>
  <si>
    <t>REV100006</t>
  </si>
  <si>
    <t>REV100007</t>
  </si>
  <si>
    <t>REV100008</t>
  </si>
  <si>
    <t>REV100009</t>
  </si>
  <si>
    <t>REV100010</t>
  </si>
  <si>
    <t>REV100011</t>
  </si>
  <si>
    <t>REV100012</t>
  </si>
  <si>
    <t>REV100013</t>
  </si>
  <si>
    <t>REV100014</t>
  </si>
  <si>
    <t>REV100015</t>
  </si>
  <si>
    <t>REV100016</t>
  </si>
  <si>
    <t>REV100017</t>
  </si>
  <si>
    <t>REV100018</t>
  </si>
  <si>
    <t>REV100019</t>
  </si>
  <si>
    <t>REV100020</t>
  </si>
  <si>
    <t>REV100021</t>
  </si>
  <si>
    <t>REV100022</t>
  </si>
  <si>
    <t>REV100023</t>
  </si>
  <si>
    <t>REV100024</t>
  </si>
  <si>
    <t>REV100025</t>
  </si>
  <si>
    <t>REV100026</t>
  </si>
  <si>
    <t>REV100027</t>
  </si>
  <si>
    <t>REV100028</t>
  </si>
  <si>
    <t>REV100029</t>
  </si>
  <si>
    <t>REV100030</t>
  </si>
  <si>
    <t>REV100031</t>
  </si>
  <si>
    <t>REV100032</t>
  </si>
  <si>
    <t>REV100033</t>
  </si>
  <si>
    <t>REV100034</t>
  </si>
  <si>
    <t>REV100035</t>
  </si>
  <si>
    <t>REV100036</t>
  </si>
  <si>
    <t>REV100037</t>
  </si>
  <si>
    <t>REV100038</t>
  </si>
  <si>
    <t>REV100039</t>
  </si>
  <si>
    <t>REV100040</t>
  </si>
  <si>
    <t>REV100041</t>
  </si>
  <si>
    <t>REV100042</t>
  </si>
  <si>
    <t>REV100043</t>
  </si>
  <si>
    <t>REV100044</t>
  </si>
  <si>
    <t>REV100045</t>
  </si>
  <si>
    <t>REV100046</t>
  </si>
  <si>
    <t>REV100047</t>
  </si>
  <si>
    <t>REV100048</t>
  </si>
  <si>
    <t>REV100049</t>
  </si>
  <si>
    <t>REV100050</t>
  </si>
  <si>
    <t>REV100051</t>
  </si>
  <si>
    <t>REV100052</t>
  </si>
  <si>
    <t>REV100053</t>
  </si>
  <si>
    <t>REV100054</t>
  </si>
  <si>
    <t>REV100055</t>
  </si>
  <si>
    <t>REV100056</t>
  </si>
  <si>
    <t>REV100057</t>
  </si>
  <si>
    <t>REV100058</t>
  </si>
  <si>
    <t>REV100059</t>
  </si>
  <si>
    <t>REV100060</t>
  </si>
  <si>
    <t>REV100061</t>
  </si>
  <si>
    <t>REV100062</t>
  </si>
  <si>
    <t>REV100063</t>
  </si>
  <si>
    <t>REV100064</t>
  </si>
  <si>
    <t>REV100065</t>
  </si>
  <si>
    <t>REV100066</t>
  </si>
  <si>
    <t>REV100067</t>
  </si>
  <si>
    <t>REV100068</t>
  </si>
  <si>
    <t>REV100069</t>
  </si>
  <si>
    <t>REV100070</t>
  </si>
  <si>
    <t>REV100071</t>
  </si>
  <si>
    <t>REV100072</t>
  </si>
  <si>
    <t>REV100073</t>
  </si>
  <si>
    <t>REV100074</t>
  </si>
  <si>
    <t>REV100075</t>
  </si>
  <si>
    <t>REV100076</t>
  </si>
  <si>
    <t>REV100077</t>
  </si>
  <si>
    <t>REV100078</t>
  </si>
  <si>
    <t>REV100079</t>
  </si>
  <si>
    <t>REV100080</t>
  </si>
  <si>
    <t>REV100081</t>
  </si>
  <si>
    <t>REV100082</t>
  </si>
  <si>
    <t>REV100083</t>
  </si>
  <si>
    <t>REV100084</t>
  </si>
  <si>
    <t>REV100085</t>
  </si>
  <si>
    <t>REV100086</t>
  </si>
  <si>
    <t>REV100087</t>
  </si>
  <si>
    <t>REV100088</t>
  </si>
  <si>
    <t>REV100089</t>
  </si>
  <si>
    <t>REV100090</t>
  </si>
  <si>
    <t>REV100091</t>
  </si>
  <si>
    <t>REV100092</t>
  </si>
  <si>
    <t>REV100093</t>
  </si>
  <si>
    <t>REV100094</t>
  </si>
  <si>
    <t>REV100095</t>
  </si>
  <si>
    <t>REV100096</t>
  </si>
  <si>
    <t>REV100097</t>
  </si>
  <si>
    <t>REV100098</t>
  </si>
  <si>
    <t>REV100099</t>
  </si>
  <si>
    <t>REV100100</t>
  </si>
  <si>
    <t>REV100101</t>
  </si>
  <si>
    <t>REV100102</t>
  </si>
  <si>
    <t>REV100103</t>
  </si>
  <si>
    <t>REV100104</t>
  </si>
  <si>
    <t>REV100105</t>
  </si>
  <si>
    <t>REV100106</t>
  </si>
  <si>
    <t>REV100107</t>
  </si>
  <si>
    <t>REV100108</t>
  </si>
  <si>
    <t>REV100109</t>
  </si>
  <si>
    <t>REV100110</t>
  </si>
  <si>
    <t>REV100111</t>
  </si>
  <si>
    <t>REV100112</t>
  </si>
  <si>
    <t>REV100113</t>
  </si>
  <si>
    <t>REV100114</t>
  </si>
  <si>
    <t>REV100115</t>
  </si>
  <si>
    <t>REV100116</t>
  </si>
  <si>
    <t>REV100117</t>
  </si>
  <si>
    <t>REV100118</t>
  </si>
  <si>
    <t>REV100119</t>
  </si>
  <si>
    <t>REV100120</t>
  </si>
  <si>
    <t>REV100121</t>
  </si>
  <si>
    <t>REV100122</t>
  </si>
  <si>
    <t>REV100123</t>
  </si>
  <si>
    <t>REV100124</t>
  </si>
  <si>
    <t>REV100125</t>
  </si>
  <si>
    <t>REV100126</t>
  </si>
  <si>
    <t>REV100127</t>
  </si>
  <si>
    <t>REV100128</t>
  </si>
  <si>
    <t>REV100129</t>
  </si>
  <si>
    <t>REV100130</t>
  </si>
  <si>
    <t>REV100131</t>
  </si>
  <si>
    <t>REV100132</t>
  </si>
  <si>
    <t>REV100133</t>
  </si>
  <si>
    <t>REV100134</t>
  </si>
  <si>
    <t>REV100135</t>
  </si>
  <si>
    <t>REV100136</t>
  </si>
  <si>
    <t>REV100137</t>
  </si>
  <si>
    <t>REV100138</t>
  </si>
  <si>
    <t>REV100139</t>
  </si>
  <si>
    <t>REV100140</t>
  </si>
  <si>
    <t>REV100141</t>
  </si>
  <si>
    <t>REV100142</t>
  </si>
  <si>
    <t>REV100143</t>
  </si>
  <si>
    <t>REV100144</t>
  </si>
  <si>
    <t>REV100145</t>
  </si>
  <si>
    <t>REV100146</t>
  </si>
  <si>
    <t>REV100147</t>
  </si>
  <si>
    <t>REV100148</t>
  </si>
  <si>
    <t>REV100149</t>
  </si>
  <si>
    <t>REV100150</t>
  </si>
  <si>
    <t>REV100151</t>
  </si>
  <si>
    <t>REV100152</t>
  </si>
  <si>
    <t>REV100153</t>
  </si>
  <si>
    <t>REV100154</t>
  </si>
  <si>
    <t>REV100155</t>
  </si>
  <si>
    <t>REV100156</t>
  </si>
  <si>
    <t>REV100157</t>
  </si>
  <si>
    <t>REV100158</t>
  </si>
  <si>
    <t>REV100159</t>
  </si>
  <si>
    <t>REV100160</t>
  </si>
  <si>
    <t>REV100161</t>
  </si>
  <si>
    <t>REV100162</t>
  </si>
  <si>
    <t>REV100163</t>
  </si>
  <si>
    <t>REV100164</t>
  </si>
  <si>
    <t>REV100165</t>
  </si>
  <si>
    <t>REV100166</t>
  </si>
  <si>
    <t>REV100167</t>
  </si>
  <si>
    <t>REV100168</t>
  </si>
  <si>
    <t>REV100169</t>
  </si>
  <si>
    <t>REV100170</t>
  </si>
  <si>
    <t>REV100171</t>
  </si>
  <si>
    <t>REV100172</t>
  </si>
  <si>
    <t>REV100173</t>
  </si>
  <si>
    <t>REV100174</t>
  </si>
  <si>
    <t>REV100175</t>
  </si>
  <si>
    <t>REV100176</t>
  </si>
  <si>
    <t>REV100177</t>
  </si>
  <si>
    <t>REV100178</t>
  </si>
  <si>
    <t>REV100179</t>
  </si>
  <si>
    <t>REV100180</t>
  </si>
  <si>
    <t>REV100181</t>
  </si>
  <si>
    <t>REV100182</t>
  </si>
  <si>
    <t>REV100183</t>
  </si>
  <si>
    <t>REV100184</t>
  </si>
  <si>
    <t>REV100185</t>
  </si>
  <si>
    <t>REV100186</t>
  </si>
  <si>
    <t>REV100187</t>
  </si>
  <si>
    <t>REV100188</t>
  </si>
  <si>
    <t>REV100189</t>
  </si>
  <si>
    <t>REV100190</t>
  </si>
  <si>
    <t>REV100191</t>
  </si>
  <si>
    <t>REV100192</t>
  </si>
  <si>
    <t>REV100193</t>
  </si>
  <si>
    <t>REV100194</t>
  </si>
  <si>
    <t>REV100195</t>
  </si>
  <si>
    <t>REV100196</t>
  </si>
  <si>
    <t>REV100197</t>
  </si>
  <si>
    <t>REV100198</t>
  </si>
  <si>
    <t>REV100199</t>
  </si>
  <si>
    <t>REV100200</t>
  </si>
  <si>
    <t>REV100201</t>
  </si>
  <si>
    <t>REV100202</t>
  </si>
  <si>
    <t>REV100203</t>
  </si>
  <si>
    <t>REV100204</t>
  </si>
  <si>
    <t>REV100205</t>
  </si>
  <si>
    <t>REV100206</t>
  </si>
  <si>
    <t>REV100207</t>
  </si>
  <si>
    <t>REV100208</t>
  </si>
  <si>
    <t>REV100209</t>
  </si>
  <si>
    <t>REV100210</t>
  </si>
  <si>
    <t>REV100211</t>
  </si>
  <si>
    <t>REV100212</t>
  </si>
  <si>
    <t>REV100213</t>
  </si>
  <si>
    <t>REV100214</t>
  </si>
  <si>
    <t>REV100215</t>
  </si>
  <si>
    <t>REV100216</t>
  </si>
  <si>
    <t>REV100217</t>
  </si>
  <si>
    <t>REV100218</t>
  </si>
  <si>
    <t>REV100219</t>
  </si>
  <si>
    <t>REV100220</t>
  </si>
  <si>
    <t>REV100221</t>
  </si>
  <si>
    <t>REV100222</t>
  </si>
  <si>
    <t>REV100223</t>
  </si>
  <si>
    <t>REV100224</t>
  </si>
  <si>
    <t>REV100225</t>
  </si>
  <si>
    <t>REV100226</t>
  </si>
  <si>
    <t>REV100227</t>
  </si>
  <si>
    <t>REV100228</t>
  </si>
  <si>
    <t>REV100229</t>
  </si>
  <si>
    <t>REV100230</t>
  </si>
  <si>
    <t>REV100231</t>
  </si>
  <si>
    <t>REV100232</t>
  </si>
  <si>
    <t>REV100233</t>
  </si>
  <si>
    <t>REV100234</t>
  </si>
  <si>
    <t>REV100235</t>
  </si>
  <si>
    <t>REV100236</t>
  </si>
  <si>
    <t>REV100237</t>
  </si>
  <si>
    <t>REV100238</t>
  </si>
  <si>
    <t>REV100239</t>
  </si>
  <si>
    <t>REV100240</t>
  </si>
  <si>
    <t>REV100241</t>
  </si>
  <si>
    <t>REV100242</t>
  </si>
  <si>
    <t>REV100243</t>
  </si>
  <si>
    <t>REV100244</t>
  </si>
  <si>
    <t>REV100245</t>
  </si>
  <si>
    <t>REV100246</t>
  </si>
  <si>
    <t>REV100247</t>
  </si>
  <si>
    <t>REV100248</t>
  </si>
  <si>
    <t>REV100249</t>
  </si>
  <si>
    <t>REV100250</t>
  </si>
  <si>
    <t>REV100251</t>
  </si>
  <si>
    <t>REV100252</t>
  </si>
  <si>
    <t>REV100253</t>
  </si>
  <si>
    <t>REV100254</t>
  </si>
  <si>
    <t>REV100255</t>
  </si>
  <si>
    <t>REV100256</t>
  </si>
  <si>
    <t>REV100257</t>
  </si>
  <si>
    <t>REV100258</t>
  </si>
  <si>
    <t>REV100259</t>
  </si>
  <si>
    <t>REV100260</t>
  </si>
  <si>
    <t>REV100261</t>
  </si>
  <si>
    <t>REV100262</t>
  </si>
  <si>
    <t>REV100263</t>
  </si>
  <si>
    <t>REV100264</t>
  </si>
  <si>
    <t>REV100265</t>
  </si>
  <si>
    <t>REV100266</t>
  </si>
  <si>
    <t>REV100267</t>
  </si>
  <si>
    <t>REV100268</t>
  </si>
  <si>
    <t>REV100269</t>
  </si>
  <si>
    <t>REV100270</t>
  </si>
  <si>
    <t>REV100271</t>
  </si>
  <si>
    <t>REV100272</t>
  </si>
  <si>
    <t>REV100273</t>
  </si>
  <si>
    <t>REV100274</t>
  </si>
  <si>
    <t>REV100275</t>
  </si>
  <si>
    <t>REV100276</t>
  </si>
  <si>
    <t>REV100277</t>
  </si>
  <si>
    <t>REV100278</t>
  </si>
  <si>
    <t>REV100279</t>
  </si>
  <si>
    <t>REV100280</t>
  </si>
  <si>
    <t>REV100281</t>
  </si>
  <si>
    <t>REV100282</t>
  </si>
  <si>
    <t>REV100283</t>
  </si>
  <si>
    <t>REV100284</t>
  </si>
  <si>
    <t>REV100285</t>
  </si>
  <si>
    <t>REV100286</t>
  </si>
  <si>
    <t>REV100287</t>
  </si>
  <si>
    <t>REV100288</t>
  </si>
  <si>
    <t>REV100289</t>
  </si>
  <si>
    <t>REV100290</t>
  </si>
  <si>
    <t>REV100291</t>
  </si>
  <si>
    <t>REV100292</t>
  </si>
  <si>
    <t>REV100293</t>
  </si>
  <si>
    <t>REV100294</t>
  </si>
  <si>
    <t>REV100295</t>
  </si>
  <si>
    <t>REV100296</t>
  </si>
  <si>
    <t>REV100297</t>
  </si>
  <si>
    <t>REV100298</t>
  </si>
  <si>
    <t>REV100299</t>
  </si>
  <si>
    <t>REV100300</t>
  </si>
  <si>
    <t>REV100301</t>
  </si>
  <si>
    <t>REV100302</t>
  </si>
  <si>
    <t>REV100303</t>
  </si>
  <si>
    <t>REV100304</t>
  </si>
  <si>
    <t>REV100305</t>
  </si>
  <si>
    <t>REV100306</t>
  </si>
  <si>
    <t>REV100307</t>
  </si>
  <si>
    <t>REV100308</t>
  </si>
  <si>
    <t>REV100309</t>
  </si>
  <si>
    <t>REV100310</t>
  </si>
  <si>
    <t>REV100311</t>
  </si>
  <si>
    <t>REV100312</t>
  </si>
  <si>
    <t>REV100313</t>
  </si>
  <si>
    <t>REV100314</t>
  </si>
  <si>
    <t>REV100315</t>
  </si>
  <si>
    <t>REV100316</t>
  </si>
  <si>
    <t>REV100317</t>
  </si>
  <si>
    <t>REV100318</t>
  </si>
  <si>
    <t>REV100319</t>
  </si>
  <si>
    <t>REV100320</t>
  </si>
  <si>
    <t>REV100321</t>
  </si>
  <si>
    <t>REV100322</t>
  </si>
  <si>
    <t>REV100323</t>
  </si>
  <si>
    <t>REV100324</t>
  </si>
  <si>
    <t>REV100325</t>
  </si>
  <si>
    <t>REV100326</t>
  </si>
  <si>
    <t>REV100327</t>
  </si>
  <si>
    <t>REV100328</t>
  </si>
  <si>
    <t>REV100329</t>
  </si>
  <si>
    <t>REV100330</t>
  </si>
  <si>
    <t>REV100331</t>
  </si>
  <si>
    <t>REV100332</t>
  </si>
  <si>
    <t>REV100333</t>
  </si>
  <si>
    <t>REV100334</t>
  </si>
  <si>
    <t>REV100335</t>
  </si>
  <si>
    <t>REV100336</t>
  </si>
  <si>
    <t>REV100337</t>
  </si>
  <si>
    <t>REV100338</t>
  </si>
  <si>
    <t>REV100339</t>
  </si>
  <si>
    <t>REV100340</t>
  </si>
  <si>
    <t>REV100341</t>
  </si>
  <si>
    <t>REV100342</t>
  </si>
  <si>
    <t>REV100343</t>
  </si>
  <si>
    <t>REV100344</t>
  </si>
  <si>
    <t>REV100345</t>
  </si>
  <si>
    <t>REV100346</t>
  </si>
  <si>
    <t>REV100347</t>
  </si>
  <si>
    <t>REV100348</t>
  </si>
  <si>
    <t>REV100349</t>
  </si>
  <si>
    <t>REV100350</t>
  </si>
  <si>
    <t>REV100351</t>
  </si>
  <si>
    <t>REV100352</t>
  </si>
  <si>
    <t>REV100353</t>
  </si>
  <si>
    <t>REV100354</t>
  </si>
  <si>
    <t>REV100355</t>
  </si>
  <si>
    <t>REV100356</t>
  </si>
  <si>
    <t>REV100357</t>
  </si>
  <si>
    <t>REV100358</t>
  </si>
  <si>
    <t>REV100359</t>
  </si>
  <si>
    <t>REV100360</t>
  </si>
  <si>
    <t>REV100361</t>
  </si>
  <si>
    <t>REV100362</t>
  </si>
  <si>
    <t>REV100363</t>
  </si>
  <si>
    <t>REV100364</t>
  </si>
  <si>
    <t>REV100365</t>
  </si>
  <si>
    <t>REV100366</t>
  </si>
  <si>
    <t>REV100367</t>
  </si>
  <si>
    <t>REV100368</t>
  </si>
  <si>
    <t>REV100369</t>
  </si>
  <si>
    <t>REV100370</t>
  </si>
  <si>
    <t>REV100371</t>
  </si>
  <si>
    <t>REV100372</t>
  </si>
  <si>
    <t>REV100373</t>
  </si>
  <si>
    <t>REV100374</t>
  </si>
  <si>
    <t>REV100375</t>
  </si>
  <si>
    <t>REV100376</t>
  </si>
  <si>
    <t>REV100377</t>
  </si>
  <si>
    <t>REV100378</t>
  </si>
  <si>
    <t>REV100379</t>
  </si>
  <si>
    <t>REV100380</t>
  </si>
  <si>
    <t>REV100381</t>
  </si>
  <si>
    <t>REV100382</t>
  </si>
  <si>
    <t>REV100383</t>
  </si>
  <si>
    <t>REV100384</t>
  </si>
  <si>
    <t>REV100385</t>
  </si>
  <si>
    <t>REV100386</t>
  </si>
  <si>
    <t>REV100387</t>
  </si>
  <si>
    <t>REV100388</t>
  </si>
  <si>
    <t>REV100389</t>
  </si>
  <si>
    <t>REV100390</t>
  </si>
  <si>
    <t>REV100391</t>
  </si>
  <si>
    <t>REV100392</t>
  </si>
  <si>
    <t>REV100393</t>
  </si>
  <si>
    <t>REV100394</t>
  </si>
  <si>
    <t>REV100395</t>
  </si>
  <si>
    <t>REV100396</t>
  </si>
  <si>
    <t>REV100397</t>
  </si>
  <si>
    <t>REV100398</t>
  </si>
  <si>
    <t>REV100399</t>
  </si>
  <si>
    <t>REV100400</t>
  </si>
  <si>
    <t>REV100401</t>
  </si>
  <si>
    <t>REV100402</t>
  </si>
  <si>
    <t>REV100403</t>
  </si>
  <si>
    <t>REV100404</t>
  </si>
  <si>
    <t>REV100405</t>
  </si>
  <si>
    <t>REV100406</t>
  </si>
  <si>
    <t>REV100407</t>
  </si>
  <si>
    <t>REV100408</t>
  </si>
  <si>
    <t>REV100409</t>
  </si>
  <si>
    <t>REV100410</t>
  </si>
  <si>
    <t>REV100411</t>
  </si>
  <si>
    <t>REV100412</t>
  </si>
  <si>
    <t>REV100413</t>
  </si>
  <si>
    <t>REV100414</t>
  </si>
  <si>
    <t>REV100415</t>
  </si>
  <si>
    <t>REV100416</t>
  </si>
  <si>
    <t>REV100417</t>
  </si>
  <si>
    <t>REV100418</t>
  </si>
  <si>
    <t>REV100419</t>
  </si>
  <si>
    <t>REV100420</t>
  </si>
  <si>
    <t>REV100421</t>
  </si>
  <si>
    <t>REV100422</t>
  </si>
  <si>
    <t>REV100423</t>
  </si>
  <si>
    <t>REV100424</t>
  </si>
  <si>
    <t>REV100425</t>
  </si>
  <si>
    <t>REV100426</t>
  </si>
  <si>
    <t>REV100427</t>
  </si>
  <si>
    <t>REV100428</t>
  </si>
  <si>
    <t>REV100429</t>
  </si>
  <si>
    <t>REV100430</t>
  </si>
  <si>
    <t>REV100431</t>
  </si>
  <si>
    <t>REV100432</t>
  </si>
  <si>
    <t>REV100433</t>
  </si>
  <si>
    <t>REV100434</t>
  </si>
  <si>
    <t>REV100435</t>
  </si>
  <si>
    <t>REV100436</t>
  </si>
  <si>
    <t>REV100437</t>
  </si>
  <si>
    <t>REV100438</t>
  </si>
  <si>
    <t>REV100439</t>
  </si>
  <si>
    <t>REV100440</t>
  </si>
  <si>
    <t>REV100441</t>
  </si>
  <si>
    <t>REV100442</t>
  </si>
  <si>
    <t>REV100443</t>
  </si>
  <si>
    <t>REV100444</t>
  </si>
  <si>
    <t>REV100445</t>
  </si>
  <si>
    <t>REV100446</t>
  </si>
  <si>
    <t>REV100447</t>
  </si>
  <si>
    <t>REV100448</t>
  </si>
  <si>
    <t>REV100449</t>
  </si>
  <si>
    <t>REV100450</t>
  </si>
  <si>
    <t>REV100451</t>
  </si>
  <si>
    <t>REV100452</t>
  </si>
  <si>
    <t>REV100453</t>
  </si>
  <si>
    <t>REV100454</t>
  </si>
  <si>
    <t>REV100455</t>
  </si>
  <si>
    <t>REV100456</t>
  </si>
  <si>
    <t>REV100457</t>
  </si>
  <si>
    <t>REV100458</t>
  </si>
  <si>
    <t>REV100459</t>
  </si>
  <si>
    <t>REV100460</t>
  </si>
  <si>
    <t>REV100461</t>
  </si>
  <si>
    <t>REV100462</t>
  </si>
  <si>
    <t>REV100463</t>
  </si>
  <si>
    <t>REV100464</t>
  </si>
  <si>
    <t>REV100465</t>
  </si>
  <si>
    <t>REV100466</t>
  </si>
  <si>
    <t>REV100467</t>
  </si>
  <si>
    <t>REV100468</t>
  </si>
  <si>
    <t>REV100469</t>
  </si>
  <si>
    <t>REV100470</t>
  </si>
  <si>
    <t>REV100471</t>
  </si>
  <si>
    <t>REV100472</t>
  </si>
  <si>
    <t>REV100473</t>
  </si>
  <si>
    <t>REV100474</t>
  </si>
  <si>
    <t>REV100475</t>
  </si>
  <si>
    <t>REV100476</t>
  </si>
  <si>
    <t>REV100477</t>
  </si>
  <si>
    <t>REV100478</t>
  </si>
  <si>
    <t>REV100479</t>
  </si>
  <si>
    <t>REV100480</t>
  </si>
  <si>
    <t>REV100481</t>
  </si>
  <si>
    <t>REV100482</t>
  </si>
  <si>
    <t>REV100483</t>
  </si>
  <si>
    <t>REV100484</t>
  </si>
  <si>
    <t>REV100485</t>
  </si>
  <si>
    <t>REV100486</t>
  </si>
  <si>
    <t>REV100487</t>
  </si>
  <si>
    <t>REV100488</t>
  </si>
  <si>
    <t>REV100489</t>
  </si>
  <si>
    <t>REV100490</t>
  </si>
  <si>
    <t>REV100491</t>
  </si>
  <si>
    <t>REV100492</t>
  </si>
  <si>
    <t>REV100493</t>
  </si>
  <si>
    <t>REV100494</t>
  </si>
  <si>
    <t>REV100495</t>
  </si>
  <si>
    <t>REV100496</t>
  </si>
  <si>
    <t>REV100497</t>
  </si>
  <si>
    <t>REV100498</t>
  </si>
  <si>
    <t>REV100499</t>
  </si>
  <si>
    <t>REV100500</t>
  </si>
  <si>
    <t>REV100501</t>
  </si>
  <si>
    <t>REV100502</t>
  </si>
  <si>
    <t>REV100503</t>
  </si>
  <si>
    <t>REV100504</t>
  </si>
  <si>
    <t>REV100505</t>
  </si>
  <si>
    <t>REV100506</t>
  </si>
  <si>
    <t>REV100507</t>
  </si>
  <si>
    <t>REV100508</t>
  </si>
  <si>
    <t>REV100509</t>
  </si>
  <si>
    <t>REV100510</t>
  </si>
  <si>
    <t>REV100511</t>
  </si>
  <si>
    <t>REV100512</t>
  </si>
  <si>
    <t>REV100513</t>
  </si>
  <si>
    <t>REV100514</t>
  </si>
  <si>
    <t>REV100515</t>
  </si>
  <si>
    <t>REV100516</t>
  </si>
  <si>
    <t>REV100517</t>
  </si>
  <si>
    <t>REV100518</t>
  </si>
  <si>
    <t>REV100519</t>
  </si>
  <si>
    <t>REV100520</t>
  </si>
  <si>
    <t>REV100521</t>
  </si>
  <si>
    <t>REV100522</t>
  </si>
  <si>
    <t>REV100523</t>
  </si>
  <si>
    <t>REV100524</t>
  </si>
  <si>
    <t>REV100525</t>
  </si>
  <si>
    <t>REV100526</t>
  </si>
  <si>
    <t>REV100527</t>
  </si>
  <si>
    <t>REV100528</t>
  </si>
  <si>
    <t>REV100529</t>
  </si>
  <si>
    <t>REV100530</t>
  </si>
  <si>
    <t>REV100531</t>
  </si>
  <si>
    <t>REV100532</t>
  </si>
  <si>
    <t>REV100533</t>
  </si>
  <si>
    <t>REV100534</t>
  </si>
  <si>
    <t>REV100535</t>
  </si>
  <si>
    <t>REV100536</t>
  </si>
  <si>
    <t>REV100537</t>
  </si>
  <si>
    <t>REV100538</t>
  </si>
  <si>
    <t>REV100539</t>
  </si>
  <si>
    <t>REV100540</t>
  </si>
  <si>
    <t>REV100541</t>
  </si>
  <si>
    <t>REV100542</t>
  </si>
  <si>
    <t>REV100543</t>
  </si>
  <si>
    <t>REV100544</t>
  </si>
  <si>
    <t>REV100545</t>
  </si>
  <si>
    <t>REV100546</t>
  </si>
  <si>
    <t>REV100547</t>
  </si>
  <si>
    <t>REV100548</t>
  </si>
  <si>
    <t>REV100549</t>
  </si>
  <si>
    <t>REV100550</t>
  </si>
  <si>
    <t>REV100551</t>
  </si>
  <si>
    <t>REV100552</t>
  </si>
  <si>
    <t>REV100553</t>
  </si>
  <si>
    <t>REV100554</t>
  </si>
  <si>
    <t>REV100555</t>
  </si>
  <si>
    <t>REV100556</t>
  </si>
  <si>
    <t>REV100557</t>
  </si>
  <si>
    <t>REV100558</t>
  </si>
  <si>
    <t>REV100559</t>
  </si>
  <si>
    <t>REV100560</t>
  </si>
  <si>
    <t>REV100561</t>
  </si>
  <si>
    <t>REV100562</t>
  </si>
  <si>
    <t>REV100563</t>
  </si>
  <si>
    <t>REV100564</t>
  </si>
  <si>
    <t>REV100565</t>
  </si>
  <si>
    <t>REV100566</t>
  </si>
  <si>
    <t>REV100567</t>
  </si>
  <si>
    <t>REV100568</t>
  </si>
  <si>
    <t>REV100569</t>
  </si>
  <si>
    <t>REV100570</t>
  </si>
  <si>
    <t>REV100571</t>
  </si>
  <si>
    <t>REV100572</t>
  </si>
  <si>
    <t>REV100573</t>
  </si>
  <si>
    <t>REV100574</t>
  </si>
  <si>
    <t>REV100575</t>
  </si>
  <si>
    <t>REV100576</t>
  </si>
  <si>
    <t>REV100577</t>
  </si>
  <si>
    <t>REV100578</t>
  </si>
  <si>
    <t>REV100579</t>
  </si>
  <si>
    <t>REV100580</t>
  </si>
  <si>
    <t>REV100581</t>
  </si>
  <si>
    <t>REV100582</t>
  </si>
  <si>
    <t>REV100583</t>
  </si>
  <si>
    <t>REV100584</t>
  </si>
  <si>
    <t>REV100585</t>
  </si>
  <si>
    <t>REV100586</t>
  </si>
  <si>
    <t>REV100587</t>
  </si>
  <si>
    <t>REV100588</t>
  </si>
  <si>
    <t>REV100589</t>
  </si>
  <si>
    <t>REV100590</t>
  </si>
  <si>
    <t>REV100591</t>
  </si>
  <si>
    <t>REV100592</t>
  </si>
  <si>
    <t>REV100593</t>
  </si>
  <si>
    <t>REV100594</t>
  </si>
  <si>
    <t>REV100595</t>
  </si>
  <si>
    <t>REV100596</t>
  </si>
  <si>
    <t>REV100597</t>
  </si>
  <si>
    <t>REV100598</t>
  </si>
  <si>
    <t>REV100599</t>
  </si>
  <si>
    <t>REV100600</t>
  </si>
  <si>
    <t>REV100601</t>
  </si>
  <si>
    <t>REV100602</t>
  </si>
  <si>
    <t>REV100603</t>
  </si>
  <si>
    <t>REV100604</t>
  </si>
  <si>
    <t>REV100605</t>
  </si>
  <si>
    <t>REV100606</t>
  </si>
  <si>
    <t>REV100607</t>
  </si>
  <si>
    <t>REV100608</t>
  </si>
  <si>
    <t>REV100609</t>
  </si>
  <si>
    <t>REV100610</t>
  </si>
  <si>
    <t>REV100611</t>
  </si>
  <si>
    <t>REV100612</t>
  </si>
  <si>
    <t>REV100613</t>
  </si>
  <si>
    <t>REV100614</t>
  </si>
  <si>
    <t>REV100615</t>
  </si>
  <si>
    <t>REV100616</t>
  </si>
  <si>
    <t>REV100617</t>
  </si>
  <si>
    <t>REV100618</t>
  </si>
  <si>
    <t>REV100619</t>
  </si>
  <si>
    <t>REV100620</t>
  </si>
  <si>
    <t>REV100621</t>
  </si>
  <si>
    <t>REV100622</t>
  </si>
  <si>
    <t>REV100623</t>
  </si>
  <si>
    <t>REV100624</t>
  </si>
  <si>
    <t>REV100625</t>
  </si>
  <si>
    <t>REV100626</t>
  </si>
  <si>
    <t>REV100627</t>
  </si>
  <si>
    <t>REV100628</t>
  </si>
  <si>
    <t>REV100629</t>
  </si>
  <si>
    <t>REV100630</t>
  </si>
  <si>
    <t>REV100631</t>
  </si>
  <si>
    <t>REV100632</t>
  </si>
  <si>
    <t>REV100633</t>
  </si>
  <si>
    <t>REV100634</t>
  </si>
  <si>
    <t>REV100635</t>
  </si>
  <si>
    <t>REV100636</t>
  </si>
  <si>
    <t>REV100637</t>
  </si>
  <si>
    <t>REV100638</t>
  </si>
  <si>
    <t>REV100639</t>
  </si>
  <si>
    <t>REV100640</t>
  </si>
  <si>
    <t>REV100641</t>
  </si>
  <si>
    <t>REV100642</t>
  </si>
  <si>
    <t>REV100643</t>
  </si>
  <si>
    <t>REV100644</t>
  </si>
  <si>
    <t>REV100645</t>
  </si>
  <si>
    <t>REV100646</t>
  </si>
  <si>
    <t>REV100647</t>
  </si>
  <si>
    <t>REV100648</t>
  </si>
  <si>
    <t>REV100649</t>
  </si>
  <si>
    <t>REV100650</t>
  </si>
  <si>
    <t>REV100651</t>
  </si>
  <si>
    <t>REV100652</t>
  </si>
  <si>
    <t>REV100653</t>
  </si>
  <si>
    <t>REV100654</t>
  </si>
  <si>
    <t>REV100655</t>
  </si>
  <si>
    <t>REV100656</t>
  </si>
  <si>
    <t>REV100657</t>
  </si>
  <si>
    <t>REV100658</t>
  </si>
  <si>
    <t>REV100659</t>
  </si>
  <si>
    <t>REV100660</t>
  </si>
  <si>
    <t>REV100661</t>
  </si>
  <si>
    <t>REV100662</t>
  </si>
  <si>
    <t>REV100663</t>
  </si>
  <si>
    <t>REV100664</t>
  </si>
  <si>
    <t>REV100665</t>
  </si>
  <si>
    <t>REV100666</t>
  </si>
  <si>
    <t>REV100667</t>
  </si>
  <si>
    <t>REV100668</t>
  </si>
  <si>
    <t>REV100669</t>
  </si>
  <si>
    <t>REV100670</t>
  </si>
  <si>
    <t>REV100671</t>
  </si>
  <si>
    <t>REV100672</t>
  </si>
  <si>
    <t>REV100673</t>
  </si>
  <si>
    <t>REV100674</t>
  </si>
  <si>
    <t>REV100675</t>
  </si>
  <si>
    <t>REV100676</t>
  </si>
  <si>
    <t>REV100677</t>
  </si>
  <si>
    <t>REV100678</t>
  </si>
  <si>
    <t>REV100679</t>
  </si>
  <si>
    <t>REV100680</t>
  </si>
  <si>
    <t>REV100681</t>
  </si>
  <si>
    <t>REV100682</t>
  </si>
  <si>
    <t>REV100683</t>
  </si>
  <si>
    <t>REV100684</t>
  </si>
  <si>
    <t>REV100685</t>
  </si>
  <si>
    <t>REV100686</t>
  </si>
  <si>
    <t>REV100687</t>
  </si>
  <si>
    <t>REV100688</t>
  </si>
  <si>
    <t>REV100689</t>
  </si>
  <si>
    <t>REV100690</t>
  </si>
  <si>
    <t>REV100691</t>
  </si>
  <si>
    <t>REV100692</t>
  </si>
  <si>
    <t>REV100693</t>
  </si>
  <si>
    <t>REV100694</t>
  </si>
  <si>
    <t>REV100695</t>
  </si>
  <si>
    <t>REV100696</t>
  </si>
  <si>
    <t>REV100697</t>
  </si>
  <si>
    <t>REV100698</t>
  </si>
  <si>
    <t>REV100699</t>
  </si>
  <si>
    <t>REV100700</t>
  </si>
  <si>
    <t>REV100701</t>
  </si>
  <si>
    <t>REV100702</t>
  </si>
  <si>
    <t>REV100703</t>
  </si>
  <si>
    <t>REV100704</t>
  </si>
  <si>
    <t>REV100705</t>
  </si>
  <si>
    <t>REV100706</t>
  </si>
  <si>
    <t>REV100707</t>
  </si>
  <si>
    <t>REV100708</t>
  </si>
  <si>
    <t>REV100709</t>
  </si>
  <si>
    <t>REV100710</t>
  </si>
  <si>
    <t>REV100711</t>
  </si>
  <si>
    <t>REV100712</t>
  </si>
  <si>
    <t>REV100713</t>
  </si>
  <si>
    <t>REV100714</t>
  </si>
  <si>
    <t>REV100715</t>
  </si>
  <si>
    <t>REV100716</t>
  </si>
  <si>
    <t>REV100717</t>
  </si>
  <si>
    <t>REV100718</t>
  </si>
  <si>
    <t>REV100719</t>
  </si>
  <si>
    <t>REV100720</t>
  </si>
  <si>
    <t>REV100721</t>
  </si>
  <si>
    <t>REV100722</t>
  </si>
  <si>
    <t>REV100723</t>
  </si>
  <si>
    <t>REV100724</t>
  </si>
  <si>
    <t>REV100725</t>
  </si>
  <si>
    <t>REV100726</t>
  </si>
  <si>
    <t>REV100727</t>
  </si>
  <si>
    <t>REV100728</t>
  </si>
  <si>
    <t>REV100729</t>
  </si>
  <si>
    <t>REV100730</t>
  </si>
  <si>
    <t>REV100731</t>
  </si>
  <si>
    <t>REV100732</t>
  </si>
  <si>
    <t>REV100733</t>
  </si>
  <si>
    <t>REV100734</t>
  </si>
  <si>
    <t>REV100735</t>
  </si>
  <si>
    <t>REV100736</t>
  </si>
  <si>
    <t>REV100737</t>
  </si>
  <si>
    <t>REV100738</t>
  </si>
  <si>
    <t>REV100739</t>
  </si>
  <si>
    <t>REV100740</t>
  </si>
  <si>
    <t>REV100741</t>
  </si>
  <si>
    <t>REV100742</t>
  </si>
  <si>
    <t>REV100743</t>
  </si>
  <si>
    <t>REV100744</t>
  </si>
  <si>
    <t>REV100745</t>
  </si>
  <si>
    <t>REV100746</t>
  </si>
  <si>
    <t>REV100747</t>
  </si>
  <si>
    <t>REV100748</t>
  </si>
  <si>
    <t>REV100749</t>
  </si>
  <si>
    <t>REV100750</t>
  </si>
  <si>
    <t>REV100751</t>
  </si>
  <si>
    <t>REV100752</t>
  </si>
  <si>
    <t>REV100753</t>
  </si>
  <si>
    <t>REV100754</t>
  </si>
  <si>
    <t>REV100755</t>
  </si>
  <si>
    <t>REV100756</t>
  </si>
  <si>
    <t>REV100757</t>
  </si>
  <si>
    <t>REV100758</t>
  </si>
  <si>
    <t>REV100759</t>
  </si>
  <si>
    <t>REV100760</t>
  </si>
  <si>
    <t>REV100761</t>
  </si>
  <si>
    <t>REV100762</t>
  </si>
  <si>
    <t>REV100763</t>
  </si>
  <si>
    <t>REV100764</t>
  </si>
  <si>
    <t>REV100765</t>
  </si>
  <si>
    <t>REV100766</t>
  </si>
  <si>
    <t>REV100767</t>
  </si>
  <si>
    <t>REV100768</t>
  </si>
  <si>
    <t>REV100769</t>
  </si>
  <si>
    <t>REV100770</t>
  </si>
  <si>
    <t>REV100771</t>
  </si>
  <si>
    <t>REV100772</t>
  </si>
  <si>
    <t>REV100773</t>
  </si>
  <si>
    <t>REV100774</t>
  </si>
  <si>
    <t>REV100775</t>
  </si>
  <si>
    <t>REV100776</t>
  </si>
  <si>
    <t>REV100777</t>
  </si>
  <si>
    <t>REV100778</t>
  </si>
  <si>
    <t>REV100779</t>
  </si>
  <si>
    <t>REV100780</t>
  </si>
  <si>
    <t>REV100781</t>
  </si>
  <si>
    <t>REV100782</t>
  </si>
  <si>
    <t>REV100783</t>
  </si>
  <si>
    <t>REV100784</t>
  </si>
  <si>
    <t>REV100785</t>
  </si>
  <si>
    <t>REV100786</t>
  </si>
  <si>
    <t>REV100787</t>
  </si>
  <si>
    <t>REV100788</t>
  </si>
  <si>
    <t>REV100789</t>
  </si>
  <si>
    <t>REV100790</t>
  </si>
  <si>
    <t>REV100791</t>
  </si>
  <si>
    <t>REV100792</t>
  </si>
  <si>
    <t>REV100793</t>
  </si>
  <si>
    <t>REV100794</t>
  </si>
  <si>
    <t>REV100795</t>
  </si>
  <si>
    <t>REV100796</t>
  </si>
  <si>
    <t>REV100797</t>
  </si>
  <si>
    <t>REV100798</t>
  </si>
  <si>
    <t>REV100799</t>
  </si>
  <si>
    <t>REV100800</t>
  </si>
  <si>
    <t>REV100801</t>
  </si>
  <si>
    <t>REV100802</t>
  </si>
  <si>
    <t>REV100803</t>
  </si>
  <si>
    <t>REV100804</t>
  </si>
  <si>
    <t>REV100805</t>
  </si>
  <si>
    <t>REV100806</t>
  </si>
  <si>
    <t>REV100807</t>
  </si>
  <si>
    <t>REV100808</t>
  </si>
  <si>
    <t>REV100809</t>
  </si>
  <si>
    <t>REV100810</t>
  </si>
  <si>
    <t>REV100811</t>
  </si>
  <si>
    <t>REV100812</t>
  </si>
  <si>
    <t>REV100813</t>
  </si>
  <si>
    <t>REV100814</t>
  </si>
  <si>
    <t>REV100815</t>
  </si>
  <si>
    <t>REV100816</t>
  </si>
  <si>
    <t>REV100817</t>
  </si>
  <si>
    <t>REV100818</t>
  </si>
  <si>
    <t>REV100819</t>
  </si>
  <si>
    <t>REV100820</t>
  </si>
  <si>
    <t>REV100821</t>
  </si>
  <si>
    <t>REV100822</t>
  </si>
  <si>
    <t>REV100823</t>
  </si>
  <si>
    <t>REV100824</t>
  </si>
  <si>
    <t>REV100825</t>
  </si>
  <si>
    <t>REV100826</t>
  </si>
  <si>
    <t>REV100827</t>
  </si>
  <si>
    <t>REV100828</t>
  </si>
  <si>
    <t>REV100829</t>
  </si>
  <si>
    <t>REV100830</t>
  </si>
  <si>
    <t>REV100831</t>
  </si>
  <si>
    <t>REV100832</t>
  </si>
  <si>
    <t>REV100833</t>
  </si>
  <si>
    <t>REV100834</t>
  </si>
  <si>
    <t>REV100835</t>
  </si>
  <si>
    <t>REV100836</t>
  </si>
  <si>
    <t>REV100837</t>
  </si>
  <si>
    <t>REV100838</t>
  </si>
  <si>
    <t>REV100839</t>
  </si>
  <si>
    <t>REV100840</t>
  </si>
  <si>
    <t>REV100841</t>
  </si>
  <si>
    <t>REV100842</t>
  </si>
  <si>
    <t>REV100843</t>
  </si>
  <si>
    <t>REV100844</t>
  </si>
  <si>
    <t>REV100845</t>
  </si>
  <si>
    <t>REV100846</t>
  </si>
  <si>
    <t>REV100847</t>
  </si>
  <si>
    <t>REV100848</t>
  </si>
  <si>
    <t>REV100849</t>
  </si>
  <si>
    <t>REV100850</t>
  </si>
  <si>
    <t>REV100851</t>
  </si>
  <si>
    <t>REV100852</t>
  </si>
  <si>
    <t>REV100853</t>
  </si>
  <si>
    <t>REV100854</t>
  </si>
  <si>
    <t>REV100855</t>
  </si>
  <si>
    <t>REV100856</t>
  </si>
  <si>
    <t>REV100857</t>
  </si>
  <si>
    <t>REV100858</t>
  </si>
  <si>
    <t>REV100859</t>
  </si>
  <si>
    <t>REV100860</t>
  </si>
  <si>
    <t>REV100861</t>
  </si>
  <si>
    <t>REV100862</t>
  </si>
  <si>
    <t>REV100863</t>
  </si>
  <si>
    <t>REV100864</t>
  </si>
  <si>
    <t>REV100865</t>
  </si>
  <si>
    <t>REV100866</t>
  </si>
  <si>
    <t>REV100867</t>
  </si>
  <si>
    <t>REV100868</t>
  </si>
  <si>
    <t>REV100869</t>
  </si>
  <si>
    <t>REV100870</t>
  </si>
  <si>
    <t>REV100871</t>
  </si>
  <si>
    <t>REV100872</t>
  </si>
  <si>
    <t>REV100873</t>
  </si>
  <si>
    <t>REV100874</t>
  </si>
  <si>
    <t>REV100875</t>
  </si>
  <si>
    <t>REV100876</t>
  </si>
  <si>
    <t>REV100877</t>
  </si>
  <si>
    <t>REV100878</t>
  </si>
  <si>
    <t>REV100879</t>
  </si>
  <si>
    <t>REV100880</t>
  </si>
  <si>
    <t>REV100881</t>
  </si>
  <si>
    <t>REV100882</t>
  </si>
  <si>
    <t>REV100883</t>
  </si>
  <si>
    <t>REV100884</t>
  </si>
  <si>
    <t>REV100885</t>
  </si>
  <si>
    <t>REV100886</t>
  </si>
  <si>
    <t>REV100887</t>
  </si>
  <si>
    <t>REV100888</t>
  </si>
  <si>
    <t>REV100889</t>
  </si>
  <si>
    <t>REV100890</t>
  </si>
  <si>
    <t>REV100891</t>
  </si>
  <si>
    <t>REV100892</t>
  </si>
  <si>
    <t>REV100893</t>
  </si>
  <si>
    <t>REV100894</t>
  </si>
  <si>
    <t>REV100895</t>
  </si>
  <si>
    <t>REV100896</t>
  </si>
  <si>
    <t>REV100897</t>
  </si>
  <si>
    <t>REV100898</t>
  </si>
  <si>
    <t>REV100899</t>
  </si>
  <si>
    <t>REV100900</t>
  </si>
  <si>
    <t>REV100901</t>
  </si>
  <si>
    <t>REV100902</t>
  </si>
  <si>
    <t>REV100903</t>
  </si>
  <si>
    <t>REV100904</t>
  </si>
  <si>
    <t>REV100905</t>
  </si>
  <si>
    <t>REV100906</t>
  </si>
  <si>
    <t>REV100907</t>
  </si>
  <si>
    <t>REV100908</t>
  </si>
  <si>
    <t>REV100909</t>
  </si>
  <si>
    <t>REV100910</t>
  </si>
  <si>
    <t>REV100911</t>
  </si>
  <si>
    <t>REV100912</t>
  </si>
  <si>
    <t>REV100913</t>
  </si>
  <si>
    <t>REV100914</t>
  </si>
  <si>
    <t>REV100915</t>
  </si>
  <si>
    <t>REV100916</t>
  </si>
  <si>
    <t>REV100917</t>
  </si>
  <si>
    <t>REV100918</t>
  </si>
  <si>
    <t>REV100919</t>
  </si>
  <si>
    <t>REV100920</t>
  </si>
  <si>
    <t>REV100921</t>
  </si>
  <si>
    <t>REV100922</t>
  </si>
  <si>
    <t>REV100923</t>
  </si>
  <si>
    <t>REV100924</t>
  </si>
  <si>
    <t>REV100925</t>
  </si>
  <si>
    <t>REV100926</t>
  </si>
  <si>
    <t>REV100927</t>
  </si>
  <si>
    <t>REV100928</t>
  </si>
  <si>
    <t>REV100929</t>
  </si>
  <si>
    <t>REV100930</t>
  </si>
  <si>
    <t>REV100931</t>
  </si>
  <si>
    <t>REV100932</t>
  </si>
  <si>
    <t>REV100933</t>
  </si>
  <si>
    <t>REV100934</t>
  </si>
  <si>
    <t>REV100935</t>
  </si>
  <si>
    <t>REV100936</t>
  </si>
  <si>
    <t>REV100937</t>
  </si>
  <si>
    <t>REV100938</t>
  </si>
  <si>
    <t>REV100939</t>
  </si>
  <si>
    <t>REV100940</t>
  </si>
  <si>
    <t>REV100941</t>
  </si>
  <si>
    <t>REV100942</t>
  </si>
  <si>
    <t>REV100943</t>
  </si>
  <si>
    <t>REV100944</t>
  </si>
  <si>
    <t>REV100945</t>
  </si>
  <si>
    <t>REV100946</t>
  </si>
  <si>
    <t>REV100947</t>
  </si>
  <si>
    <t>REV100948</t>
  </si>
  <si>
    <t>REV100949</t>
  </si>
  <si>
    <t>REV100950</t>
  </si>
  <si>
    <t>REV100951</t>
  </si>
  <si>
    <t>REV100952</t>
  </si>
  <si>
    <t>REV100953</t>
  </si>
  <si>
    <t>REV100954</t>
  </si>
  <si>
    <t>REV100955</t>
  </si>
  <si>
    <t>REV100956</t>
  </si>
  <si>
    <t>REV100957</t>
  </si>
  <si>
    <t>REV100958</t>
  </si>
  <si>
    <t>REV100959</t>
  </si>
  <si>
    <t>REV100960</t>
  </si>
  <si>
    <t>REV100961</t>
  </si>
  <si>
    <t>REV100962</t>
  </si>
  <si>
    <t>REV100963</t>
  </si>
  <si>
    <t>REV100964</t>
  </si>
  <si>
    <t>REV100965</t>
  </si>
  <si>
    <t>REV100966</t>
  </si>
  <si>
    <t>REV100967</t>
  </si>
  <si>
    <t>REV100968</t>
  </si>
  <si>
    <t>REV100969</t>
  </si>
  <si>
    <t>REV100970</t>
  </si>
  <si>
    <t>REV100971</t>
  </si>
  <si>
    <t>REV100972</t>
  </si>
  <si>
    <t>REV100973</t>
  </si>
  <si>
    <t>REV100974</t>
  </si>
  <si>
    <t>REV100975</t>
  </si>
  <si>
    <t>REV100976</t>
  </si>
  <si>
    <t>REV100977</t>
  </si>
  <si>
    <t>REV100978</t>
  </si>
  <si>
    <t>REV100979</t>
  </si>
  <si>
    <t>REV100980</t>
  </si>
  <si>
    <t>REV100981</t>
  </si>
  <si>
    <t>REV100982</t>
  </si>
  <si>
    <t>REV100983</t>
  </si>
  <si>
    <t>REV100984</t>
  </si>
  <si>
    <t>REV100985</t>
  </si>
  <si>
    <t>REV100986</t>
  </si>
  <si>
    <t>REV100987</t>
  </si>
  <si>
    <t>REV100988</t>
  </si>
  <si>
    <t>REV100989</t>
  </si>
  <si>
    <t>REV100990</t>
  </si>
  <si>
    <t>REV100991</t>
  </si>
  <si>
    <t>REV100992</t>
  </si>
  <si>
    <t>REV100993</t>
  </si>
  <si>
    <t>REV100994</t>
  </si>
  <si>
    <t>REV100995</t>
  </si>
  <si>
    <t>REV100996</t>
  </si>
  <si>
    <t>REV100997</t>
  </si>
  <si>
    <t>REV100998</t>
  </si>
  <si>
    <t>REV100999</t>
  </si>
  <si>
    <t>REV101000</t>
  </si>
  <si>
    <t>REV101001</t>
  </si>
  <si>
    <t>REV101002</t>
  </si>
  <si>
    <t>REV101003</t>
  </si>
  <si>
    <t>REV101004</t>
  </si>
  <si>
    <t>REV101005</t>
  </si>
  <si>
    <t>REV101006</t>
  </si>
  <si>
    <t>REV101007</t>
  </si>
  <si>
    <t>REV101008</t>
  </si>
  <si>
    <t>REV101009</t>
  </si>
  <si>
    <t>REV101010</t>
  </si>
  <si>
    <t>REV101011</t>
  </si>
  <si>
    <t>REV101012</t>
  </si>
  <si>
    <t>REV101013</t>
  </si>
  <si>
    <t>REV101014</t>
  </si>
  <si>
    <t>REV101015</t>
  </si>
  <si>
    <t>REV101016</t>
  </si>
  <si>
    <t>REV101017</t>
  </si>
  <si>
    <t>REV101018</t>
  </si>
  <si>
    <t>REV101019</t>
  </si>
  <si>
    <t>REV101020</t>
  </si>
  <si>
    <t>REV101021</t>
  </si>
  <si>
    <t>REV101022</t>
  </si>
  <si>
    <t>REV101023</t>
  </si>
  <si>
    <t>REV101024</t>
  </si>
  <si>
    <t>REV101025</t>
  </si>
  <si>
    <t>REV101026</t>
  </si>
  <si>
    <t>REV101027</t>
  </si>
  <si>
    <t>REV101028</t>
  </si>
  <si>
    <t>REV101029</t>
  </si>
  <si>
    <t>REV101030</t>
  </si>
  <si>
    <t>REV101031</t>
  </si>
  <si>
    <t>REV101032</t>
  </si>
  <si>
    <t>REV101033</t>
  </si>
  <si>
    <t>REV101034</t>
  </si>
  <si>
    <t>REV101035</t>
  </si>
  <si>
    <t>REV101036</t>
  </si>
  <si>
    <t>REV101037</t>
  </si>
  <si>
    <t>REV101038</t>
  </si>
  <si>
    <t>REV101039</t>
  </si>
  <si>
    <t>REV101040</t>
  </si>
  <si>
    <t>REV101041</t>
  </si>
  <si>
    <t>REV101042</t>
  </si>
  <si>
    <t>REV101043</t>
  </si>
  <si>
    <t>REV101044</t>
  </si>
  <si>
    <t>REV101045</t>
  </si>
  <si>
    <t>REV101046</t>
  </si>
  <si>
    <t>REV101047</t>
  </si>
  <si>
    <t>REV101048</t>
  </si>
  <si>
    <t>REV101049</t>
  </si>
  <si>
    <t>REV101050</t>
  </si>
  <si>
    <t>REV101051</t>
  </si>
  <si>
    <t>REV101052</t>
  </si>
  <si>
    <t>REV101053</t>
  </si>
  <si>
    <t>REV101054</t>
  </si>
  <si>
    <t>REV101055</t>
  </si>
  <si>
    <t>REV101056</t>
  </si>
  <si>
    <t>REV101057</t>
  </si>
  <si>
    <t>REV101058</t>
  </si>
  <si>
    <t>REV101059</t>
  </si>
  <si>
    <t>REV101060</t>
  </si>
  <si>
    <t>REV101061</t>
  </si>
  <si>
    <t>REV101062</t>
  </si>
  <si>
    <t>REV101063</t>
  </si>
  <si>
    <t>REV101064</t>
  </si>
  <si>
    <t>REV101065</t>
  </si>
  <si>
    <t>REV101066</t>
  </si>
  <si>
    <t>REV101067</t>
  </si>
  <si>
    <t>REV101068</t>
  </si>
  <si>
    <t>REV101069</t>
  </si>
  <si>
    <t>REV101070</t>
  </si>
  <si>
    <t>REV101071</t>
  </si>
  <si>
    <t>REV101072</t>
  </si>
  <si>
    <t>REV101073</t>
  </si>
  <si>
    <t>REV101074</t>
  </si>
  <si>
    <t>REV101075</t>
  </si>
  <si>
    <t>REV101076</t>
  </si>
  <si>
    <t>REV101077</t>
  </si>
  <si>
    <t>REV101078</t>
  </si>
  <si>
    <t>REV101079</t>
  </si>
  <si>
    <t>REV101080</t>
  </si>
  <si>
    <t>REV101081</t>
  </si>
  <si>
    <t>REV101082</t>
  </si>
  <si>
    <t>REV101083</t>
  </si>
  <si>
    <t>REV101084</t>
  </si>
  <si>
    <t>REV101085</t>
  </si>
  <si>
    <t>REV101086</t>
  </si>
  <si>
    <t>REV101087</t>
  </si>
  <si>
    <t>REV101088</t>
  </si>
  <si>
    <t>REV101089</t>
  </si>
  <si>
    <t>REV101090</t>
  </si>
  <si>
    <t>REV101091</t>
  </si>
  <si>
    <t>REV101092</t>
  </si>
  <si>
    <t>REV101093</t>
  </si>
  <si>
    <t>REV101094</t>
  </si>
  <si>
    <t>REV101095</t>
  </si>
  <si>
    <t>REV101096</t>
  </si>
  <si>
    <t>REV101097</t>
  </si>
  <si>
    <t>REV101098</t>
  </si>
  <si>
    <t>REV101099</t>
  </si>
  <si>
    <t>REV101100</t>
  </si>
  <si>
    <t>REV101101</t>
  </si>
  <si>
    <t>REV101102</t>
  </si>
  <si>
    <t>REV101103</t>
  </si>
  <si>
    <t>REV101104</t>
  </si>
  <si>
    <t>REV101105</t>
  </si>
  <si>
    <t>REV101106</t>
  </si>
  <si>
    <t>REV101107</t>
  </si>
  <si>
    <t>REV101108</t>
  </si>
  <si>
    <t>REV101109</t>
  </si>
  <si>
    <t>REV101110</t>
  </si>
  <si>
    <t>REV101111</t>
  </si>
  <si>
    <t>REV101112</t>
  </si>
  <si>
    <t>REV101113</t>
  </si>
  <si>
    <t>REV101114</t>
  </si>
  <si>
    <t>REV101115</t>
  </si>
  <si>
    <t>REV101116</t>
  </si>
  <si>
    <t>REV101117</t>
  </si>
  <si>
    <t>REV101118</t>
  </si>
  <si>
    <t>REV101119</t>
  </si>
  <si>
    <t>REV101120</t>
  </si>
  <si>
    <t>REV101121</t>
  </si>
  <si>
    <t>REV101122</t>
  </si>
  <si>
    <t>REV101123</t>
  </si>
  <si>
    <t>REV101124</t>
  </si>
  <si>
    <t>REV101125</t>
  </si>
  <si>
    <t>REV101126</t>
  </si>
  <si>
    <t>REV101127</t>
  </si>
  <si>
    <t>REV101128</t>
  </si>
  <si>
    <t>REV101129</t>
  </si>
  <si>
    <t>REV101130</t>
  </si>
  <si>
    <t>REV101131</t>
  </si>
  <si>
    <t>REV101132</t>
  </si>
  <si>
    <t>REV101133</t>
  </si>
  <si>
    <t>REV101134</t>
  </si>
  <si>
    <t>REV101135</t>
  </si>
  <si>
    <t>REV101136</t>
  </si>
  <si>
    <t>REV101137</t>
  </si>
  <si>
    <t>REV101138</t>
  </si>
  <si>
    <t>REV101139</t>
  </si>
  <si>
    <t>REV101140</t>
  </si>
  <si>
    <t>REV101141</t>
  </si>
  <si>
    <t>REV101142</t>
  </si>
  <si>
    <t>REV101143</t>
  </si>
  <si>
    <t>REV101144</t>
  </si>
  <si>
    <t>REV101145</t>
  </si>
  <si>
    <t>REV101146</t>
  </si>
  <si>
    <t>REV101147</t>
  </si>
  <si>
    <t>REV101148</t>
  </si>
  <si>
    <t>REV101149</t>
  </si>
  <si>
    <t>REV101150</t>
  </si>
  <si>
    <t>REV101151</t>
  </si>
  <si>
    <t>REV101152</t>
  </si>
  <si>
    <t>REV101153</t>
  </si>
  <si>
    <t>REV101154</t>
  </si>
  <si>
    <t>REV101155</t>
  </si>
  <si>
    <t>REV101156</t>
  </si>
  <si>
    <t>REV101157</t>
  </si>
  <si>
    <t>REV101158</t>
  </si>
  <si>
    <t>REV101159</t>
  </si>
  <si>
    <t>REV101160</t>
  </si>
  <si>
    <t>REV101161</t>
  </si>
  <si>
    <t>REV101162</t>
  </si>
  <si>
    <t>REV101163</t>
  </si>
  <si>
    <t>REV101164</t>
  </si>
  <si>
    <t>REV101165</t>
  </si>
  <si>
    <t>REV101166</t>
  </si>
  <si>
    <t>REV101167</t>
  </si>
  <si>
    <t>REV101168</t>
  </si>
  <si>
    <t>REV101169</t>
  </si>
  <si>
    <t>REV101170</t>
  </si>
  <si>
    <t>REV101171</t>
  </si>
  <si>
    <t>REV101172</t>
  </si>
  <si>
    <t>REV101173</t>
  </si>
  <si>
    <t>REV101174</t>
  </si>
  <si>
    <t>REV101175</t>
  </si>
  <si>
    <t>REV101176</t>
  </si>
  <si>
    <t>REV101177</t>
  </si>
  <si>
    <t>REV101178</t>
  </si>
  <si>
    <t>REV101179</t>
  </si>
  <si>
    <t>REV101180</t>
  </si>
  <si>
    <t>REV101181</t>
  </si>
  <si>
    <t>REV101182</t>
  </si>
  <si>
    <t>REV101183</t>
  </si>
  <si>
    <t>REV101184</t>
  </si>
  <si>
    <t>REV101185</t>
  </si>
  <si>
    <t>REV101186</t>
  </si>
  <si>
    <t>REV101187</t>
  </si>
  <si>
    <t>REV101188</t>
  </si>
  <si>
    <t>REV101189</t>
  </si>
  <si>
    <t>REV101190</t>
  </si>
  <si>
    <t>REV101191</t>
  </si>
  <si>
    <t>REV101192</t>
  </si>
  <si>
    <t>REV101193</t>
  </si>
  <si>
    <t>REV101194</t>
  </si>
  <si>
    <t>REV101195</t>
  </si>
  <si>
    <t>REV101196</t>
  </si>
  <si>
    <t>REV101197</t>
  </si>
  <si>
    <t>REV101198</t>
  </si>
  <si>
    <t>REV101199</t>
  </si>
  <si>
    <t>REV101200</t>
  </si>
  <si>
    <t>REV101201</t>
  </si>
  <si>
    <t>REV101202</t>
  </si>
  <si>
    <t>REV101203</t>
  </si>
  <si>
    <t>REV101204</t>
  </si>
  <si>
    <t>REV101205</t>
  </si>
  <si>
    <t>REV101206</t>
  </si>
  <si>
    <t>REV101207</t>
  </si>
  <si>
    <t>REV101208</t>
  </si>
  <si>
    <t>REV101209</t>
  </si>
  <si>
    <t>REV101210</t>
  </si>
  <si>
    <t>REV101211</t>
  </si>
  <si>
    <t>REV101212</t>
  </si>
  <si>
    <t>REV101213</t>
  </si>
  <si>
    <t>REV101214</t>
  </si>
  <si>
    <t>REV101215</t>
  </si>
  <si>
    <t>REV101216</t>
  </si>
  <si>
    <t>REV101217</t>
  </si>
  <si>
    <t>REV101218</t>
  </si>
  <si>
    <t>REV101219</t>
  </si>
  <si>
    <t>REV101220</t>
  </si>
  <si>
    <t>REV101221</t>
  </si>
  <si>
    <t>REV101222</t>
  </si>
  <si>
    <t>REV101223</t>
  </si>
  <si>
    <t>REV101224</t>
  </si>
  <si>
    <t>REV101225</t>
  </si>
  <si>
    <t>REV101226</t>
  </si>
  <si>
    <t>REV101227</t>
  </si>
  <si>
    <t>REV101228</t>
  </si>
  <si>
    <t>REV101229</t>
  </si>
  <si>
    <t>REV101230</t>
  </si>
  <si>
    <t>REV101231</t>
  </si>
  <si>
    <t>REV101232</t>
  </si>
  <si>
    <t>REV101233</t>
  </si>
  <si>
    <t>REV101234</t>
  </si>
  <si>
    <t>REV101235</t>
  </si>
  <si>
    <t>REV101236</t>
  </si>
  <si>
    <t>REV101237</t>
  </si>
  <si>
    <t>REV101238</t>
  </si>
  <si>
    <t>REV101239</t>
  </si>
  <si>
    <t>REV101240</t>
  </si>
  <si>
    <t>REV101241</t>
  </si>
  <si>
    <t>REV101242</t>
  </si>
  <si>
    <t>REV101243</t>
  </si>
  <si>
    <t>REV101244</t>
  </si>
  <si>
    <t>REV101245</t>
  </si>
  <si>
    <t>REV101246</t>
  </si>
  <si>
    <t>REV101247</t>
  </si>
  <si>
    <t>REV101248</t>
  </si>
  <si>
    <t>REV101249</t>
  </si>
  <si>
    <t>REV101250</t>
  </si>
  <si>
    <t>REV101251</t>
  </si>
  <si>
    <t>REV101252</t>
  </si>
  <si>
    <t>REV101253</t>
  </si>
  <si>
    <t>REV101254</t>
  </si>
  <si>
    <t>REV101255</t>
  </si>
  <si>
    <t>REV101256</t>
  </si>
  <si>
    <t>REV101257</t>
  </si>
  <si>
    <t>REV101258</t>
  </si>
  <si>
    <t>REV101259</t>
  </si>
  <si>
    <t>REV101260</t>
  </si>
  <si>
    <t>REV101261</t>
  </si>
  <si>
    <t>REV101262</t>
  </si>
  <si>
    <t>REV101263</t>
  </si>
  <si>
    <t>REV101264</t>
  </si>
  <si>
    <t>REV101265</t>
  </si>
  <si>
    <t>REV101266</t>
  </si>
  <si>
    <t>REV101267</t>
  </si>
  <si>
    <t>REV101268</t>
  </si>
  <si>
    <t>REV101269</t>
  </si>
  <si>
    <t>REV101270</t>
  </si>
  <si>
    <t>REV101271</t>
  </si>
  <si>
    <t>REV101272</t>
  </si>
  <si>
    <t>REV101273</t>
  </si>
  <si>
    <t>REV101274</t>
  </si>
  <si>
    <t>REV101275</t>
  </si>
  <si>
    <t>REV101276</t>
  </si>
  <si>
    <t>REV101277</t>
  </si>
  <si>
    <t>REV101278</t>
  </si>
  <si>
    <t>REV101279</t>
  </si>
  <si>
    <t>REV101280</t>
  </si>
  <si>
    <t>REV101281</t>
  </si>
  <si>
    <t>REV101282</t>
  </si>
  <si>
    <t>REV101283</t>
  </si>
  <si>
    <t>REV101284</t>
  </si>
  <si>
    <t>REV101285</t>
  </si>
  <si>
    <t>REV101286</t>
  </si>
  <si>
    <t>REV101287</t>
  </si>
  <si>
    <t>REV101288</t>
  </si>
  <si>
    <t>REV101289</t>
  </si>
  <si>
    <t>REV101290</t>
  </si>
  <si>
    <t>REV101291</t>
  </si>
  <si>
    <t>REV101292</t>
  </si>
  <si>
    <t>REV101293</t>
  </si>
  <si>
    <t>REV101294</t>
  </si>
  <si>
    <t>REV101295</t>
  </si>
  <si>
    <t>REV101296</t>
  </si>
  <si>
    <t>REV101297</t>
  </si>
  <si>
    <t>REV101298</t>
  </si>
  <si>
    <t>REV101299</t>
  </si>
  <si>
    <t>REV101300</t>
  </si>
  <si>
    <t>REV101301</t>
  </si>
  <si>
    <t>REV101302</t>
  </si>
  <si>
    <t>REV101303</t>
  </si>
  <si>
    <t>REV101304</t>
  </si>
  <si>
    <t>REV101305</t>
  </si>
  <si>
    <t>REV101306</t>
  </si>
  <si>
    <t>REV101307</t>
  </si>
  <si>
    <t>REV101308</t>
  </si>
  <si>
    <t>REV101309</t>
  </si>
  <si>
    <t>REV101310</t>
  </si>
  <si>
    <t>REV101311</t>
  </si>
  <si>
    <t>REV101312</t>
  </si>
  <si>
    <t>REV101313</t>
  </si>
  <si>
    <t>REV101314</t>
  </si>
  <si>
    <t>REV101315</t>
  </si>
  <si>
    <t>REV101316</t>
  </si>
  <si>
    <t>REV101317</t>
  </si>
  <si>
    <t>REV101318</t>
  </si>
  <si>
    <t>REV101319</t>
  </si>
  <si>
    <t>REV101320</t>
  </si>
  <si>
    <t>REV101321</t>
  </si>
  <si>
    <t>REV101322</t>
  </si>
  <si>
    <t>REV101323</t>
  </si>
  <si>
    <t>REV101324</t>
  </si>
  <si>
    <t>REV101325</t>
  </si>
  <si>
    <t>REV101326</t>
  </si>
  <si>
    <t>REV101327</t>
  </si>
  <si>
    <t>REV101328</t>
  </si>
  <si>
    <t>REV101329</t>
  </si>
  <si>
    <t>REV101330</t>
  </si>
  <si>
    <t>REV101331</t>
  </si>
  <si>
    <t>REV101332</t>
  </si>
  <si>
    <t>REV101333</t>
  </si>
  <si>
    <t>REV101334</t>
  </si>
  <si>
    <t>REV101335</t>
  </si>
  <si>
    <t>REV101336</t>
  </si>
  <si>
    <t>REV101337</t>
  </si>
  <si>
    <t>REV101338</t>
  </si>
  <si>
    <t>REV101339</t>
  </si>
  <si>
    <t>REV101340</t>
  </si>
  <si>
    <t>REV101341</t>
  </si>
  <si>
    <t>REV101342</t>
  </si>
  <si>
    <t>REV101343</t>
  </si>
  <si>
    <t>REV101344</t>
  </si>
  <si>
    <t>REV101345</t>
  </si>
  <si>
    <t>REV101346</t>
  </si>
  <si>
    <t>REV101347</t>
  </si>
  <si>
    <t>REV101348</t>
  </si>
  <si>
    <t>REV101349</t>
  </si>
  <si>
    <t>REV101350</t>
  </si>
  <si>
    <t>REV101351</t>
  </si>
  <si>
    <t>REV101352</t>
  </si>
  <si>
    <t>REV101353</t>
  </si>
  <si>
    <t>REV101354</t>
  </si>
  <si>
    <t>REV101355</t>
  </si>
  <si>
    <t>REV101356</t>
  </si>
  <si>
    <t>REV101357</t>
  </si>
  <si>
    <t>REV101358</t>
  </si>
  <si>
    <t>REV101359</t>
  </si>
  <si>
    <t>REV101360</t>
  </si>
  <si>
    <t>REV101361</t>
  </si>
  <si>
    <t>REV101362</t>
  </si>
  <si>
    <t>REV101363</t>
  </si>
  <si>
    <t>REV101364</t>
  </si>
  <si>
    <t>REV101365</t>
  </si>
  <si>
    <t>REV101366</t>
  </si>
  <si>
    <t>REV101367</t>
  </si>
  <si>
    <t>REV101368</t>
  </si>
  <si>
    <t>REV101369</t>
  </si>
  <si>
    <t>REV101370</t>
  </si>
  <si>
    <t>REV101371</t>
  </si>
  <si>
    <t>REV101372</t>
  </si>
  <si>
    <t>REV101373</t>
  </si>
  <si>
    <t>REV101374</t>
  </si>
  <si>
    <t>REV101375</t>
  </si>
  <si>
    <t>REV101376</t>
  </si>
  <si>
    <t>REV101377</t>
  </si>
  <si>
    <t>REV101378</t>
  </si>
  <si>
    <t>REV101379</t>
  </si>
  <si>
    <t>REV101380</t>
  </si>
  <si>
    <t>REV101381</t>
  </si>
  <si>
    <t>REV101382</t>
  </si>
  <si>
    <t>REV101383</t>
  </si>
  <si>
    <t>REV101384</t>
  </si>
  <si>
    <t>REV101385</t>
  </si>
  <si>
    <t>REV101386</t>
  </si>
  <si>
    <t>REV101387</t>
  </si>
  <si>
    <t>REV101388</t>
  </si>
  <si>
    <t>REV101389</t>
  </si>
  <si>
    <t>REV101390</t>
  </si>
  <si>
    <t>REV101391</t>
  </si>
  <si>
    <t>REV101392</t>
  </si>
  <si>
    <t>REV101393</t>
  </si>
  <si>
    <t>REV101394</t>
  </si>
  <si>
    <t>REV101395</t>
  </si>
  <si>
    <t>REV101396</t>
  </si>
  <si>
    <t>REV101397</t>
  </si>
  <si>
    <t>REV101398</t>
  </si>
  <si>
    <t>REV101399</t>
  </si>
  <si>
    <t>REV101400</t>
  </si>
  <si>
    <t>REV101401</t>
  </si>
  <si>
    <t>REV101402</t>
  </si>
  <si>
    <t>REV101403</t>
  </si>
  <si>
    <t>REV101404</t>
  </si>
  <si>
    <t>REV101405</t>
  </si>
  <si>
    <t>REV101406</t>
  </si>
  <si>
    <t>REV101407</t>
  </si>
  <si>
    <t>REV101408</t>
  </si>
  <si>
    <t>REV101409</t>
  </si>
  <si>
    <t>REV101410</t>
  </si>
  <si>
    <t>REV101411</t>
  </si>
  <si>
    <t>REV101412</t>
  </si>
  <si>
    <t>REV101413</t>
  </si>
  <si>
    <t>REV101414</t>
  </si>
  <si>
    <t>REV101415</t>
  </si>
  <si>
    <t>REV101416</t>
  </si>
  <si>
    <t>REV101417</t>
  </si>
  <si>
    <t>REV101418</t>
  </si>
  <si>
    <t>REV101419</t>
  </si>
  <si>
    <t>REV101420</t>
  </si>
  <si>
    <t>REV101421</t>
  </si>
  <si>
    <t>REV101422</t>
  </si>
  <si>
    <t>REV101423</t>
  </si>
  <si>
    <t>REV101424</t>
  </si>
  <si>
    <t>REV101425</t>
  </si>
  <si>
    <t>REV101426</t>
  </si>
  <si>
    <t>REV101427</t>
  </si>
  <si>
    <t>REV101428</t>
  </si>
  <si>
    <t>REV101429</t>
  </si>
  <si>
    <t>REV101430</t>
  </si>
  <si>
    <t>REV101431</t>
  </si>
  <si>
    <t>REV101432</t>
  </si>
  <si>
    <t>REV101433</t>
  </si>
  <si>
    <t>REV101434</t>
  </si>
  <si>
    <t>REV101435</t>
  </si>
  <si>
    <t>REV101436</t>
  </si>
  <si>
    <t>REV101437</t>
  </si>
  <si>
    <t>REV101438</t>
  </si>
  <si>
    <t>REV101439</t>
  </si>
  <si>
    <t>REV101440</t>
  </si>
  <si>
    <t>REV101441</t>
  </si>
  <si>
    <t>REV101442</t>
  </si>
  <si>
    <t>REV101443</t>
  </si>
  <si>
    <t>REV101444</t>
  </si>
  <si>
    <t>REV101445</t>
  </si>
  <si>
    <t>REV101446</t>
  </si>
  <si>
    <t>REV101447</t>
  </si>
  <si>
    <t>REV101448</t>
  </si>
  <si>
    <t>REV101449</t>
  </si>
  <si>
    <t>REV101450</t>
  </si>
  <si>
    <t>REV101451</t>
  </si>
  <si>
    <t>REV101452</t>
  </si>
  <si>
    <t>REV101453</t>
  </si>
  <si>
    <t>REV101454</t>
  </si>
  <si>
    <t>REV101455</t>
  </si>
  <si>
    <t>REV101456</t>
  </si>
  <si>
    <t>REV101457</t>
  </si>
  <si>
    <t>REV101458</t>
  </si>
  <si>
    <t>REV101459</t>
  </si>
  <si>
    <t>REV101460</t>
  </si>
  <si>
    <t>REV101461</t>
  </si>
  <si>
    <t>REV101462</t>
  </si>
  <si>
    <t>REV101463</t>
  </si>
  <si>
    <t>REV101464</t>
  </si>
  <si>
    <t>REV101465</t>
  </si>
  <si>
    <t>REV101466</t>
  </si>
  <si>
    <t>REV101467</t>
  </si>
  <si>
    <t>REV101468</t>
  </si>
  <si>
    <t>REV101469</t>
  </si>
  <si>
    <t>REV101470</t>
  </si>
  <si>
    <t>REV101471</t>
  </si>
  <si>
    <t>REV101472</t>
  </si>
  <si>
    <t>REV101473</t>
  </si>
  <si>
    <t>REV101474</t>
  </si>
  <si>
    <t>REV101475</t>
  </si>
  <si>
    <t>REV101476</t>
  </si>
  <si>
    <t>REV101477</t>
  </si>
  <si>
    <t>REV101478</t>
  </si>
  <si>
    <t>REV101479</t>
  </si>
  <si>
    <t>REV101480</t>
  </si>
  <si>
    <t>REV101481</t>
  </si>
  <si>
    <t>REV101482</t>
  </si>
  <si>
    <t>REV101483</t>
  </si>
  <si>
    <t>REV101484</t>
  </si>
  <si>
    <t>REV101485</t>
  </si>
  <si>
    <t>REV101486</t>
  </si>
  <si>
    <t>REV101487</t>
  </si>
  <si>
    <t>REV101488</t>
  </si>
  <si>
    <t>REV101489</t>
  </si>
  <si>
    <t>REV101490</t>
  </si>
  <si>
    <t>REV101491</t>
  </si>
  <si>
    <t>REV101492</t>
  </si>
  <si>
    <t>REV101493</t>
  </si>
  <si>
    <t>REV101494</t>
  </si>
  <si>
    <t>REV101495</t>
  </si>
  <si>
    <t>REV101496</t>
  </si>
  <si>
    <t>REV101497</t>
  </si>
  <si>
    <t>REV101498</t>
  </si>
  <si>
    <t>REV101499</t>
  </si>
  <si>
    <t>REV101500</t>
  </si>
  <si>
    <t>REV101501</t>
  </si>
  <si>
    <t>REV101502</t>
  </si>
  <si>
    <t>REV101503</t>
  </si>
  <si>
    <t>REV101504</t>
  </si>
  <si>
    <t>REV101505</t>
  </si>
  <si>
    <t>REV101506</t>
  </si>
  <si>
    <t>REV101507</t>
  </si>
  <si>
    <t>REV101508</t>
  </si>
  <si>
    <t>REV101509</t>
  </si>
  <si>
    <t>REV101510</t>
  </si>
  <si>
    <t>REV101511</t>
  </si>
  <si>
    <t>REV101512</t>
  </si>
  <si>
    <t>REV101513</t>
  </si>
  <si>
    <t>REV101514</t>
  </si>
  <si>
    <t>REV101515</t>
  </si>
  <si>
    <t>REV101516</t>
  </si>
  <si>
    <t>REV101517</t>
  </si>
  <si>
    <t>REV101518</t>
  </si>
  <si>
    <t>REV101519</t>
  </si>
  <si>
    <t>REV101520</t>
  </si>
  <si>
    <t>REV101521</t>
  </si>
  <si>
    <t>REV101522</t>
  </si>
  <si>
    <t>REV101523</t>
  </si>
  <si>
    <t>REV101524</t>
  </si>
  <si>
    <t>REV101525</t>
  </si>
  <si>
    <t>REV101526</t>
  </si>
  <si>
    <t>REV101527</t>
  </si>
  <si>
    <t>REV101528</t>
  </si>
  <si>
    <t>REV101529</t>
  </si>
  <si>
    <t>REV101530</t>
  </si>
  <si>
    <t>REV101531</t>
  </si>
  <si>
    <t>REV101532</t>
  </si>
  <si>
    <t>REV101533</t>
  </si>
  <si>
    <t>REV101534</t>
  </si>
  <si>
    <t>REV101535</t>
  </si>
  <si>
    <t>REV101536</t>
  </si>
  <si>
    <t>REV101537</t>
  </si>
  <si>
    <t>REV101538</t>
  </si>
  <si>
    <t>REV101539</t>
  </si>
  <si>
    <t>REV101540</t>
  </si>
  <si>
    <t>REV101541</t>
  </si>
  <si>
    <t>REV101542</t>
  </si>
  <si>
    <t>REV101543</t>
  </si>
  <si>
    <t>REV101544</t>
  </si>
  <si>
    <t>REV101545</t>
  </si>
  <si>
    <t>REV101546</t>
  </si>
  <si>
    <t>REV101547</t>
  </si>
  <si>
    <t>REV101548</t>
  </si>
  <si>
    <t>REV101549</t>
  </si>
  <si>
    <t>REV101550</t>
  </si>
  <si>
    <t>REV101551</t>
  </si>
  <si>
    <t>REV101552</t>
  </si>
  <si>
    <t>REV101553</t>
  </si>
  <si>
    <t>REV101554</t>
  </si>
  <si>
    <t>REV101555</t>
  </si>
  <si>
    <t>REV101556</t>
  </si>
  <si>
    <t>REV101557</t>
  </si>
  <si>
    <t>REV101558</t>
  </si>
  <si>
    <t>REV101559</t>
  </si>
  <si>
    <t>REV101560</t>
  </si>
  <si>
    <t>REV101561</t>
  </si>
  <si>
    <t>REV101562</t>
  </si>
  <si>
    <t>REV101563</t>
  </si>
  <si>
    <t>REV101564</t>
  </si>
  <si>
    <t>REV101565</t>
  </si>
  <si>
    <t>REV101566</t>
  </si>
  <si>
    <t>REV101567</t>
  </si>
  <si>
    <t>REV101568</t>
  </si>
  <si>
    <t>REV101569</t>
  </si>
  <si>
    <t>REV101570</t>
  </si>
  <si>
    <t>REV101571</t>
  </si>
  <si>
    <t>REV101572</t>
  </si>
  <si>
    <t>REV101573</t>
  </si>
  <si>
    <t>REV101574</t>
  </si>
  <si>
    <t>REV101575</t>
  </si>
  <si>
    <t>REV101576</t>
  </si>
  <si>
    <t>REV101577</t>
  </si>
  <si>
    <t>REV101578</t>
  </si>
  <si>
    <t>REV101579</t>
  </si>
  <si>
    <t>REV101580</t>
  </si>
  <si>
    <t>REV101581</t>
  </si>
  <si>
    <t>REV101582</t>
  </si>
  <si>
    <t>REV101583</t>
  </si>
  <si>
    <t>REV101584</t>
  </si>
  <si>
    <t>REV101585</t>
  </si>
  <si>
    <t>REV101586</t>
  </si>
  <si>
    <t>REV101587</t>
  </si>
  <si>
    <t>REV101588</t>
  </si>
  <si>
    <t>REV101589</t>
  </si>
  <si>
    <t>REV101590</t>
  </si>
  <si>
    <t>REV101591</t>
  </si>
  <si>
    <t>REV101592</t>
  </si>
  <si>
    <t>REV101593</t>
  </si>
  <si>
    <t>REV101594</t>
  </si>
  <si>
    <t>REV101595</t>
  </si>
  <si>
    <t>REV101596</t>
  </si>
  <si>
    <t>REV101597</t>
  </si>
  <si>
    <t>REV101598</t>
  </si>
  <si>
    <t>REV101599</t>
  </si>
  <si>
    <t>REV101600</t>
  </si>
  <si>
    <t>REV101601</t>
  </si>
  <si>
    <t>REV101602</t>
  </si>
  <si>
    <t>REV101603</t>
  </si>
  <si>
    <t>REV101604</t>
  </si>
  <si>
    <t>REV101605</t>
  </si>
  <si>
    <t>REV101606</t>
  </si>
  <si>
    <t>REV101607</t>
  </si>
  <si>
    <t>REV101608</t>
  </si>
  <si>
    <t>REV101609</t>
  </si>
  <si>
    <t>REV101610</t>
  </si>
  <si>
    <t>REV101611</t>
  </si>
  <si>
    <t>REV101612</t>
  </si>
  <si>
    <t>REV101613</t>
  </si>
  <si>
    <t>REV101614</t>
  </si>
  <si>
    <t>REV101615</t>
  </si>
  <si>
    <t>REV101616</t>
  </si>
  <si>
    <t>REV101617</t>
  </si>
  <si>
    <t>REV101618</t>
  </si>
  <si>
    <t>REV101619</t>
  </si>
  <si>
    <t>REV101620</t>
  </si>
  <si>
    <t>REV101621</t>
  </si>
  <si>
    <t>REV101622</t>
  </si>
  <si>
    <t>REV101623</t>
  </si>
  <si>
    <t>REV101624</t>
  </si>
  <si>
    <t>REV101625</t>
  </si>
  <si>
    <t>REV101626</t>
  </si>
  <si>
    <t>REV101627</t>
  </si>
  <si>
    <t>REV101628</t>
  </si>
  <si>
    <t>REV101629</t>
  </si>
  <si>
    <t>REV101630</t>
  </si>
  <si>
    <t>REV101631</t>
  </si>
  <si>
    <t>REV101632</t>
  </si>
  <si>
    <t>REV101633</t>
  </si>
  <si>
    <t>REV101634</t>
  </si>
  <si>
    <t>REV101635</t>
  </si>
  <si>
    <t>REV101636</t>
  </si>
  <si>
    <t>REV101637</t>
  </si>
  <si>
    <t>REV101638</t>
  </si>
  <si>
    <t>REV101639</t>
  </si>
  <si>
    <t>REV101640</t>
  </si>
  <si>
    <t>REV101641</t>
  </si>
  <si>
    <t>REV101642</t>
  </si>
  <si>
    <t>REV101643</t>
  </si>
  <si>
    <t>REV101644</t>
  </si>
  <si>
    <t>REV101645</t>
  </si>
  <si>
    <t>REV101646</t>
  </si>
  <si>
    <t>REV101647</t>
  </si>
  <si>
    <t>REV101648</t>
  </si>
  <si>
    <t>REV101649</t>
  </si>
  <si>
    <t>REV101650</t>
  </si>
  <si>
    <t>REV101651</t>
  </si>
  <si>
    <t>REV101652</t>
  </si>
  <si>
    <t>REV101653</t>
  </si>
  <si>
    <t>REV101654</t>
  </si>
  <si>
    <t>REV101655</t>
  </si>
  <si>
    <t>REV101656</t>
  </si>
  <si>
    <t>REV101657</t>
  </si>
  <si>
    <t>REV101658</t>
  </si>
  <si>
    <t>REV101659</t>
  </si>
  <si>
    <t>REV101660</t>
  </si>
  <si>
    <t>REV101661</t>
  </si>
  <si>
    <t>REV101662</t>
  </si>
  <si>
    <t>REV101663</t>
  </si>
  <si>
    <t>REV101664</t>
  </si>
  <si>
    <t>REV101665</t>
  </si>
  <si>
    <t>REV101666</t>
  </si>
  <si>
    <t>REV101667</t>
  </si>
  <si>
    <t>REV101668</t>
  </si>
  <si>
    <t>REV101669</t>
  </si>
  <si>
    <t>REV101670</t>
  </si>
  <si>
    <t>REV101671</t>
  </si>
  <si>
    <t>REV101672</t>
  </si>
  <si>
    <t>REV101673</t>
  </si>
  <si>
    <t>REV101674</t>
  </si>
  <si>
    <t>REV101675</t>
  </si>
  <si>
    <t>REV101676</t>
  </si>
  <si>
    <t>REV101677</t>
  </si>
  <si>
    <t>REV101678</t>
  </si>
  <si>
    <t>REV101679</t>
  </si>
  <si>
    <t>REV101680</t>
  </si>
  <si>
    <t>REV101681</t>
  </si>
  <si>
    <t>REV101682</t>
  </si>
  <si>
    <t>REV101683</t>
  </si>
  <si>
    <t>REV101684</t>
  </si>
  <si>
    <t>REV101685</t>
  </si>
  <si>
    <t>REV101686</t>
  </si>
  <si>
    <t>REV101687</t>
  </si>
  <si>
    <t>REV101688</t>
  </si>
  <si>
    <t>REV101689</t>
  </si>
  <si>
    <t>REV101690</t>
  </si>
  <si>
    <t>REV101691</t>
  </si>
  <si>
    <t>REV101692</t>
  </si>
  <si>
    <t>REV101693</t>
  </si>
  <si>
    <t>REV101694</t>
  </si>
  <si>
    <t>REV101695</t>
  </si>
  <si>
    <t>REV101696</t>
  </si>
  <si>
    <t>REV101697</t>
  </si>
  <si>
    <t>REV101698</t>
  </si>
  <si>
    <t>REV101699</t>
  </si>
  <si>
    <t>REV101700</t>
  </si>
  <si>
    <t>REV101701</t>
  </si>
  <si>
    <t>REV101702</t>
  </si>
  <si>
    <t>REV101703</t>
  </si>
  <si>
    <t>REV101704</t>
  </si>
  <si>
    <t>REV101705</t>
  </si>
  <si>
    <t>REV101706</t>
  </si>
  <si>
    <t>REV101707</t>
  </si>
  <si>
    <t>REV101708</t>
  </si>
  <si>
    <t>REV101709</t>
  </si>
  <si>
    <t>REV101710</t>
  </si>
  <si>
    <t>REV101711</t>
  </si>
  <si>
    <t>REV101712</t>
  </si>
  <si>
    <t>REV101713</t>
  </si>
  <si>
    <t>REV101714</t>
  </si>
  <si>
    <t>REV101715</t>
  </si>
  <si>
    <t>REV101716</t>
  </si>
  <si>
    <t>REV101717</t>
  </si>
  <si>
    <t>REV101718</t>
  </si>
  <si>
    <t>REV101719</t>
  </si>
  <si>
    <t>REV101720</t>
  </si>
  <si>
    <t>REV101721</t>
  </si>
  <si>
    <t>REV101722</t>
  </si>
  <si>
    <t>REV101723</t>
  </si>
  <si>
    <t>REV101724</t>
  </si>
  <si>
    <t>REV101725</t>
  </si>
  <si>
    <t>REV101726</t>
  </si>
  <si>
    <t>REV101727</t>
  </si>
  <si>
    <t>REV101728</t>
  </si>
  <si>
    <t>REV101729</t>
  </si>
  <si>
    <t>REV101730</t>
  </si>
  <si>
    <t>REV101731</t>
  </si>
  <si>
    <t>REV101732</t>
  </si>
  <si>
    <t>REV101733</t>
  </si>
  <si>
    <t>REV101734</t>
  </si>
  <si>
    <t>REV101735</t>
  </si>
  <si>
    <t>REV101736</t>
  </si>
  <si>
    <t>REV101737</t>
  </si>
  <si>
    <t>REV101738</t>
  </si>
  <si>
    <t>REV101739</t>
  </si>
  <si>
    <t>REV101740</t>
  </si>
  <si>
    <t>REV101741</t>
  </si>
  <si>
    <t>REV101742</t>
  </si>
  <si>
    <t>REV101743</t>
  </si>
  <si>
    <t>REV101744</t>
  </si>
  <si>
    <t>REV101745</t>
  </si>
  <si>
    <t>REV101746</t>
  </si>
  <si>
    <t>REV101747</t>
  </si>
  <si>
    <t>REV101748</t>
  </si>
  <si>
    <t>REV101749</t>
  </si>
  <si>
    <t>REV101750</t>
  </si>
  <si>
    <t>REV101751</t>
  </si>
  <si>
    <t>REV101752</t>
  </si>
  <si>
    <t>REV101753</t>
  </si>
  <si>
    <t>REV101754</t>
  </si>
  <si>
    <t>REV101755</t>
  </si>
  <si>
    <t>REV101756</t>
  </si>
  <si>
    <t>REV101757</t>
  </si>
  <si>
    <t>REV101758</t>
  </si>
  <si>
    <t>REV101759</t>
  </si>
  <si>
    <t>REV101760</t>
  </si>
  <si>
    <t>REV101761</t>
  </si>
  <si>
    <t>REV101762</t>
  </si>
  <si>
    <t>REV101763</t>
  </si>
  <si>
    <t>REV101764</t>
  </si>
  <si>
    <t>REV101765</t>
  </si>
  <si>
    <t>REV101766</t>
  </si>
  <si>
    <t>REV101767</t>
  </si>
  <si>
    <t>REV101768</t>
  </si>
  <si>
    <t>REV101769</t>
  </si>
  <si>
    <t>REV101770</t>
  </si>
  <si>
    <t>REV101771</t>
  </si>
  <si>
    <t>REV101772</t>
  </si>
  <si>
    <t>REV101773</t>
  </si>
  <si>
    <t>REV101774</t>
  </si>
  <si>
    <t>REV101775</t>
  </si>
  <si>
    <t>REV101776</t>
  </si>
  <si>
    <t>REV101777</t>
  </si>
  <si>
    <t>REV101778</t>
  </si>
  <si>
    <t>REV101779</t>
  </si>
  <si>
    <t>REV101780</t>
  </si>
  <si>
    <t>REV101781</t>
  </si>
  <si>
    <t>REV101782</t>
  </si>
  <si>
    <t>REV101783</t>
  </si>
  <si>
    <t>REV101784</t>
  </si>
  <si>
    <t>REV101785</t>
  </si>
  <si>
    <t>REV101786</t>
  </si>
  <si>
    <t>REV101787</t>
  </si>
  <si>
    <t>REV101788</t>
  </si>
  <si>
    <t>REV101789</t>
  </si>
  <si>
    <t>REV101790</t>
  </si>
  <si>
    <t>REV101791</t>
  </si>
  <si>
    <t>REV101792</t>
  </si>
  <si>
    <t>REV101793</t>
  </si>
  <si>
    <t>REV101794</t>
  </si>
  <si>
    <t>REV101795</t>
  </si>
  <si>
    <t>REV101796</t>
  </si>
  <si>
    <t>REV101797</t>
  </si>
  <si>
    <t>REV101798</t>
  </si>
  <si>
    <t>REV101799</t>
  </si>
  <si>
    <t>REV101800</t>
  </si>
  <si>
    <t>REV101801</t>
  </si>
  <si>
    <t>REV101802</t>
  </si>
  <si>
    <t>REV101803</t>
  </si>
  <si>
    <t>REV101804</t>
  </si>
  <si>
    <t>REV101805</t>
  </si>
  <si>
    <t>REV101806</t>
  </si>
  <si>
    <t>REV101807</t>
  </si>
  <si>
    <t>REV101808</t>
  </si>
  <si>
    <t>REV101809</t>
  </si>
  <si>
    <t>REV101810</t>
  </si>
  <si>
    <t>REV101811</t>
  </si>
  <si>
    <t>REV101812</t>
  </si>
  <si>
    <t>REV101813</t>
  </si>
  <si>
    <t>REV101814</t>
  </si>
  <si>
    <t>REV101815</t>
  </si>
  <si>
    <t>REV101816</t>
  </si>
  <si>
    <t>REV101817</t>
  </si>
  <si>
    <t>REV101818</t>
  </si>
  <si>
    <t>REV101819</t>
  </si>
  <si>
    <t>REV101820</t>
  </si>
  <si>
    <t>REV101821</t>
  </si>
  <si>
    <t>REV101822</t>
  </si>
  <si>
    <t>REV101823</t>
  </si>
  <si>
    <t>REV101824</t>
  </si>
  <si>
    <t>REV101825</t>
  </si>
  <si>
    <t>REV101826</t>
  </si>
  <si>
    <t>REV101827</t>
  </si>
  <si>
    <t>REV101828</t>
  </si>
  <si>
    <t>REV101829</t>
  </si>
  <si>
    <t>REV101830</t>
  </si>
  <si>
    <t>REV101831</t>
  </si>
  <si>
    <t>REV101832</t>
  </si>
  <si>
    <t>REV101833</t>
  </si>
  <si>
    <t>REV101834</t>
  </si>
  <si>
    <t>REV101835</t>
  </si>
  <si>
    <t>REV101836</t>
  </si>
  <si>
    <t>REV101837</t>
  </si>
  <si>
    <t>REV101838</t>
  </si>
  <si>
    <t>REV101839</t>
  </si>
  <si>
    <t>REV101840</t>
  </si>
  <si>
    <t>REV101841</t>
  </si>
  <si>
    <t>REV101842</t>
  </si>
  <si>
    <t>REV101843</t>
  </si>
  <si>
    <t>REV101844</t>
  </si>
  <si>
    <t>REV101845</t>
  </si>
  <si>
    <t>REV101846</t>
  </si>
  <si>
    <t>REV101847</t>
  </si>
  <si>
    <t>REV101848</t>
  </si>
  <si>
    <t>REV101849</t>
  </si>
  <si>
    <t>REV101850</t>
  </si>
  <si>
    <t>REV101851</t>
  </si>
  <si>
    <t>REV101852</t>
  </si>
  <si>
    <t>REV101853</t>
  </si>
  <si>
    <t>REV101854</t>
  </si>
  <si>
    <t>REV101855</t>
  </si>
  <si>
    <t>REV101856</t>
  </si>
  <si>
    <t>REV101857</t>
  </si>
  <si>
    <t>REV101858</t>
  </si>
  <si>
    <t>REV101859</t>
  </si>
  <si>
    <t>REV101860</t>
  </si>
  <si>
    <t>REV101861</t>
  </si>
  <si>
    <t>REV101862</t>
  </si>
  <si>
    <t>REV101863</t>
  </si>
  <si>
    <t>REV101864</t>
  </si>
  <si>
    <t>REV101865</t>
  </si>
  <si>
    <t>REV101866</t>
  </si>
  <si>
    <t>REV101867</t>
  </si>
  <si>
    <t>REV101868</t>
  </si>
  <si>
    <t>REV101869</t>
  </si>
  <si>
    <t>REV101870</t>
  </si>
  <si>
    <t>REV101871</t>
  </si>
  <si>
    <t>REV101872</t>
  </si>
  <si>
    <t>REV101873</t>
  </si>
  <si>
    <t>REV101874</t>
  </si>
  <si>
    <t>REV101875</t>
  </si>
  <si>
    <t>REV101876</t>
  </si>
  <si>
    <t>REV101877</t>
  </si>
  <si>
    <t>REV101878</t>
  </si>
  <si>
    <t>REV101879</t>
  </si>
  <si>
    <t>REV101880</t>
  </si>
  <si>
    <t>REV101881</t>
  </si>
  <si>
    <t>REV101882</t>
  </si>
  <si>
    <t>REV101883</t>
  </si>
  <si>
    <t>REV101884</t>
  </si>
  <si>
    <t>REV101885</t>
  </si>
  <si>
    <t>REV101886</t>
  </si>
  <si>
    <t>REV101887</t>
  </si>
  <si>
    <t>REV101888</t>
  </si>
  <si>
    <t>REV101889</t>
  </si>
  <si>
    <t>REV101890</t>
  </si>
  <si>
    <t>REV101891</t>
  </si>
  <si>
    <t>REV101892</t>
  </si>
  <si>
    <t>REV101893</t>
  </si>
  <si>
    <t>REV101894</t>
  </si>
  <si>
    <t>REV101895</t>
  </si>
  <si>
    <t>REV101896</t>
  </si>
  <si>
    <t>REV101897</t>
  </si>
  <si>
    <t>REV101898</t>
  </si>
  <si>
    <t>REV101899</t>
  </si>
  <si>
    <t>REV101900</t>
  </si>
  <si>
    <t>REV101901</t>
  </si>
  <si>
    <t>REV101902</t>
  </si>
  <si>
    <t>REV101903</t>
  </si>
  <si>
    <t>REV101904</t>
  </si>
  <si>
    <t>REV101905</t>
  </si>
  <si>
    <t>REV101906</t>
  </si>
  <si>
    <t>REV101907</t>
  </si>
  <si>
    <t>REV101908</t>
  </si>
  <si>
    <t>REV101909</t>
  </si>
  <si>
    <t>REV101910</t>
  </si>
  <si>
    <t>REV101911</t>
  </si>
  <si>
    <t>REV101912</t>
  </si>
  <si>
    <t>REV101913</t>
  </si>
  <si>
    <t>REV101914</t>
  </si>
  <si>
    <t>REV101915</t>
  </si>
  <si>
    <t>REV101916</t>
  </si>
  <si>
    <t>REV101917</t>
  </si>
  <si>
    <t>REV101918</t>
  </si>
  <si>
    <t>REV101919</t>
  </si>
  <si>
    <t>REV101920</t>
  </si>
  <si>
    <t>REV101921</t>
  </si>
  <si>
    <t>REV101922</t>
  </si>
  <si>
    <t>REV101923</t>
  </si>
  <si>
    <t>REV101924</t>
  </si>
  <si>
    <t>REV101925</t>
  </si>
  <si>
    <t>REV101926</t>
  </si>
  <si>
    <t>REV101927</t>
  </si>
  <si>
    <t>REV101928</t>
  </si>
  <si>
    <t>REV101929</t>
  </si>
  <si>
    <t>REV101930</t>
  </si>
  <si>
    <t>REV101931</t>
  </si>
  <si>
    <t>REV101932</t>
  </si>
  <si>
    <t>REV101933</t>
  </si>
  <si>
    <t>REV101934</t>
  </si>
  <si>
    <t>REV101935</t>
  </si>
  <si>
    <t>REV101936</t>
  </si>
  <si>
    <t>REV101937</t>
  </si>
  <si>
    <t>REV101938</t>
  </si>
  <si>
    <t>REV101939</t>
  </si>
  <si>
    <t>REV101940</t>
  </si>
  <si>
    <t>REV101941</t>
  </si>
  <si>
    <t>REV101942</t>
  </si>
  <si>
    <t>REV101943</t>
  </si>
  <si>
    <t>REV101944</t>
  </si>
  <si>
    <t>REV101945</t>
  </si>
  <si>
    <t>REV101946</t>
  </si>
  <si>
    <t>REV101947</t>
  </si>
  <si>
    <t>REV101948</t>
  </si>
  <si>
    <t>REV101949</t>
  </si>
  <si>
    <t>REV101950</t>
  </si>
  <si>
    <t>REV101951</t>
  </si>
  <si>
    <t>REV101952</t>
  </si>
  <si>
    <t>REV101953</t>
  </si>
  <si>
    <t>REV101954</t>
  </si>
  <si>
    <t>REV101955</t>
  </si>
  <si>
    <t>REV101956</t>
  </si>
  <si>
    <t>REV101957</t>
  </si>
  <si>
    <t>REV101958</t>
  </si>
  <si>
    <t>REV101959</t>
  </si>
  <si>
    <t>REV101960</t>
  </si>
  <si>
    <t>REV101961</t>
  </si>
  <si>
    <t>REV101962</t>
  </si>
  <si>
    <t>REV101963</t>
  </si>
  <si>
    <t>REV101964</t>
  </si>
  <si>
    <t>REV101965</t>
  </si>
  <si>
    <t>REV101966</t>
  </si>
  <si>
    <t>REV101967</t>
  </si>
  <si>
    <t>REV101968</t>
  </si>
  <si>
    <t>REV101969</t>
  </si>
  <si>
    <t>REV101970</t>
  </si>
  <si>
    <t>REV101971</t>
  </si>
  <si>
    <t>REV101972</t>
  </si>
  <si>
    <t>REV101973</t>
  </si>
  <si>
    <t>REV101974</t>
  </si>
  <si>
    <t>REV101975</t>
  </si>
  <si>
    <t>REV101976</t>
  </si>
  <si>
    <t>REV101977</t>
  </si>
  <si>
    <t>REV101978</t>
  </si>
  <si>
    <t>REV101979</t>
  </si>
  <si>
    <t>REV101980</t>
  </si>
  <si>
    <t>REV101981</t>
  </si>
  <si>
    <t>REV101982</t>
  </si>
  <si>
    <t>REV101983</t>
  </si>
  <si>
    <t>REV101984</t>
  </si>
  <si>
    <t>REV101985</t>
  </si>
  <si>
    <t>REV101986</t>
  </si>
  <si>
    <t>REV101987</t>
  </si>
  <si>
    <t>REV101988</t>
  </si>
  <si>
    <t>REV101989</t>
  </si>
  <si>
    <t>REV101990</t>
  </si>
  <si>
    <t>REV101991</t>
  </si>
  <si>
    <t>REV101992</t>
  </si>
  <si>
    <t>REV101993</t>
  </si>
  <si>
    <t>REV101994</t>
  </si>
  <si>
    <t>REV101995</t>
  </si>
  <si>
    <t>REV101996</t>
  </si>
  <si>
    <t>REV101997</t>
  </si>
  <si>
    <t>REV101998</t>
  </si>
  <si>
    <t>REV101999</t>
  </si>
  <si>
    <t>REV102000</t>
  </si>
  <si>
    <t>REV102001</t>
  </si>
  <si>
    <t>REV102002</t>
  </si>
  <si>
    <t>REV102003</t>
  </si>
  <si>
    <t>REV102004</t>
  </si>
  <si>
    <t>REV102005</t>
  </si>
  <si>
    <t>REV102006</t>
  </si>
  <si>
    <t>REV102007</t>
  </si>
  <si>
    <t>REV102008</t>
  </si>
  <si>
    <t>REV102009</t>
  </si>
  <si>
    <t>REV102010</t>
  </si>
  <si>
    <t>REV102011</t>
  </si>
  <si>
    <t>REV102012</t>
  </si>
  <si>
    <t>REV102013</t>
  </si>
  <si>
    <t>REV102014</t>
  </si>
  <si>
    <t>REV102015</t>
  </si>
  <si>
    <t>REV102016</t>
  </si>
  <si>
    <t>REV102017</t>
  </si>
  <si>
    <t>REV102018</t>
  </si>
  <si>
    <t>REV102019</t>
  </si>
  <si>
    <t>REV102020</t>
  </si>
  <si>
    <t>REV102021</t>
  </si>
  <si>
    <t>REV102022</t>
  </si>
  <si>
    <t>REV102023</t>
  </si>
  <si>
    <t>REV102024</t>
  </si>
  <si>
    <t>REV102025</t>
  </si>
  <si>
    <t>REV102026</t>
  </si>
  <si>
    <t>REV102027</t>
  </si>
  <si>
    <t>REV102028</t>
  </si>
  <si>
    <t>REV102029</t>
  </si>
  <si>
    <t>REV102030</t>
  </si>
  <si>
    <t>REV102031</t>
  </si>
  <si>
    <t>REV102032</t>
  </si>
  <si>
    <t>REV102033</t>
  </si>
  <si>
    <t>REV102034</t>
  </si>
  <si>
    <t>REV102035</t>
  </si>
  <si>
    <t>REV102036</t>
  </si>
  <si>
    <t>REV102037</t>
  </si>
  <si>
    <t>REV102038</t>
  </si>
  <si>
    <t>REV102039</t>
  </si>
  <si>
    <t>REV102040</t>
  </si>
  <si>
    <t>REV102041</t>
  </si>
  <si>
    <t>REV102042</t>
  </si>
  <si>
    <t>REV102043</t>
  </si>
  <si>
    <t>REV102044</t>
  </si>
  <si>
    <t>REV102045</t>
  </si>
  <si>
    <t>REV102046</t>
  </si>
  <si>
    <t>REV102047</t>
  </si>
  <si>
    <t>REV102048</t>
  </si>
  <si>
    <t>REV102049</t>
  </si>
  <si>
    <t>REV102050</t>
  </si>
  <si>
    <t>REV102051</t>
  </si>
  <si>
    <t>REV102052</t>
  </si>
  <si>
    <t>REV102053</t>
  </si>
  <si>
    <t>REV102054</t>
  </si>
  <si>
    <t>REV102055</t>
  </si>
  <si>
    <t>REV102056</t>
  </si>
  <si>
    <t>REV102057</t>
  </si>
  <si>
    <t>REV102058</t>
  </si>
  <si>
    <t>REV102059</t>
  </si>
  <si>
    <t>REV102060</t>
  </si>
  <si>
    <t>REV102061</t>
  </si>
  <si>
    <t>REV102062</t>
  </si>
  <si>
    <t>REV102063</t>
  </si>
  <si>
    <t>REV102064</t>
  </si>
  <si>
    <t>REV102065</t>
  </si>
  <si>
    <t>REV102066</t>
  </si>
  <si>
    <t>REV102067</t>
  </si>
  <si>
    <t>REV102068</t>
  </si>
  <si>
    <t>REV102069</t>
  </si>
  <si>
    <t>REV102070</t>
  </si>
  <si>
    <t>REV102071</t>
  </si>
  <si>
    <t>REV102072</t>
  </si>
  <si>
    <t>REV102073</t>
  </si>
  <si>
    <t>REV102074</t>
  </si>
  <si>
    <t>REV102075</t>
  </si>
  <si>
    <t>REV102076</t>
  </si>
  <si>
    <t>REV102077</t>
  </si>
  <si>
    <t>REV102078</t>
  </si>
  <si>
    <t>REV102079</t>
  </si>
  <si>
    <t>REV102080</t>
  </si>
  <si>
    <t>REV102081</t>
  </si>
  <si>
    <t>REV102082</t>
  </si>
  <si>
    <t>REV102083</t>
  </si>
  <si>
    <t>REV102084</t>
  </si>
  <si>
    <t>REV102085</t>
  </si>
  <si>
    <t>REV102086</t>
  </si>
  <si>
    <t>REV102087</t>
  </si>
  <si>
    <t>REV102088</t>
  </si>
  <si>
    <t>REV102089</t>
  </si>
  <si>
    <t>REV102090</t>
  </si>
  <si>
    <t>REV102091</t>
  </si>
  <si>
    <t>REV102092</t>
  </si>
  <si>
    <t>REV102093</t>
  </si>
  <si>
    <t>REV102094</t>
  </si>
  <si>
    <t>REV102095</t>
  </si>
  <si>
    <t>REV102096</t>
  </si>
  <si>
    <t>REV102097</t>
  </si>
  <si>
    <t>REV102098</t>
  </si>
  <si>
    <t>REV102099</t>
  </si>
  <si>
    <t>REV102100</t>
  </si>
  <si>
    <t>REV102101</t>
  </si>
  <si>
    <t>REV102102</t>
  </si>
  <si>
    <t>REV102103</t>
  </si>
  <si>
    <t>REV102104</t>
  </si>
  <si>
    <t>REV102105</t>
  </si>
  <si>
    <t>REV102106</t>
  </si>
  <si>
    <t>REV102107</t>
  </si>
  <si>
    <t>REV102108</t>
  </si>
  <si>
    <t>REV102109</t>
  </si>
  <si>
    <t>REV102110</t>
  </si>
  <si>
    <t>REV102111</t>
  </si>
  <si>
    <t>REV102112</t>
  </si>
  <si>
    <t>REV102113</t>
  </si>
  <si>
    <t>REV102114</t>
  </si>
  <si>
    <t>REV102115</t>
  </si>
  <si>
    <t>REV102116</t>
  </si>
  <si>
    <t>REV102117</t>
  </si>
  <si>
    <t>REV102118</t>
  </si>
  <si>
    <t>REV102119</t>
  </si>
  <si>
    <t>REV102120</t>
  </si>
  <si>
    <t>REV102121</t>
  </si>
  <si>
    <t>REV102122</t>
  </si>
  <si>
    <t>REV102123</t>
  </si>
  <si>
    <t>REV102124</t>
  </si>
  <si>
    <t>REV102125</t>
  </si>
  <si>
    <t>REV102126</t>
  </si>
  <si>
    <t>REV102127</t>
  </si>
  <si>
    <t>REV102128</t>
  </si>
  <si>
    <t>REV102129</t>
  </si>
  <si>
    <t>REV102130</t>
  </si>
  <si>
    <t>REV102131</t>
  </si>
  <si>
    <t>REV102132</t>
  </si>
  <si>
    <t>REV102133</t>
  </si>
  <si>
    <t>REV102134</t>
  </si>
  <si>
    <t>REV102135</t>
  </si>
  <si>
    <t>REV102136</t>
  </si>
  <si>
    <t>REV102137</t>
  </si>
  <si>
    <t>REV102138</t>
  </si>
  <si>
    <t>REV102139</t>
  </si>
  <si>
    <t>REV102140</t>
  </si>
  <si>
    <t>REV102141</t>
  </si>
  <si>
    <t>REV102142</t>
  </si>
  <si>
    <t>REV102143</t>
  </si>
  <si>
    <t>REV102144</t>
  </si>
  <si>
    <t>REV102145</t>
  </si>
  <si>
    <t>REV102146</t>
  </si>
  <si>
    <t>REV102147</t>
  </si>
  <si>
    <t>REV102148</t>
  </si>
  <si>
    <t>REV102149</t>
  </si>
  <si>
    <t>REV102150</t>
  </si>
  <si>
    <t>REV102151</t>
  </si>
  <si>
    <t>REV102152</t>
  </si>
  <si>
    <t>REV102153</t>
  </si>
  <si>
    <t>REV102154</t>
  </si>
  <si>
    <t>REV102155</t>
  </si>
  <si>
    <t>REV102156</t>
  </si>
  <si>
    <t>REV102157</t>
  </si>
  <si>
    <t>REV102158</t>
  </si>
  <si>
    <t>REV102159</t>
  </si>
  <si>
    <t>REV102160</t>
  </si>
  <si>
    <t>REV102161</t>
  </si>
  <si>
    <t>REV102162</t>
  </si>
  <si>
    <t>REV102163</t>
  </si>
  <si>
    <t>REV102164</t>
  </si>
  <si>
    <t>REV102165</t>
  </si>
  <si>
    <t>REV102166</t>
  </si>
  <si>
    <t>REV102167</t>
  </si>
  <si>
    <t>REV102168</t>
  </si>
  <si>
    <t>REV102169</t>
  </si>
  <si>
    <t>REV102170</t>
  </si>
  <si>
    <t>REV102171</t>
  </si>
  <si>
    <t>REV102172</t>
  </si>
  <si>
    <t>REV102173</t>
  </si>
  <si>
    <t>REV102174</t>
  </si>
  <si>
    <t>REV102175</t>
  </si>
  <si>
    <t>REV102176</t>
  </si>
  <si>
    <t>REV102177</t>
  </si>
  <si>
    <t>REV102178</t>
  </si>
  <si>
    <t>REV102179</t>
  </si>
  <si>
    <t>REV102180</t>
  </si>
  <si>
    <t>REV102181</t>
  </si>
  <si>
    <t>REV102182</t>
  </si>
  <si>
    <t>REV102183</t>
  </si>
  <si>
    <t>REV102184</t>
  </si>
  <si>
    <t>REV102185</t>
  </si>
  <si>
    <t>REV102186</t>
  </si>
  <si>
    <t>REV102187</t>
  </si>
  <si>
    <t>REV102188</t>
  </si>
  <si>
    <t>REV102189</t>
  </si>
  <si>
    <t>REV102190</t>
  </si>
  <si>
    <t>REV102191</t>
  </si>
  <si>
    <t>REV102192</t>
  </si>
  <si>
    <t>REV102193</t>
  </si>
  <si>
    <t>REV102194</t>
  </si>
  <si>
    <t>REV102195</t>
  </si>
  <si>
    <t>REV102196</t>
  </si>
  <si>
    <t>REV102197</t>
  </si>
  <si>
    <t>REV102198</t>
  </si>
  <si>
    <t>REV102199</t>
  </si>
  <si>
    <t>REV102200</t>
  </si>
  <si>
    <t>REV102201</t>
  </si>
  <si>
    <t>REV102202</t>
  </si>
  <si>
    <t>REV102203</t>
  </si>
  <si>
    <t>REV102204</t>
  </si>
  <si>
    <t>REV102205</t>
  </si>
  <si>
    <t>REV102206</t>
  </si>
  <si>
    <t>REV102207</t>
  </si>
  <si>
    <t>REV102208</t>
  </si>
  <si>
    <t>REV102209</t>
  </si>
  <si>
    <t>REV102210</t>
  </si>
  <si>
    <t>REV102211</t>
  </si>
  <si>
    <t>REV102212</t>
  </si>
  <si>
    <t>REV102213</t>
  </si>
  <si>
    <t>REV102214</t>
  </si>
  <si>
    <t>REV102215</t>
  </si>
  <si>
    <t>REV102216</t>
  </si>
  <si>
    <t>REV102217</t>
  </si>
  <si>
    <t>REV102218</t>
  </si>
  <si>
    <t>REV102219</t>
  </si>
  <si>
    <t>REV102220</t>
  </si>
  <si>
    <t>REV102221</t>
  </si>
  <si>
    <t>REV102222</t>
  </si>
  <si>
    <t>REV102223</t>
  </si>
  <si>
    <t>REV102224</t>
  </si>
  <si>
    <t>REV102225</t>
  </si>
  <si>
    <t>REV102226</t>
  </si>
  <si>
    <t>REV102227</t>
  </si>
  <si>
    <t>REV102228</t>
  </si>
  <si>
    <t>REV102229</t>
  </si>
  <si>
    <t>REV102230</t>
  </si>
  <si>
    <t>REV102231</t>
  </si>
  <si>
    <t>REV102232</t>
  </si>
  <si>
    <t>REV102233</t>
  </si>
  <si>
    <t>REV102234</t>
  </si>
  <si>
    <t>REV102235</t>
  </si>
  <si>
    <t>REV102236</t>
  </si>
  <si>
    <t>REV102237</t>
  </si>
  <si>
    <t>REV102238</t>
  </si>
  <si>
    <t>REV102239</t>
  </si>
  <si>
    <t>REV102240</t>
  </si>
  <si>
    <t>REV102241</t>
  </si>
  <si>
    <t>REV102242</t>
  </si>
  <si>
    <t>REV102243</t>
  </si>
  <si>
    <t>REV102244</t>
  </si>
  <si>
    <t>REV102245</t>
  </si>
  <si>
    <t>REV102246</t>
  </si>
  <si>
    <t>REV102247</t>
  </si>
  <si>
    <t>REV102248</t>
  </si>
  <si>
    <t>REV102249</t>
  </si>
  <si>
    <t>REV102250</t>
  </si>
  <si>
    <t>REV102251</t>
  </si>
  <si>
    <t>REV102252</t>
  </si>
  <si>
    <t>REV102253</t>
  </si>
  <si>
    <t>REV102254</t>
  </si>
  <si>
    <t>REV102255</t>
  </si>
  <si>
    <t>REV102256</t>
  </si>
  <si>
    <t>REV102257</t>
  </si>
  <si>
    <t>REV102258</t>
  </si>
  <si>
    <t>REV102259</t>
  </si>
  <si>
    <t>REV102260</t>
  </si>
  <si>
    <t>REV102261</t>
  </si>
  <si>
    <t>REV102262</t>
  </si>
  <si>
    <t>REV102263</t>
  </si>
  <si>
    <t>REV102264</t>
  </si>
  <si>
    <t>REV102265</t>
  </si>
  <si>
    <t>REV102266</t>
  </si>
  <si>
    <t>REV102267</t>
  </si>
  <si>
    <t>REV102268</t>
  </si>
  <si>
    <t>REV102269</t>
  </si>
  <si>
    <t>REV102270</t>
  </si>
  <si>
    <t>REV102271</t>
  </si>
  <si>
    <t>REV102272</t>
  </si>
  <si>
    <t>REV102273</t>
  </si>
  <si>
    <t>REV102274</t>
  </si>
  <si>
    <t>REV102275</t>
  </si>
  <si>
    <t>REV102276</t>
  </si>
  <si>
    <t>REV102277</t>
  </si>
  <si>
    <t>REV102278</t>
  </si>
  <si>
    <t>REV102279</t>
  </si>
  <si>
    <t>REV102280</t>
  </si>
  <si>
    <t>REV102281</t>
  </si>
  <si>
    <t>REV102282</t>
  </si>
  <si>
    <t>REV102283</t>
  </si>
  <si>
    <t>REV102284</t>
  </si>
  <si>
    <t>REV102285</t>
  </si>
  <si>
    <t>REV102286</t>
  </si>
  <si>
    <t>REV102287</t>
  </si>
  <si>
    <t>REV102288</t>
  </si>
  <si>
    <t>REV102289</t>
  </si>
  <si>
    <t>REV102290</t>
  </si>
  <si>
    <t>REV102291</t>
  </si>
  <si>
    <t>REV102292</t>
  </si>
  <si>
    <t>REV102293</t>
  </si>
  <si>
    <t>REV102294</t>
  </si>
  <si>
    <t>REV102295</t>
  </si>
  <si>
    <t>REV102296</t>
  </si>
  <si>
    <t>REV102297</t>
  </si>
  <si>
    <t>REV102298</t>
  </si>
  <si>
    <t>REV102299</t>
  </si>
  <si>
    <t>REV102300</t>
  </si>
  <si>
    <t>REV102301</t>
  </si>
  <si>
    <t>REV102302</t>
  </si>
  <si>
    <t>REV102303</t>
  </si>
  <si>
    <t>REV102304</t>
  </si>
  <si>
    <t>REV102305</t>
  </si>
  <si>
    <t>REV102306</t>
  </si>
  <si>
    <t>REV102307</t>
  </si>
  <si>
    <t>REV102308</t>
  </si>
  <si>
    <t>REV102309</t>
  </si>
  <si>
    <t>REV102310</t>
  </si>
  <si>
    <t>REV102311</t>
  </si>
  <si>
    <t>REV102312</t>
  </si>
  <si>
    <t>REV102313</t>
  </si>
  <si>
    <t>REV102314</t>
  </si>
  <si>
    <t>REV102315</t>
  </si>
  <si>
    <t>REV102316</t>
  </si>
  <si>
    <t>REV102317</t>
  </si>
  <si>
    <t>REV102318</t>
  </si>
  <si>
    <t>REV102319</t>
  </si>
  <si>
    <t>REV102320</t>
  </si>
  <si>
    <t>REV102321</t>
  </si>
  <si>
    <t>REV102322</t>
  </si>
  <si>
    <t>REV102323</t>
  </si>
  <si>
    <t>REV102324</t>
  </si>
  <si>
    <t>REV102325</t>
  </si>
  <si>
    <t>REV102326</t>
  </si>
  <si>
    <t>REV102327</t>
  </si>
  <si>
    <t>REV102328</t>
  </si>
  <si>
    <t>REV102329</t>
  </si>
  <si>
    <t>REV102330</t>
  </si>
  <si>
    <t>REV102331</t>
  </si>
  <si>
    <t>REV102332</t>
  </si>
  <si>
    <t>REV102333</t>
  </si>
  <si>
    <t>REV102334</t>
  </si>
  <si>
    <t>REV102335</t>
  </si>
  <si>
    <t>REV102336</t>
  </si>
  <si>
    <t>REV102337</t>
  </si>
  <si>
    <t>REV102338</t>
  </si>
  <si>
    <t>REV102339</t>
  </si>
  <si>
    <t>REV102340</t>
  </si>
  <si>
    <t>REV102341</t>
  </si>
  <si>
    <t>REV102342</t>
  </si>
  <si>
    <t>REV102343</t>
  </si>
  <si>
    <t>REV102344</t>
  </si>
  <si>
    <t>REV102345</t>
  </si>
  <si>
    <t>REV102346</t>
  </si>
  <si>
    <t>REV102347</t>
  </si>
  <si>
    <t>REV102348</t>
  </si>
  <si>
    <t>REV102349</t>
  </si>
  <si>
    <t>REV102350</t>
  </si>
  <si>
    <t>REV102351</t>
  </si>
  <si>
    <t>REV102352</t>
  </si>
  <si>
    <t>REV102353</t>
  </si>
  <si>
    <t>REV102354</t>
  </si>
  <si>
    <t>REV102355</t>
  </si>
  <si>
    <t>REV102356</t>
  </si>
  <si>
    <t>REV102357</t>
  </si>
  <si>
    <t>REV102358</t>
  </si>
  <si>
    <t>REV102359</t>
  </si>
  <si>
    <t>REV102360</t>
  </si>
  <si>
    <t>REV102361</t>
  </si>
  <si>
    <t>REV102362</t>
  </si>
  <si>
    <t>REV102363</t>
  </si>
  <si>
    <t>REV102364</t>
  </si>
  <si>
    <t>REV102365</t>
  </si>
  <si>
    <t>REV102366</t>
  </si>
  <si>
    <t>REV102367</t>
  </si>
  <si>
    <t>REV102368</t>
  </si>
  <si>
    <t>REV102369</t>
  </si>
  <si>
    <t>REV102370</t>
  </si>
  <si>
    <t>REV102371</t>
  </si>
  <si>
    <t>REV102372</t>
  </si>
  <si>
    <t>REV102373</t>
  </si>
  <si>
    <t>REV102374</t>
  </si>
  <si>
    <t>REV102375</t>
  </si>
  <si>
    <t>REV102376</t>
  </si>
  <si>
    <t>REV102377</t>
  </si>
  <si>
    <t>REV102378</t>
  </si>
  <si>
    <t>REV102379</t>
  </si>
  <si>
    <t>REV102380</t>
  </si>
  <si>
    <t>REV102381</t>
  </si>
  <si>
    <t>REV102382</t>
  </si>
  <si>
    <t>REV102383</t>
  </si>
  <si>
    <t>REV102384</t>
  </si>
  <si>
    <t>REV102385</t>
  </si>
  <si>
    <t>REV102386</t>
  </si>
  <si>
    <t>REV102387</t>
  </si>
  <si>
    <t>REV102388</t>
  </si>
  <si>
    <t>REV102389</t>
  </si>
  <si>
    <t>REV102390</t>
  </si>
  <si>
    <t>REV102391</t>
  </si>
  <si>
    <t>REV102392</t>
  </si>
  <si>
    <t>REV102393</t>
  </si>
  <si>
    <t>REV102394</t>
  </si>
  <si>
    <t>REV102395</t>
  </si>
  <si>
    <t>REV102396</t>
  </si>
  <si>
    <t>REV102397</t>
  </si>
  <si>
    <t>REV102398</t>
  </si>
  <si>
    <t>REV102399</t>
  </si>
  <si>
    <t>REV102400</t>
  </si>
  <si>
    <t>REV102401</t>
  </si>
  <si>
    <t>REV102402</t>
  </si>
  <si>
    <t>REV102403</t>
  </si>
  <si>
    <t>REV102404</t>
  </si>
  <si>
    <t>REV102405</t>
  </si>
  <si>
    <t>REV102406</t>
  </si>
  <si>
    <t>REV102407</t>
  </si>
  <si>
    <t>REV102408</t>
  </si>
  <si>
    <t>REV102409</t>
  </si>
  <si>
    <t>REV102410</t>
  </si>
  <si>
    <t>REV102411</t>
  </si>
  <si>
    <t>REV102412</t>
  </si>
  <si>
    <t>REV102413</t>
  </si>
  <si>
    <t>REV102414</t>
  </si>
  <si>
    <t>REV102415</t>
  </si>
  <si>
    <t>REV102416</t>
  </si>
  <si>
    <t>REV102417</t>
  </si>
  <si>
    <t>REV102418</t>
  </si>
  <si>
    <t>REV102419</t>
  </si>
  <si>
    <t>REV102420</t>
  </si>
  <si>
    <t>REV102421</t>
  </si>
  <si>
    <t>REV102422</t>
  </si>
  <si>
    <t>REV102423</t>
  </si>
  <si>
    <t>REV102424</t>
  </si>
  <si>
    <t>REV102425</t>
  </si>
  <si>
    <t>REV102426</t>
  </si>
  <si>
    <t>REV102427</t>
  </si>
  <si>
    <t>REV102428</t>
  </si>
  <si>
    <t>REV102429</t>
  </si>
  <si>
    <t>REV102430</t>
  </si>
  <si>
    <t>REV102431</t>
  </si>
  <si>
    <t>REV102432</t>
  </si>
  <si>
    <t>REV102433</t>
  </si>
  <si>
    <t>REV102434</t>
  </si>
  <si>
    <t>REV102435</t>
  </si>
  <si>
    <t>REV102436</t>
  </si>
  <si>
    <t>REV102437</t>
  </si>
  <si>
    <t>REV102438</t>
  </si>
  <si>
    <t>REV102439</t>
  </si>
  <si>
    <t>REV102440</t>
  </si>
  <si>
    <t>REV102441</t>
  </si>
  <si>
    <t>REV102442</t>
  </si>
  <si>
    <t>REV102443</t>
  </si>
  <si>
    <t>REV102444</t>
  </si>
  <si>
    <t>REV102445</t>
  </si>
  <si>
    <t>REV102446</t>
  </si>
  <si>
    <t>REV102447</t>
  </si>
  <si>
    <t>REV102448</t>
  </si>
  <si>
    <t>REV102449</t>
  </si>
  <si>
    <t>REV102450</t>
  </si>
  <si>
    <t>REV102451</t>
  </si>
  <si>
    <t>REV102452</t>
  </si>
  <si>
    <t>REV102453</t>
  </si>
  <si>
    <t>REV102454</t>
  </si>
  <si>
    <t>REV102455</t>
  </si>
  <si>
    <t>REV102456</t>
  </si>
  <si>
    <t>REV102457</t>
  </si>
  <si>
    <t>REV102458</t>
  </si>
  <si>
    <t>REV102459</t>
  </si>
  <si>
    <t>REV102460</t>
  </si>
  <si>
    <t>REV102461</t>
  </si>
  <si>
    <t>REV102462</t>
  </si>
  <si>
    <t>REV102463</t>
  </si>
  <si>
    <t>REV102464</t>
  </si>
  <si>
    <t>REV102465</t>
  </si>
  <si>
    <t>REV102466</t>
  </si>
  <si>
    <t>REV102467</t>
  </si>
  <si>
    <t>REV102468</t>
  </si>
  <si>
    <t>REV102469</t>
  </si>
  <si>
    <t>REV102470</t>
  </si>
  <si>
    <t>REV102471</t>
  </si>
  <si>
    <t>REV102472</t>
  </si>
  <si>
    <t>REV102473</t>
  </si>
  <si>
    <t>REV102474</t>
  </si>
  <si>
    <t>REV102475</t>
  </si>
  <si>
    <t>REV102476</t>
  </si>
  <si>
    <t>REV102477</t>
  </si>
  <si>
    <t>REV102478</t>
  </si>
  <si>
    <t>REV102479</t>
  </si>
  <si>
    <t>REV102480</t>
  </si>
  <si>
    <t>REV102481</t>
  </si>
  <si>
    <t>REV102482</t>
  </si>
  <si>
    <t>REV102483</t>
  </si>
  <si>
    <t>REV102484</t>
  </si>
  <si>
    <t>REV102485</t>
  </si>
  <si>
    <t>REV102486</t>
  </si>
  <si>
    <t>REV102487</t>
  </si>
  <si>
    <t>REV102488</t>
  </si>
  <si>
    <t>REV102489</t>
  </si>
  <si>
    <t>REV102490</t>
  </si>
  <si>
    <t>REV102491</t>
  </si>
  <si>
    <t>REV102492</t>
  </si>
  <si>
    <t>REV102493</t>
  </si>
  <si>
    <t>REV102494</t>
  </si>
  <si>
    <t>REV102495</t>
  </si>
  <si>
    <t>REV102496</t>
  </si>
  <si>
    <t>REV102497</t>
  </si>
  <si>
    <t>REV102498</t>
  </si>
  <si>
    <t>REV102499</t>
  </si>
  <si>
    <t>REV102500</t>
  </si>
  <si>
    <t>REV102501</t>
  </si>
  <si>
    <t>REV102502</t>
  </si>
  <si>
    <t>REV102503</t>
  </si>
  <si>
    <t>REV102504</t>
  </si>
  <si>
    <t>REV102505</t>
  </si>
  <si>
    <t>REV102506</t>
  </si>
  <si>
    <t>REV102507</t>
  </si>
  <si>
    <t>REV102508</t>
  </si>
  <si>
    <t>REV102509</t>
  </si>
  <si>
    <t>REV102510</t>
  </si>
  <si>
    <t>REV102511</t>
  </si>
  <si>
    <t>REV102512</t>
  </si>
  <si>
    <t>REV102513</t>
  </si>
  <si>
    <t>REV102514</t>
  </si>
  <si>
    <t>REV102515</t>
  </si>
  <si>
    <t>REV102516</t>
  </si>
  <si>
    <t>REV102517</t>
  </si>
  <si>
    <t>REV102518</t>
  </si>
  <si>
    <t>REV102519</t>
  </si>
  <si>
    <t>REV102520</t>
  </si>
  <si>
    <t>REV102521</t>
  </si>
  <si>
    <t>REV102522</t>
  </si>
  <si>
    <t>REV102523</t>
  </si>
  <si>
    <t>REV102524</t>
  </si>
  <si>
    <t>REV102525</t>
  </si>
  <si>
    <t>REV102526</t>
  </si>
  <si>
    <t>REV102527</t>
  </si>
  <si>
    <t>REV102528</t>
  </si>
  <si>
    <t>REV102529</t>
  </si>
  <si>
    <t>REV102530</t>
  </si>
  <si>
    <t>REV102531</t>
  </si>
  <si>
    <t>REV102532</t>
  </si>
  <si>
    <t>REV102533</t>
  </si>
  <si>
    <t>REV102534</t>
  </si>
  <si>
    <t>REV102535</t>
  </si>
  <si>
    <t>REV102536</t>
  </si>
  <si>
    <t>REV102537</t>
  </si>
  <si>
    <t>REV102538</t>
  </si>
  <si>
    <t>REV102539</t>
  </si>
  <si>
    <t>REV102540</t>
  </si>
  <si>
    <t>REV102541</t>
  </si>
  <si>
    <t>REV102542</t>
  </si>
  <si>
    <t>REV102543</t>
  </si>
  <si>
    <t>REV102544</t>
  </si>
  <si>
    <t>REV102545</t>
  </si>
  <si>
    <t>REV102546</t>
  </si>
  <si>
    <t>REV102547</t>
  </si>
  <si>
    <t>REV102548</t>
  </si>
  <si>
    <t>REV102549</t>
  </si>
  <si>
    <t>REV102550</t>
  </si>
  <si>
    <t>REV102551</t>
  </si>
  <si>
    <t>REV102552</t>
  </si>
  <si>
    <t>REV102553</t>
  </si>
  <si>
    <t>REV102554</t>
  </si>
  <si>
    <t>REV102555</t>
  </si>
  <si>
    <t>REV102556</t>
  </si>
  <si>
    <t>REV102557</t>
  </si>
  <si>
    <t>REV102558</t>
  </si>
  <si>
    <t>REV102559</t>
  </si>
  <si>
    <t>REV102560</t>
  </si>
  <si>
    <t>REV102561</t>
  </si>
  <si>
    <t>REV102562</t>
  </si>
  <si>
    <t>REV102563</t>
  </si>
  <si>
    <t>REV102564</t>
  </si>
  <si>
    <t>REV102565</t>
  </si>
  <si>
    <t>REV102566</t>
  </si>
  <si>
    <t>REV102567</t>
  </si>
  <si>
    <t>REV102568</t>
  </si>
  <si>
    <t>REV102569</t>
  </si>
  <si>
    <t>REV102570</t>
  </si>
  <si>
    <t>REV102571</t>
  </si>
  <si>
    <t>REV102572</t>
  </si>
  <si>
    <t>REV102573</t>
  </si>
  <si>
    <t>REV102574</t>
  </si>
  <si>
    <t>REV102575</t>
  </si>
  <si>
    <t>REV102576</t>
  </si>
  <si>
    <t>REV102577</t>
  </si>
  <si>
    <t>REV102578</t>
  </si>
  <si>
    <t>REV102579</t>
  </si>
  <si>
    <t>REV102580</t>
  </si>
  <si>
    <t>REV102581</t>
  </si>
  <si>
    <t>REV102582</t>
  </si>
  <si>
    <t>REV102583</t>
  </si>
  <si>
    <t>REV102584</t>
  </si>
  <si>
    <t>REV102585</t>
  </si>
  <si>
    <t>REV102586</t>
  </si>
  <si>
    <t>REV102587</t>
  </si>
  <si>
    <t>REV102588</t>
  </si>
  <si>
    <t>REV102589</t>
  </si>
  <si>
    <t>REV102590</t>
  </si>
  <si>
    <t>REV102591</t>
  </si>
  <si>
    <t>REV102592</t>
  </si>
  <si>
    <t>REV102593</t>
  </si>
  <si>
    <t>REV102594</t>
  </si>
  <si>
    <t>REV102595</t>
  </si>
  <si>
    <t>REV102596</t>
  </si>
  <si>
    <t>REV102597</t>
  </si>
  <si>
    <t>REV102598</t>
  </si>
  <si>
    <t>REV102599</t>
  </si>
  <si>
    <t>REV102600</t>
  </si>
  <si>
    <t>REV102601</t>
  </si>
  <si>
    <t>REV102602</t>
  </si>
  <si>
    <t>REV102603</t>
  </si>
  <si>
    <t>REV102604</t>
  </si>
  <si>
    <t>REV102605</t>
  </si>
  <si>
    <t>REV102606</t>
  </si>
  <si>
    <t>REV102607</t>
  </si>
  <si>
    <t>REV102608</t>
  </si>
  <si>
    <t>REV102609</t>
  </si>
  <si>
    <t>REV102610</t>
  </si>
  <si>
    <t>REV102611</t>
  </si>
  <si>
    <t>REV102612</t>
  </si>
  <si>
    <t>REV102613</t>
  </si>
  <si>
    <t>REV102614</t>
  </si>
  <si>
    <t>REV102615</t>
  </si>
  <si>
    <t>REV102616</t>
  </si>
  <si>
    <t>REV102617</t>
  </si>
  <si>
    <t>REV102618</t>
  </si>
  <si>
    <t>REV102619</t>
  </si>
  <si>
    <t>REV102620</t>
  </si>
  <si>
    <t>REV102621</t>
  </si>
  <si>
    <t>REV102622</t>
  </si>
  <si>
    <t>REV102623</t>
  </si>
  <si>
    <t>REV102624</t>
  </si>
  <si>
    <t>REV102625</t>
  </si>
  <si>
    <t>REV102626</t>
  </si>
  <si>
    <t>REV102627</t>
  </si>
  <si>
    <t>REV102628</t>
  </si>
  <si>
    <t>REV102629</t>
  </si>
  <si>
    <t>REV102630</t>
  </si>
  <si>
    <t>REV102631</t>
  </si>
  <si>
    <t>REV102632</t>
  </si>
  <si>
    <t>REV102633</t>
  </si>
  <si>
    <t>REV102634</t>
  </si>
  <si>
    <t>REV102635</t>
  </si>
  <si>
    <t>REV102636</t>
  </si>
  <si>
    <t>REV102637</t>
  </si>
  <si>
    <t>REV102638</t>
  </si>
  <si>
    <t>REV102639</t>
  </si>
  <si>
    <t>REV102640</t>
  </si>
  <si>
    <t>REV102641</t>
  </si>
  <si>
    <t>REV102642</t>
  </si>
  <si>
    <t>REV102643</t>
  </si>
  <si>
    <t>REV102644</t>
  </si>
  <si>
    <t>REV102645</t>
  </si>
  <si>
    <t>REV102646</t>
  </si>
  <si>
    <t>REV102647</t>
  </si>
  <si>
    <t>REV102648</t>
  </si>
  <si>
    <t>REV102649</t>
  </si>
  <si>
    <t>REV102650</t>
  </si>
  <si>
    <t>REV102651</t>
  </si>
  <si>
    <t>REV102652</t>
  </si>
  <si>
    <t>REV102653</t>
  </si>
  <si>
    <t>REV102654</t>
  </si>
  <si>
    <t>REV102655</t>
  </si>
  <si>
    <t>REV102656</t>
  </si>
  <si>
    <t>REV102657</t>
  </si>
  <si>
    <t>REV102658</t>
  </si>
  <si>
    <t>REV102659</t>
  </si>
  <si>
    <t>REV102660</t>
  </si>
  <si>
    <t>REV102661</t>
  </si>
  <si>
    <t>REV102662</t>
  </si>
  <si>
    <t>REV102663</t>
  </si>
  <si>
    <t>REV102664</t>
  </si>
  <si>
    <t>REV102665</t>
  </si>
  <si>
    <t>REV102666</t>
  </si>
  <si>
    <t>REV102667</t>
  </si>
  <si>
    <t>REV102668</t>
  </si>
  <si>
    <t>REV102669</t>
  </si>
  <si>
    <t>REV102670</t>
  </si>
  <si>
    <t>REV102671</t>
  </si>
  <si>
    <t>REV102672</t>
  </si>
  <si>
    <t>REV102673</t>
  </si>
  <si>
    <t>REV102674</t>
  </si>
  <si>
    <t>REV102675</t>
  </si>
  <si>
    <t>REV102676</t>
  </si>
  <si>
    <t>REV102677</t>
  </si>
  <si>
    <t>REV102678</t>
  </si>
  <si>
    <t>REV102679</t>
  </si>
  <si>
    <t>REV102680</t>
  </si>
  <si>
    <t>REV102681</t>
  </si>
  <si>
    <t>REV102682</t>
  </si>
  <si>
    <t>REV102683</t>
  </si>
  <si>
    <t>REV102684</t>
  </si>
  <si>
    <t>REV102685</t>
  </si>
  <si>
    <t>REV102686</t>
  </si>
  <si>
    <t>REV102687</t>
  </si>
  <si>
    <t>REV102688</t>
  </si>
  <si>
    <t>REV102689</t>
  </si>
  <si>
    <t>REV102690</t>
  </si>
  <si>
    <t>REV102691</t>
  </si>
  <si>
    <t>REV102692</t>
  </si>
  <si>
    <t>REV102693</t>
  </si>
  <si>
    <t>REV102694</t>
  </si>
  <si>
    <t>REV102695</t>
  </si>
  <si>
    <t>REV102696</t>
  </si>
  <si>
    <t>REV102697</t>
  </si>
  <si>
    <t>REV102698</t>
  </si>
  <si>
    <t>REV102699</t>
  </si>
  <si>
    <t>REV102700</t>
  </si>
  <si>
    <t>REV102701</t>
  </si>
  <si>
    <t>REV102702</t>
  </si>
  <si>
    <t>REV102703</t>
  </si>
  <si>
    <t>REV102704</t>
  </si>
  <si>
    <t>REV102705</t>
  </si>
  <si>
    <t>REV102706</t>
  </si>
  <si>
    <t>REV102707</t>
  </si>
  <si>
    <t>REV102708</t>
  </si>
  <si>
    <t>REV102709</t>
  </si>
  <si>
    <t>REV102710</t>
  </si>
  <si>
    <t>REV102711</t>
  </si>
  <si>
    <t>REV102712</t>
  </si>
  <si>
    <t>REV102713</t>
  </si>
  <si>
    <t>REV102714</t>
  </si>
  <si>
    <t>REV102715</t>
  </si>
  <si>
    <t>REV102716</t>
  </si>
  <si>
    <t>REV102717</t>
  </si>
  <si>
    <t>REV102718</t>
  </si>
  <si>
    <t>REV102719</t>
  </si>
  <si>
    <t>REV102720</t>
  </si>
  <si>
    <t>REV102721</t>
  </si>
  <si>
    <t>REV102722</t>
  </si>
  <si>
    <t>REV102723</t>
  </si>
  <si>
    <t>REV102724</t>
  </si>
  <si>
    <t>REV102725</t>
  </si>
  <si>
    <t>REV102726</t>
  </si>
  <si>
    <t>REV102727</t>
  </si>
  <si>
    <t>REV102728</t>
  </si>
  <si>
    <t>REV102729</t>
  </si>
  <si>
    <t>REV102730</t>
  </si>
  <si>
    <t>REV102731</t>
  </si>
  <si>
    <t>REV102732</t>
  </si>
  <si>
    <t>REV102733</t>
  </si>
  <si>
    <t>REV102734</t>
  </si>
  <si>
    <t>REV102735</t>
  </si>
  <si>
    <t>REV102736</t>
  </si>
  <si>
    <t>REV102737</t>
  </si>
  <si>
    <t>REV102738</t>
  </si>
  <si>
    <t>REV102739</t>
  </si>
  <si>
    <t>REV102740</t>
  </si>
  <si>
    <t>REV102741</t>
  </si>
  <si>
    <t>REV102742</t>
  </si>
  <si>
    <t>REV102743</t>
  </si>
  <si>
    <t>REV102744</t>
  </si>
  <si>
    <t>REV102745</t>
  </si>
  <si>
    <t>REV102746</t>
  </si>
  <si>
    <t>REV102747</t>
  </si>
  <si>
    <t>REV102748</t>
  </si>
  <si>
    <t>REV102749</t>
  </si>
  <si>
    <t>REV102750</t>
  </si>
  <si>
    <t>REV102751</t>
  </si>
  <si>
    <t>REV102752</t>
  </si>
  <si>
    <t>REV102753</t>
  </si>
  <si>
    <t>REV102754</t>
  </si>
  <si>
    <t>REV102755</t>
  </si>
  <si>
    <t>REV102756</t>
  </si>
  <si>
    <t>REV102757</t>
  </si>
  <si>
    <t>REV102758</t>
  </si>
  <si>
    <t>REV102759</t>
  </si>
  <si>
    <t>REV102760</t>
  </si>
  <si>
    <t>REV102761</t>
  </si>
  <si>
    <t>REV102762</t>
  </si>
  <si>
    <t>REV102763</t>
  </si>
  <si>
    <t>REV102764</t>
  </si>
  <si>
    <t>REV102765</t>
  </si>
  <si>
    <t>REV102766</t>
  </si>
  <si>
    <t>REV102767</t>
  </si>
  <si>
    <t>REV102768</t>
  </si>
  <si>
    <t>REV102769</t>
  </si>
  <si>
    <t>REV102770</t>
  </si>
  <si>
    <t>REV102771</t>
  </si>
  <si>
    <t>REV102772</t>
  </si>
  <si>
    <t>REV102773</t>
  </si>
  <si>
    <t>REV102774</t>
  </si>
  <si>
    <t>REV102775</t>
  </si>
  <si>
    <t>REV102776</t>
  </si>
  <si>
    <t>REV102777</t>
  </si>
  <si>
    <t>REV102778</t>
  </si>
  <si>
    <t>REV102779</t>
  </si>
  <si>
    <t>REV102780</t>
  </si>
  <si>
    <t>REV102781</t>
  </si>
  <si>
    <t>REV102782</t>
  </si>
  <si>
    <t>REV102783</t>
  </si>
  <si>
    <t>REV102784</t>
  </si>
  <si>
    <t>REV102785</t>
  </si>
  <si>
    <t>REV102786</t>
  </si>
  <si>
    <t>REV102787</t>
  </si>
  <si>
    <t>REV102788</t>
  </si>
  <si>
    <t>REV102789</t>
  </si>
  <si>
    <t>REV102790</t>
  </si>
  <si>
    <t>REV102791</t>
  </si>
  <si>
    <t>REV102792</t>
  </si>
  <si>
    <t>REV102793</t>
  </si>
  <si>
    <t>REV102794</t>
  </si>
  <si>
    <t>REV102795</t>
  </si>
  <si>
    <t>REV102796</t>
  </si>
  <si>
    <t>REV102797</t>
  </si>
  <si>
    <t>REV102798</t>
  </si>
  <si>
    <t>REV102799</t>
  </si>
  <si>
    <t>REV102800</t>
  </si>
  <si>
    <t>REV102801</t>
  </si>
  <si>
    <t>REV102802</t>
  </si>
  <si>
    <t>REV102803</t>
  </si>
  <si>
    <t>REV102804</t>
  </si>
  <si>
    <t>REV102805</t>
  </si>
  <si>
    <t>REV102806</t>
  </si>
  <si>
    <t>REV102807</t>
  </si>
  <si>
    <t>REV102808</t>
  </si>
  <si>
    <t>REV102809</t>
  </si>
  <si>
    <t>REV102810</t>
  </si>
  <si>
    <t>REV102811</t>
  </si>
  <si>
    <t>REV102812</t>
  </si>
  <si>
    <t>REV102813</t>
  </si>
  <si>
    <t>REV102814</t>
  </si>
  <si>
    <t>REV102815</t>
  </si>
  <si>
    <t>REV102816</t>
  </si>
  <si>
    <t>REV102817</t>
  </si>
  <si>
    <t>REV102818</t>
  </si>
  <si>
    <t>REV102819</t>
  </si>
  <si>
    <t>REV102820</t>
  </si>
  <si>
    <t>REV102821</t>
  </si>
  <si>
    <t>REV102822</t>
  </si>
  <si>
    <t>REV102823</t>
  </si>
  <si>
    <t>REV102824</t>
  </si>
  <si>
    <t>REV102825</t>
  </si>
  <si>
    <t>REV102826</t>
  </si>
  <si>
    <t>REV102827</t>
  </si>
  <si>
    <t>REV102828</t>
  </si>
  <si>
    <t>REV102829</t>
  </si>
  <si>
    <t>REV102830</t>
  </si>
  <si>
    <t>REV102831</t>
  </si>
  <si>
    <t>REV102832</t>
  </si>
  <si>
    <t>REV102833</t>
  </si>
  <si>
    <t>REV102834</t>
  </si>
  <si>
    <t>REV102835</t>
  </si>
  <si>
    <t>REV102836</t>
  </si>
  <si>
    <t>REV102837</t>
  </si>
  <si>
    <t>REV102838</t>
  </si>
  <si>
    <t>REV102839</t>
  </si>
  <si>
    <t>REV102840</t>
  </si>
  <si>
    <t>REV102841</t>
  </si>
  <si>
    <t>REV102842</t>
  </si>
  <si>
    <t>REV102843</t>
  </si>
  <si>
    <t>REV102844</t>
  </si>
  <si>
    <t>REV102845</t>
  </si>
  <si>
    <t>REV102846</t>
  </si>
  <si>
    <t>REV102847</t>
  </si>
  <si>
    <t>REV102848</t>
  </si>
  <si>
    <t>REV102849</t>
  </si>
  <si>
    <t>REV102850</t>
  </si>
  <si>
    <t>REV102851</t>
  </si>
  <si>
    <t>REV102852</t>
  </si>
  <si>
    <t>REV102853</t>
  </si>
  <si>
    <t>REV102854</t>
  </si>
  <si>
    <t>REV102855</t>
  </si>
  <si>
    <t>REV102856</t>
  </si>
  <si>
    <t>REV102857</t>
  </si>
  <si>
    <t>REV102858</t>
  </si>
  <si>
    <t>REV102859</t>
  </si>
  <si>
    <t>REV102860</t>
  </si>
  <si>
    <t>REV102861</t>
  </si>
  <si>
    <t>REV102862</t>
  </si>
  <si>
    <t>REV102863</t>
  </si>
  <si>
    <t>REV102864</t>
  </si>
  <si>
    <t>REV102865</t>
  </si>
  <si>
    <t>REV102866</t>
  </si>
  <si>
    <t>REV102867</t>
  </si>
  <si>
    <t>REV102868</t>
  </si>
  <si>
    <t>REV102869</t>
  </si>
  <si>
    <t>REV102870</t>
  </si>
  <si>
    <t>REV102871</t>
  </si>
  <si>
    <t>REV102872</t>
  </si>
  <si>
    <t>REV102873</t>
  </si>
  <si>
    <t>REV102874</t>
  </si>
  <si>
    <t>REV102875</t>
  </si>
  <si>
    <t>REV102876</t>
  </si>
  <si>
    <t>REV102877</t>
  </si>
  <si>
    <t>REV102878</t>
  </si>
  <si>
    <t>REV102879</t>
  </si>
  <si>
    <t>REV102880</t>
  </si>
  <si>
    <t>REV102881</t>
  </si>
  <si>
    <t>REV102882</t>
  </si>
  <si>
    <t>REV102883</t>
  </si>
  <si>
    <t>REV102884</t>
  </si>
  <si>
    <t>REV102885</t>
  </si>
  <si>
    <t>REV102886</t>
  </si>
  <si>
    <t>REV102887</t>
  </si>
  <si>
    <t>REV102888</t>
  </si>
  <si>
    <t>REV102889</t>
  </si>
  <si>
    <t>REV102890</t>
  </si>
  <si>
    <t>REV102891</t>
  </si>
  <si>
    <t>REV102892</t>
  </si>
  <si>
    <t>REV102893</t>
  </si>
  <si>
    <t>REV102894</t>
  </si>
  <si>
    <t>REV102895</t>
  </si>
  <si>
    <t>REV102896</t>
  </si>
  <si>
    <t>REV102897</t>
  </si>
  <si>
    <t>REV102898</t>
  </si>
  <si>
    <t>REV102899</t>
  </si>
  <si>
    <t>REV102900</t>
  </si>
  <si>
    <t>REV102901</t>
  </si>
  <si>
    <t>REV102902</t>
  </si>
  <si>
    <t>REV102903</t>
  </si>
  <si>
    <t>REV102904</t>
  </si>
  <si>
    <t>REV102905</t>
  </si>
  <si>
    <t>REV102906</t>
  </si>
  <si>
    <t>REV102907</t>
  </si>
  <si>
    <t>REV102908</t>
  </si>
  <si>
    <t>REV102909</t>
  </si>
  <si>
    <t>REV102910</t>
  </si>
  <si>
    <t>REV102911</t>
  </si>
  <si>
    <t>REV102912</t>
  </si>
  <si>
    <t>REV102913</t>
  </si>
  <si>
    <t>REV102914</t>
  </si>
  <si>
    <t>REV102915</t>
  </si>
  <si>
    <t>REV102916</t>
  </si>
  <si>
    <t>REV102917</t>
  </si>
  <si>
    <t>REV102918</t>
  </si>
  <si>
    <t>REV102919</t>
  </si>
  <si>
    <t>REV102920</t>
  </si>
  <si>
    <t>REV102921</t>
  </si>
  <si>
    <t>REV102922</t>
  </si>
  <si>
    <t>REV102923</t>
  </si>
  <si>
    <t>REV102924</t>
  </si>
  <si>
    <t>REV102925</t>
  </si>
  <si>
    <t>REV102926</t>
  </si>
  <si>
    <t>REV102927</t>
  </si>
  <si>
    <t>REV102928</t>
  </si>
  <si>
    <t>REV102929</t>
  </si>
  <si>
    <t>REV102930</t>
  </si>
  <si>
    <t>REV102931</t>
  </si>
  <si>
    <t>REV102932</t>
  </si>
  <si>
    <t>REV102933</t>
  </si>
  <si>
    <t>REV102934</t>
  </si>
  <si>
    <t>REV102935</t>
  </si>
  <si>
    <t>REV102936</t>
  </si>
  <si>
    <t>REV102937</t>
  </si>
  <si>
    <t>REV102938</t>
  </si>
  <si>
    <t>REV102939</t>
  </si>
  <si>
    <t>REV102940</t>
  </si>
  <si>
    <t>REV102941</t>
  </si>
  <si>
    <t>REV102942</t>
  </si>
  <si>
    <t>REV102943</t>
  </si>
  <si>
    <t>REV102944</t>
  </si>
  <si>
    <t>REV102945</t>
  </si>
  <si>
    <t>REV102946</t>
  </si>
  <si>
    <t>REV102947</t>
  </si>
  <si>
    <t>REV102948</t>
  </si>
  <si>
    <t>REV102949</t>
  </si>
  <si>
    <t>REV102950</t>
  </si>
  <si>
    <t>REV102951</t>
  </si>
  <si>
    <t>REV102952</t>
  </si>
  <si>
    <t>REV102953</t>
  </si>
  <si>
    <t>REV102954</t>
  </si>
  <si>
    <t>REV102955</t>
  </si>
  <si>
    <t>REV102956</t>
  </si>
  <si>
    <t>REV102957</t>
  </si>
  <si>
    <t>REV102958</t>
  </si>
  <si>
    <t>REV102959</t>
  </si>
  <si>
    <t>REV102960</t>
  </si>
  <si>
    <t>REV102961</t>
  </si>
  <si>
    <t>REV102962</t>
  </si>
  <si>
    <t>REV102963</t>
  </si>
  <si>
    <t>REV102964</t>
  </si>
  <si>
    <t>REV102965</t>
  </si>
  <si>
    <t>REV102966</t>
  </si>
  <si>
    <t>REV102967</t>
  </si>
  <si>
    <t>REV102968</t>
  </si>
  <si>
    <t>REV102969</t>
  </si>
  <si>
    <t>REV102970</t>
  </si>
  <si>
    <t>REV102971</t>
  </si>
  <si>
    <t>REV102972</t>
  </si>
  <si>
    <t>REV102973</t>
  </si>
  <si>
    <t>REV102974</t>
  </si>
  <si>
    <t>REV102975</t>
  </si>
  <si>
    <t>REV102976</t>
  </si>
  <si>
    <t>REV102977</t>
  </si>
  <si>
    <t>REV102978</t>
  </si>
  <si>
    <t>REV102979</t>
  </si>
  <si>
    <t>REV102980</t>
  </si>
  <si>
    <t>REV102981</t>
  </si>
  <si>
    <t>REV102982</t>
  </si>
  <si>
    <t>REV102983</t>
  </si>
  <si>
    <t>REV102984</t>
  </si>
  <si>
    <t>REV102985</t>
  </si>
  <si>
    <t>REV102986</t>
  </si>
  <si>
    <t>REV102987</t>
  </si>
  <si>
    <t>REV102988</t>
  </si>
  <si>
    <t>REV102989</t>
  </si>
  <si>
    <t>REV102990</t>
  </si>
  <si>
    <t>REV102991</t>
  </si>
  <si>
    <t>REV102992</t>
  </si>
  <si>
    <t>REV102993</t>
  </si>
  <si>
    <t>REV102994</t>
  </si>
  <si>
    <t>REV102995</t>
  </si>
  <si>
    <t>REV102996</t>
  </si>
  <si>
    <t>REV102997</t>
  </si>
  <si>
    <t>REV102998</t>
  </si>
  <si>
    <t>REV102999</t>
  </si>
  <si>
    <t>REV103000</t>
  </si>
  <si>
    <t>REV103001</t>
  </si>
  <si>
    <t>REV103002</t>
  </si>
  <si>
    <t>REV103003</t>
  </si>
  <si>
    <t>REV103004</t>
  </si>
  <si>
    <t>REV103005</t>
  </si>
  <si>
    <t>REV103006</t>
  </si>
  <si>
    <t>REV103007</t>
  </si>
  <si>
    <t>REV103008</t>
  </si>
  <si>
    <t>REV103009</t>
  </si>
  <si>
    <t>REV103010</t>
  </si>
  <si>
    <t>REV103011</t>
  </si>
  <si>
    <t>REV103012</t>
  </si>
  <si>
    <t>REV103013</t>
  </si>
  <si>
    <t>REV103014</t>
  </si>
  <si>
    <t>REV103015</t>
  </si>
  <si>
    <t>REV103016</t>
  </si>
  <si>
    <t>REV103017</t>
  </si>
  <si>
    <t>REV103018</t>
  </si>
  <si>
    <t>REV103019</t>
  </si>
  <si>
    <t>REV103020</t>
  </si>
  <si>
    <t>REV103021</t>
  </si>
  <si>
    <t>REV103022</t>
  </si>
  <si>
    <t>REV103023</t>
  </si>
  <si>
    <t>REV103024</t>
  </si>
  <si>
    <t>REV103025</t>
  </si>
  <si>
    <t>REV103026</t>
  </si>
  <si>
    <t>REV103027</t>
  </si>
  <si>
    <t>REV103028</t>
  </si>
  <si>
    <t>REV103029</t>
  </si>
  <si>
    <t>REV103030</t>
  </si>
  <si>
    <t>REV103031</t>
  </si>
  <si>
    <t>REV103032</t>
  </si>
  <si>
    <t>REV103033</t>
  </si>
  <si>
    <t>REV103034</t>
  </si>
  <si>
    <t>REV103035</t>
  </si>
  <si>
    <t>REV103036</t>
  </si>
  <si>
    <t>REV103037</t>
  </si>
  <si>
    <t>REV103038</t>
  </si>
  <si>
    <t>REV103039</t>
  </si>
  <si>
    <t>REV103040</t>
  </si>
  <si>
    <t>REV103041</t>
  </si>
  <si>
    <t>REV103042</t>
  </si>
  <si>
    <t>REV103043</t>
  </si>
  <si>
    <t>REV103044</t>
  </si>
  <si>
    <t>REV103045</t>
  </si>
  <si>
    <t>REV103046</t>
  </si>
  <si>
    <t>REV103047</t>
  </si>
  <si>
    <t>REV103048</t>
  </si>
  <si>
    <t>REV103049</t>
  </si>
  <si>
    <t>REV103050</t>
  </si>
  <si>
    <t>REV103051</t>
  </si>
  <si>
    <t>REV103052</t>
  </si>
  <si>
    <t>REV103053</t>
  </si>
  <si>
    <t>REV103054</t>
  </si>
  <si>
    <t>REV103055</t>
  </si>
  <si>
    <t>REV103056</t>
  </si>
  <si>
    <t>REV103057</t>
  </si>
  <si>
    <t>REV103058</t>
  </si>
  <si>
    <t>REV103059</t>
  </si>
  <si>
    <t>REV103060</t>
  </si>
  <si>
    <t>REV103061</t>
  </si>
  <si>
    <t>REV103062</t>
  </si>
  <si>
    <t>REV103063</t>
  </si>
  <si>
    <t>REV103064</t>
  </si>
  <si>
    <t>REV103065</t>
  </si>
  <si>
    <t>REV103066</t>
  </si>
  <si>
    <t>REV103067</t>
  </si>
  <si>
    <t>REV103068</t>
  </si>
  <si>
    <t>REV103069</t>
  </si>
  <si>
    <t>REV103070</t>
  </si>
  <si>
    <t>REV103071</t>
  </si>
  <si>
    <t>REV103072</t>
  </si>
  <si>
    <t>REV103073</t>
  </si>
  <si>
    <t>REV103074</t>
  </si>
  <si>
    <t>REV103075</t>
  </si>
  <si>
    <t>REV103076</t>
  </si>
  <si>
    <t>REV103077</t>
  </si>
  <si>
    <t>REV103078</t>
  </si>
  <si>
    <t>REV103079</t>
  </si>
  <si>
    <t>REV103080</t>
  </si>
  <si>
    <t>REV103081</t>
  </si>
  <si>
    <t>REV103082</t>
  </si>
  <si>
    <t>REV103083</t>
  </si>
  <si>
    <t>REV103084</t>
  </si>
  <si>
    <t>REV103085</t>
  </si>
  <si>
    <t>REV103086</t>
  </si>
  <si>
    <t>REV103087</t>
  </si>
  <si>
    <t>REV103088</t>
  </si>
  <si>
    <t>REV103089</t>
  </si>
  <si>
    <t>REV103090</t>
  </si>
  <si>
    <t>REV103091</t>
  </si>
  <si>
    <t>REV103092</t>
  </si>
  <si>
    <t>REV103093</t>
  </si>
  <si>
    <t>REV103094</t>
  </si>
  <si>
    <t>REV103095</t>
  </si>
  <si>
    <t>REV103096</t>
  </si>
  <si>
    <t>REV103097</t>
  </si>
  <si>
    <t>REV103098</t>
  </si>
  <si>
    <t>REV103099</t>
  </si>
  <si>
    <t>REV103100</t>
  </si>
  <si>
    <t>REV103101</t>
  </si>
  <si>
    <t>REV103102</t>
  </si>
  <si>
    <t>REV103103</t>
  </si>
  <si>
    <t>REV103104</t>
  </si>
  <si>
    <t>REV103105</t>
  </si>
  <si>
    <t>REV103106</t>
  </si>
  <si>
    <t>REV103107</t>
  </si>
  <si>
    <t>REV103108</t>
  </si>
  <si>
    <t>REV103109</t>
  </si>
  <si>
    <t>REV103110</t>
  </si>
  <si>
    <t>REV103111</t>
  </si>
  <si>
    <t>REV103112</t>
  </si>
  <si>
    <t>REV103113</t>
  </si>
  <si>
    <t>REV103114</t>
  </si>
  <si>
    <t>REV103115</t>
  </si>
  <si>
    <t>REV103116</t>
  </si>
  <si>
    <t>REV103117</t>
  </si>
  <si>
    <t>REV103118</t>
  </si>
  <si>
    <t>REV103119</t>
  </si>
  <si>
    <t>REV103120</t>
  </si>
  <si>
    <t>REV103121</t>
  </si>
  <si>
    <t>REV103122</t>
  </si>
  <si>
    <t>REV103123</t>
  </si>
  <si>
    <t>REV103124</t>
  </si>
  <si>
    <t>REV103125</t>
  </si>
  <si>
    <t>REV103126</t>
  </si>
  <si>
    <t>REV103127</t>
  </si>
  <si>
    <t>REV103128</t>
  </si>
  <si>
    <t>REV103129</t>
  </si>
  <si>
    <t>REV103130</t>
  </si>
  <si>
    <t>REV103131</t>
  </si>
  <si>
    <t>REV103132</t>
  </si>
  <si>
    <t>REV103133</t>
  </si>
  <si>
    <t>REV103134</t>
  </si>
  <si>
    <t>REV103135</t>
  </si>
  <si>
    <t>REV103136</t>
  </si>
  <si>
    <t>REV103137</t>
  </si>
  <si>
    <t>REV103138</t>
  </si>
  <si>
    <t>REV103139</t>
  </si>
  <si>
    <t>REV103140</t>
  </si>
  <si>
    <t>REV103141</t>
  </si>
  <si>
    <t>REV103142</t>
  </si>
  <si>
    <t>REV103143</t>
  </si>
  <si>
    <t>REV103144</t>
  </si>
  <si>
    <t>REV103145</t>
  </si>
  <si>
    <t>REV103146</t>
  </si>
  <si>
    <t>REV103147</t>
  </si>
  <si>
    <t>REV103148</t>
  </si>
  <si>
    <t>REV103149</t>
  </si>
  <si>
    <t>REV103150</t>
  </si>
  <si>
    <t>REV103151</t>
  </si>
  <si>
    <t>REV103152</t>
  </si>
  <si>
    <t>REV103153</t>
  </si>
  <si>
    <t>REV103154</t>
  </si>
  <si>
    <t>REV103155</t>
  </si>
  <si>
    <t>REV103156</t>
  </si>
  <si>
    <t>REV103157</t>
  </si>
  <si>
    <t>REV103158</t>
  </si>
  <si>
    <t>REV103159</t>
  </si>
  <si>
    <t>REV103160</t>
  </si>
  <si>
    <t>REV103161</t>
  </si>
  <si>
    <t>REV103162</t>
  </si>
  <si>
    <t>REV103163</t>
  </si>
  <si>
    <t>REV103164</t>
  </si>
  <si>
    <t>REV103165</t>
  </si>
  <si>
    <t>REV103166</t>
  </si>
  <si>
    <t>REV103167</t>
  </si>
  <si>
    <t>REV103168</t>
  </si>
  <si>
    <t>REV103169</t>
  </si>
  <si>
    <t>REV103170</t>
  </si>
  <si>
    <t>REV103171</t>
  </si>
  <si>
    <t>REV103172</t>
  </si>
  <si>
    <t>REV103173</t>
  </si>
  <si>
    <t>REV103174</t>
  </si>
  <si>
    <t>REV103175</t>
  </si>
  <si>
    <t>REV103176</t>
  </si>
  <si>
    <t>REV103177</t>
  </si>
  <si>
    <t>REV103178</t>
  </si>
  <si>
    <t>REV103179</t>
  </si>
  <si>
    <t>REV103180</t>
  </si>
  <si>
    <t>REV103181</t>
  </si>
  <si>
    <t>REV103182</t>
  </si>
  <si>
    <t>REV103183</t>
  </si>
  <si>
    <t>REV103184</t>
  </si>
  <si>
    <t>REV103185</t>
  </si>
  <si>
    <t>REV103186</t>
  </si>
  <si>
    <t>REV103187</t>
  </si>
  <si>
    <t>REV103188</t>
  </si>
  <si>
    <t>REV103189</t>
  </si>
  <si>
    <t>REV103190</t>
  </si>
  <si>
    <t>REV103191</t>
  </si>
  <si>
    <t>REV103192</t>
  </si>
  <si>
    <t>REV103193</t>
  </si>
  <si>
    <t>REV103194</t>
  </si>
  <si>
    <t>REV103195</t>
  </si>
  <si>
    <t>REV103196</t>
  </si>
  <si>
    <t>REV103197</t>
  </si>
  <si>
    <t>REV103198</t>
  </si>
  <si>
    <t>REV103199</t>
  </si>
  <si>
    <t>REV103200</t>
  </si>
  <si>
    <t>REV103201</t>
  </si>
  <si>
    <t>REV103202</t>
  </si>
  <si>
    <t>REV103203</t>
  </si>
  <si>
    <t>REV103204</t>
  </si>
  <si>
    <t>REV103205</t>
  </si>
  <si>
    <t>REV103206</t>
  </si>
  <si>
    <t>REV103207</t>
  </si>
  <si>
    <t>REV103208</t>
  </si>
  <si>
    <t>REV103209</t>
  </si>
  <si>
    <t>REV103210</t>
  </si>
  <si>
    <t>REV103211</t>
  </si>
  <si>
    <t>REV103212</t>
  </si>
  <si>
    <t>REV103213</t>
  </si>
  <si>
    <t>REV103214</t>
  </si>
  <si>
    <t>REV103215</t>
  </si>
  <si>
    <t>REV103216</t>
  </si>
  <si>
    <t>REV103217</t>
  </si>
  <si>
    <t>REV103218</t>
  </si>
  <si>
    <t>REV103219</t>
  </si>
  <si>
    <t>REV103220</t>
  </si>
  <si>
    <t>REV103221</t>
  </si>
  <si>
    <t>REV103222</t>
  </si>
  <si>
    <t>REV103223</t>
  </si>
  <si>
    <t>REV103224</t>
  </si>
  <si>
    <t>REV103225</t>
  </si>
  <si>
    <t>REV103226</t>
  </si>
  <si>
    <t>REV103227</t>
  </si>
  <si>
    <t>REV103228</t>
  </si>
  <si>
    <t>REV103229</t>
  </si>
  <si>
    <t>REV103230</t>
  </si>
  <si>
    <t>REV103231</t>
  </si>
  <si>
    <t>REV103232</t>
  </si>
  <si>
    <t>REV103233</t>
  </si>
  <si>
    <t>REV103234</t>
  </si>
  <si>
    <t>REV103235</t>
  </si>
  <si>
    <t>REV103236</t>
  </si>
  <si>
    <t>REV103237</t>
  </si>
  <si>
    <t>REV103238</t>
  </si>
  <si>
    <t>REV103239</t>
  </si>
  <si>
    <t>REV103240</t>
  </si>
  <si>
    <t>REV103241</t>
  </si>
  <si>
    <t>REV103242</t>
  </si>
  <si>
    <t>REV103243</t>
  </si>
  <si>
    <t>REV103244</t>
  </si>
  <si>
    <t>REV103245</t>
  </si>
  <si>
    <t>REV103246</t>
  </si>
  <si>
    <t>REV103247</t>
  </si>
  <si>
    <t>REV103248</t>
  </si>
  <si>
    <t>REV103249</t>
  </si>
  <si>
    <t>REV103250</t>
  </si>
  <si>
    <t>REV103251</t>
  </si>
  <si>
    <t>REV103252</t>
  </si>
  <si>
    <t>REV103253</t>
  </si>
  <si>
    <t>REV103254</t>
  </si>
  <si>
    <t>REV103255</t>
  </si>
  <si>
    <t>REV103256</t>
  </si>
  <si>
    <t>REV103257</t>
  </si>
  <si>
    <t>REV103258</t>
  </si>
  <si>
    <t>REV103259</t>
  </si>
  <si>
    <t>REV103260</t>
  </si>
  <si>
    <t>REV103261</t>
  </si>
  <si>
    <t>REV103262</t>
  </si>
  <si>
    <t>REV103263</t>
  </si>
  <si>
    <t>REV103264</t>
  </si>
  <si>
    <t>REV103265</t>
  </si>
  <si>
    <t>REV103266</t>
  </si>
  <si>
    <t>REV103267</t>
  </si>
  <si>
    <t>REV103268</t>
  </si>
  <si>
    <t>REV103269</t>
  </si>
  <si>
    <t>REV103270</t>
  </si>
  <si>
    <t>REV103271</t>
  </si>
  <si>
    <t>REV103272</t>
  </si>
  <si>
    <t>REV103273</t>
  </si>
  <si>
    <t>REV103274</t>
  </si>
  <si>
    <t>REV103275</t>
  </si>
  <si>
    <t>REV103276</t>
  </si>
  <si>
    <t>REV103277</t>
  </si>
  <si>
    <t>REV103278</t>
  </si>
  <si>
    <t>REV103279</t>
  </si>
  <si>
    <t>REV103280</t>
  </si>
  <si>
    <t>REV103281</t>
  </si>
  <si>
    <t>REV103282</t>
  </si>
  <si>
    <t>REV103283</t>
  </si>
  <si>
    <t>REV103284</t>
  </si>
  <si>
    <t>REV103285</t>
  </si>
  <si>
    <t>REV103286</t>
  </si>
  <si>
    <t>REV103287</t>
  </si>
  <si>
    <t>REV103288</t>
  </si>
  <si>
    <t>REV103289</t>
  </si>
  <si>
    <t>REV103290</t>
  </si>
  <si>
    <t>REV103291</t>
  </si>
  <si>
    <t>REV103292</t>
  </si>
  <si>
    <t>REV103293</t>
  </si>
  <si>
    <t>REV103294</t>
  </si>
  <si>
    <t>REV103295</t>
  </si>
  <si>
    <t>REV103296</t>
  </si>
  <si>
    <t>REV103297</t>
  </si>
  <si>
    <t>REV103298</t>
  </si>
  <si>
    <t>REV103299</t>
  </si>
  <si>
    <t>REV103300</t>
  </si>
  <si>
    <t>REV103301</t>
  </si>
  <si>
    <t>REV103302</t>
  </si>
  <si>
    <t>REV103303</t>
  </si>
  <si>
    <t>REV103304</t>
  </si>
  <si>
    <t>REV103305</t>
  </si>
  <si>
    <t>REV103306</t>
  </si>
  <si>
    <t>REV103307</t>
  </si>
  <si>
    <t>REV103308</t>
  </si>
  <si>
    <t>REV103309</t>
  </si>
  <si>
    <t>REV103310</t>
  </si>
  <si>
    <t>REV103311</t>
  </si>
  <si>
    <t>REV103312</t>
  </si>
  <si>
    <t>REV103313</t>
  </si>
  <si>
    <t>REV103314</t>
  </si>
  <si>
    <t>REV103315</t>
  </si>
  <si>
    <t>REV103316</t>
  </si>
  <si>
    <t>REV103317</t>
  </si>
  <si>
    <t>REV103318</t>
  </si>
  <si>
    <t>REV103319</t>
  </si>
  <si>
    <t>REV103320</t>
  </si>
  <si>
    <t>REV103321</t>
  </si>
  <si>
    <t>REV103322</t>
  </si>
  <si>
    <t>REV103323</t>
  </si>
  <si>
    <t>REV103324</t>
  </si>
  <si>
    <t>REV103325</t>
  </si>
  <si>
    <t>REV103326</t>
  </si>
  <si>
    <t>REV103327</t>
  </si>
  <si>
    <t>REV103328</t>
  </si>
  <si>
    <t>REV103329</t>
  </si>
  <si>
    <t>REV103330</t>
  </si>
  <si>
    <t>REV103331</t>
  </si>
  <si>
    <t>REV103332</t>
  </si>
  <si>
    <t>REV103333</t>
  </si>
  <si>
    <t>REV103334</t>
  </si>
  <si>
    <t>REV103335</t>
  </si>
  <si>
    <t>REV103336</t>
  </si>
  <si>
    <t>REV103337</t>
  </si>
  <si>
    <t>REV103338</t>
  </si>
  <si>
    <t>REV103339</t>
  </si>
  <si>
    <t>REV103340</t>
  </si>
  <si>
    <t>REV103341</t>
  </si>
  <si>
    <t>REV103342</t>
  </si>
  <si>
    <t>REV103343</t>
  </si>
  <si>
    <t>REV103344</t>
  </si>
  <si>
    <t>REV103345</t>
  </si>
  <si>
    <t>REV103346</t>
  </si>
  <si>
    <t>REV103347</t>
  </si>
  <si>
    <t>REV103348</t>
  </si>
  <si>
    <t>REV103349</t>
  </si>
  <si>
    <t>REV103350</t>
  </si>
  <si>
    <t>REV103351</t>
  </si>
  <si>
    <t>REV103352</t>
  </si>
  <si>
    <t>REV103353</t>
  </si>
  <si>
    <t>REV103354</t>
  </si>
  <si>
    <t>REV103355</t>
  </si>
  <si>
    <t>REV103356</t>
  </si>
  <si>
    <t>REV103357</t>
  </si>
  <si>
    <t>REV103358</t>
  </si>
  <si>
    <t>REV103359</t>
  </si>
  <si>
    <t>REV103360</t>
  </si>
  <si>
    <t>REV103361</t>
  </si>
  <si>
    <t>REV103362</t>
  </si>
  <si>
    <t>REV103363</t>
  </si>
  <si>
    <t>REV103364</t>
  </si>
  <si>
    <t>REV103365</t>
  </si>
  <si>
    <t>REV103366</t>
  </si>
  <si>
    <t>REV103367</t>
  </si>
  <si>
    <t>REV103368</t>
  </si>
  <si>
    <t>REV103369</t>
  </si>
  <si>
    <t>REV103370</t>
  </si>
  <si>
    <t>REV103371</t>
  </si>
  <si>
    <t>REV103372</t>
  </si>
  <si>
    <t>REV103373</t>
  </si>
  <si>
    <t>REV103374</t>
  </si>
  <si>
    <t>REV103375</t>
  </si>
  <si>
    <t>REV103376</t>
  </si>
  <si>
    <t>REV103377</t>
  </si>
  <si>
    <t>REV103378</t>
  </si>
  <si>
    <t>REV103379</t>
  </si>
  <si>
    <t>REV103380</t>
  </si>
  <si>
    <t>REV103381</t>
  </si>
  <si>
    <t>REV103382</t>
  </si>
  <si>
    <t>REV103383</t>
  </si>
  <si>
    <t>REV103384</t>
  </si>
  <si>
    <t>REV103385</t>
  </si>
  <si>
    <t>REV103386</t>
  </si>
  <si>
    <t>REV103387</t>
  </si>
  <si>
    <t>Type</t>
  </si>
  <si>
    <t>Revenue</t>
  </si>
  <si>
    <t>Sum of Budget</t>
  </si>
  <si>
    <t>Sum of Actual</t>
  </si>
  <si>
    <t xml:space="preserve">Actual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</si>
</sst>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164" formatCode="0.0%"/>
    <numFmt numFmtId="165" formatCode="yyyy\-mm\-dd"/>
  </numFmts>
  <fonts count="10" x14ac:knownFonts="1">
    <font>
      <sz val="11"/>
      <color theme="1"/>
      <name val="Calibri"/>
      <family val="2"/>
      <scheme val="minor"/>
    </font>
    <font>
      <b/>
      <sz val="11"/>
      <name val="Calibri"/>
      <family val="2"/>
    </font>
    <font>
      <b/>
      <sz val="11"/>
      <color theme="0"/>
      <name val="Calibri"/>
      <family val="2"/>
      <scheme val="minor"/>
    </font>
    <font>
      <b/>
      <sz val="11"/>
      <color theme="1"/>
      <name val="Calibri"/>
      <family val="2"/>
      <scheme val="minor"/>
    </font>
    <font>
      <b/>
      <i/>
      <sz val="11"/>
      <color theme="1"/>
      <name val="Calibri"/>
      <family val="2"/>
      <scheme val="minor"/>
    </font>
    <font>
      <b/>
      <sz val="16"/>
      <color theme="1"/>
      <name val="Calibri"/>
      <family val="2"/>
      <scheme val="minor"/>
    </font>
    <font>
      <i/>
      <sz val="11"/>
      <color theme="0"/>
      <name val="Calibri"/>
      <family val="2"/>
      <scheme val="minor"/>
    </font>
    <font>
      <i/>
      <sz val="11"/>
      <color theme="1"/>
      <name val="Calibri"/>
      <family val="2"/>
      <scheme val="minor"/>
    </font>
    <font>
      <b/>
      <sz val="11"/>
      <color rgb="FFFFFFFF"/>
      <name val="Calibri"/>
      <family val="2"/>
    </font>
    <font>
      <sz val="11"/>
      <color theme="3" tint="-0.499984740745262"/>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1F4E78"/>
      </patternFill>
    </fill>
  </fills>
  <borders count="6">
    <border>
      <left/>
      <right/>
      <top/>
      <bottom/>
      <diagonal/>
    </border>
    <border>
      <left/>
      <right/>
      <top/>
      <bottom style="thin">
        <color indexed="64"/>
      </bottom>
      <diagonal/>
    </border>
    <border>
      <left style="thin">
        <color auto="1"/>
      </left>
      <right/>
      <top/>
      <bottom/>
      <diagonal/>
    </border>
    <border>
      <left/>
      <right/>
      <top style="thin">
        <color indexed="64"/>
      </top>
      <bottom/>
      <diagonal/>
    </border>
    <border>
      <left/>
      <right/>
      <top style="thin">
        <color indexed="64"/>
      </top>
      <bottom style="thin">
        <color indexed="64"/>
      </bottom>
      <diagonal/>
    </border>
    <border>
      <left/>
      <right/>
      <top/>
      <bottom style="thin">
        <color rgb="FFD9E1F2"/>
      </bottom>
      <diagonal/>
    </border>
  </borders>
  <cellStyleXfs count="1">
    <xf numFmtId="0" fontId="0" fillId="0" borderId="0"/>
  </cellStyleXfs>
  <cellXfs count="36">
    <xf numFmtId="0" fontId="0" fillId="0" borderId="0" xfId="0"/>
    <xf numFmtId="0" fontId="0" fillId="0" borderId="1" xfId="0" applyBorder="1"/>
    <xf numFmtId="0" fontId="5" fillId="0" borderId="1" xfId="0" applyFont="1" applyBorder="1"/>
    <xf numFmtId="0" fontId="1" fillId="0" borderId="2" xfId="0" applyFont="1" applyBorder="1" applyAlignment="1">
      <alignment horizontal="center" vertical="top"/>
    </xf>
    <xf numFmtId="0" fontId="0" fillId="0" borderId="0" xfId="0" applyAlignment="1">
      <alignment horizontal="left" indent="1"/>
    </xf>
    <xf numFmtId="0" fontId="3" fillId="0" borderId="3" xfId="0" applyFont="1" applyBorder="1"/>
    <xf numFmtId="0" fontId="3" fillId="2" borderId="0" xfId="0" applyFont="1" applyFill="1" applyAlignment="1">
      <alignment horizontal="center"/>
    </xf>
    <xf numFmtId="0" fontId="0" fillId="0" borderId="0" xfId="0" applyAlignment="1">
      <alignment horizontal="center"/>
    </xf>
    <xf numFmtId="0" fontId="6" fillId="3" borderId="0" xfId="0" applyFont="1" applyFill="1"/>
    <xf numFmtId="42" fontId="0" fillId="0" borderId="0" xfId="0" applyNumberFormat="1"/>
    <xf numFmtId="0" fontId="4" fillId="0" borderId="0" xfId="0" applyFont="1" applyAlignment="1">
      <alignment horizontal="center"/>
    </xf>
    <xf numFmtId="0" fontId="2" fillId="3" borderId="0" xfId="0" applyFont="1" applyFill="1" applyAlignment="1">
      <alignment horizontal="center"/>
    </xf>
    <xf numFmtId="164" fontId="0" fillId="0" borderId="0" xfId="0" applyNumberFormat="1"/>
    <xf numFmtId="0" fontId="3" fillId="2" borderId="4" xfId="0" applyFont="1" applyFill="1" applyBorder="1"/>
    <xf numFmtId="164" fontId="0" fillId="0" borderId="4" xfId="0" applyNumberFormat="1" applyBorder="1"/>
    <xf numFmtId="41" fontId="0" fillId="0" borderId="0" xfId="0" applyNumberFormat="1"/>
    <xf numFmtId="41" fontId="3" fillId="0" borderId="3" xfId="0" applyNumberFormat="1" applyFont="1" applyBorder="1"/>
    <xf numFmtId="41" fontId="3" fillId="2" borderId="4" xfId="0" applyNumberFormat="1" applyFont="1" applyFill="1" applyBorder="1"/>
    <xf numFmtId="41" fontId="0" fillId="0" borderId="4" xfId="0" applyNumberFormat="1" applyBorder="1"/>
    <xf numFmtId="0" fontId="2" fillId="0" borderId="0" xfId="0" applyFont="1"/>
    <xf numFmtId="0" fontId="7" fillId="0" borderId="0" xfId="0" applyFont="1"/>
    <xf numFmtId="1" fontId="3" fillId="0" borderId="0" xfId="0" applyNumberFormat="1" applyFont="1" applyAlignment="1">
      <alignment horizontal="center"/>
    </xf>
    <xf numFmtId="0" fontId="3" fillId="0" borderId="0" xfId="0" applyFont="1" applyAlignment="1">
      <alignment horizontal="center"/>
    </xf>
    <xf numFmtId="0" fontId="0" fillId="0" borderId="0" xfId="0" pivotButton="1"/>
    <xf numFmtId="0" fontId="0" fillId="0" borderId="0" xfId="0" applyAlignment="1">
      <alignment horizontal="left"/>
    </xf>
    <xf numFmtId="0" fontId="0" fillId="4" borderId="0" xfId="0" applyFill="1"/>
    <xf numFmtId="165" fontId="0" fillId="0" borderId="0" xfId="0" applyNumberFormat="1" applyAlignment="1">
      <alignment vertical="center"/>
    </xf>
    <xf numFmtId="0" fontId="0" fillId="0" borderId="0" xfId="0" applyAlignment="1">
      <alignment vertical="center"/>
    </xf>
    <xf numFmtId="3" fontId="0" fillId="0" borderId="0" xfId="0" applyNumberFormat="1" applyAlignment="1">
      <alignment vertical="center"/>
    </xf>
    <xf numFmtId="0" fontId="8" fillId="5" borderId="5" xfId="0" applyFont="1" applyFill="1" applyBorder="1" applyAlignment="1">
      <alignment vertical="center"/>
    </xf>
    <xf numFmtId="3" fontId="0" fillId="0" borderId="0" xfId="0" applyNumberFormat="1"/>
    <xf numFmtId="42" fontId="0" fillId="4" borderId="0" xfId="0" applyNumberFormat="1" applyFill="1"/>
    <xf numFmtId="42" fontId="9" fillId="4" borderId="0" xfId="0" applyNumberFormat="1" applyFont="1" applyFill="1"/>
    <xf numFmtId="41" fontId="9" fillId="4" borderId="0" xfId="0" applyNumberFormat="1" applyFont="1" applyFill="1"/>
    <xf numFmtId="10" fontId="0" fillId="0" borderId="0" xfId="0" applyNumberFormat="1"/>
    <xf numFmtId="0" fontId="2" fillId="3" borderId="0" xfId="0" applyFont="1" applyFill="1" applyAlignment="1">
      <alignment horizontal="center"/>
    </xf>
  </cellXfs>
  <cellStyles count="1">
    <cellStyle name="Normal" xfId="0" builtinId="0"/>
  </cellStyles>
  <dxfs count="2">
    <dxf>
      <font>
        <color rgb="FF00B05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[Actual vs Budget Dashboard 2025 (version 2).xlsx]Pivot Tables!PivotTable5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Actual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Tables'!$A$4:$A$8</c:f>
              <c:multiLvlStrCache>
                <c:ptCount val="2"/>
                <c:lvl>
                  <c:pt idx="0">
                    <c:v>April</c:v>
                  </c:pt>
                  <c:pt idx="1">
                    <c:v>April</c:v>
                  </c:pt>
                </c:lvl>
                <c:lvl>
                  <c:pt idx="0">
                    <c:v>Income</c:v>
                  </c:pt>
                  <c:pt idx="1">
                    <c:v>Expense</c:v>
                  </c:pt>
                </c:lvl>
              </c:multiLvlStrCache>
            </c:multiLvlStrRef>
          </c:cat>
          <c:val>
            <c:numRef>
              <c:f>'Pivot Tables'!$B$4:$B$8</c:f>
              <c:numCache>
                <c:formatCode>#,##0</c:formatCode>
                <c:ptCount val="2"/>
                <c:pt idx="0">
                  <c:v>42582800</c:v>
                </c:pt>
                <c:pt idx="1">
                  <c:v>29230433</c:v>
                </c:pt>
              </c:numCache>
            </c:numRef>
          </c:val>
          <c:extLst>
            <c:ext xmlns:c16="http://schemas.microsoft.com/office/drawing/2014/chart" uri="{C3380CC4-5D6E-409C-BE32-E72D297353CC}">
              <c16:uniqueId val="{00000000-7C60-48AE-AA37-C789F00BC744}"/>
            </c:ext>
          </c:extLst>
        </c:ser>
        <c:ser>
          <c:idx val="1"/>
          <c:order val="1"/>
          <c:tx>
            <c:strRef>
              <c:f>'Pivot Tables'!$C$3</c:f>
              <c:strCache>
                <c:ptCount val="1"/>
                <c:pt idx="0">
                  <c:v>Budget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Tables'!$A$4:$A$8</c:f>
              <c:multiLvlStrCache>
                <c:ptCount val="2"/>
                <c:lvl>
                  <c:pt idx="0">
                    <c:v>April</c:v>
                  </c:pt>
                  <c:pt idx="1">
                    <c:v>April</c:v>
                  </c:pt>
                </c:lvl>
                <c:lvl>
                  <c:pt idx="0">
                    <c:v>Income</c:v>
                  </c:pt>
                  <c:pt idx="1">
                    <c:v>Expense</c:v>
                  </c:pt>
                </c:lvl>
              </c:multiLvlStrCache>
            </c:multiLvlStrRef>
          </c:cat>
          <c:val>
            <c:numRef>
              <c:f>'Pivot Tables'!$C$4:$C$8</c:f>
              <c:numCache>
                <c:formatCode>#,##0</c:formatCode>
                <c:ptCount val="2"/>
                <c:pt idx="0">
                  <c:v>40626800</c:v>
                </c:pt>
                <c:pt idx="1">
                  <c:v>26078247</c:v>
                </c:pt>
              </c:numCache>
            </c:numRef>
          </c:val>
          <c:extLst>
            <c:ext xmlns:c16="http://schemas.microsoft.com/office/drawing/2014/chart" uri="{C3380CC4-5D6E-409C-BE32-E72D297353CC}">
              <c16:uniqueId val="{00000001-7C60-48AE-AA37-C789F00BC744}"/>
            </c:ext>
          </c:extLst>
        </c:ser>
        <c:dLbls>
          <c:dLblPos val="outEnd"/>
          <c:showLegendKey val="0"/>
          <c:showVal val="1"/>
          <c:showCatName val="0"/>
          <c:showSerName val="0"/>
          <c:showPercent val="0"/>
          <c:showBubbleSize val="0"/>
        </c:dLbls>
        <c:gapWidth val="219"/>
        <c:overlap val="-27"/>
        <c:axId val="1865602432"/>
        <c:axId val="1513060656"/>
      </c:barChart>
      <c:catAx>
        <c:axId val="186560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060656"/>
        <c:crosses val="autoZero"/>
        <c:auto val="1"/>
        <c:lblAlgn val="ctr"/>
        <c:lblOffset val="100"/>
        <c:noMultiLvlLbl val="0"/>
      </c:catAx>
      <c:valAx>
        <c:axId val="1513060656"/>
        <c:scaling>
          <c:orientation val="minMax"/>
        </c:scaling>
        <c:delete val="0"/>
        <c:axPos val="l"/>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6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2.0908227773396574E-2"/>
              <c:y val="6.75504590239938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7.5917940100057882E-2"/>
              <c:y val="8.73743408446879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3548355026851172"/>
              <c:y val="1.72165102825826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3.1577296819873205E-3"/>
              <c:y val="-7.74471202350804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4365875561306454"/>
              <c:y val="-2.68071409456212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dLbl>
          <c:idx val="0"/>
          <c:layout>
            <c:manualLayout>
              <c:x val="9.7884630111110704E-2"/>
              <c:y val="5.06295017813946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dLbl>
          <c:idx val="0"/>
          <c:layout>
            <c:manualLayout>
              <c:x val="6.572657051133797E-2"/>
              <c:y val="7.1250110777819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dLbl>
          <c:idx val="0"/>
          <c:layout>
            <c:manualLayout>
              <c:x val="3.6087132841712971E-2"/>
              <c:y val="8.604588013468836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dLbl>
          <c:idx val="0"/>
          <c:layout>
            <c:manualLayout>
              <c:x val="1.5686714382435067E-2"/>
              <c:y val="6.5772768794194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pieChart>
        <c:varyColors val="1"/>
        <c:ser>
          <c:idx val="0"/>
          <c:order val="0"/>
          <c:tx>
            <c:strRef>
              <c:f>'Pivot Tables'!$F$3:$F$4</c:f>
              <c:strCache>
                <c:ptCount val="1"/>
                <c:pt idx="0">
                  <c:v>April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9F-40E9-A7D6-2015857888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9F-40E9-A7D6-2015857888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9F-40E9-A7D6-2015857888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9F-40E9-A7D6-2015857888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9F-40E9-A7D6-20158578888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D9F-40E9-A7D6-20158578888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D9F-40E9-A7D6-20158578888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D9F-40E9-A7D6-2015857888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Tables'!$E$5:$E$13</c:f>
              <c:strCache>
                <c:ptCount val="8"/>
                <c:pt idx="0">
                  <c:v>Infrastructure</c:v>
                </c:pt>
                <c:pt idx="1">
                  <c:v>Marketing</c:v>
                </c:pt>
                <c:pt idx="2">
                  <c:v>Product Revenue</c:v>
                </c:pt>
                <c:pt idx="3">
                  <c:v>Salaries</c:v>
                </c:pt>
                <c:pt idx="4">
                  <c:v>Service Revenue</c:v>
                </c:pt>
                <c:pt idx="5">
                  <c:v>Training</c:v>
                </c:pt>
                <c:pt idx="6">
                  <c:v>Travel</c:v>
                </c:pt>
                <c:pt idx="7">
                  <c:v>Utilities</c:v>
                </c:pt>
              </c:strCache>
            </c:strRef>
          </c:cat>
          <c:val>
            <c:numRef>
              <c:f>'Pivot Tables'!$F$5:$F$13</c:f>
              <c:numCache>
                <c:formatCode>0.00%</c:formatCode>
                <c:ptCount val="8"/>
                <c:pt idx="0">
                  <c:v>4.9519026648763176E-2</c:v>
                </c:pt>
                <c:pt idx="1">
                  <c:v>5.2480781551656801E-2</c:v>
                </c:pt>
                <c:pt idx="2">
                  <c:v>0.35692651562032479</c:v>
                </c:pt>
                <c:pt idx="3">
                  <c:v>5.1910599808137455E-2</c:v>
                </c:pt>
                <c:pt idx="4">
                  <c:v>0.25212485046296423</c:v>
                </c:pt>
                <c:pt idx="5">
                  <c:v>5.7738314763499082E-2</c:v>
                </c:pt>
                <c:pt idx="6">
                  <c:v>7.6775794791059809E-2</c:v>
                </c:pt>
                <c:pt idx="7">
                  <c:v>0.10252411635359465</c:v>
                </c:pt>
              </c:numCache>
            </c:numRef>
          </c:val>
          <c:extLst>
            <c:ext xmlns:c16="http://schemas.microsoft.com/office/drawing/2014/chart" uri="{C3380CC4-5D6E-409C-BE32-E72D297353CC}">
              <c16:uniqueId val="{00000010-8D9F-40E9-A7D6-2015857888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[Actual vs Budget Dashboard 2025 (version 2).xlsx]Pivot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Actual</a:t>
            </a:r>
          </a:p>
        </c:rich>
      </c:tx>
      <c:layout>
        <c:manualLayout>
          <c:xMode val="edge"/>
          <c:yMode val="edge"/>
          <c:x val="0.45685187540038052"/>
          <c:y val="5.8789812053047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2.45585928665168E-2"/>
              <c:y val="8.42031774217644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7.5359457124378845E-2"/>
              <c:y val="9.22845913791531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465676012118356"/>
              <c:y val="4.85411189894748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8.9960339531576367E-3"/>
              <c:y val="-8.28384687040911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1522703448790778"/>
              <c:y val="-6.18184155716110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dLbl>
          <c:idx val="0"/>
          <c:layout>
            <c:manualLayout>
              <c:x val="0.10210947305965433"/>
              <c:y val="5.75468974434724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dLbl>
          <c:idx val="0"/>
          <c:layout>
            <c:manualLayout>
              <c:x val="9.480903185605552E-2"/>
              <c:y val="9.8540570239046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dLbl>
          <c:idx val="0"/>
          <c:layout>
            <c:manualLayout>
              <c:x val="4.1364202560088895E-2"/>
              <c:y val="0.115083715797449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s>
    <c:plotArea>
      <c:layout>
        <c:manualLayout>
          <c:layoutTarget val="inner"/>
          <c:xMode val="edge"/>
          <c:yMode val="edge"/>
          <c:x val="9.8905486602797729E-2"/>
          <c:y val="0.16369097544082892"/>
          <c:w val="0.62676097452520163"/>
          <c:h val="0.69833564014842908"/>
        </c:manualLayout>
      </c:layout>
      <c:pieChart>
        <c:varyColors val="1"/>
        <c:ser>
          <c:idx val="0"/>
          <c:order val="0"/>
          <c:tx>
            <c:strRef>
              <c:f>'Pivot Tables'!$F$18:$F$19</c:f>
              <c:strCache>
                <c:ptCount val="1"/>
                <c:pt idx="0">
                  <c:v>April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B8-4322-97CD-456669987B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B8-4322-97CD-456669987B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B8-4322-97CD-456669987B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7B8-4322-97CD-456669987B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7B8-4322-97CD-456669987B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7B8-4322-97CD-456669987B6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7B8-4322-97CD-456669987B6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7B8-4322-97CD-456669987B6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Tables'!$E$20:$E$28</c:f>
              <c:strCache>
                <c:ptCount val="8"/>
                <c:pt idx="0">
                  <c:v>Infrastructure</c:v>
                </c:pt>
                <c:pt idx="1">
                  <c:v>Marketing</c:v>
                </c:pt>
                <c:pt idx="2">
                  <c:v>Product Revenue</c:v>
                </c:pt>
                <c:pt idx="3">
                  <c:v>Salaries</c:v>
                </c:pt>
                <c:pt idx="4">
                  <c:v>Service Revenue</c:v>
                </c:pt>
                <c:pt idx="5">
                  <c:v>Training</c:v>
                </c:pt>
                <c:pt idx="6">
                  <c:v>Travel</c:v>
                </c:pt>
                <c:pt idx="7">
                  <c:v>Utilities</c:v>
                </c:pt>
              </c:strCache>
            </c:strRef>
          </c:cat>
          <c:val>
            <c:numRef>
              <c:f>'Pivot Tables'!$F$20:$F$28</c:f>
              <c:numCache>
                <c:formatCode>0.00%</c:formatCode>
                <c:ptCount val="8"/>
                <c:pt idx="0">
                  <c:v>5.8140245544995861E-2</c:v>
                </c:pt>
                <c:pt idx="1">
                  <c:v>4.9030921640862486E-2</c:v>
                </c:pt>
                <c:pt idx="2">
                  <c:v>0.34925457262173393</c:v>
                </c:pt>
                <c:pt idx="3">
                  <c:v>5.245075096396231E-2</c:v>
                </c:pt>
                <c:pt idx="4">
                  <c:v>0.24371135052504878</c:v>
                </c:pt>
                <c:pt idx="5">
                  <c:v>5.4679072866695752E-2</c:v>
                </c:pt>
                <c:pt idx="6">
                  <c:v>9.0385583949409432E-2</c:v>
                </c:pt>
                <c:pt idx="7">
                  <c:v>0.10234750188729144</c:v>
                </c:pt>
              </c:numCache>
            </c:numRef>
          </c:val>
          <c:extLst>
            <c:ext xmlns:c16="http://schemas.microsoft.com/office/drawing/2014/chart" uri="{C3380CC4-5D6E-409C-BE32-E72D297353CC}">
              <c16:uniqueId val="{00000010-F7B8-4322-97CD-456669987B6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[Actual vs Budget Dashboard 2025 (version 2).xlsx]Pivot Tables!PivotTable2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a:noFill/>
          </a:ln>
          <a:effectLst/>
        </c:spPr>
        <c:dLbl>
          <c:idx val="0"/>
          <c:layout>
            <c:manualLayout>
              <c:x val="2.2292673311053533E-3"/>
              <c:y val="-1.2020837696211203E-2"/>
            </c:manualLayout>
          </c:layout>
          <c:numFmt formatCode="#,##0.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Tables'!$B$32</c:f>
              <c:strCache>
                <c:ptCount val="1"/>
                <c:pt idx="0">
                  <c:v>Actual </c:v>
                </c:pt>
              </c:strCache>
            </c:strRef>
          </c:tx>
          <c:spPr>
            <a:solidFill>
              <a:schemeClr val="accent1">
                <a:shade val="76000"/>
              </a:schemeClr>
            </a:solidFill>
            <a:ln>
              <a:noFill/>
            </a:ln>
            <a:effectLst/>
          </c:spPr>
          <c:invertIfNegative val="0"/>
          <c:dLbls>
            <c:numFmt formatCode="#,##0.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Tables'!$A$33:$A$48</c:f>
              <c:multiLvlStrCache>
                <c:ptCount val="10"/>
                <c:lvl>
                  <c:pt idx="0">
                    <c:v>Expense</c:v>
                  </c:pt>
                  <c:pt idx="1">
                    <c:v>Income</c:v>
                  </c:pt>
                  <c:pt idx="2">
                    <c:v>Expense</c:v>
                  </c:pt>
                  <c:pt idx="3">
                    <c:v>Income</c:v>
                  </c:pt>
                  <c:pt idx="4">
                    <c:v>Expense</c:v>
                  </c:pt>
                  <c:pt idx="5">
                    <c:v>Income</c:v>
                  </c:pt>
                  <c:pt idx="6">
                    <c:v>Expense</c:v>
                  </c:pt>
                  <c:pt idx="7">
                    <c:v>Income</c:v>
                  </c:pt>
                  <c:pt idx="8">
                    <c:v>Expense</c:v>
                  </c:pt>
                  <c:pt idx="9">
                    <c:v>Income</c:v>
                  </c:pt>
                </c:lvl>
                <c:lvl>
                  <c:pt idx="0">
                    <c:v>South</c:v>
                  </c:pt>
                  <c:pt idx="2">
                    <c:v>North</c:v>
                  </c:pt>
                  <c:pt idx="4">
                    <c:v>West</c:v>
                  </c:pt>
                  <c:pt idx="6">
                    <c:v>Central</c:v>
                  </c:pt>
                  <c:pt idx="8">
                    <c:v>East</c:v>
                  </c:pt>
                </c:lvl>
              </c:multiLvlStrCache>
            </c:multiLvlStrRef>
          </c:cat>
          <c:val>
            <c:numRef>
              <c:f>'Pivot Tables'!$B$33:$B$48</c:f>
              <c:numCache>
                <c:formatCode>#,##0</c:formatCode>
                <c:ptCount val="10"/>
                <c:pt idx="0">
                  <c:v>5459353</c:v>
                </c:pt>
                <c:pt idx="1">
                  <c:v>7156800</c:v>
                </c:pt>
                <c:pt idx="2">
                  <c:v>5540941</c:v>
                </c:pt>
                <c:pt idx="3">
                  <c:v>7817100</c:v>
                </c:pt>
                <c:pt idx="4">
                  <c:v>6032855</c:v>
                </c:pt>
                <c:pt idx="5">
                  <c:v>8082000</c:v>
                </c:pt>
                <c:pt idx="6">
                  <c:v>5629546</c:v>
                </c:pt>
                <c:pt idx="7">
                  <c:v>8487300</c:v>
                </c:pt>
                <c:pt idx="8">
                  <c:v>6567738</c:v>
                </c:pt>
                <c:pt idx="9">
                  <c:v>11039600</c:v>
                </c:pt>
              </c:numCache>
            </c:numRef>
          </c:val>
          <c:extLst>
            <c:ext xmlns:c16="http://schemas.microsoft.com/office/drawing/2014/chart" uri="{C3380CC4-5D6E-409C-BE32-E72D297353CC}">
              <c16:uniqueId val="{00000000-5888-42BA-AB40-29284AF3EED6}"/>
            </c:ext>
          </c:extLst>
        </c:ser>
        <c:ser>
          <c:idx val="1"/>
          <c:order val="1"/>
          <c:tx>
            <c:strRef>
              <c:f>'Pivot Tables'!$C$32</c:f>
              <c:strCache>
                <c:ptCount val="1"/>
                <c:pt idx="0">
                  <c:v>Budget </c:v>
                </c:pt>
              </c:strCache>
            </c:strRef>
          </c:tx>
          <c:spPr>
            <a:solidFill>
              <a:schemeClr val="accent1">
                <a:tint val="77000"/>
              </a:schemeClr>
            </a:solidFill>
            <a:ln>
              <a:noFill/>
            </a:ln>
            <a:effectLst/>
          </c:spPr>
          <c:invertIfNegative val="0"/>
          <c:dPt>
            <c:idx val="7"/>
            <c:invertIfNegative val="0"/>
            <c:bubble3D val="0"/>
            <c:extLst>
              <c:ext xmlns:c16="http://schemas.microsoft.com/office/drawing/2014/chart" uri="{C3380CC4-5D6E-409C-BE32-E72D297353CC}">
                <c16:uniqueId val="{00000001-3C22-4291-B369-4DC744EC5CA5}"/>
              </c:ext>
            </c:extLst>
          </c:dPt>
          <c:dPt>
            <c:idx val="9"/>
            <c:invertIfNegative val="0"/>
            <c:bubble3D val="0"/>
            <c:spPr>
              <a:solidFill>
                <a:schemeClr val="accent1">
                  <a:tint val="77000"/>
                </a:schemeClr>
              </a:solidFill>
              <a:ln>
                <a:noFill/>
              </a:ln>
              <a:effectLst/>
            </c:spPr>
            <c:extLst>
              <c:ext xmlns:c16="http://schemas.microsoft.com/office/drawing/2014/chart" uri="{C3380CC4-5D6E-409C-BE32-E72D297353CC}">
                <c16:uniqueId val="{00000002-69D0-4547-AAEC-EFCAF3B6E1FB}"/>
              </c:ext>
            </c:extLst>
          </c:dPt>
          <c:dLbls>
            <c:dLbl>
              <c:idx val="9"/>
              <c:layout>
                <c:manualLayout>
                  <c:x val="2.2292673311053533E-3"/>
                  <c:y val="-1.202083769621120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D0-4547-AAEC-EFCAF3B6E1FB}"/>
                </c:ext>
              </c:extLst>
            </c:dLbl>
            <c:numFmt formatCode="#,##0.0,,\M"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Tables'!$A$33:$A$48</c:f>
              <c:multiLvlStrCache>
                <c:ptCount val="10"/>
                <c:lvl>
                  <c:pt idx="0">
                    <c:v>Expense</c:v>
                  </c:pt>
                  <c:pt idx="1">
                    <c:v>Income</c:v>
                  </c:pt>
                  <c:pt idx="2">
                    <c:v>Expense</c:v>
                  </c:pt>
                  <c:pt idx="3">
                    <c:v>Income</c:v>
                  </c:pt>
                  <c:pt idx="4">
                    <c:v>Expense</c:v>
                  </c:pt>
                  <c:pt idx="5">
                    <c:v>Income</c:v>
                  </c:pt>
                  <c:pt idx="6">
                    <c:v>Expense</c:v>
                  </c:pt>
                  <c:pt idx="7">
                    <c:v>Income</c:v>
                  </c:pt>
                  <c:pt idx="8">
                    <c:v>Expense</c:v>
                  </c:pt>
                  <c:pt idx="9">
                    <c:v>Income</c:v>
                  </c:pt>
                </c:lvl>
                <c:lvl>
                  <c:pt idx="0">
                    <c:v>South</c:v>
                  </c:pt>
                  <c:pt idx="2">
                    <c:v>North</c:v>
                  </c:pt>
                  <c:pt idx="4">
                    <c:v>West</c:v>
                  </c:pt>
                  <c:pt idx="6">
                    <c:v>Central</c:v>
                  </c:pt>
                  <c:pt idx="8">
                    <c:v>East</c:v>
                  </c:pt>
                </c:lvl>
              </c:multiLvlStrCache>
            </c:multiLvlStrRef>
          </c:cat>
          <c:val>
            <c:numRef>
              <c:f>'Pivot Tables'!$C$33:$C$48</c:f>
              <c:numCache>
                <c:formatCode>#,##0</c:formatCode>
                <c:ptCount val="10"/>
                <c:pt idx="0">
                  <c:v>4687835</c:v>
                </c:pt>
                <c:pt idx="1">
                  <c:v>6925400</c:v>
                </c:pt>
                <c:pt idx="2">
                  <c:v>5065016</c:v>
                </c:pt>
                <c:pt idx="3">
                  <c:v>7666800</c:v>
                </c:pt>
                <c:pt idx="4">
                  <c:v>4957237</c:v>
                </c:pt>
                <c:pt idx="5">
                  <c:v>7752900</c:v>
                </c:pt>
                <c:pt idx="6">
                  <c:v>4714931</c:v>
                </c:pt>
                <c:pt idx="7">
                  <c:v>7870100</c:v>
                </c:pt>
                <c:pt idx="8">
                  <c:v>6653228</c:v>
                </c:pt>
                <c:pt idx="9">
                  <c:v>10411600</c:v>
                </c:pt>
              </c:numCache>
            </c:numRef>
          </c:val>
          <c:extLst>
            <c:ext xmlns:c16="http://schemas.microsoft.com/office/drawing/2014/chart" uri="{C3380CC4-5D6E-409C-BE32-E72D297353CC}">
              <c16:uniqueId val="{00000001-5888-42BA-AB40-29284AF3EED6}"/>
            </c:ext>
          </c:extLst>
        </c:ser>
        <c:dLbls>
          <c:dLblPos val="outEnd"/>
          <c:showLegendKey val="0"/>
          <c:showVal val="1"/>
          <c:showCatName val="0"/>
          <c:showSerName val="0"/>
          <c:showPercent val="0"/>
          <c:showBubbleSize val="0"/>
        </c:dLbls>
        <c:gapWidth val="182"/>
        <c:axId val="1797172623"/>
        <c:axId val="1700886991"/>
      </c:barChart>
      <c:catAx>
        <c:axId val="179717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86991"/>
        <c:crosses val="autoZero"/>
        <c:auto val="1"/>
        <c:lblAlgn val="ctr"/>
        <c:lblOffset val="100"/>
        <c:noMultiLvlLbl val="0"/>
      </c:catAx>
      <c:valAx>
        <c:axId val="1700886991"/>
        <c:scaling>
          <c:orientation val="minMax"/>
        </c:scaling>
        <c:delete val="0"/>
        <c:axPos val="b"/>
        <c:majorGridlines>
          <c:spPr>
            <a:ln w="9525" cap="flat" cmpd="sng" algn="ctr">
              <a:solidFill>
                <a:schemeClr val="tx1">
                  <a:lumMod val="15000"/>
                  <a:lumOff val="85000"/>
                </a:schemeClr>
              </a:solidFill>
              <a:round/>
            </a:ln>
            <a:effectLst/>
          </c:spPr>
        </c:majorGridlines>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17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Budget</c:v>
          </c:tx>
          <c:spPr>
            <a:solidFill>
              <a:schemeClr val="accent1"/>
            </a:solidFill>
            <a:ln>
              <a:noFill/>
            </a:ln>
            <a:effectLst/>
          </c:spPr>
          <c:invertIfNegative val="0"/>
          <c:cat>
            <c:strRef>
              <c:f>Dashboard!$B$9:$B$10</c:f>
              <c:strCache>
                <c:ptCount val="2"/>
                <c:pt idx="0">
                  <c:v>Product Revenue</c:v>
                </c:pt>
                <c:pt idx="1">
                  <c:v>Service Revenue</c:v>
                </c:pt>
              </c:strCache>
            </c:strRef>
          </c:cat>
          <c:val>
            <c:numRef>
              <c:f>Dashboard!$C$9:$C$10</c:f>
              <c:numCache>
                <c:formatCode>_(* #,##0_);_(* \(#,##0\);_(* "-"_);_(@_)</c:formatCode>
                <c:ptCount val="2"/>
                <c:pt idx="0">
                  <c:v>19788600</c:v>
                </c:pt>
                <c:pt idx="1">
                  <c:v>15234500</c:v>
                </c:pt>
              </c:numCache>
            </c:numRef>
          </c:val>
          <c:extLst>
            <c:ext xmlns:c16="http://schemas.microsoft.com/office/drawing/2014/chart" uri="{C3380CC4-5D6E-409C-BE32-E72D297353CC}">
              <c16:uniqueId val="{00000000-C919-4A5C-B81F-F781671B47F7}"/>
            </c:ext>
          </c:extLst>
        </c:ser>
        <c:ser>
          <c:idx val="1"/>
          <c:order val="1"/>
          <c:tx>
            <c:v>Actual</c:v>
          </c:tx>
          <c:spPr>
            <a:solidFill>
              <a:schemeClr val="accent2"/>
            </a:solidFill>
            <a:ln>
              <a:noFill/>
            </a:ln>
            <a:effectLst/>
          </c:spPr>
          <c:invertIfNegative val="0"/>
          <c:cat>
            <c:strRef>
              <c:f>Dashboard!$B$9:$B$10</c:f>
              <c:strCache>
                <c:ptCount val="2"/>
                <c:pt idx="0">
                  <c:v>Product Revenue</c:v>
                </c:pt>
                <c:pt idx="1">
                  <c:v>Service Revenue</c:v>
                </c:pt>
              </c:strCache>
            </c:strRef>
          </c:cat>
          <c:val>
            <c:numRef>
              <c:f>Dashboard!$D$9:$D$10</c:f>
              <c:numCache>
                <c:formatCode>_(* #,##0_);_(* \(#,##0\);_(* "-"_);_(@_)</c:formatCode>
                <c:ptCount val="2"/>
                <c:pt idx="0">
                  <c:v>20308900</c:v>
                </c:pt>
                <c:pt idx="1">
                  <c:v>15821100</c:v>
                </c:pt>
              </c:numCache>
            </c:numRef>
          </c:val>
          <c:extLst>
            <c:ext xmlns:c16="http://schemas.microsoft.com/office/drawing/2014/chart" uri="{C3380CC4-5D6E-409C-BE32-E72D297353CC}">
              <c16:uniqueId val="{00000001-C919-4A5C-B81F-F781671B47F7}"/>
            </c:ext>
          </c:extLst>
        </c:ser>
        <c:dLbls>
          <c:showLegendKey val="0"/>
          <c:showVal val="0"/>
          <c:showCatName val="0"/>
          <c:showSerName val="0"/>
          <c:showPercent val="0"/>
          <c:showBubbleSize val="0"/>
        </c:dLbls>
        <c:gapWidth val="219"/>
        <c:overlap val="-27"/>
        <c:axId val="1385927471"/>
        <c:axId val="977756623"/>
      </c:barChart>
      <c:catAx>
        <c:axId val="1385927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756623"/>
        <c:crosses val="autoZero"/>
        <c:auto val="1"/>
        <c:lblAlgn val="ctr"/>
        <c:lblOffset val="100"/>
        <c:noMultiLvlLbl val="0"/>
      </c:catAx>
      <c:valAx>
        <c:axId val="97775662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927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1-43B2-88F8-EFF955177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1-43B2-88F8-EFF955177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11-43B2-88F8-EFF955177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11-43B2-88F8-EFF955177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11-43B2-88F8-EFF955177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11-43B2-88F8-EFF955177C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Dashboard!$B$14:$B$19</c:f>
              <c:strCache>
                <c:ptCount val="6"/>
                <c:pt idx="0">
                  <c:v>Travel</c:v>
                </c:pt>
                <c:pt idx="1">
                  <c:v>Infrastructure</c:v>
                </c:pt>
                <c:pt idx="2">
                  <c:v>Salaries</c:v>
                </c:pt>
                <c:pt idx="3">
                  <c:v>Utilities</c:v>
                </c:pt>
                <c:pt idx="4">
                  <c:v>Marketing</c:v>
                </c:pt>
                <c:pt idx="5">
                  <c:v>Training</c:v>
                </c:pt>
              </c:strCache>
            </c:strRef>
          </c:cat>
          <c:val>
            <c:numRef>
              <c:f>Dashboard!$D$14:$D$19</c:f>
              <c:numCache>
                <c:formatCode>_(* #,##0_);_(* \(#,##0\);_(* "-"_);_(@_)</c:formatCode>
                <c:ptCount val="6"/>
                <c:pt idx="0">
                  <c:v>3875731</c:v>
                </c:pt>
                <c:pt idx="1">
                  <c:v>3855222</c:v>
                </c:pt>
                <c:pt idx="2">
                  <c:v>2990415</c:v>
                </c:pt>
                <c:pt idx="3">
                  <c:v>3999882</c:v>
                </c:pt>
                <c:pt idx="4">
                  <c:v>4334141</c:v>
                </c:pt>
                <c:pt idx="5">
                  <c:v>4938899</c:v>
                </c:pt>
              </c:numCache>
            </c:numRef>
          </c:val>
          <c:extLst>
            <c:ext xmlns:c16="http://schemas.microsoft.com/office/drawing/2014/chart" uri="{C3380CC4-5D6E-409C-BE32-E72D297353CC}">
              <c16:uniqueId val="{00000000-CF28-4E97-9971-A2444C11103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13</xdr:col>
      <xdr:colOff>369794</xdr:colOff>
      <xdr:row>6</xdr:row>
      <xdr:rowOff>145677</xdr:rowOff>
    </xdr:from>
    <xdr:to>
      <xdr:col>25</xdr:col>
      <xdr:colOff>44824</xdr:colOff>
      <xdr:row>21</xdr:row>
      <xdr:rowOff>78440</xdr:rowOff>
    </xdr:to>
    <xdr:sp macro="" textlink="">
      <xdr:nvSpPr>
        <xdr:cNvPr id="20" name="Rectangle 19">
          <a:extLst>
            <a:ext uri="{FF2B5EF4-FFF2-40B4-BE49-F238E27FC236}">
              <a16:creationId xmlns:a16="http://schemas.microsoft.com/office/drawing/2014/main" id="{BBF9C09F-F89E-431C-9646-F6D5BD02AA27}"/>
            </a:ext>
          </a:extLst>
        </xdr:cNvPr>
        <xdr:cNvSpPr/>
      </xdr:nvSpPr>
      <xdr:spPr>
        <a:xfrm>
          <a:off x="8236323" y="1288677"/>
          <a:ext cx="6936442" cy="279026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solidFill>
              <a:sysClr val="windowText" lastClr="000000"/>
            </a:solidFill>
          </a:endParaRPr>
        </a:p>
        <a:p>
          <a:pPr algn="l"/>
          <a:endParaRPr lang="en-CA" sz="1100">
            <a:solidFill>
              <a:sysClr val="windowText" lastClr="000000"/>
            </a:solidFill>
          </a:endParaRPr>
        </a:p>
      </xdr:txBody>
    </xdr:sp>
    <xdr:clientData/>
  </xdr:twoCellAnchor>
  <xdr:twoCellAnchor>
    <xdr:from>
      <xdr:col>0</xdr:col>
      <xdr:colOff>57150</xdr:colOff>
      <xdr:row>0</xdr:row>
      <xdr:rowOff>95249</xdr:rowOff>
    </xdr:from>
    <xdr:to>
      <xdr:col>4</xdr:col>
      <xdr:colOff>0</xdr:colOff>
      <xdr:row>21</xdr:row>
      <xdr:rowOff>168088</xdr:rowOff>
    </xdr:to>
    <xdr:sp macro="" textlink="">
      <xdr:nvSpPr>
        <xdr:cNvPr id="2" name="Rectangle 1">
          <a:extLst>
            <a:ext uri="{FF2B5EF4-FFF2-40B4-BE49-F238E27FC236}">
              <a16:creationId xmlns:a16="http://schemas.microsoft.com/office/drawing/2014/main" id="{B96B65ED-AAAE-3FF2-54DA-B5402FD02D59}"/>
            </a:ext>
          </a:extLst>
        </xdr:cNvPr>
        <xdr:cNvSpPr/>
      </xdr:nvSpPr>
      <xdr:spPr>
        <a:xfrm>
          <a:off x="57150" y="95249"/>
          <a:ext cx="2363321" cy="407333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 add </a:t>
          </a:r>
        </a:p>
        <a:p>
          <a:pPr algn="l"/>
          <a:r>
            <a:rPr lang="en-CA" sz="1100">
              <a:solidFill>
                <a:sysClr val="windowText" lastClr="000000"/>
              </a:solidFill>
            </a:rPr>
            <a:t>Filter per month here</a:t>
          </a:r>
        </a:p>
      </xdr:txBody>
    </xdr:sp>
    <xdr:clientData/>
  </xdr:twoCellAnchor>
  <xdr:twoCellAnchor>
    <xdr:from>
      <xdr:col>0</xdr:col>
      <xdr:colOff>76200</xdr:colOff>
      <xdr:row>22</xdr:row>
      <xdr:rowOff>44824</xdr:rowOff>
    </xdr:from>
    <xdr:to>
      <xdr:col>4</xdr:col>
      <xdr:colOff>19050</xdr:colOff>
      <xdr:row>37</xdr:row>
      <xdr:rowOff>44824</xdr:rowOff>
    </xdr:to>
    <xdr:sp macro="" textlink="">
      <xdr:nvSpPr>
        <xdr:cNvPr id="3" name="Rectangle 2">
          <a:extLst>
            <a:ext uri="{FF2B5EF4-FFF2-40B4-BE49-F238E27FC236}">
              <a16:creationId xmlns:a16="http://schemas.microsoft.com/office/drawing/2014/main" id="{D731A96A-17E0-469F-B521-2D07507246B3}"/>
            </a:ext>
          </a:extLst>
        </xdr:cNvPr>
        <xdr:cNvSpPr/>
      </xdr:nvSpPr>
      <xdr:spPr>
        <a:xfrm>
          <a:off x="76200" y="4235824"/>
          <a:ext cx="2363321" cy="28575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financial type</a:t>
          </a:r>
          <a:endParaRPr lang="en-CA" sz="1100">
            <a:solidFill>
              <a:sysClr val="windowText" lastClr="000000"/>
            </a:solidFill>
          </a:endParaRPr>
        </a:p>
      </xdr:txBody>
    </xdr:sp>
    <xdr:clientData/>
  </xdr:twoCellAnchor>
  <xdr:twoCellAnchor>
    <xdr:from>
      <xdr:col>4</xdr:col>
      <xdr:colOff>2443</xdr:colOff>
      <xdr:row>0</xdr:row>
      <xdr:rowOff>70830</xdr:rowOff>
    </xdr:from>
    <xdr:to>
      <xdr:col>41</xdr:col>
      <xdr:colOff>120881</xdr:colOff>
      <xdr:row>50</xdr:row>
      <xdr:rowOff>29704</xdr:rowOff>
    </xdr:to>
    <xdr:sp macro="" textlink="">
      <xdr:nvSpPr>
        <xdr:cNvPr id="5" name="Rectangle 4">
          <a:extLst>
            <a:ext uri="{FF2B5EF4-FFF2-40B4-BE49-F238E27FC236}">
              <a16:creationId xmlns:a16="http://schemas.microsoft.com/office/drawing/2014/main" id="{DD4488F6-6BD9-4F20-8C3E-1279184CE151}"/>
            </a:ext>
          </a:extLst>
        </xdr:cNvPr>
        <xdr:cNvSpPr/>
      </xdr:nvSpPr>
      <xdr:spPr>
        <a:xfrm>
          <a:off x="2496261" y="70830"/>
          <a:ext cx="23186256" cy="896432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t>v</a:t>
          </a:r>
        </a:p>
      </xdr:txBody>
    </xdr:sp>
    <xdr:clientData/>
  </xdr:twoCellAnchor>
  <xdr:twoCellAnchor>
    <xdr:from>
      <xdr:col>4</xdr:col>
      <xdr:colOff>114300</xdr:colOff>
      <xdr:row>0</xdr:row>
      <xdr:rowOff>186690</xdr:rowOff>
    </xdr:from>
    <xdr:to>
      <xdr:col>22</xdr:col>
      <xdr:colOff>540328</xdr:colOff>
      <xdr:row>6</xdr:row>
      <xdr:rowOff>38100</xdr:rowOff>
    </xdr:to>
    <xdr:sp macro="" textlink="">
      <xdr:nvSpPr>
        <xdr:cNvPr id="6" name="Rectangle: Rounded Corners 5">
          <a:extLst>
            <a:ext uri="{FF2B5EF4-FFF2-40B4-BE49-F238E27FC236}">
              <a16:creationId xmlns:a16="http://schemas.microsoft.com/office/drawing/2014/main" id="{7D4AE0A1-C78A-5CEF-3AC8-C5C899333DC1}"/>
            </a:ext>
          </a:extLst>
        </xdr:cNvPr>
        <xdr:cNvSpPr/>
      </xdr:nvSpPr>
      <xdr:spPr>
        <a:xfrm>
          <a:off x="2552700" y="186690"/>
          <a:ext cx="11398828" cy="1015192"/>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4800" b="1" baseline="0">
              <a:solidFill>
                <a:sysClr val="windowText" lastClr="000000"/>
              </a:solidFill>
            </a:rPr>
            <a:t>Actual vs Budget Dashboard 2023</a:t>
          </a:r>
          <a:endParaRPr lang="en-CA" sz="4800" b="1"/>
        </a:p>
      </xdr:txBody>
    </xdr:sp>
    <xdr:clientData/>
  </xdr:twoCellAnchor>
  <xdr:twoCellAnchor>
    <xdr:from>
      <xdr:col>4</xdr:col>
      <xdr:colOff>190497</xdr:colOff>
      <xdr:row>22</xdr:row>
      <xdr:rowOff>41564</xdr:rowOff>
    </xdr:from>
    <xdr:to>
      <xdr:col>21</xdr:col>
      <xdr:colOff>263236</xdr:colOff>
      <xdr:row>49</xdr:row>
      <xdr:rowOff>186914</xdr:rowOff>
    </xdr:to>
    <xdr:sp macro="" textlink="">
      <xdr:nvSpPr>
        <xdr:cNvPr id="10" name="Rectangle 9">
          <a:extLst>
            <a:ext uri="{FF2B5EF4-FFF2-40B4-BE49-F238E27FC236}">
              <a16:creationId xmlns:a16="http://schemas.microsoft.com/office/drawing/2014/main" id="{7C01E1C7-9122-43C8-BCF2-7153AEBC2E39}"/>
            </a:ext>
          </a:extLst>
        </xdr:cNvPr>
        <xdr:cNvSpPr/>
      </xdr:nvSpPr>
      <xdr:spPr>
        <a:xfrm>
          <a:off x="2628897" y="4308764"/>
          <a:ext cx="10435939" cy="5382368"/>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baseline="0">
              <a:solidFill>
                <a:sysClr val="windowText" lastClr="000000"/>
              </a:solidFill>
            </a:rPr>
            <a:t>Income &amp; Expense per category</a:t>
          </a:r>
          <a:r>
            <a:rPr lang="en-CA" sz="1400" b="1">
              <a:solidFill>
                <a:sysClr val="windowText" lastClr="000000"/>
              </a:solidFill>
            </a:rPr>
            <a:t>: Actual vs Budget</a:t>
          </a:r>
        </a:p>
      </xdr:txBody>
    </xdr:sp>
    <xdr:clientData/>
  </xdr:twoCellAnchor>
  <xdr:twoCellAnchor>
    <xdr:from>
      <xdr:col>21</xdr:col>
      <xdr:colOff>360218</xdr:colOff>
      <xdr:row>22</xdr:row>
      <xdr:rowOff>41014</xdr:rowOff>
    </xdr:from>
    <xdr:to>
      <xdr:col>40</xdr:col>
      <xdr:colOff>597650</xdr:colOff>
      <xdr:row>49</xdr:row>
      <xdr:rowOff>179517</xdr:rowOff>
    </xdr:to>
    <xdr:sp macro="" textlink="">
      <xdr:nvSpPr>
        <xdr:cNvPr id="12" name="Rectangle 11">
          <a:extLst>
            <a:ext uri="{FF2B5EF4-FFF2-40B4-BE49-F238E27FC236}">
              <a16:creationId xmlns:a16="http://schemas.microsoft.com/office/drawing/2014/main" id="{37343453-F3C5-4DA7-8F25-F753FD3A8C6C}"/>
            </a:ext>
          </a:extLst>
        </xdr:cNvPr>
        <xdr:cNvSpPr/>
      </xdr:nvSpPr>
      <xdr:spPr>
        <a:xfrm>
          <a:off x="13161818" y="4308214"/>
          <a:ext cx="11819832" cy="5375521"/>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Income &amp; Expense per region</a:t>
          </a:r>
        </a:p>
      </xdr:txBody>
    </xdr:sp>
    <xdr:clientData/>
  </xdr:twoCellAnchor>
  <xdr:twoCellAnchor>
    <xdr:from>
      <xdr:col>0</xdr:col>
      <xdr:colOff>85836</xdr:colOff>
      <xdr:row>37</xdr:row>
      <xdr:rowOff>85837</xdr:rowOff>
    </xdr:from>
    <xdr:to>
      <xdr:col>3</xdr:col>
      <xdr:colOff>595745</xdr:colOff>
      <xdr:row>50</xdr:row>
      <xdr:rowOff>11949</xdr:rowOff>
    </xdr:to>
    <xdr:sp macro="" textlink="">
      <xdr:nvSpPr>
        <xdr:cNvPr id="22" name="Rectangle 21">
          <a:extLst>
            <a:ext uri="{FF2B5EF4-FFF2-40B4-BE49-F238E27FC236}">
              <a16:creationId xmlns:a16="http://schemas.microsoft.com/office/drawing/2014/main" id="{BF7C721C-E1A8-4817-9251-A2499B075C8C}"/>
            </a:ext>
          </a:extLst>
        </xdr:cNvPr>
        <xdr:cNvSpPr/>
      </xdr:nvSpPr>
      <xdr:spPr>
        <a:xfrm>
          <a:off x="85836" y="6749873"/>
          <a:ext cx="2380273" cy="2267531"/>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100">
              <a:solidFill>
                <a:sysClr val="windowText" lastClr="000000"/>
              </a:solidFill>
            </a:rPr>
            <a:t>Slicers</a:t>
          </a:r>
          <a:r>
            <a:rPr lang="en-CA" sz="1100" baseline="0">
              <a:solidFill>
                <a:sysClr val="windowText" lastClr="000000"/>
              </a:solidFill>
            </a:rPr>
            <a:t> add </a:t>
          </a:r>
        </a:p>
        <a:p>
          <a:pPr algn="l"/>
          <a:r>
            <a:rPr lang="en-CA" sz="1100" baseline="0">
              <a:solidFill>
                <a:sysClr val="windowText" lastClr="000000"/>
              </a:solidFill>
            </a:rPr>
            <a:t>Filter per region</a:t>
          </a:r>
          <a:endParaRPr lang="en-CA" sz="1100">
            <a:solidFill>
              <a:sysClr val="windowText" lastClr="000000"/>
            </a:solidFill>
          </a:endParaRPr>
        </a:p>
      </xdr:txBody>
    </xdr:sp>
    <xdr:clientData/>
  </xdr:twoCellAnchor>
  <xdr:twoCellAnchor>
    <xdr:from>
      <xdr:col>30</xdr:col>
      <xdr:colOff>488831</xdr:colOff>
      <xdr:row>0</xdr:row>
      <xdr:rowOff>161577</xdr:rowOff>
    </xdr:from>
    <xdr:to>
      <xdr:col>40</xdr:col>
      <xdr:colOff>336319</xdr:colOff>
      <xdr:row>21</xdr:row>
      <xdr:rowOff>124691</xdr:rowOff>
    </xdr:to>
    <xdr:sp macro="" textlink="">
      <xdr:nvSpPr>
        <xdr:cNvPr id="11" name="Rectangle 10">
          <a:extLst>
            <a:ext uri="{FF2B5EF4-FFF2-40B4-BE49-F238E27FC236}">
              <a16:creationId xmlns:a16="http://schemas.microsoft.com/office/drawing/2014/main" id="{D0FB3C46-798D-4F2D-BBF5-E54596265FB9}"/>
            </a:ext>
          </a:extLst>
        </xdr:cNvPr>
        <xdr:cNvSpPr/>
      </xdr:nvSpPr>
      <xdr:spPr>
        <a:xfrm>
          <a:off x="19035623" y="161577"/>
          <a:ext cx="6029753" cy="388813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CA" sz="1400" b="1">
              <a:solidFill>
                <a:sysClr val="windowText" lastClr="000000"/>
              </a:solidFill>
            </a:rPr>
            <a:t>Income &amp; Expense per month</a:t>
          </a:r>
        </a:p>
      </xdr:txBody>
    </xdr:sp>
    <xdr:clientData/>
  </xdr:twoCellAnchor>
  <xdr:twoCellAnchor>
    <xdr:from>
      <xdr:col>4</xdr:col>
      <xdr:colOff>218728</xdr:colOff>
      <xdr:row>8</xdr:row>
      <xdr:rowOff>166255</xdr:rowOff>
    </xdr:from>
    <xdr:to>
      <xdr:col>9</xdr:col>
      <xdr:colOff>69273</xdr:colOff>
      <xdr:row>12</xdr:row>
      <xdr:rowOff>139930</xdr:rowOff>
    </xdr:to>
    <xdr:sp macro="" textlink="">
      <xdr:nvSpPr>
        <xdr:cNvPr id="33" name="Rectangle 32">
          <a:extLst>
            <a:ext uri="{FF2B5EF4-FFF2-40B4-BE49-F238E27FC236}">
              <a16:creationId xmlns:a16="http://schemas.microsoft.com/office/drawing/2014/main" id="{D6F5C221-2F3B-556D-680A-AF47B2332F19}"/>
            </a:ext>
          </a:extLst>
        </xdr:cNvPr>
        <xdr:cNvSpPr/>
      </xdr:nvSpPr>
      <xdr:spPr>
        <a:xfrm>
          <a:off x="2712546" y="1607128"/>
          <a:ext cx="2967818" cy="69411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81222</xdr:colOff>
      <xdr:row>9</xdr:row>
      <xdr:rowOff>41563</xdr:rowOff>
    </xdr:from>
    <xdr:to>
      <xdr:col>8</xdr:col>
      <xdr:colOff>526473</xdr:colOff>
      <xdr:row>11</xdr:row>
      <xdr:rowOff>55418</xdr:rowOff>
    </xdr:to>
    <xdr:sp macro="" textlink="">
      <xdr:nvSpPr>
        <xdr:cNvPr id="35" name="TextBox 34">
          <a:extLst>
            <a:ext uri="{FF2B5EF4-FFF2-40B4-BE49-F238E27FC236}">
              <a16:creationId xmlns:a16="http://schemas.microsoft.com/office/drawing/2014/main" id="{91F88BE2-CE13-6280-8D4B-A6BFFC9BA750}"/>
            </a:ext>
          </a:extLst>
        </xdr:cNvPr>
        <xdr:cNvSpPr txBox="1"/>
      </xdr:nvSpPr>
      <xdr:spPr>
        <a:xfrm>
          <a:off x="3198495" y="1662545"/>
          <a:ext cx="2315614" cy="374073"/>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a:solidFill>
                <a:schemeClr val="bg1"/>
              </a:solidFill>
            </a:rPr>
            <a:t>Total Income ($)</a:t>
          </a:r>
        </a:p>
      </xdr:txBody>
    </xdr:sp>
    <xdr:clientData/>
  </xdr:twoCellAnchor>
  <xdr:twoCellAnchor>
    <xdr:from>
      <xdr:col>9</xdr:col>
      <xdr:colOff>83127</xdr:colOff>
      <xdr:row>8</xdr:row>
      <xdr:rowOff>166255</xdr:rowOff>
    </xdr:from>
    <xdr:to>
      <xdr:col>13</xdr:col>
      <xdr:colOff>207819</xdr:colOff>
      <xdr:row>12</xdr:row>
      <xdr:rowOff>126596</xdr:rowOff>
    </xdr:to>
    <xdr:sp macro="" textlink="budgetin">
      <xdr:nvSpPr>
        <xdr:cNvPr id="36" name="Rectangle 35">
          <a:extLst>
            <a:ext uri="{FF2B5EF4-FFF2-40B4-BE49-F238E27FC236}">
              <a16:creationId xmlns:a16="http://schemas.microsoft.com/office/drawing/2014/main" id="{76A69000-A2AF-2670-BC50-D24BA0BAD35D}"/>
            </a:ext>
          </a:extLst>
        </xdr:cNvPr>
        <xdr:cNvSpPr/>
      </xdr:nvSpPr>
      <xdr:spPr>
        <a:xfrm>
          <a:off x="5694218" y="1607128"/>
          <a:ext cx="2618510"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7909D3-A257-45E5-A901-96A393D6ECAA}" type="TxLink">
            <a:rPr lang="en-US" sz="2400" b="0" i="0" u="none" strike="noStrike">
              <a:solidFill>
                <a:srgbClr val="000000"/>
              </a:solidFill>
              <a:latin typeface="Calibri"/>
              <a:ea typeface="Calibri"/>
              <a:cs typeface="Calibri"/>
            </a:rPr>
            <a:pPr algn="ctr"/>
            <a:t>42,582,800</a:t>
          </a:fld>
          <a:endParaRPr lang="en-CA" sz="2400"/>
        </a:p>
      </xdr:txBody>
    </xdr:sp>
    <xdr:clientData/>
  </xdr:twoCellAnchor>
  <xdr:twoCellAnchor>
    <xdr:from>
      <xdr:col>9</xdr:col>
      <xdr:colOff>235527</xdr:colOff>
      <xdr:row>6</xdr:row>
      <xdr:rowOff>86938</xdr:rowOff>
    </xdr:from>
    <xdr:to>
      <xdr:col>13</xdr:col>
      <xdr:colOff>59229</xdr:colOff>
      <xdr:row>8</xdr:row>
      <xdr:rowOff>152401</xdr:rowOff>
    </xdr:to>
    <xdr:sp macro="" textlink="">
      <xdr:nvSpPr>
        <xdr:cNvPr id="37" name="TextBox 36">
          <a:extLst>
            <a:ext uri="{FF2B5EF4-FFF2-40B4-BE49-F238E27FC236}">
              <a16:creationId xmlns:a16="http://schemas.microsoft.com/office/drawing/2014/main" id="{FA80BE51-C770-4EAA-A936-AFE1708341F2}"/>
            </a:ext>
          </a:extLst>
        </xdr:cNvPr>
        <xdr:cNvSpPr txBox="1"/>
      </xdr:nvSpPr>
      <xdr:spPr>
        <a:xfrm>
          <a:off x="5846618" y="1167593"/>
          <a:ext cx="2317520" cy="42568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twoCellAnchor>
    <xdr:from>
      <xdr:col>13</xdr:col>
      <xdr:colOff>221674</xdr:colOff>
      <xdr:row>8</xdr:row>
      <xdr:rowOff>167811</xdr:rowOff>
    </xdr:from>
    <xdr:to>
      <xdr:col>18</xdr:col>
      <xdr:colOff>13855</xdr:colOff>
      <xdr:row>12</xdr:row>
      <xdr:rowOff>128152</xdr:rowOff>
    </xdr:to>
    <xdr:sp macro="" textlink="actualin">
      <xdr:nvSpPr>
        <xdr:cNvPr id="38" name="Rectangle 37">
          <a:extLst>
            <a:ext uri="{FF2B5EF4-FFF2-40B4-BE49-F238E27FC236}">
              <a16:creationId xmlns:a16="http://schemas.microsoft.com/office/drawing/2014/main" id="{41949022-EE3F-40D7-96A5-06E2AB0ECD86}"/>
            </a:ext>
          </a:extLst>
        </xdr:cNvPr>
        <xdr:cNvSpPr/>
      </xdr:nvSpPr>
      <xdr:spPr>
        <a:xfrm>
          <a:off x="8326583" y="1608684"/>
          <a:ext cx="2909454"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6259429-07E4-470F-AE1F-A2D8C2C12FBC}" type="TxLink">
            <a:rPr lang="en-US" sz="2400" b="0" i="0" u="none" strike="noStrike">
              <a:solidFill>
                <a:srgbClr val="000000"/>
              </a:solidFill>
              <a:latin typeface="Calibri"/>
              <a:ea typeface="Calibri"/>
              <a:cs typeface="Calibri"/>
            </a:rPr>
            <a:pPr algn="ctr"/>
            <a:t>40,626,800</a:t>
          </a:fld>
          <a:endParaRPr lang="en-CA" sz="2400"/>
        </a:p>
      </xdr:txBody>
    </xdr:sp>
    <xdr:clientData/>
  </xdr:twoCellAnchor>
  <xdr:twoCellAnchor>
    <xdr:from>
      <xdr:col>14</xdr:col>
      <xdr:colOff>281435</xdr:colOff>
      <xdr:row>6</xdr:row>
      <xdr:rowOff>90400</xdr:rowOff>
    </xdr:from>
    <xdr:to>
      <xdr:col>18</xdr:col>
      <xdr:colOff>112757</xdr:colOff>
      <xdr:row>8</xdr:row>
      <xdr:rowOff>153958</xdr:rowOff>
    </xdr:to>
    <xdr:sp macro="" textlink="">
      <xdr:nvSpPr>
        <xdr:cNvPr id="39" name="TextBox 38">
          <a:extLst>
            <a:ext uri="{FF2B5EF4-FFF2-40B4-BE49-F238E27FC236}">
              <a16:creationId xmlns:a16="http://schemas.microsoft.com/office/drawing/2014/main" id="{EC68EC76-80DC-43EA-B7B5-7CDC774EFA02}"/>
            </a:ext>
          </a:extLst>
        </xdr:cNvPr>
        <xdr:cNvSpPr txBox="1"/>
      </xdr:nvSpPr>
      <xdr:spPr>
        <a:xfrm>
          <a:off x="9009799" y="1171055"/>
          <a:ext cx="2325140" cy="42377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twoCellAnchor>
    <xdr:from>
      <xdr:col>4</xdr:col>
      <xdr:colOff>224116</xdr:colOff>
      <xdr:row>15</xdr:row>
      <xdr:rowOff>84684</xdr:rowOff>
    </xdr:from>
    <xdr:to>
      <xdr:col>9</xdr:col>
      <xdr:colOff>96982</xdr:colOff>
      <xdr:row>19</xdr:row>
      <xdr:rowOff>58360</xdr:rowOff>
    </xdr:to>
    <xdr:sp macro="" textlink="">
      <xdr:nvSpPr>
        <xdr:cNvPr id="40" name="Rectangle 39">
          <a:extLst>
            <a:ext uri="{FF2B5EF4-FFF2-40B4-BE49-F238E27FC236}">
              <a16:creationId xmlns:a16="http://schemas.microsoft.com/office/drawing/2014/main" id="{90684459-F91F-4604-95B4-B74CE015AF04}"/>
            </a:ext>
          </a:extLst>
        </xdr:cNvPr>
        <xdr:cNvSpPr/>
      </xdr:nvSpPr>
      <xdr:spPr>
        <a:xfrm>
          <a:off x="2717934" y="2786320"/>
          <a:ext cx="2990139" cy="694113"/>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5</xdr:col>
      <xdr:colOff>79337</xdr:colOff>
      <xdr:row>16</xdr:row>
      <xdr:rowOff>5886</xdr:rowOff>
    </xdr:from>
    <xdr:to>
      <xdr:col>8</xdr:col>
      <xdr:colOff>568037</xdr:colOff>
      <xdr:row>18</xdr:row>
      <xdr:rowOff>83127</xdr:rowOff>
    </xdr:to>
    <xdr:sp macro="" textlink="">
      <xdr:nvSpPr>
        <xdr:cNvPr id="41" name="TextBox 40">
          <a:extLst>
            <a:ext uri="{FF2B5EF4-FFF2-40B4-BE49-F238E27FC236}">
              <a16:creationId xmlns:a16="http://schemas.microsoft.com/office/drawing/2014/main" id="{E60DF069-853B-4FF5-A083-000EEEE159B7}"/>
            </a:ext>
          </a:extLst>
        </xdr:cNvPr>
        <xdr:cNvSpPr txBox="1"/>
      </xdr:nvSpPr>
      <xdr:spPr>
        <a:xfrm>
          <a:off x="3196610" y="2887631"/>
          <a:ext cx="2359063" cy="437460"/>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a:solidFill>
                <a:schemeClr val="bg1"/>
              </a:solidFill>
            </a:rPr>
            <a:t>Total Expense ($) </a:t>
          </a:r>
        </a:p>
      </xdr:txBody>
    </xdr:sp>
    <xdr:clientData/>
  </xdr:twoCellAnchor>
  <xdr:twoCellAnchor>
    <xdr:from>
      <xdr:col>9</xdr:col>
      <xdr:colOff>117090</xdr:colOff>
      <xdr:row>15</xdr:row>
      <xdr:rowOff>104253</xdr:rowOff>
    </xdr:from>
    <xdr:to>
      <xdr:col>13</xdr:col>
      <xdr:colOff>387927</xdr:colOff>
      <xdr:row>19</xdr:row>
      <xdr:rowOff>64595</xdr:rowOff>
    </xdr:to>
    <xdr:sp macro="" textlink="budgetex">
      <xdr:nvSpPr>
        <xdr:cNvPr id="42" name="Rectangle 41">
          <a:extLst>
            <a:ext uri="{FF2B5EF4-FFF2-40B4-BE49-F238E27FC236}">
              <a16:creationId xmlns:a16="http://schemas.microsoft.com/office/drawing/2014/main" id="{2BBEE23A-B411-4C86-ABF5-AB2C2C0E252D}"/>
            </a:ext>
          </a:extLst>
        </xdr:cNvPr>
        <xdr:cNvSpPr/>
      </xdr:nvSpPr>
      <xdr:spPr>
        <a:xfrm>
          <a:off x="5728181" y="2805889"/>
          <a:ext cx="2764655" cy="68077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042135-F307-4202-9777-490F3D300F05}" type="TxLink">
            <a:rPr lang="en-US" sz="2400" b="0" i="0" u="none" strike="noStrike">
              <a:solidFill>
                <a:sysClr val="windowText" lastClr="000000"/>
              </a:solidFill>
              <a:latin typeface="Calibri"/>
              <a:ea typeface="Calibri"/>
              <a:cs typeface="Calibri"/>
            </a:rPr>
            <a:pPr algn="ctr"/>
            <a:t>29,230,433</a:t>
          </a:fld>
          <a:endParaRPr lang="en-CA" sz="2400">
            <a:solidFill>
              <a:sysClr val="windowText" lastClr="000000"/>
            </a:solidFill>
          </a:endParaRPr>
        </a:p>
      </xdr:txBody>
    </xdr:sp>
    <xdr:clientData/>
  </xdr:twoCellAnchor>
  <xdr:twoCellAnchor>
    <xdr:from>
      <xdr:col>13</xdr:col>
      <xdr:colOff>360219</xdr:colOff>
      <xdr:row>15</xdr:row>
      <xdr:rowOff>84684</xdr:rowOff>
    </xdr:from>
    <xdr:to>
      <xdr:col>18</xdr:col>
      <xdr:colOff>41564</xdr:colOff>
      <xdr:row>19</xdr:row>
      <xdr:rowOff>45026</xdr:rowOff>
    </xdr:to>
    <xdr:sp macro="" textlink="actualex">
      <xdr:nvSpPr>
        <xdr:cNvPr id="43" name="Rectangle 42">
          <a:extLst>
            <a:ext uri="{FF2B5EF4-FFF2-40B4-BE49-F238E27FC236}">
              <a16:creationId xmlns:a16="http://schemas.microsoft.com/office/drawing/2014/main" id="{6D2C2B7C-2443-4D6B-B129-BB6611337863}"/>
            </a:ext>
          </a:extLst>
        </xdr:cNvPr>
        <xdr:cNvSpPr/>
      </xdr:nvSpPr>
      <xdr:spPr>
        <a:xfrm>
          <a:off x="8465128" y="2786320"/>
          <a:ext cx="2798618" cy="680779"/>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7495AD-A2FB-4243-95DD-6DF85CA40A6F}" type="TxLink">
            <a:rPr lang="en-US" sz="2400" b="0" i="0" u="none" strike="noStrike">
              <a:solidFill>
                <a:srgbClr val="000000"/>
              </a:solidFill>
              <a:latin typeface="Calibri"/>
              <a:ea typeface="Calibri"/>
              <a:cs typeface="Calibri"/>
            </a:rPr>
            <a:pPr algn="ctr"/>
            <a:t>26,078,247</a:t>
          </a:fld>
          <a:endParaRPr lang="en-CA" sz="2400"/>
        </a:p>
      </xdr:txBody>
    </xdr:sp>
    <xdr:clientData/>
  </xdr:twoCellAnchor>
  <xdr:twoCellAnchor>
    <xdr:from>
      <xdr:col>9</xdr:col>
      <xdr:colOff>330602</xdr:colOff>
      <xdr:row>13</xdr:row>
      <xdr:rowOff>53514</xdr:rowOff>
    </xdr:from>
    <xdr:to>
      <xdr:col>13</xdr:col>
      <xdr:colOff>171968</xdr:colOff>
      <xdr:row>15</xdr:row>
      <xdr:rowOff>122786</xdr:rowOff>
    </xdr:to>
    <xdr:sp macro="" textlink="">
      <xdr:nvSpPr>
        <xdr:cNvPr id="44" name="TextBox 43">
          <a:extLst>
            <a:ext uri="{FF2B5EF4-FFF2-40B4-BE49-F238E27FC236}">
              <a16:creationId xmlns:a16="http://schemas.microsoft.com/office/drawing/2014/main" id="{FCC663D8-8851-4EDA-BE2E-1BA229D3DD13}"/>
            </a:ext>
          </a:extLst>
        </xdr:cNvPr>
        <xdr:cNvSpPr txBox="1"/>
      </xdr:nvSpPr>
      <xdr:spPr>
        <a:xfrm>
          <a:off x="5941693" y="2394932"/>
          <a:ext cx="2335184" cy="42949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twoCellAnchor>
    <xdr:from>
      <xdr:col>14</xdr:col>
      <xdr:colOff>307239</xdr:colOff>
      <xdr:row>13</xdr:row>
      <xdr:rowOff>43119</xdr:rowOff>
    </xdr:from>
    <xdr:to>
      <xdr:col>18</xdr:col>
      <xdr:colOff>138561</xdr:colOff>
      <xdr:row>15</xdr:row>
      <xdr:rowOff>96632</xdr:rowOff>
    </xdr:to>
    <xdr:sp macro="" textlink="">
      <xdr:nvSpPr>
        <xdr:cNvPr id="45" name="TextBox 44">
          <a:extLst>
            <a:ext uri="{FF2B5EF4-FFF2-40B4-BE49-F238E27FC236}">
              <a16:creationId xmlns:a16="http://schemas.microsoft.com/office/drawing/2014/main" id="{EEEDFE08-49DB-4B96-B18A-E2C3E484F1A2}"/>
            </a:ext>
          </a:extLst>
        </xdr:cNvPr>
        <xdr:cNvSpPr txBox="1"/>
      </xdr:nvSpPr>
      <xdr:spPr>
        <a:xfrm>
          <a:off x="9035603" y="2384537"/>
          <a:ext cx="2325140" cy="41373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twoCellAnchor editAs="oneCell">
    <xdr:from>
      <xdr:col>0</xdr:col>
      <xdr:colOff>71715</xdr:colOff>
      <xdr:row>0</xdr:row>
      <xdr:rowOff>110488</xdr:rowOff>
    </xdr:from>
    <xdr:to>
      <xdr:col>3</xdr:col>
      <xdr:colOff>595745</xdr:colOff>
      <xdr:row>21</xdr:row>
      <xdr:rowOff>140451</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AA02364C-11DC-4B26-A1E0-22371CDC0A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1715" y="110488"/>
              <a:ext cx="2354735" cy="410510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129397</xdr:colOff>
      <xdr:row>2</xdr:row>
      <xdr:rowOff>126248</xdr:rowOff>
    </xdr:from>
    <xdr:to>
      <xdr:col>40</xdr:col>
      <xdr:colOff>221675</xdr:colOff>
      <xdr:row>21</xdr:row>
      <xdr:rowOff>13855</xdr:rowOff>
    </xdr:to>
    <xdr:graphicFrame macro="">
      <xdr:nvGraphicFramePr>
        <xdr:cNvPr id="51" name="Chart 50">
          <a:extLst>
            <a:ext uri="{FF2B5EF4-FFF2-40B4-BE49-F238E27FC236}">
              <a16:creationId xmlns:a16="http://schemas.microsoft.com/office/drawing/2014/main" id="{735C8987-742E-498E-9545-23BBF7036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88090</xdr:colOff>
      <xdr:row>24</xdr:row>
      <xdr:rowOff>31921</xdr:rowOff>
    </xdr:from>
    <xdr:to>
      <xdr:col>21</xdr:col>
      <xdr:colOff>278244</xdr:colOff>
      <xdr:row>49</xdr:row>
      <xdr:rowOff>127000</xdr:rowOff>
    </xdr:to>
    <xdr:graphicFrame macro="">
      <xdr:nvGraphicFramePr>
        <xdr:cNvPr id="52" name="Chart 51">
          <a:extLst>
            <a:ext uri="{FF2B5EF4-FFF2-40B4-BE49-F238E27FC236}">
              <a16:creationId xmlns:a16="http://schemas.microsoft.com/office/drawing/2014/main" id="{AB796414-6664-450D-819F-857BC101F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108412</xdr:colOff>
      <xdr:row>22</xdr:row>
      <xdr:rowOff>41564</xdr:rowOff>
    </xdr:from>
    <xdr:to>
      <xdr:col>3</xdr:col>
      <xdr:colOff>597650</xdr:colOff>
      <xdr:row>37</xdr:row>
      <xdr:rowOff>27709</xdr:rowOff>
    </xdr:to>
    <mc:AlternateContent xmlns:mc="http://schemas.openxmlformats.org/markup-compatibility/2006" xmlns:a14="http://schemas.microsoft.com/office/drawing/2010/main">
      <mc:Choice Requires="a14">
        <xdr:graphicFrame macro="">
          <xdr:nvGraphicFramePr>
            <xdr:cNvPr id="53" name="Type">
              <a:extLst>
                <a:ext uri="{FF2B5EF4-FFF2-40B4-BE49-F238E27FC236}">
                  <a16:creationId xmlns:a16="http://schemas.microsoft.com/office/drawing/2014/main" id="{0B9F9300-2EB1-478F-B85E-94ACFFD1A3C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10317" y="4308764"/>
              <a:ext cx="2318038" cy="289750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224116</xdr:colOff>
      <xdr:row>8</xdr:row>
      <xdr:rowOff>153956</xdr:rowOff>
    </xdr:from>
    <xdr:to>
      <xdr:col>22</xdr:col>
      <xdr:colOff>346364</xdr:colOff>
      <xdr:row>12</xdr:row>
      <xdr:rowOff>127631</xdr:rowOff>
    </xdr:to>
    <xdr:sp macro="" textlink="">
      <xdr:nvSpPr>
        <xdr:cNvPr id="4" name="Rectangle 3">
          <a:extLst>
            <a:ext uri="{FF2B5EF4-FFF2-40B4-BE49-F238E27FC236}">
              <a16:creationId xmlns:a16="http://schemas.microsoft.com/office/drawing/2014/main" id="{7EDCD741-BBC6-4BA6-A7FD-C651F32B3F8C}"/>
            </a:ext>
          </a:extLst>
        </xdr:cNvPr>
        <xdr:cNvSpPr/>
      </xdr:nvSpPr>
      <xdr:spPr>
        <a:xfrm>
          <a:off x="11446298" y="1594829"/>
          <a:ext cx="2616066" cy="694111"/>
        </a:xfrm>
        <a:prstGeom prst="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334951</xdr:colOff>
      <xdr:row>9</xdr:row>
      <xdr:rowOff>29266</xdr:rowOff>
    </xdr:from>
    <xdr:to>
      <xdr:col>22</xdr:col>
      <xdr:colOff>356418</xdr:colOff>
      <xdr:row>12</xdr:row>
      <xdr:rowOff>27709</xdr:rowOff>
    </xdr:to>
    <xdr:sp macro="" textlink="">
      <xdr:nvSpPr>
        <xdr:cNvPr id="7" name="TextBox 6">
          <a:extLst>
            <a:ext uri="{FF2B5EF4-FFF2-40B4-BE49-F238E27FC236}">
              <a16:creationId xmlns:a16="http://schemas.microsoft.com/office/drawing/2014/main" id="{48243BF6-E906-4E5F-9FCA-0F939C18E7D4}"/>
            </a:ext>
          </a:extLst>
        </xdr:cNvPr>
        <xdr:cNvSpPr txBox="1"/>
      </xdr:nvSpPr>
      <xdr:spPr>
        <a:xfrm>
          <a:off x="11617467" y="1688460"/>
          <a:ext cx="2528693" cy="551507"/>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2400">
              <a:solidFill>
                <a:schemeClr val="bg1"/>
              </a:solidFill>
            </a:rPr>
            <a:t>Net savings ($)</a:t>
          </a:r>
        </a:p>
      </xdr:txBody>
    </xdr:sp>
    <xdr:clientData/>
  </xdr:twoCellAnchor>
  <xdr:twoCellAnchor>
    <xdr:from>
      <xdr:col>22</xdr:col>
      <xdr:colOff>362662</xdr:colOff>
      <xdr:row>8</xdr:row>
      <xdr:rowOff>153957</xdr:rowOff>
    </xdr:from>
    <xdr:to>
      <xdr:col>26</xdr:col>
      <xdr:colOff>457199</xdr:colOff>
      <xdr:row>12</xdr:row>
      <xdr:rowOff>114298</xdr:rowOff>
    </xdr:to>
    <xdr:sp macro="" textlink="AS4">
      <xdr:nvSpPr>
        <xdr:cNvPr id="8" name="Rectangle 7">
          <a:extLst>
            <a:ext uri="{FF2B5EF4-FFF2-40B4-BE49-F238E27FC236}">
              <a16:creationId xmlns:a16="http://schemas.microsoft.com/office/drawing/2014/main" id="{D034A0C5-07AC-421D-AA38-B1D16428FC01}"/>
            </a:ext>
          </a:extLst>
        </xdr:cNvPr>
        <xdr:cNvSpPr/>
      </xdr:nvSpPr>
      <xdr:spPr>
        <a:xfrm>
          <a:off x="14152404" y="1628796"/>
          <a:ext cx="2601763" cy="697760"/>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F33EDE-F73D-451D-8867-DF2DB5F5A962}" type="TxLink">
            <a:rPr lang="en-US" sz="2400" b="0" i="0" u="none" strike="noStrike">
              <a:solidFill>
                <a:srgbClr val="000000"/>
              </a:solidFill>
              <a:latin typeface="Calibri"/>
              <a:ea typeface="Calibri"/>
              <a:cs typeface="Calibri"/>
            </a:rPr>
            <a:pPr algn="ctr"/>
            <a:t> 13,352,367 </a:t>
          </a:fld>
          <a:endParaRPr lang="en-US" sz="2400" b="0" i="0" u="none" strike="noStrike">
            <a:solidFill>
              <a:srgbClr val="000000"/>
            </a:solidFill>
            <a:latin typeface="Calibri"/>
            <a:ea typeface="Calibri"/>
            <a:cs typeface="Calibri"/>
          </a:endParaRPr>
        </a:p>
      </xdr:txBody>
    </xdr:sp>
    <xdr:clientData/>
  </xdr:twoCellAnchor>
  <xdr:twoCellAnchor>
    <xdr:from>
      <xdr:col>5</xdr:col>
      <xdr:colOff>142008</xdr:colOff>
      <xdr:row>24</xdr:row>
      <xdr:rowOff>115454</xdr:rowOff>
    </xdr:from>
    <xdr:to>
      <xdr:col>13</xdr:col>
      <xdr:colOff>155864</xdr:colOff>
      <xdr:row>49</xdr:row>
      <xdr:rowOff>101600</xdr:rowOff>
    </xdr:to>
    <xdr:graphicFrame macro="">
      <xdr:nvGraphicFramePr>
        <xdr:cNvPr id="9" name="Chart 8">
          <a:extLst>
            <a:ext uri="{FF2B5EF4-FFF2-40B4-BE49-F238E27FC236}">
              <a16:creationId xmlns:a16="http://schemas.microsoft.com/office/drawing/2014/main" id="{420B35E8-DF24-4525-AD34-09535FD55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30151</xdr:colOff>
      <xdr:row>24</xdr:row>
      <xdr:rowOff>98539</xdr:rowOff>
    </xdr:from>
    <xdr:to>
      <xdr:col>40</xdr:col>
      <xdr:colOff>124690</xdr:colOff>
      <xdr:row>48</xdr:row>
      <xdr:rowOff>13855</xdr:rowOff>
    </xdr:to>
    <xdr:graphicFrame macro="">
      <xdr:nvGraphicFramePr>
        <xdr:cNvPr id="16" name="Chart 15">
          <a:extLst>
            <a:ext uri="{FF2B5EF4-FFF2-40B4-BE49-F238E27FC236}">
              <a16:creationId xmlns:a16="http://schemas.microsoft.com/office/drawing/2014/main" id="{D7C1FF27-7242-4A06-A556-78BE56677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83127</xdr:colOff>
      <xdr:row>37</xdr:row>
      <xdr:rowOff>96982</xdr:rowOff>
    </xdr:from>
    <xdr:to>
      <xdr:col>3</xdr:col>
      <xdr:colOff>595744</xdr:colOff>
      <xdr:row>50</xdr:row>
      <xdr:rowOff>13854</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DE978F94-202E-4288-8FC4-537FFAB0D2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127" y="7012491"/>
              <a:ext cx="2367296" cy="234664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498764</xdr:colOff>
      <xdr:row>6</xdr:row>
      <xdr:rowOff>31519</xdr:rowOff>
    </xdr:from>
    <xdr:to>
      <xdr:col>26</xdr:col>
      <xdr:colOff>322466</xdr:colOff>
      <xdr:row>8</xdr:row>
      <xdr:rowOff>96982</xdr:rowOff>
    </xdr:to>
    <xdr:sp macro="" textlink="">
      <xdr:nvSpPr>
        <xdr:cNvPr id="18" name="TextBox 17">
          <a:extLst>
            <a:ext uri="{FF2B5EF4-FFF2-40B4-BE49-F238E27FC236}">
              <a16:creationId xmlns:a16="http://schemas.microsoft.com/office/drawing/2014/main" id="{F080CF79-EB53-4497-8363-2516141399AD}"/>
            </a:ext>
          </a:extLst>
        </xdr:cNvPr>
        <xdr:cNvSpPr txBox="1"/>
      </xdr:nvSpPr>
      <xdr:spPr>
        <a:xfrm>
          <a:off x="14214764" y="1112174"/>
          <a:ext cx="2317520" cy="42568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Actual</a:t>
          </a:r>
        </a:p>
      </xdr:txBody>
    </xdr:sp>
    <xdr:clientData/>
  </xdr:twoCellAnchor>
  <xdr:twoCellAnchor>
    <xdr:from>
      <xdr:col>26</xdr:col>
      <xdr:colOff>418082</xdr:colOff>
      <xdr:row>8</xdr:row>
      <xdr:rowOff>167812</xdr:rowOff>
    </xdr:from>
    <xdr:to>
      <xdr:col>30</xdr:col>
      <xdr:colOff>249384</xdr:colOff>
      <xdr:row>12</xdr:row>
      <xdr:rowOff>128153</xdr:rowOff>
    </xdr:to>
    <xdr:sp macro="" textlink="AS5">
      <xdr:nvSpPr>
        <xdr:cNvPr id="19" name="Rectangle 18">
          <a:extLst>
            <a:ext uri="{FF2B5EF4-FFF2-40B4-BE49-F238E27FC236}">
              <a16:creationId xmlns:a16="http://schemas.microsoft.com/office/drawing/2014/main" id="{A4C91F71-668F-4EE6-B92A-24899977B823}"/>
            </a:ext>
          </a:extLst>
        </xdr:cNvPr>
        <xdr:cNvSpPr/>
      </xdr:nvSpPr>
      <xdr:spPr>
        <a:xfrm>
          <a:off x="16627900" y="1608685"/>
          <a:ext cx="2325120" cy="680777"/>
        </a:xfrm>
        <a:prstGeom prst="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27F547-D09D-4ED7-A3D7-F919B97FF83F}" type="TxLink">
            <a:rPr lang="en-US" sz="2400" b="0" i="0" u="none" strike="noStrike">
              <a:solidFill>
                <a:srgbClr val="000000"/>
              </a:solidFill>
              <a:latin typeface="Calibri"/>
              <a:ea typeface="Calibri"/>
              <a:cs typeface="Calibri"/>
            </a:rPr>
            <a:pPr algn="ctr"/>
            <a:t> 14,548,553 </a:t>
          </a:fld>
          <a:endParaRPr lang="en-US" sz="2400" b="0" i="0" u="none" strike="noStrike">
            <a:solidFill>
              <a:srgbClr val="000000"/>
            </a:solidFill>
            <a:latin typeface="Calibri"/>
            <a:ea typeface="Calibri"/>
            <a:cs typeface="Calibri"/>
          </a:endParaRPr>
        </a:p>
      </xdr:txBody>
    </xdr:sp>
    <xdr:clientData/>
  </xdr:twoCellAnchor>
  <xdr:twoCellAnchor>
    <xdr:from>
      <xdr:col>27</xdr:col>
      <xdr:colOff>141773</xdr:colOff>
      <xdr:row>6</xdr:row>
      <xdr:rowOff>57510</xdr:rowOff>
    </xdr:from>
    <xdr:to>
      <xdr:col>30</xdr:col>
      <xdr:colOff>388190</xdr:colOff>
      <xdr:row>8</xdr:row>
      <xdr:rowOff>64593</xdr:rowOff>
    </xdr:to>
    <xdr:sp macro="" textlink="">
      <xdr:nvSpPr>
        <xdr:cNvPr id="21" name="TextBox 20">
          <a:extLst>
            <a:ext uri="{FF2B5EF4-FFF2-40B4-BE49-F238E27FC236}">
              <a16:creationId xmlns:a16="http://schemas.microsoft.com/office/drawing/2014/main" id="{622032E1-4C9B-4360-ABDC-0264C8F59A1B}"/>
            </a:ext>
          </a:extLst>
        </xdr:cNvPr>
        <xdr:cNvSpPr txBox="1"/>
      </xdr:nvSpPr>
      <xdr:spPr>
        <a:xfrm>
          <a:off x="16833886" y="1178944"/>
          <a:ext cx="2101096" cy="38089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CA" sz="2400" b="1"/>
            <a:t>Budget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609599</xdr:colOff>
      <xdr:row>7</xdr:row>
      <xdr:rowOff>90486</xdr:rowOff>
    </xdr:from>
    <xdr:to>
      <xdr:col>13</xdr:col>
      <xdr:colOff>581024</xdr:colOff>
      <xdr:row>22</xdr:row>
      <xdr:rowOff>19049</xdr:rowOff>
    </xdr:to>
    <xdr:graphicFrame macro="">
      <xdr:nvGraphicFramePr>
        <xdr:cNvPr id="7" name="Chart 6">
          <a:extLst>
            <a:ext uri="{FF2B5EF4-FFF2-40B4-BE49-F238E27FC236}">
              <a16:creationId xmlns:a16="http://schemas.microsoft.com/office/drawing/2014/main" id="{22B74BBC-5019-859F-2863-178C6AE17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176212</xdr:colOff>
      <xdr:row>7</xdr:row>
      <xdr:rowOff>85725</xdr:rowOff>
    </xdr:from>
    <xdr:to>
      <xdr:col>22</xdr:col>
      <xdr:colOff>142875</xdr:colOff>
      <xdr:row>21</xdr:row>
      <xdr:rowOff>57151</xdr:rowOff>
    </xdr:to>
    <xdr:graphicFrame macro="">
      <xdr:nvGraphicFramePr>
        <xdr:cNvPr id="8" name="Chart 7">
          <a:extLst>
            <a:ext uri="{FF2B5EF4-FFF2-40B4-BE49-F238E27FC236}">
              <a16:creationId xmlns:a16="http://schemas.microsoft.com/office/drawing/2014/main" id="{A10B5814-41BA-23C1-408B-411EBFC45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ise Chew" refreshedDate="46279.900720254627" createdVersion="8" refreshedVersion="8" minRefreshableVersion="3" recordCount="6775" xr:uid="{5FA89FF3-61D1-4BDC-998B-3916857916E9}">
  <cacheSource type="worksheet">
    <worksheetSource ref="A1:I6776" sheet="Clean Ledger Data"/>
  </cacheSource>
  <cacheFields count="9">
    <cacheField name="Date" numFmtId="165">
      <sharedItems containsSemiMixedTypes="0" containsNonDate="0" containsDate="1" containsString="0" minDate="2023-01-01T00:00:00" maxDate="2024-01-01T00:00:00"/>
    </cacheField>
    <cacheField name="Month" numFmtId="0">
      <sharedItems count="12">
        <s v="January"/>
        <s v="February"/>
        <s v="March"/>
        <s v="April"/>
        <s v="May"/>
        <s v="June"/>
        <s v="July"/>
        <s v="August"/>
        <s v="September"/>
        <s v="October"/>
        <s v="November"/>
        <s v="December"/>
      </sharedItems>
    </cacheField>
    <cacheField name="Category" numFmtId="0">
      <sharedItems count="8">
        <s v="Travel"/>
        <s v="Training"/>
        <s v="Utilities"/>
        <s v="Salaries"/>
        <s v="Marketing"/>
        <s v="Product Revenue"/>
        <s v="Service Revenue"/>
        <s v="Infrastructure"/>
      </sharedItems>
    </cacheField>
    <cacheField name="Region" numFmtId="0">
      <sharedItems count="5">
        <s v="East"/>
        <s v="Central"/>
        <s v="South"/>
        <s v="North"/>
        <s v="West"/>
      </sharedItems>
    </cacheField>
    <cacheField name="Budget" numFmtId="3">
      <sharedItems containsSemiMixedTypes="0" containsString="0" containsNumber="1" containsInteger="1" minValue="10019" maxValue="623800" count="4863">
        <n v="86427"/>
        <n v="124753"/>
        <n v="51001"/>
        <n v="122187"/>
        <n v="43076"/>
        <n v="126539"/>
        <n v="31595"/>
        <n v="69325"/>
        <n v="86411"/>
        <n v="226100"/>
        <n v="46300"/>
        <n v="66800"/>
        <n v="137500"/>
        <n v="136600"/>
        <n v="151500"/>
        <n v="233400"/>
        <n v="74800"/>
        <n v="139800"/>
        <n v="23118"/>
        <n v="105614"/>
        <n v="148166"/>
        <n v="43001"/>
        <n v="15331"/>
        <n v="60767"/>
        <n v="138547"/>
        <n v="131415"/>
        <n v="87716"/>
        <n v="31266"/>
        <n v="18127"/>
        <n v="143435"/>
        <n v="148700"/>
        <n v="159400"/>
        <n v="96300"/>
        <n v="78900"/>
        <n v="95200"/>
        <n v="171000"/>
        <n v="74500"/>
        <n v="124700"/>
        <n v="85600"/>
        <n v="190600"/>
        <n v="82800"/>
        <n v="189300"/>
        <n v="62892"/>
        <n v="90954"/>
        <n v="34630"/>
        <n v="46183"/>
        <n v="122627"/>
        <n v="34218"/>
        <n v="94314"/>
        <n v="83200"/>
        <n v="94100"/>
        <n v="114100"/>
        <n v="108500"/>
        <n v="64300"/>
        <n v="141500"/>
        <n v="91400"/>
        <n v="52478"/>
        <n v="59555"/>
        <n v="51992"/>
        <n v="146759"/>
        <n v="145263"/>
        <n v="114541"/>
        <n v="107000"/>
        <n v="206400"/>
        <n v="113400"/>
        <n v="185200"/>
        <n v="80900"/>
        <n v="44536"/>
        <n v="144338"/>
        <n v="124826"/>
        <n v="58056"/>
        <n v="138256"/>
        <n v="105413"/>
        <n v="146961"/>
        <n v="99219"/>
        <n v="56998"/>
        <n v="88488"/>
        <n v="25406"/>
        <n v="252500"/>
        <n v="42800"/>
        <n v="92400"/>
        <n v="92200"/>
        <n v="114400"/>
        <n v="162700"/>
        <n v="264700"/>
        <n v="81400"/>
        <n v="57100"/>
        <n v="52600"/>
        <n v="416600"/>
        <n v="19766"/>
        <n v="146883"/>
        <n v="58538"/>
        <n v="18670"/>
        <n v="14257"/>
        <n v="140865"/>
        <n v="59600"/>
        <n v="210900"/>
        <n v="88700"/>
        <n v="115200"/>
        <n v="122700"/>
        <n v="147700"/>
        <n v="115763"/>
        <n v="101659"/>
        <n v="21771"/>
        <n v="79683"/>
        <n v="56828"/>
        <n v="84045"/>
        <n v="76400"/>
        <n v="76500"/>
        <n v="86100"/>
        <n v="96500"/>
        <n v="146400"/>
        <n v="159600"/>
        <n v="24837"/>
        <n v="67797"/>
        <n v="132494"/>
        <n v="145349"/>
        <n v="99229"/>
        <n v="149828"/>
        <n v="61838"/>
        <n v="76545"/>
        <n v="75295"/>
        <n v="80295"/>
        <n v="136356"/>
        <n v="144150"/>
        <n v="109183"/>
        <n v="89284"/>
        <n v="115700"/>
        <n v="122000"/>
        <n v="78400"/>
        <n v="71800"/>
        <n v="173300"/>
        <n v="75900"/>
        <n v="105600"/>
        <n v="135500"/>
        <n v="212600"/>
        <n v="134100"/>
        <n v="198300"/>
        <n v="70400"/>
        <n v="114200"/>
        <n v="104817"/>
        <n v="59663"/>
        <n v="45252"/>
        <n v="57561"/>
        <n v="61689"/>
        <n v="39145"/>
        <n v="23408"/>
        <n v="23787"/>
        <n v="53154"/>
        <n v="147472"/>
        <n v="117036"/>
        <n v="166700"/>
        <n v="140800"/>
        <n v="81900"/>
        <n v="96700"/>
        <n v="63600"/>
        <n v="53500"/>
        <n v="167600"/>
        <n v="136800"/>
        <n v="47800"/>
        <n v="54900"/>
        <n v="253800"/>
        <n v="88699"/>
        <n v="130123"/>
        <n v="103254"/>
        <n v="22193"/>
        <n v="34646"/>
        <n v="93808"/>
        <n v="56637"/>
        <n v="99233"/>
        <n v="148589"/>
        <n v="54778"/>
        <n v="144529"/>
        <n v="95100"/>
        <n v="149300"/>
        <n v="70500"/>
        <n v="139300"/>
        <n v="176800"/>
        <n v="154700"/>
        <n v="106200"/>
        <n v="121500"/>
        <n v="140200"/>
        <n v="57600"/>
        <n v="160600"/>
        <n v="103039"/>
        <n v="124383"/>
        <n v="78506"/>
        <n v="63737"/>
        <n v="125703"/>
        <n v="183300"/>
        <n v="66600"/>
        <n v="206700"/>
        <n v="70600"/>
        <n v="121100"/>
        <n v="71631"/>
        <n v="111890"/>
        <n v="73903"/>
        <n v="112462"/>
        <n v="108634"/>
        <n v="124643"/>
        <n v="29193"/>
        <n v="100111"/>
        <n v="95300"/>
        <n v="104500"/>
        <n v="106000"/>
        <n v="150100"/>
        <n v="90300"/>
        <n v="135300"/>
        <n v="137100"/>
        <n v="135114"/>
        <n v="22023"/>
        <n v="142559"/>
        <n v="80353"/>
        <n v="107150"/>
        <n v="10073"/>
        <n v="136657"/>
        <n v="109952"/>
        <n v="79769"/>
        <n v="142091"/>
        <n v="97000"/>
        <n v="83800"/>
        <n v="299700"/>
        <n v="90400"/>
        <n v="140000"/>
        <n v="120500"/>
        <n v="101000"/>
        <n v="81300"/>
        <n v="49865"/>
        <n v="30823"/>
        <n v="145239"/>
        <n v="103668"/>
        <n v="30071"/>
        <n v="89756"/>
        <n v="103856"/>
        <n v="69100"/>
        <n v="108300"/>
        <n v="77600"/>
        <n v="144500"/>
        <n v="109900"/>
        <n v="52300"/>
        <n v="105800"/>
        <n v="15765"/>
        <n v="135797"/>
        <n v="112112"/>
        <n v="86092"/>
        <n v="111100"/>
        <n v="85700"/>
        <n v="145300"/>
        <n v="138500"/>
        <n v="99249"/>
        <n v="137325"/>
        <n v="39590"/>
        <n v="90224"/>
        <n v="112318"/>
        <n v="126081"/>
        <n v="91814"/>
        <n v="42864"/>
        <n v="36108"/>
        <n v="128174"/>
        <n v="141364"/>
        <n v="151900"/>
        <n v="77100"/>
        <n v="138800"/>
        <n v="139400"/>
        <n v="182700"/>
        <n v="66000"/>
        <n v="84100"/>
        <n v="75500"/>
        <n v="154000"/>
        <n v="126500"/>
        <n v="41860"/>
        <n v="135871"/>
        <n v="143737"/>
        <n v="41636"/>
        <n v="91912"/>
        <n v="65561"/>
        <n v="106729"/>
        <n v="23171"/>
        <n v="83750"/>
        <n v="106800"/>
        <n v="68400"/>
        <n v="117800"/>
        <n v="92900"/>
        <n v="104200"/>
        <n v="224200"/>
        <n v="106900"/>
        <n v="98500"/>
        <n v="64700"/>
        <n v="69049"/>
        <n v="102700"/>
        <n v="120127"/>
        <n v="130975"/>
        <n v="28663"/>
        <n v="62226"/>
        <n v="57901"/>
        <n v="233200"/>
        <n v="181500"/>
        <n v="158700"/>
        <n v="110900"/>
        <n v="122800"/>
        <n v="132200"/>
        <n v="75100"/>
        <n v="72397"/>
        <n v="83000"/>
        <n v="122172"/>
        <n v="28055"/>
        <n v="69523"/>
        <n v="115142"/>
        <n v="117142"/>
        <n v="19401"/>
        <n v="102272"/>
        <n v="137400"/>
        <n v="139900"/>
        <n v="160200"/>
        <n v="151700"/>
        <n v="238000"/>
        <n v="144900"/>
        <n v="75700"/>
        <n v="141700"/>
        <n v="155900"/>
        <n v="227100"/>
        <n v="125883"/>
        <n v="52988"/>
        <n v="13943"/>
        <n v="133941"/>
        <n v="34156"/>
        <n v="215300"/>
        <n v="118700"/>
        <n v="133300"/>
        <n v="115000"/>
        <n v="69700"/>
        <n v="11074"/>
        <n v="20461"/>
        <n v="13739"/>
        <n v="116350"/>
        <n v="16227"/>
        <n v="107679"/>
        <n v="109889"/>
        <n v="25155"/>
        <n v="137301"/>
        <n v="110500"/>
        <n v="132500"/>
        <n v="197700"/>
        <n v="85900"/>
        <n v="90200"/>
        <n v="221400"/>
        <n v="184800"/>
        <n v="139600"/>
        <n v="67900"/>
        <n v="83736"/>
        <n v="67240"/>
        <n v="71898"/>
        <n v="70835"/>
        <n v="113415"/>
        <n v="52971"/>
        <n v="116325"/>
        <n v="82189"/>
        <n v="161700"/>
        <n v="97600"/>
        <n v="78500"/>
        <n v="66100"/>
        <n v="173600"/>
        <n v="126800"/>
        <n v="167400"/>
        <n v="145800"/>
        <n v="131770"/>
        <n v="74772"/>
        <n v="22485"/>
        <n v="134503"/>
        <n v="34432"/>
        <n v="126011"/>
        <n v="132673"/>
        <n v="34525"/>
        <n v="104744"/>
        <n v="163600"/>
        <n v="193100"/>
        <n v="97100"/>
        <n v="87500"/>
        <n v="91900"/>
        <n v="56900"/>
        <n v="86300"/>
        <n v="23116"/>
        <n v="52174"/>
        <n v="10743"/>
        <n v="124946"/>
        <n v="89437"/>
        <n v="45310"/>
        <n v="119602"/>
        <n v="144065"/>
        <n v="140202"/>
        <n v="32937"/>
        <n v="128026"/>
        <n v="72300"/>
        <n v="96800"/>
        <n v="80500"/>
        <n v="156600"/>
        <n v="100600"/>
        <n v="119000"/>
        <n v="139700"/>
        <n v="12019"/>
        <n v="112958"/>
        <n v="141717"/>
        <n v="75536"/>
        <n v="48229"/>
        <n v="80909"/>
        <n v="15514"/>
        <n v="305700"/>
        <n v="458700"/>
        <n v="148300"/>
        <n v="108100"/>
        <n v="252200"/>
        <n v="74200"/>
        <n v="25458"/>
        <n v="31137"/>
        <n v="57993"/>
        <n v="22473"/>
        <n v="27366"/>
        <n v="145449"/>
        <n v="97377"/>
        <n v="113500"/>
        <n v="136000"/>
        <n v="131000"/>
        <n v="57900"/>
        <n v="114900"/>
        <n v="151300"/>
        <n v="139162"/>
        <n v="145423"/>
        <n v="37980"/>
        <n v="78105"/>
        <n v="92958"/>
        <n v="140071"/>
        <n v="35618"/>
        <n v="12560"/>
        <n v="128459"/>
        <n v="104187"/>
        <n v="65400"/>
        <n v="101700"/>
        <n v="79700"/>
        <n v="121800"/>
        <n v="119800"/>
        <n v="87100"/>
        <n v="128400"/>
        <n v="149200"/>
        <n v="142700"/>
        <n v="69789"/>
        <n v="65020"/>
        <n v="42234"/>
        <n v="70514"/>
        <n v="69123"/>
        <n v="106279"/>
        <n v="139649"/>
        <n v="26401"/>
        <n v="57455"/>
        <n v="140593"/>
        <n v="40888"/>
        <n v="92100"/>
        <n v="179400"/>
        <n v="133000"/>
        <n v="58800"/>
        <n v="158800"/>
        <n v="121600"/>
        <n v="191200"/>
        <n v="74400"/>
        <n v="35000"/>
        <n v="145700"/>
        <n v="36654"/>
        <n v="92943"/>
        <n v="126120"/>
        <n v="29788"/>
        <n v="125625"/>
        <n v="51845"/>
        <n v="20522"/>
        <n v="21290"/>
        <n v="142971"/>
        <n v="113295"/>
        <n v="46064"/>
        <n v="75000"/>
        <n v="82500"/>
        <n v="108600"/>
        <n v="119700"/>
        <n v="89200"/>
        <n v="142100"/>
        <n v="76300"/>
        <n v="154500"/>
        <n v="96000"/>
        <n v="101900"/>
        <n v="135210"/>
        <n v="117896"/>
        <n v="124402"/>
        <n v="155300"/>
        <n v="210100"/>
        <n v="43034"/>
        <n v="37307"/>
        <n v="59588"/>
        <n v="143611"/>
        <n v="126434"/>
        <n v="106442"/>
        <n v="98617"/>
        <n v="93723"/>
        <n v="52914"/>
        <n v="31798"/>
        <n v="68697"/>
        <n v="45791"/>
        <n v="238300"/>
        <n v="101400"/>
        <n v="113000"/>
        <n v="215500"/>
        <n v="137600"/>
        <n v="220700"/>
        <n v="86700"/>
        <n v="119900"/>
        <n v="137900"/>
        <n v="29200"/>
        <n v="83700"/>
        <n v="150800"/>
        <n v="92697"/>
        <n v="35887"/>
        <n v="45472"/>
        <n v="24482"/>
        <n v="109957"/>
        <n v="132357"/>
        <n v="53407"/>
        <n v="21752"/>
        <n v="146540"/>
        <n v="139658"/>
        <n v="130263"/>
        <n v="99861"/>
        <n v="39285"/>
        <n v="121491"/>
        <n v="75180"/>
        <n v="82900"/>
        <n v="160300"/>
        <n v="140400"/>
        <n v="57800"/>
        <n v="89100"/>
        <n v="57500"/>
        <n v="180300"/>
        <n v="85500"/>
        <n v="94200"/>
        <n v="54300"/>
        <n v="56400"/>
        <n v="88400"/>
        <n v="108900"/>
        <n v="76091"/>
        <n v="89143"/>
        <n v="140480"/>
        <n v="85811"/>
        <n v="124619"/>
        <n v="51313"/>
        <n v="45790"/>
        <n v="139875"/>
        <n v="92155"/>
        <n v="120491"/>
        <n v="49534"/>
        <n v="24996"/>
        <n v="107361"/>
        <n v="56995"/>
        <n v="99646"/>
        <n v="105830"/>
        <n v="60921"/>
        <n v="104100"/>
        <n v="210600"/>
        <n v="172200"/>
        <n v="110000"/>
        <n v="47100"/>
        <n v="143400"/>
        <n v="109400"/>
        <n v="97700"/>
        <n v="134600"/>
        <n v="130700"/>
        <n v="166400"/>
        <n v="211100"/>
        <n v="142800"/>
        <n v="94900"/>
        <n v="170200"/>
        <n v="69200"/>
        <n v="53400"/>
        <n v="108314"/>
        <n v="88375"/>
        <n v="141290"/>
        <n v="137589"/>
        <n v="12906"/>
        <n v="94027"/>
        <n v="27343"/>
        <n v="54398"/>
        <n v="118800"/>
        <n v="109700"/>
        <n v="257700"/>
        <n v="65200"/>
        <n v="192200"/>
        <n v="79625"/>
        <n v="147948"/>
        <n v="48728"/>
        <n v="41081"/>
        <n v="209500"/>
        <n v="103700"/>
        <n v="100700"/>
        <n v="75580"/>
        <n v="149969"/>
        <n v="113232"/>
        <n v="111264"/>
        <n v="26025"/>
        <n v="54362"/>
        <n v="91800"/>
        <n v="60300"/>
        <n v="113100"/>
        <n v="169400"/>
        <n v="136878"/>
        <n v="137791"/>
        <n v="138291"/>
        <n v="127739"/>
        <n v="125192"/>
        <n v="13884"/>
        <n v="82700"/>
        <n v="85000"/>
        <n v="125400"/>
        <n v="95600"/>
        <n v="185100"/>
        <n v="44940"/>
        <n v="111190"/>
        <n v="107473"/>
        <n v="37968"/>
        <n v="51860"/>
        <n v="21036"/>
        <n v="57764"/>
        <n v="49842"/>
        <n v="112205"/>
        <n v="186600"/>
        <n v="60700"/>
        <n v="124400"/>
        <n v="116400"/>
        <n v="98300"/>
        <n v="83900"/>
        <n v="112700"/>
        <n v="90600"/>
        <n v="143600"/>
        <n v="100990"/>
        <n v="86768"/>
        <n v="35847"/>
        <n v="126953"/>
        <n v="68474"/>
        <n v="65460"/>
        <n v="64137"/>
        <n v="108718"/>
        <n v="27393"/>
        <n v="214100"/>
        <n v="133800"/>
        <n v="280400"/>
        <n v="99300"/>
        <n v="56700"/>
        <n v="66700"/>
        <n v="196800"/>
        <n v="60500"/>
        <n v="95737"/>
        <n v="84227"/>
        <n v="56666"/>
        <n v="77081"/>
        <n v="20318"/>
        <n v="53042"/>
        <n v="48946"/>
        <n v="49428"/>
        <n v="92946"/>
        <n v="11628"/>
        <n v="138941"/>
        <n v="21261"/>
        <n v="87515"/>
        <n v="43549"/>
        <n v="46528"/>
        <n v="73000"/>
        <n v="120600"/>
        <n v="188000"/>
        <n v="66300"/>
        <n v="131800"/>
        <n v="102400"/>
        <n v="40800"/>
        <n v="50300"/>
        <n v="103500"/>
        <n v="209800"/>
        <n v="92700"/>
        <n v="308800"/>
        <n v="109100"/>
        <n v="40619"/>
        <n v="29003"/>
        <n v="64694"/>
        <n v="63028"/>
        <n v="126816"/>
        <n v="22541"/>
        <n v="75283"/>
        <n v="39300"/>
        <n v="107300"/>
        <n v="125900"/>
        <n v="139100"/>
        <n v="120000"/>
        <n v="147500"/>
        <n v="88255"/>
        <n v="54357"/>
        <n v="56306"/>
        <n v="34232"/>
        <n v="65856"/>
        <n v="113379"/>
        <n v="46222"/>
        <n v="51098"/>
        <n v="96205"/>
        <n v="57068"/>
        <n v="118900"/>
        <n v="82200"/>
        <n v="164600"/>
        <n v="126400"/>
        <n v="86800"/>
        <n v="116100"/>
        <n v="107800"/>
        <n v="45256"/>
        <n v="117101"/>
        <n v="48989"/>
        <n v="117400"/>
        <n v="64800"/>
        <n v="117200"/>
        <n v="67414"/>
        <n v="34939"/>
        <n v="61166"/>
        <n v="122362"/>
        <n v="89021"/>
        <n v="65039"/>
        <n v="39712"/>
        <n v="127700"/>
        <n v="124300"/>
        <n v="83400"/>
        <n v="106300"/>
        <n v="151400"/>
        <n v="188600"/>
        <n v="189600"/>
        <n v="31340"/>
        <n v="48457"/>
        <n v="125781"/>
        <n v="113120"/>
        <n v="60889"/>
        <n v="85563"/>
        <n v="61700"/>
        <n v="77400"/>
        <n v="196100"/>
        <n v="103200"/>
        <n v="61747"/>
        <n v="18895"/>
        <n v="88855"/>
        <n v="65421"/>
        <n v="120549"/>
        <n v="111437"/>
        <n v="12829"/>
        <n v="139267"/>
        <n v="27736"/>
        <n v="146550"/>
        <n v="52772"/>
        <n v="53689"/>
        <n v="109600"/>
        <n v="147900"/>
        <n v="86500"/>
        <n v="242400"/>
        <n v="38600"/>
        <n v="97400"/>
        <n v="115900"/>
        <n v="135200"/>
        <n v="138400"/>
        <n v="83600"/>
        <n v="131686"/>
        <n v="93535"/>
        <n v="56827"/>
        <n v="86794"/>
        <n v="125333"/>
        <n v="208700"/>
        <n v="99500"/>
        <n v="82600"/>
        <n v="117773"/>
        <n v="105120"/>
        <n v="49468"/>
        <n v="59897"/>
        <n v="60794"/>
        <n v="149778"/>
        <n v="94560"/>
        <n v="100536"/>
        <n v="51063"/>
        <n v="73402"/>
        <n v="32091"/>
        <n v="15786"/>
        <n v="235800"/>
        <n v="145900"/>
        <n v="78600"/>
        <n v="176900"/>
        <n v="150000"/>
        <n v="91300"/>
        <n v="76700"/>
        <n v="74900"/>
        <n v="69383"/>
        <n v="37883"/>
        <n v="145303"/>
        <n v="21179"/>
        <n v="125318"/>
        <n v="30018"/>
        <n v="15126"/>
        <n v="65820"/>
        <n v="178400"/>
        <n v="213200"/>
        <n v="42400"/>
        <n v="182600"/>
        <n v="57700"/>
        <n v="95847"/>
        <n v="39917"/>
        <n v="45225"/>
        <n v="105385"/>
        <n v="120856"/>
        <n v="45162"/>
        <n v="42850"/>
        <n v="43399"/>
        <n v="81699"/>
        <n v="96145"/>
        <n v="95638"/>
        <n v="17385"/>
        <n v="154400"/>
        <n v="97200"/>
        <n v="56500"/>
        <n v="67000"/>
        <n v="57200"/>
        <n v="79800"/>
        <n v="109800"/>
        <n v="156300"/>
        <n v="103100"/>
        <n v="92462"/>
        <n v="111104"/>
        <n v="66784"/>
        <n v="71243"/>
        <n v="66941"/>
        <n v="69000"/>
        <n v="66584"/>
        <n v="124073"/>
        <n v="36745"/>
        <n v="40112"/>
        <n v="20251"/>
        <n v="64653"/>
        <n v="121300"/>
        <n v="344300"/>
        <n v="53700"/>
        <n v="115500"/>
        <n v="91600"/>
        <n v="157300"/>
        <n v="207400"/>
        <n v="79034"/>
        <n v="140386"/>
        <n v="99301"/>
        <n v="122113"/>
        <n v="125880"/>
        <n v="111900"/>
        <n v="277000"/>
        <n v="264300"/>
        <n v="58949"/>
        <n v="125697"/>
        <n v="80505"/>
        <n v="73532"/>
        <n v="137211"/>
        <n v="38552"/>
        <n v="107479"/>
        <n v="90500"/>
        <n v="102200"/>
        <n v="84400"/>
        <n v="122300"/>
        <n v="94700"/>
        <n v="178700"/>
        <n v="227300"/>
        <n v="63200"/>
        <n v="11942"/>
        <n v="123400"/>
        <n v="60817"/>
        <n v="103415"/>
        <n v="106296"/>
        <n v="83203"/>
        <n v="15283"/>
        <n v="37631"/>
        <n v="96642"/>
        <n v="72971"/>
        <n v="38040"/>
        <n v="89792"/>
        <n v="217800"/>
        <n v="43000"/>
        <n v="177700"/>
        <n v="84300"/>
        <n v="84900"/>
        <n v="102300"/>
        <n v="88200"/>
        <n v="156800"/>
        <n v="87400"/>
        <n v="119660"/>
        <n v="70943"/>
        <n v="98541"/>
        <n v="21808"/>
        <n v="39357"/>
        <n v="110875"/>
        <n v="117582"/>
        <n v="76463"/>
        <n v="64721"/>
        <n v="125729"/>
        <n v="46212"/>
        <n v="79727"/>
        <n v="144606"/>
        <n v="65900"/>
        <n v="100200"/>
        <n v="123100"/>
        <n v="89800"/>
        <n v="67100"/>
        <n v="186800"/>
        <n v="165000"/>
        <n v="153300"/>
        <n v="109300"/>
        <n v="143500"/>
        <n v="180400"/>
        <n v="83100"/>
        <n v="118600"/>
        <n v="72189"/>
        <n v="56883"/>
        <n v="139442"/>
        <n v="57542"/>
        <n v="85200"/>
        <n v="152600"/>
        <n v="123000"/>
        <n v="71807"/>
        <n v="72382"/>
        <n v="97460"/>
        <n v="69036"/>
        <n v="28834"/>
        <n v="21670"/>
        <n v="72000"/>
        <n v="94300"/>
        <n v="166200"/>
        <n v="248900"/>
        <n v="132426"/>
        <n v="106060"/>
        <n v="104029"/>
        <n v="120202"/>
        <n v="36176"/>
        <n v="138730"/>
        <n v="11163"/>
        <n v="104782"/>
        <n v="121270"/>
        <n v="92600"/>
        <n v="124800"/>
        <n v="162000"/>
        <n v="122900"/>
        <n v="63400"/>
        <n v="124100"/>
        <n v="105803"/>
        <n v="96765"/>
        <n v="30792"/>
        <n v="46469"/>
        <n v="101646"/>
        <n v="26734"/>
        <n v="103526"/>
        <n v="144100"/>
        <n v="219600"/>
        <n v="110700"/>
        <n v="69800"/>
        <n v="165200"/>
        <n v="37800"/>
        <n v="112100"/>
        <n v="53520"/>
        <n v="76193"/>
        <n v="84106"/>
        <n v="52290"/>
        <n v="23830"/>
        <n v="41785"/>
        <n v="29163"/>
        <n v="100100"/>
        <n v="123900"/>
        <n v="65700"/>
        <n v="164100"/>
        <n v="221000"/>
        <n v="86200"/>
        <n v="124113"/>
        <n v="21736"/>
        <n v="52147"/>
        <n v="76119"/>
        <n v="16129"/>
        <n v="114752"/>
        <n v="22929"/>
        <n v="57929"/>
        <n v="130129"/>
        <n v="77127"/>
        <n v="59145"/>
        <n v="105100"/>
        <n v="174700"/>
        <n v="135600"/>
        <n v="107200"/>
        <n v="200900"/>
        <n v="72200"/>
        <n v="115400"/>
        <n v="105000"/>
        <n v="101600"/>
        <n v="76900"/>
        <n v="52100"/>
        <n v="53335"/>
        <n v="56999"/>
        <n v="97298"/>
        <n v="10540"/>
        <n v="110420"/>
        <n v="10944"/>
        <n v="47238"/>
        <n v="65600"/>
        <n v="101100"/>
        <n v="179900"/>
        <n v="107600"/>
        <n v="120803"/>
        <n v="144847"/>
        <n v="87008"/>
        <n v="29411"/>
        <n v="87411"/>
        <n v="115736"/>
        <n v="135220"/>
        <n v="37915"/>
        <n v="13370"/>
        <n v="147006"/>
        <n v="74076"/>
        <n v="74100"/>
        <n v="98000"/>
        <n v="71100"/>
        <n v="169100"/>
        <n v="123600"/>
        <n v="80000"/>
        <n v="98900"/>
        <n v="41834"/>
        <n v="112978"/>
        <n v="92458"/>
        <n v="122695"/>
        <n v="115293"/>
        <n v="82901"/>
        <n v="17042"/>
        <n v="141448"/>
        <n v="137660"/>
        <n v="85489"/>
        <n v="37217"/>
        <n v="54084"/>
        <n v="96400"/>
        <n v="149900"/>
        <n v="156900"/>
        <n v="163800"/>
        <n v="130400"/>
        <n v="132100"/>
        <n v="60000"/>
        <n v="101500"/>
        <n v="131100"/>
        <n v="111400"/>
        <n v="107476"/>
        <n v="12897"/>
        <n v="32873"/>
        <n v="139060"/>
        <n v="31135"/>
        <n v="81712"/>
        <n v="122293"/>
        <n v="70800"/>
        <n v="75400"/>
        <n v="214800"/>
        <n v="91000"/>
        <n v="94500"/>
        <n v="130503"/>
        <n v="51522"/>
        <n v="145802"/>
        <n v="104233"/>
        <n v="45719"/>
        <n v="41544"/>
        <n v="240900"/>
        <n v="146000"/>
        <n v="106500"/>
        <n v="112200"/>
        <n v="89900"/>
        <n v="121370"/>
        <n v="97771"/>
        <n v="112416"/>
        <n v="70681"/>
        <n v="78348"/>
        <n v="30162"/>
        <n v="143788"/>
        <n v="145905"/>
        <n v="131433"/>
        <n v="157100"/>
        <n v="192600"/>
        <n v="127800"/>
        <n v="172800"/>
        <n v="93900"/>
        <n v="84500"/>
        <n v="53800"/>
        <n v="102800"/>
        <n v="94377"/>
        <n v="95395"/>
        <n v="58787"/>
        <n v="113661"/>
        <n v="148504"/>
        <n v="145531"/>
        <n v="56787"/>
        <n v="89671"/>
        <n v="62947"/>
        <n v="31750"/>
        <n v="149245"/>
        <n v="139348"/>
        <n v="147655"/>
        <n v="33892"/>
        <n v="247100"/>
        <n v="127600"/>
        <n v="74000"/>
        <n v="58100"/>
        <n v="146300"/>
        <n v="198500"/>
        <n v="99900"/>
        <n v="128100"/>
        <n v="105300"/>
        <n v="260400"/>
        <n v="118788"/>
        <n v="64639"/>
        <n v="120217"/>
        <n v="140351"/>
        <n v="105564"/>
        <n v="40897"/>
        <n v="111221"/>
        <n v="129000"/>
        <n v="199500"/>
        <n v="131700"/>
        <n v="150400"/>
        <n v="82100"/>
        <n v="57323"/>
        <n v="69660"/>
        <n v="25246"/>
        <n v="52271"/>
        <n v="62739"/>
        <n v="133754"/>
        <n v="28736"/>
        <n v="78391"/>
        <n v="31533"/>
        <n v="26712"/>
        <n v="114673"/>
        <n v="170800"/>
        <n v="59900"/>
        <n v="118500"/>
        <n v="175600"/>
        <n v="172000"/>
        <n v="79000"/>
        <n v="103900"/>
        <n v="125381"/>
        <n v="22167"/>
        <n v="105983"/>
        <n v="144006"/>
        <n v="139716"/>
        <n v="21841"/>
        <n v="57664"/>
        <n v="97300"/>
        <n v="177400"/>
        <n v="146900"/>
        <n v="93700"/>
        <n v="36800"/>
        <n v="65500"/>
        <n v="10894"/>
        <n v="34701"/>
        <n v="48907"/>
        <n v="10941"/>
        <n v="141713"/>
        <n v="50459"/>
        <n v="15235"/>
        <n v="35282"/>
        <n v="89902"/>
        <n v="138526"/>
        <n v="61901"/>
        <n v="58429"/>
        <n v="213500"/>
        <n v="178800"/>
        <n v="223200"/>
        <n v="149700"/>
        <n v="217100"/>
        <n v="316500"/>
        <n v="63750"/>
        <n v="140568"/>
        <n v="44125"/>
        <n v="93943"/>
        <n v="106485"/>
        <n v="104499"/>
        <n v="127724"/>
        <n v="72508"/>
        <n v="50039"/>
        <n v="118659"/>
        <n v="26849"/>
        <n v="51000"/>
        <n v="42200"/>
        <n v="76600"/>
        <n v="300800"/>
        <n v="176000"/>
        <n v="279000"/>
        <n v="126900"/>
        <n v="133500"/>
        <n v="108373"/>
        <n v="147532"/>
        <n v="27986"/>
        <n v="132887"/>
        <n v="73505"/>
        <n v="90359"/>
        <n v="135194"/>
        <n v="87064"/>
        <n v="101168"/>
        <n v="294600"/>
        <n v="163700"/>
        <n v="129800"/>
        <n v="185600"/>
        <n v="55700"/>
        <n v="93000"/>
        <n v="144560"/>
        <n v="78625"/>
        <n v="141324"/>
        <n v="50865"/>
        <n v="82239"/>
        <n v="13460"/>
        <n v="53101"/>
        <n v="17586"/>
        <n v="135815"/>
        <n v="19545"/>
        <n v="35972"/>
        <n v="123638"/>
        <n v="314800"/>
        <n v="52500"/>
        <n v="106100"/>
        <n v="105400"/>
        <n v="72500"/>
        <n v="180700"/>
        <n v="75603"/>
        <n v="54653"/>
        <n v="145224"/>
        <n v="78797"/>
        <n v="18431"/>
        <n v="145274"/>
        <n v="136630"/>
        <n v="60806"/>
        <n v="66058"/>
        <n v="133100"/>
        <n v="101800"/>
        <n v="158200"/>
        <n v="80700"/>
        <n v="145100"/>
        <n v="67200"/>
        <n v="124140"/>
        <n v="66536"/>
        <n v="106516"/>
        <n v="25586"/>
        <n v="84632"/>
        <n v="110198"/>
        <n v="106600"/>
        <n v="93200"/>
        <n v="50100"/>
        <n v="70791"/>
        <n v="58070"/>
        <n v="84343"/>
        <n v="148900"/>
        <n v="41500"/>
        <n v="125500"/>
        <n v="101182"/>
        <n v="113030"/>
        <n v="36798"/>
        <n v="110243"/>
        <n v="52245"/>
        <n v="133865"/>
        <n v="80074"/>
        <n v="134000"/>
        <n v="182800"/>
        <n v="123300"/>
        <n v="285500"/>
        <n v="13588"/>
        <n v="139913"/>
        <n v="56963"/>
        <n v="103884"/>
        <n v="142191"/>
        <n v="25964"/>
        <n v="17080"/>
        <n v="62254"/>
        <n v="26005"/>
        <n v="66847"/>
        <n v="50887"/>
        <n v="69900"/>
        <n v="139000"/>
        <n v="72600"/>
        <n v="88100"/>
        <n v="338200"/>
        <n v="54800"/>
        <n v="35736"/>
        <n v="53015"/>
        <n v="109819"/>
        <n v="19437"/>
        <n v="118161"/>
        <n v="158000"/>
        <n v="110400"/>
        <n v="107500"/>
        <n v="210300"/>
        <n v="80600"/>
        <n v="93779"/>
        <n v="74307"/>
        <n v="74364"/>
        <n v="62700"/>
        <n v="126200"/>
        <n v="90800"/>
        <n v="129932"/>
        <n v="44495"/>
        <n v="144649"/>
        <n v="112594"/>
        <n v="11302"/>
        <n v="61522"/>
        <n v="242500"/>
        <n v="142900"/>
        <n v="94600"/>
        <n v="135900"/>
        <n v="140053"/>
        <n v="118050"/>
        <n v="53664"/>
        <n v="132418"/>
        <n v="133529"/>
        <n v="124288"/>
        <n v="89532"/>
        <n v="31275"/>
        <n v="56698"/>
        <n v="140836"/>
        <n v="74739"/>
        <n v="113600"/>
        <n v="191500"/>
        <n v="99600"/>
        <n v="134200"/>
        <n v="196500"/>
        <n v="73500"/>
        <n v="99200"/>
        <n v="192000"/>
        <n v="112000"/>
        <n v="59698"/>
        <n v="120633"/>
        <n v="101931"/>
        <n v="45985"/>
        <n v="17176"/>
        <n v="80256"/>
        <n v="23234"/>
        <n v="10843"/>
        <n v="74700"/>
        <n v="130500"/>
        <n v="172100"/>
        <n v="42000"/>
        <n v="156400"/>
        <n v="67230"/>
        <n v="73566"/>
        <n v="122784"/>
        <n v="124009"/>
        <n v="111447"/>
        <n v="35804"/>
        <n v="100067"/>
        <n v="55018"/>
        <n v="138578"/>
        <n v="45995"/>
        <n v="93813"/>
        <n v="122976"/>
        <n v="80254"/>
        <n v="61113"/>
        <n v="112646"/>
        <n v="144800"/>
        <n v="149400"/>
        <n v="53900"/>
        <n v="81500"/>
        <n v="122500"/>
        <n v="96850"/>
        <n v="144366"/>
        <n v="86699"/>
        <n v="145298"/>
        <n v="27202"/>
        <n v="97064"/>
        <n v="84484"/>
        <n v="106003"/>
        <n v="124900"/>
        <n v="192300"/>
        <n v="170400"/>
        <n v="100500"/>
        <n v="99100"/>
        <n v="45800"/>
        <n v="70300"/>
        <n v="103709"/>
        <n v="135189"/>
        <n v="10603"/>
        <n v="138848"/>
        <n v="148364"/>
        <n v="26582"/>
        <n v="120258"/>
        <n v="110200"/>
        <n v="201700"/>
        <n v="110800"/>
        <n v="125300"/>
        <n v="111200"/>
        <n v="139581"/>
        <n v="127004"/>
        <n v="130138"/>
        <n v="75506"/>
        <n v="109851"/>
        <n v="76461"/>
        <n v="46070"/>
        <n v="118151"/>
        <n v="110932"/>
        <n v="72100"/>
        <n v="181400"/>
        <n v="208600"/>
        <n v="486900"/>
        <n v="136300"/>
        <n v="184600"/>
        <n v="77105"/>
        <n v="120212"/>
        <n v="77510"/>
        <n v="73044"/>
        <n v="106783"/>
        <n v="62476"/>
        <n v="147606"/>
        <n v="10217"/>
        <n v="146752"/>
        <n v="103418"/>
        <n v="101424"/>
        <n v="97059"/>
        <n v="107251"/>
        <n v="74981"/>
        <n v="16086"/>
        <n v="285100"/>
        <n v="103400"/>
        <n v="223700"/>
        <n v="127100"/>
        <n v="51700"/>
        <n v="114600"/>
        <n v="75200"/>
        <n v="136900"/>
        <n v="224700"/>
        <n v="180600"/>
        <n v="129190"/>
        <n v="28564"/>
        <n v="11258"/>
        <n v="95170"/>
        <n v="82168"/>
        <n v="19250"/>
        <n v="115495"/>
        <n v="53995"/>
        <n v="84240"/>
        <n v="137307"/>
        <n v="47025"/>
        <n v="122936"/>
        <n v="95557"/>
        <n v="69400"/>
        <n v="90900"/>
        <n v="199100"/>
        <n v="95000"/>
        <n v="138000"/>
        <n v="71900"/>
        <n v="171800"/>
        <n v="92000"/>
        <n v="98466"/>
        <n v="102384"/>
        <n v="34053"/>
        <n v="119573"/>
        <n v="136854"/>
        <n v="141305"/>
        <n v="146518"/>
        <n v="143425"/>
        <n v="55134"/>
        <n v="21070"/>
        <n v="65552"/>
        <n v="54587"/>
        <n v="66673"/>
        <n v="32297"/>
        <n v="83402"/>
        <n v="82542"/>
        <n v="98538"/>
        <n v="60800"/>
        <n v="95500"/>
        <n v="232300"/>
        <n v="206300"/>
        <n v="234500"/>
        <n v="164400"/>
        <n v="152800"/>
        <n v="116300"/>
        <n v="127500"/>
        <n v="44800"/>
        <n v="150200"/>
        <n v="111600"/>
        <n v="179600"/>
        <n v="48300"/>
        <n v="136004"/>
        <n v="24823"/>
        <n v="110185"/>
        <n v="147480"/>
        <n v="125672"/>
        <n v="100334"/>
        <n v="60539"/>
        <n v="94428"/>
        <n v="308000"/>
        <n v="105700"/>
        <n v="237100"/>
        <n v="90000"/>
        <n v="94070"/>
        <n v="111856"/>
        <n v="26781"/>
        <n v="93399"/>
        <n v="88978"/>
        <n v="80265"/>
        <n v="41572"/>
        <n v="27025"/>
        <n v="157200"/>
        <n v="73200"/>
        <n v="196000"/>
        <n v="202900"/>
        <n v="116246"/>
        <n v="95464"/>
        <n v="48222"/>
        <n v="31149"/>
        <n v="81875"/>
        <n v="60460"/>
        <n v="87453"/>
        <n v="12792"/>
        <n v="22128"/>
        <n v="84931"/>
        <n v="119752"/>
        <n v="19899"/>
        <n v="107520"/>
        <n v="128600"/>
        <n v="65300"/>
        <n v="94800"/>
        <n v="210800"/>
        <n v="61900"/>
        <n v="157000"/>
        <n v="45900"/>
        <n v="207600"/>
        <n v="240700"/>
        <n v="140100"/>
        <n v="102000"/>
        <n v="16325"/>
        <n v="76991"/>
        <n v="58667"/>
        <n v="65142"/>
        <n v="121212"/>
        <n v="135049"/>
        <n v="12751"/>
        <n v="128066"/>
        <n v="27341"/>
        <n v="127400"/>
        <n v="93500"/>
        <n v="140700"/>
        <n v="151800"/>
        <n v="211900"/>
        <n v="153000"/>
        <n v="68679"/>
        <n v="51594"/>
        <n v="141183"/>
        <n v="114646"/>
        <n v="31547"/>
        <n v="138367"/>
        <n v="142346"/>
        <n v="58600"/>
        <n v="238400"/>
        <n v="228100"/>
        <n v="102600"/>
        <n v="57802"/>
        <n v="66623"/>
        <n v="99472"/>
        <n v="34121"/>
        <n v="24497"/>
        <n v="144536"/>
        <n v="116844"/>
        <n v="143229"/>
        <n v="94247"/>
        <n v="55599"/>
        <n v="21602"/>
        <n v="85021"/>
        <n v="93600"/>
        <n v="148100"/>
        <n v="179700"/>
        <n v="220200"/>
        <n v="189700"/>
        <n v="129400"/>
        <n v="59500"/>
        <n v="123500"/>
        <n v="144400"/>
        <n v="272900"/>
        <n v="20261"/>
        <n v="89035"/>
        <n v="10661"/>
        <n v="75657"/>
        <n v="87700"/>
        <n v="113200"/>
        <n v="191300"/>
        <n v="128900"/>
        <n v="87666"/>
        <n v="48690"/>
        <n v="115932"/>
        <n v="99643"/>
        <n v="26487"/>
        <n v="49225"/>
        <n v="139976"/>
        <n v="81700"/>
        <n v="298300"/>
        <n v="191600"/>
        <n v="139500"/>
        <n v="73300"/>
        <n v="102195"/>
        <n v="132408"/>
        <n v="14344"/>
        <n v="18330"/>
        <n v="47123"/>
        <n v="109320"/>
        <n v="83649"/>
        <n v="129998"/>
        <n v="142412"/>
        <n v="63707"/>
        <n v="33391"/>
        <n v="96575"/>
        <n v="75300"/>
        <n v="204500"/>
        <n v="105900"/>
        <n v="149100"/>
        <n v="120100"/>
        <n v="308900"/>
        <n v="204700"/>
        <n v="144078"/>
        <n v="55598"/>
        <n v="11562"/>
        <n v="14576"/>
        <n v="149060"/>
        <n v="130471"/>
        <n v="115233"/>
        <n v="18307"/>
        <n v="108400"/>
        <n v="283700"/>
        <n v="131200"/>
        <n v="154600"/>
        <n v="177900"/>
        <n v="56600"/>
        <n v="217700"/>
        <n v="144924"/>
        <n v="48966"/>
        <n v="116626"/>
        <n v="98601"/>
        <n v="127849"/>
        <n v="117787"/>
        <n v="58951"/>
        <n v="84144"/>
        <n v="32980"/>
        <n v="111320"/>
        <n v="15749"/>
        <n v="140564"/>
        <n v="51429"/>
        <n v="63974"/>
        <n v="171500"/>
        <n v="126100"/>
        <n v="112400"/>
        <n v="244500"/>
        <n v="145600"/>
        <n v="74300"/>
        <n v="267500"/>
        <n v="215000"/>
        <n v="158500"/>
        <n v="65800"/>
        <n v="118185"/>
        <n v="47227"/>
        <n v="43960"/>
        <n v="18977"/>
        <n v="83516"/>
        <n v="86881"/>
        <n v="91065"/>
        <n v="39784"/>
        <n v="215900"/>
        <n v="120200"/>
        <n v="178600"/>
        <n v="79900"/>
        <n v="58700"/>
        <n v="104400"/>
        <n v="115634"/>
        <n v="32368"/>
        <n v="107987"/>
        <n v="59877"/>
        <n v="100524"/>
        <n v="139104"/>
        <n v="92188"/>
        <n v="199400"/>
        <n v="170900"/>
        <n v="85755"/>
        <n v="134488"/>
        <n v="17460"/>
        <n v="52297"/>
        <n v="77713"/>
        <n v="112492"/>
        <n v="80787"/>
        <n v="129972"/>
        <n v="132841"/>
        <n v="107115"/>
        <n v="90560"/>
        <n v="115632"/>
        <n v="78721"/>
        <n v="36858"/>
        <n v="112900"/>
        <n v="61200"/>
        <n v="126700"/>
        <n v="119600"/>
        <n v="174500"/>
        <n v="65000"/>
        <n v="118229"/>
        <n v="67125"/>
        <n v="47306"/>
        <n v="85861"/>
        <n v="15505"/>
        <n v="40617"/>
        <n v="80623"/>
        <n v="120967"/>
        <n v="77647"/>
        <n v="105200"/>
        <n v="84800"/>
        <n v="269600"/>
        <n v="143100"/>
        <n v="31153"/>
        <n v="66125"/>
        <n v="126304"/>
        <n v="147706"/>
        <n v="69999"/>
        <n v="70490"/>
        <n v="31481"/>
        <n v="122174"/>
        <n v="103324"/>
        <n v="91094"/>
        <n v="146452"/>
        <n v="70538"/>
        <n v="146993"/>
        <n v="55601"/>
        <n v="118909"/>
        <n v="145500"/>
        <n v="274300"/>
        <n v="69600"/>
        <n v="77200"/>
        <n v="147200"/>
        <n v="183500"/>
        <n v="89114"/>
        <n v="130306"/>
        <n v="99809"/>
        <n v="73871"/>
        <n v="76334"/>
        <n v="64681"/>
        <n v="102500"/>
        <n v="142922"/>
        <n v="13566"/>
        <n v="146057"/>
        <n v="17078"/>
        <n v="98800"/>
        <n v="148000"/>
        <n v="229000"/>
        <n v="232200"/>
        <n v="198400"/>
        <n v="140900"/>
        <n v="73700"/>
        <n v="120300"/>
        <n v="32497"/>
        <n v="143264"/>
        <n v="88359"/>
        <n v="106617"/>
        <n v="72176"/>
        <n v="134900"/>
        <n v="137245"/>
        <n v="63490"/>
        <n v="180900"/>
        <n v="163400"/>
        <n v="154100"/>
        <n v="158900"/>
        <n v="207100"/>
        <n v="116000"/>
        <n v="28879"/>
        <n v="67540"/>
        <n v="50954"/>
        <n v="17817"/>
        <n v="115620"/>
        <n v="111059"/>
        <n v="38691"/>
        <n v="61538"/>
        <n v="117478"/>
        <n v="29819"/>
        <n v="87277"/>
        <n v="72800"/>
        <n v="153700"/>
        <n v="107400"/>
        <n v="156500"/>
        <n v="167900"/>
        <n v="111542"/>
        <n v="126575"/>
        <n v="129788"/>
        <n v="15949"/>
        <n v="143795"/>
        <n v="58339"/>
        <n v="123264"/>
        <n v="120317"/>
        <n v="95800"/>
        <n v="125200"/>
        <n v="64900"/>
        <n v="179500"/>
        <n v="107238"/>
        <n v="21593"/>
        <n v="59349"/>
        <n v="87745"/>
        <n v="44237"/>
        <n v="30704"/>
        <n v="101777"/>
        <n v="120996"/>
        <n v="187100"/>
        <n v="108200"/>
        <n v="136200"/>
        <n v="157500"/>
        <n v="64200"/>
        <n v="97500"/>
        <n v="80791"/>
        <n v="100507"/>
        <n v="98768"/>
        <n v="46499"/>
        <n v="106872"/>
        <n v="93093"/>
        <n v="149418"/>
        <n v="108272"/>
        <n v="21563"/>
        <n v="14043"/>
        <n v="70585"/>
        <n v="90624"/>
        <n v="117600"/>
        <n v="95400"/>
        <n v="36200"/>
        <n v="196600"/>
        <n v="141000"/>
        <n v="161100"/>
        <n v="52200"/>
        <n v="56300"/>
        <n v="105979"/>
        <n v="31277"/>
        <n v="81679"/>
        <n v="102672"/>
        <n v="100883"/>
        <n v="149627"/>
        <n v="13316"/>
        <n v="94073"/>
        <n v="22984"/>
        <n v="98490"/>
        <n v="125433"/>
        <n v="104600"/>
        <n v="76200"/>
        <n v="60600"/>
        <n v="96600"/>
        <n v="78570"/>
        <n v="119809"/>
        <n v="62994"/>
        <n v="52980"/>
        <n v="64386"/>
        <n v="141361"/>
        <n v="75055"/>
        <n v="34656"/>
        <n v="68332"/>
        <n v="91700"/>
        <n v="228000"/>
        <n v="92800"/>
        <n v="139200"/>
        <n v="54400"/>
        <n v="62100"/>
        <n v="97900"/>
        <n v="20410"/>
        <n v="41346"/>
        <n v="144952"/>
        <n v="89527"/>
        <n v="78275"/>
        <n v="106199"/>
        <n v="121000"/>
        <n v="52900"/>
        <n v="194500"/>
        <n v="73800"/>
        <n v="176600"/>
        <n v="146238"/>
        <n v="126584"/>
        <n v="47783"/>
        <n v="50727"/>
        <n v="108517"/>
        <n v="73636"/>
        <n v="102274"/>
        <n v="79578"/>
        <n v="110892"/>
        <n v="144534"/>
        <n v="82135"/>
        <n v="140329"/>
        <n v="59149"/>
        <n v="37600"/>
        <n v="140600"/>
        <n v="157900"/>
        <n v="294400"/>
        <n v="129700"/>
        <n v="104300"/>
        <n v="144700"/>
        <n v="26147"/>
        <n v="20497"/>
        <n v="51026"/>
        <n v="133912"/>
        <n v="132372"/>
        <n v="67593"/>
        <n v="116856"/>
        <n v="144643"/>
        <n v="37683"/>
        <n v="115152"/>
        <n v="18814"/>
        <n v="62266"/>
        <n v="24741"/>
        <n v="57141"/>
        <n v="136421"/>
        <n v="60712"/>
        <n v="98164"/>
        <n v="165600"/>
        <n v="103000"/>
        <n v="183700"/>
        <n v="125100"/>
        <n v="82400"/>
        <n v="129900"/>
        <n v="109500"/>
        <n v="214300"/>
        <n v="71400"/>
        <n v="222400"/>
        <n v="376800"/>
        <n v="144480"/>
        <n v="139940"/>
        <n v="81461"/>
        <n v="34091"/>
        <n v="140967"/>
        <n v="117443"/>
        <n v="60203"/>
        <n v="124960"/>
        <n v="40659"/>
        <n v="131190"/>
        <n v="42649"/>
        <n v="50584"/>
        <n v="112941"/>
        <n v="141400"/>
        <n v="182500"/>
        <n v="45517"/>
        <n v="111359"/>
        <n v="131535"/>
        <n v="45523"/>
        <n v="115991"/>
        <n v="23739"/>
        <n v="145533"/>
        <n v="68600"/>
        <n v="158100"/>
        <n v="87049"/>
        <n v="107193"/>
        <n v="116234"/>
        <n v="140323"/>
        <n v="84323"/>
        <n v="120976"/>
        <n v="35209"/>
        <n v="128297"/>
        <n v="114300"/>
        <n v="73400"/>
        <n v="184300"/>
        <n v="102900"/>
        <n v="156200"/>
        <n v="128560"/>
        <n v="94650"/>
        <n v="51452"/>
        <n v="60570"/>
        <n v="16202"/>
        <n v="69672"/>
        <n v="79467"/>
        <n v="57388"/>
        <n v="59283"/>
        <n v="88800"/>
        <n v="71300"/>
        <n v="52400"/>
        <n v="181800"/>
        <n v="138300"/>
        <n v="96023"/>
        <n v="75236"/>
        <n v="138877"/>
        <n v="51113"/>
        <n v="97482"/>
        <n v="49338"/>
        <n v="68364"/>
        <n v="16553"/>
        <n v="135764"/>
        <n v="62000"/>
        <n v="124291"/>
        <n v="17247"/>
        <n v="146802"/>
        <n v="75202"/>
        <n v="16982"/>
        <n v="72886"/>
        <n v="127939"/>
        <n v="134592"/>
        <n v="37694"/>
        <n v="95078"/>
        <n v="80110"/>
        <n v="321000"/>
        <n v="149800"/>
        <n v="203700"/>
        <n v="117300"/>
        <n v="339000"/>
        <n v="68200"/>
        <n v="119400"/>
        <n v="63800"/>
        <n v="21184"/>
        <n v="131299"/>
        <n v="79199"/>
        <n v="94321"/>
        <n v="48996"/>
        <n v="140946"/>
        <n v="124849"/>
        <n v="40487"/>
        <n v="12523"/>
        <n v="18957"/>
        <n v="124361"/>
        <n v="38586"/>
        <n v="149600"/>
        <n v="135400"/>
        <n v="147800"/>
        <n v="103800"/>
        <n v="61100"/>
        <n v="153900"/>
        <n v="104800"/>
        <n v="94989"/>
        <n v="46409"/>
        <n v="149881"/>
        <n v="68425"/>
        <n v="65001"/>
        <n v="111000"/>
        <n v="64645"/>
        <n v="26504"/>
        <n v="148492"/>
        <n v="132243"/>
        <n v="34831"/>
        <n v="81384"/>
        <n v="60451"/>
        <n v="71594"/>
        <n v="41135"/>
        <n v="49218"/>
        <n v="105153"/>
        <n v="118872"/>
        <n v="249900"/>
        <n v="115800"/>
        <n v="168900"/>
        <n v="216800"/>
        <n v="172400"/>
        <n v="171300"/>
        <n v="169600"/>
        <n v="61186"/>
        <n v="28262"/>
        <n v="60087"/>
        <n v="116528"/>
        <n v="86227"/>
        <n v="53322"/>
        <n v="97617"/>
        <n v="90532"/>
        <n v="100743"/>
        <n v="205600"/>
        <n v="120800"/>
        <n v="81600"/>
        <n v="77052"/>
        <n v="139808"/>
        <n v="133327"/>
        <n v="144276"/>
        <n v="116940"/>
        <n v="68882"/>
        <n v="151000"/>
        <n v="126300"/>
        <n v="257900"/>
        <n v="253700"/>
        <n v="88500"/>
        <n v="126096"/>
        <n v="113137"/>
        <n v="130148"/>
        <n v="72538"/>
        <n v="12653"/>
        <n v="131101"/>
        <n v="204800"/>
        <n v="94000"/>
        <n v="117753"/>
        <n v="144835"/>
        <n v="132544"/>
        <n v="121133"/>
        <n v="109089"/>
        <n v="125016"/>
        <n v="39558"/>
        <n v="62600"/>
        <n v="160700"/>
        <n v="100300"/>
        <n v="156100"/>
        <n v="82258"/>
        <n v="13230"/>
        <n v="82519"/>
        <n v="137871"/>
        <n v="109895"/>
        <n v="109389"/>
        <n v="43741"/>
        <n v="108800"/>
        <n v="177000"/>
        <n v="107389"/>
        <n v="12714"/>
        <n v="108829"/>
        <n v="24454"/>
        <n v="10613"/>
        <n v="142518"/>
        <n v="118805"/>
        <n v="71723"/>
        <n v="153400"/>
        <n v="184900"/>
        <n v="160000"/>
        <n v="139798"/>
        <n v="92394"/>
        <n v="21305"/>
        <n v="94739"/>
        <n v="73109"/>
        <n v="78867"/>
        <n v="102928"/>
        <n v="68957"/>
        <n v="23055"/>
        <n v="48700"/>
        <n v="200200"/>
        <n v="133200"/>
        <n v="74600"/>
        <n v="127211"/>
        <n v="110573"/>
        <n v="95776"/>
        <n v="141418"/>
        <n v="67916"/>
        <n v="63784"/>
        <n v="142165"/>
        <n v="111393"/>
        <n v="109992"/>
        <n v="97257"/>
        <n v="134800"/>
        <n v="78300"/>
        <n v="272500"/>
        <n v="87347"/>
        <n v="145664"/>
        <n v="92159"/>
        <n v="50378"/>
        <n v="29923"/>
        <n v="75921"/>
        <n v="37573"/>
        <n v="91519"/>
        <n v="184200"/>
        <n v="205500"/>
        <n v="64400"/>
        <n v="155000"/>
        <n v="122400"/>
        <n v="137300"/>
        <n v="105285"/>
        <n v="51775"/>
        <n v="20657"/>
        <n v="23341"/>
        <n v="124048"/>
        <n v="92565"/>
        <n v="109260"/>
        <n v="72584"/>
        <n v="53404"/>
        <n v="143800"/>
        <n v="157400"/>
        <n v="66400"/>
        <n v="54200"/>
        <n v="169700"/>
        <n v="58400"/>
        <n v="123305"/>
        <n v="11467"/>
        <n v="14986"/>
        <n v="68051"/>
        <n v="138711"/>
        <n v="37073"/>
        <n v="91120"/>
        <n v="115101"/>
        <n v="103728"/>
        <n v="23682"/>
        <n v="152400"/>
        <n v="116500"/>
        <n v="133700"/>
        <n v="187900"/>
        <n v="97304"/>
        <n v="132874"/>
        <n v="116243"/>
        <n v="80599"/>
        <n v="131558"/>
        <n v="100454"/>
        <n v="61244"/>
        <n v="32325"/>
        <n v="87987"/>
        <n v="18455"/>
        <n v="136607"/>
        <n v="63371"/>
        <n v="177100"/>
        <n v="113800"/>
        <n v="271000"/>
        <n v="70100"/>
        <n v="224400"/>
        <n v="209300"/>
        <n v="275600"/>
        <n v="189000"/>
        <n v="150300"/>
        <n v="10645"/>
        <n v="28710"/>
        <n v="24880"/>
        <n v="142489"/>
        <n v="142493"/>
        <n v="144921"/>
        <n v="62839"/>
        <n v="23657"/>
        <n v="66746"/>
        <n v="32312"/>
        <n v="80621"/>
        <n v="17424"/>
        <n v="76100"/>
        <n v="272300"/>
        <n v="175700"/>
        <n v="124500"/>
        <n v="263100"/>
        <n v="64100"/>
        <n v="144311"/>
        <n v="66371"/>
        <n v="123518"/>
        <n v="41898"/>
        <n v="77970"/>
        <n v="137899"/>
        <n v="25271"/>
        <n v="133894"/>
        <n v="40200"/>
        <n v="89600"/>
        <n v="71000"/>
        <n v="45100"/>
        <n v="61832"/>
        <n v="38566"/>
        <n v="11268"/>
        <n v="73616"/>
        <n v="45540"/>
        <n v="36425"/>
        <n v="13866"/>
        <n v="87674"/>
        <n v="16073"/>
        <n v="104045"/>
        <n v="95401"/>
        <n v="174600"/>
        <n v="120900"/>
        <n v="125000"/>
        <n v="216200"/>
        <n v="215600"/>
        <n v="36700"/>
        <n v="262100"/>
        <n v="85800"/>
        <n v="104301"/>
        <n v="147994"/>
        <n v="69395"/>
        <n v="109006"/>
        <n v="113499"/>
        <n v="115852"/>
        <n v="66247"/>
        <n v="143761"/>
        <n v="14200"/>
        <n v="115018"/>
        <n v="33823"/>
        <n v="93425"/>
        <n v="37881"/>
        <n v="148365"/>
        <n v="96919"/>
        <n v="212700"/>
        <n v="130300"/>
        <n v="216600"/>
        <n v="49700"/>
        <n v="186500"/>
        <n v="79600"/>
        <n v="268400"/>
        <n v="68900"/>
        <n v="92268"/>
        <n v="70363"/>
        <n v="45132"/>
        <n v="65511"/>
        <n v="129138"/>
        <n v="38684"/>
        <n v="24968"/>
        <n v="108331"/>
        <n v="137776"/>
        <n v="93987"/>
        <n v="47822"/>
        <n v="351000"/>
        <n v="175300"/>
        <n v="169500"/>
        <n v="114800"/>
        <n v="119300"/>
        <n v="99400"/>
        <n v="52000"/>
        <n v="57038"/>
        <n v="129115"/>
        <n v="105877"/>
        <n v="113913"/>
        <n v="108802"/>
        <n v="83658"/>
        <n v="147417"/>
        <n v="80409"/>
        <n v="17792"/>
        <n v="47689"/>
        <n v="98600"/>
        <n v="202700"/>
        <n v="259100"/>
        <n v="39900"/>
        <n v="246400"/>
        <n v="139807"/>
        <n v="142910"/>
        <n v="12128"/>
        <n v="118296"/>
        <n v="48575"/>
        <n v="12646"/>
        <n v="15097"/>
        <n v="93160"/>
        <n v="51500"/>
        <n v="110100"/>
        <n v="373500"/>
        <n v="88600"/>
        <n v="114000"/>
        <n v="91200"/>
        <n v="63551"/>
        <n v="142869"/>
        <n v="16646"/>
        <n v="77152"/>
        <n v="108896"/>
        <n v="120167"/>
        <n v="146700"/>
        <n v="64000"/>
        <n v="171700"/>
        <n v="56841"/>
        <n v="18418"/>
        <n v="30199"/>
        <n v="19913"/>
        <n v="23683"/>
        <n v="109964"/>
        <n v="78225"/>
        <n v="147211"/>
        <n v="103600"/>
        <n v="147300"/>
        <n v="103806"/>
        <n v="112945"/>
        <n v="29029"/>
        <n v="149244"/>
        <n v="77800"/>
        <n v="67700"/>
        <n v="79300"/>
        <n v="46973"/>
        <n v="12358"/>
        <n v="12917"/>
        <n v="118787"/>
        <n v="70589"/>
        <n v="133549"/>
        <n v="100808"/>
        <n v="99421"/>
        <n v="33874"/>
        <n v="120875"/>
        <n v="109941"/>
        <n v="46119"/>
        <n v="54689"/>
        <n v="72803"/>
        <n v="20363"/>
        <n v="148460"/>
        <n v="265600"/>
        <n v="93800"/>
        <n v="134700"/>
        <n v="46200"/>
        <n v="148800"/>
        <n v="173900"/>
        <n v="40971"/>
        <n v="88996"/>
        <n v="108655"/>
        <n v="110167"/>
        <n v="134567"/>
        <n v="90917"/>
        <n v="47094"/>
        <n v="268100"/>
        <n v="76000"/>
        <n v="70900"/>
        <n v="98233"/>
        <n v="24163"/>
        <n v="57460"/>
        <n v="61013"/>
        <n v="132159"/>
        <n v="83367"/>
        <n v="99086"/>
        <n v="113722"/>
        <n v="58030"/>
        <n v="141287"/>
        <n v="154800"/>
        <n v="236700"/>
        <n v="120400"/>
        <n v="50544"/>
        <n v="146497"/>
        <n v="137602"/>
        <n v="79574"/>
        <n v="116265"/>
        <n v="79208"/>
        <n v="141682"/>
        <n v="72164"/>
        <n v="70303"/>
        <n v="147955"/>
        <n v="217400"/>
        <n v="80400"/>
        <n v="120700"/>
        <n v="122911"/>
        <n v="96924"/>
        <n v="104191"/>
        <n v="50071"/>
        <n v="241700"/>
        <n v="85479"/>
        <n v="61734"/>
        <n v="82035"/>
        <n v="98668"/>
        <n v="17109"/>
        <n v="53930"/>
        <n v="139386"/>
        <n v="97931"/>
        <n v="20694"/>
        <n v="29895"/>
        <n v="118200"/>
        <n v="121700"/>
        <n v="53000"/>
        <n v="398500"/>
        <n v="93464"/>
        <n v="82501"/>
        <n v="138219"/>
        <n v="147411"/>
        <n v="53933"/>
        <n v="138167"/>
        <n v="29188"/>
        <n v="62063"/>
        <n v="77136"/>
        <n v="99464"/>
        <n v="16782"/>
        <n v="130622"/>
        <n v="187700"/>
        <n v="95900"/>
        <n v="132900"/>
        <n v="186300"/>
        <n v="194200"/>
        <n v="171600"/>
        <n v="76800"/>
        <n v="67937"/>
        <n v="90061"/>
        <n v="55240"/>
        <n v="134889"/>
        <n v="145389"/>
        <n v="145734"/>
        <n v="56009"/>
        <n v="66500"/>
        <n v="41600"/>
        <n v="26100"/>
        <n v="86400"/>
        <n v="130766"/>
        <n v="32167"/>
        <n v="18897"/>
        <n v="103873"/>
        <n v="72594"/>
        <n v="102334"/>
        <n v="69024"/>
        <n v="78259"/>
        <n v="89820"/>
        <n v="66064"/>
        <n v="62095"/>
        <n v="149786"/>
        <n v="86394"/>
        <n v="202300"/>
        <n v="222000"/>
        <n v="244700"/>
        <n v="49300"/>
        <n v="268900"/>
        <n v="10047"/>
        <n v="125269"/>
        <n v="42794"/>
        <n v="27725"/>
        <n v="130652"/>
        <n v="32434"/>
        <n v="121115"/>
        <n v="116171"/>
        <n v="179100"/>
        <n v="57000"/>
        <n v="87000"/>
        <n v="201500"/>
        <n v="133110"/>
        <n v="74899"/>
        <n v="108104"/>
        <n v="73192"/>
        <n v="90483"/>
        <n v="140634"/>
        <n v="102221"/>
        <n v="69435"/>
        <n v="108548"/>
        <n v="13728"/>
        <n v="11215"/>
        <n v="16520"/>
        <n v="121611"/>
        <n v="71600"/>
        <n v="132300"/>
        <n v="136500"/>
        <n v="142200"/>
        <n v="49200"/>
        <n v="38200"/>
        <n v="68827"/>
        <n v="10819"/>
        <n v="46902"/>
        <n v="72251"/>
        <n v="96090"/>
        <n v="91132"/>
        <n v="45953"/>
        <n v="130784"/>
        <n v="61107"/>
        <n v="10816"/>
        <n v="60296"/>
        <n v="59135"/>
        <n v="116093"/>
        <n v="47903"/>
        <n v="162200"/>
        <n v="84600"/>
        <n v="287500"/>
        <n v="197200"/>
        <n v="232600"/>
        <n v="94855"/>
        <n v="77078"/>
        <n v="73475"/>
        <n v="129157"/>
        <n v="42381"/>
        <n v="146459"/>
        <n v="63386"/>
        <n v="112754"/>
        <n v="64797"/>
        <n v="59008"/>
        <n v="134932"/>
        <n v="68131"/>
        <n v="186400"/>
        <n v="145000"/>
        <n v="193000"/>
        <n v="83300"/>
        <n v="110011"/>
        <n v="99832"/>
        <n v="30843"/>
        <n v="98718"/>
        <n v="65573"/>
        <n v="16082"/>
        <n v="56029"/>
        <n v="44693"/>
        <n v="141200"/>
        <n v="77000"/>
        <n v="365600"/>
        <n v="144300"/>
        <n v="77913"/>
        <n v="21412"/>
        <n v="89368"/>
        <n v="86742"/>
        <n v="12879"/>
        <n v="86918"/>
        <n v="101673"/>
        <n v="125288"/>
        <n v="62400"/>
        <n v="192700"/>
        <n v="63500"/>
        <n v="101200"/>
        <n v="33255"/>
        <n v="26867"/>
        <n v="38364"/>
        <n v="86051"/>
        <n v="77750"/>
        <n v="12656"/>
        <n v="21028"/>
        <n v="49000"/>
        <n v="77500"/>
        <n v="79459"/>
        <n v="98777"/>
        <n v="40657"/>
        <n v="10418"/>
        <n v="115273"/>
        <n v="135466"/>
        <n v="14436"/>
        <n v="110991"/>
        <n v="60400"/>
        <n v="148253"/>
        <n v="87800"/>
        <n v="149500"/>
        <n v="104900"/>
        <n v="165300"/>
        <n v="220600"/>
        <n v="135800"/>
        <n v="117167"/>
        <n v="92163"/>
        <n v="107544"/>
        <n v="54592"/>
        <n v="99927"/>
        <n v="73897"/>
        <n v="120423"/>
        <n v="33933"/>
        <n v="146870"/>
        <n v="28941"/>
        <n v="132336"/>
        <n v="70252"/>
        <n v="20104"/>
        <n v="23232"/>
        <n v="64500"/>
        <n v="161300"/>
        <n v="111800"/>
        <n v="93400"/>
        <n v="99700"/>
        <n v="19968"/>
        <n v="139457"/>
        <n v="71125"/>
        <n v="115446"/>
        <n v="30287"/>
        <n v="23472"/>
        <n v="49358"/>
        <n v="129752"/>
        <n v="17353"/>
        <n v="79901"/>
        <n v="81898"/>
        <n v="27448"/>
        <n v="122203"/>
        <n v="55731"/>
        <n v="16043"/>
        <n v="188300"/>
        <n v="108700"/>
        <n v="188100"/>
        <n v="77700"/>
        <n v="46800"/>
        <n v="190500"/>
        <n v="219700"/>
        <n v="148500"/>
        <n v="116775"/>
        <n v="17589"/>
        <n v="12600"/>
        <n v="40135"/>
        <n v="130501"/>
        <n v="76875"/>
        <n v="73446"/>
        <n v="87599"/>
        <n v="79187"/>
        <n v="68552"/>
        <n v="102963"/>
        <n v="134409"/>
        <n v="37436"/>
        <n v="31800"/>
        <n v="196200"/>
        <n v="61400"/>
        <n v="167100"/>
        <n v="152000"/>
        <n v="178200"/>
        <n v="129771"/>
        <n v="101936"/>
        <n v="13160"/>
        <n v="10067"/>
        <n v="194300"/>
        <n v="279900"/>
        <n v="150700"/>
        <n v="143200"/>
        <n v="66121"/>
        <n v="115277"/>
        <n v="15478"/>
        <n v="137401"/>
        <n v="146116"/>
        <n v="114618"/>
        <n v="54604"/>
        <n v="122012"/>
        <n v="30907"/>
        <n v="149234"/>
        <n v="28468"/>
        <n v="34648"/>
        <n v="40671"/>
        <n v="25848"/>
        <n v="98100"/>
        <n v="68700"/>
        <n v="238900"/>
        <n v="143700"/>
        <n v="125700"/>
        <n v="87892"/>
        <n v="70757"/>
        <n v="17030"/>
        <n v="85179"/>
        <n v="131625"/>
        <n v="55241"/>
        <n v="46533"/>
        <n v="73091"/>
        <n v="425800"/>
        <n v="96900"/>
        <n v="63700"/>
        <n v="24332"/>
        <n v="84657"/>
        <n v="26091"/>
        <n v="147610"/>
        <n v="135642"/>
        <n v="113900"/>
        <n v="132656"/>
        <n v="59725"/>
        <n v="145914"/>
        <n v="149030"/>
        <n v="129142"/>
        <n v="37077"/>
        <n v="131124"/>
        <n v="35328"/>
        <n v="139497"/>
        <n v="143730"/>
        <n v="48328"/>
        <n v="37865"/>
        <n v="125600"/>
        <n v="124200"/>
        <n v="100800"/>
        <n v="121200"/>
        <n v="113700"/>
        <n v="137200"/>
        <n v="309600"/>
        <n v="208500"/>
        <n v="194400"/>
        <n v="54056"/>
        <n v="111536"/>
        <n v="16251"/>
        <n v="81963"/>
        <n v="28673"/>
        <n v="145374"/>
        <n v="79730"/>
        <n v="153500"/>
        <n v="224500"/>
        <n v="89500"/>
        <n v="50600"/>
        <n v="16715"/>
        <n v="127273"/>
        <n v="129618"/>
        <n v="14055"/>
        <n v="107218"/>
        <n v="98169"/>
        <n v="57986"/>
        <n v="38465"/>
        <n v="188900"/>
        <n v="242700"/>
        <n v="106700"/>
        <n v="112800"/>
        <n v="54600"/>
        <n v="130704"/>
        <n v="73810"/>
        <n v="103064"/>
        <n v="48600"/>
        <n v="107462"/>
        <n v="147939"/>
        <n v="22839"/>
        <n v="127769"/>
        <n v="18438"/>
        <n v="141351"/>
        <n v="28406"/>
        <n v="62959"/>
        <n v="38000"/>
        <n v="150600"/>
        <n v="71171"/>
        <n v="144553"/>
        <n v="55972"/>
        <n v="41244"/>
        <n v="25366"/>
        <n v="139935"/>
        <n v="71894"/>
        <n v="181200"/>
        <n v="168800"/>
        <n v="10019"/>
        <n v="59213"/>
        <n v="35312"/>
        <n v="41107"/>
        <n v="45065"/>
        <n v="51128"/>
        <n v="99865"/>
        <n v="13107"/>
        <n v="108294"/>
        <n v="50902"/>
        <n v="148210"/>
        <n v="63300"/>
        <n v="92927"/>
        <n v="75293"/>
        <n v="107101"/>
        <n v="34568"/>
        <n v="33070"/>
        <n v="71957"/>
        <n v="74021"/>
        <n v="134720"/>
        <n v="28089"/>
        <n v="85153"/>
        <n v="117000"/>
        <n v="94400"/>
        <n v="56515"/>
        <n v="21682"/>
        <n v="97657"/>
        <n v="64101"/>
        <n v="86123"/>
        <n v="136450"/>
        <n v="94195"/>
        <n v="32829"/>
        <n v="59316"/>
        <n v="51729"/>
        <n v="45497"/>
        <n v="82086"/>
        <n v="98013"/>
        <n v="263800"/>
        <n v="288100"/>
        <n v="56200"/>
        <n v="81200"/>
        <n v="110300"/>
        <n v="19610"/>
        <n v="148073"/>
        <n v="104860"/>
        <n v="119239"/>
        <n v="62943"/>
        <n v="52882"/>
        <n v="118286"/>
        <n v="27205"/>
        <n v="242100"/>
        <n v="174800"/>
        <n v="112300"/>
        <n v="84200"/>
        <n v="78070"/>
        <n v="133828"/>
        <n v="48548"/>
        <n v="54732"/>
        <n v="21740"/>
        <n v="10480"/>
        <n v="36997"/>
        <n v="90611"/>
        <n v="82251"/>
        <n v="212100"/>
        <n v="52700"/>
        <n v="66900"/>
        <n v="181900"/>
        <n v="113213"/>
        <n v="115894"/>
        <n v="130408"/>
        <n v="149583"/>
        <n v="138013"/>
        <n v="33613"/>
        <n v="23586"/>
        <n v="110414"/>
        <n v="29267"/>
        <n v="48010"/>
        <n v="88900"/>
        <n v="325300"/>
        <n v="141100"/>
        <n v="157800"/>
        <n v="18143"/>
        <n v="102408"/>
        <n v="49035"/>
        <n v="63155"/>
        <n v="80029"/>
        <n v="97172"/>
        <n v="21957"/>
        <n v="74413"/>
        <n v="67369"/>
        <n v="29935"/>
        <n v="125815"/>
        <n v="64571"/>
        <n v="79087"/>
        <n v="185000"/>
        <n v="105500"/>
        <n v="163500"/>
        <n v="167300"/>
        <n v="59400"/>
        <n v="123866"/>
        <n v="75860"/>
        <n v="69263"/>
        <n v="45942"/>
        <n v="130872"/>
        <n v="103116"/>
        <n v="12902"/>
        <n v="93633"/>
        <n v="13910"/>
        <n v="113300"/>
        <n v="213900"/>
        <n v="72400"/>
        <n v="62900"/>
        <n v="71200"/>
        <n v="77448"/>
        <n v="76527"/>
        <n v="50456"/>
        <n v="10606"/>
        <n v="129742"/>
        <n v="65100"/>
        <n v="144137"/>
        <n v="91242"/>
        <n v="111706"/>
        <n v="72030"/>
        <n v="14521"/>
        <n v="17649"/>
        <n v="43144"/>
        <n v="100222"/>
        <n v="129705"/>
        <n v="169300"/>
        <n v="173100"/>
        <n v="159200"/>
        <n v="229200"/>
        <n v="78700"/>
        <n v="70000"/>
        <n v="75800"/>
        <n v="186000"/>
        <n v="216700"/>
        <n v="84000"/>
        <n v="103305"/>
        <n v="34875"/>
        <n v="61539"/>
        <n v="109227"/>
        <n v="84091"/>
        <n v="93994"/>
        <n v="113830"/>
        <n v="124509"/>
        <n v="97010"/>
        <n v="74723"/>
        <n v="105653"/>
        <n v="146500"/>
        <n v="180800"/>
        <n v="171200"/>
        <n v="316100"/>
        <n v="36600"/>
        <n v="115300"/>
        <n v="114349"/>
        <n v="29314"/>
        <n v="35805"/>
        <n v="31345"/>
        <n v="55517"/>
        <n v="113073"/>
        <n v="133022"/>
        <n v="50676"/>
        <n v="35194"/>
        <n v="85447"/>
        <n v="47010"/>
        <n v="39488"/>
        <n v="88755"/>
        <n v="115722"/>
        <n v="142572"/>
        <n v="215200"/>
        <n v="96200"/>
        <n v="123200"/>
        <n v="124000"/>
        <n v="157600"/>
        <n v="208800"/>
        <n v="233500"/>
        <n v="98353"/>
        <n v="101301"/>
        <n v="134628"/>
        <n v="128480"/>
        <n v="35657"/>
        <n v="133664"/>
        <n v="25811"/>
        <n v="114308"/>
        <n v="68800"/>
        <n v="152500"/>
        <n v="161400"/>
        <n v="142600"/>
        <n v="123462"/>
        <n v="106155"/>
        <n v="113519"/>
        <n v="126934"/>
        <n v="34688"/>
        <n v="138686"/>
        <n v="42593"/>
        <n v="36263"/>
        <n v="137938"/>
        <n v="115347"/>
        <n v="148702"/>
        <n v="35927"/>
        <n v="200100"/>
        <n v="73600"/>
        <n v="250200"/>
        <n v="65197"/>
        <n v="61632"/>
        <n v="21018"/>
        <n v="62563"/>
        <n v="54568"/>
        <n v="67121"/>
        <n v="138245"/>
        <n v="32479"/>
        <n v="55100"/>
        <n v="116600"/>
        <n v="61500"/>
        <n v="42831"/>
        <n v="61523"/>
        <n v="50425"/>
        <n v="35602"/>
        <n v="108132"/>
        <n v="133787"/>
        <n v="104631"/>
        <n v="126942"/>
        <n v="78311"/>
        <n v="79456"/>
        <n v="46843"/>
        <n v="104845"/>
        <n v="144600"/>
        <n v="166000"/>
        <n v="70700"/>
        <n v="91500"/>
        <n v="82494"/>
        <n v="69821"/>
        <n v="17549"/>
        <n v="94986"/>
        <n v="121464"/>
        <n v="142382"/>
        <n v="131222"/>
        <n v="120909"/>
        <n v="74634"/>
        <n v="72726"/>
        <n v="115593"/>
        <n v="53100"/>
        <n v="208200"/>
        <n v="92300"/>
        <n v="78000"/>
        <n v="57400"/>
        <n v="102001"/>
        <n v="127388"/>
        <n v="146054"/>
        <n v="67143"/>
        <n v="122600"/>
        <n v="60338"/>
        <n v="141630"/>
        <n v="144415"/>
        <n v="74082"/>
        <n v="171400"/>
        <n v="35900"/>
        <n v="226900"/>
        <n v="230000"/>
        <n v="50132"/>
        <n v="46892"/>
        <n v="18549"/>
        <n v="44173"/>
        <n v="36156"/>
        <n v="86432"/>
        <n v="110157"/>
        <n v="130897"/>
        <n v="92191"/>
        <n v="111572"/>
        <n v="78410"/>
        <n v="26620"/>
        <n v="89613"/>
        <n v="67599"/>
        <n v="98200"/>
        <n v="170700"/>
        <n v="100400"/>
        <n v="206800"/>
        <n v="183000"/>
        <n v="238200"/>
        <n v="98434"/>
        <n v="140891"/>
        <n v="107571"/>
        <n v="61703"/>
        <n v="39398"/>
        <n v="53908"/>
        <n v="140709"/>
        <n v="141871"/>
        <n v="80277"/>
        <n v="91100"/>
        <n v="96100"/>
        <n v="66561"/>
        <n v="110187"/>
        <n v="102144"/>
        <n v="47621"/>
        <n v="93169"/>
        <n v="91392"/>
        <n v="80913"/>
        <n v="193200"/>
        <n v="152100"/>
        <n v="90700"/>
        <n v="77344"/>
        <n v="105166"/>
        <n v="79659"/>
        <n v="116371"/>
        <n v="120621"/>
        <n v="110194"/>
        <n v="112291"/>
        <n v="81811"/>
        <n v="30649"/>
        <n v="73100"/>
        <n v="84700"/>
        <n v="623800"/>
        <n v="155800"/>
        <n v="121400"/>
        <n v="110957"/>
        <n v="122123"/>
        <n v="84424"/>
        <n v="146674"/>
        <n v="83114"/>
        <n v="92680"/>
        <n v="114725"/>
        <n v="27921"/>
        <n v="24822"/>
        <n v="76214"/>
        <n v="14158"/>
        <n v="187000"/>
        <n v="79100"/>
        <n v="124675"/>
        <n v="81358"/>
        <n v="136160"/>
        <n v="82978"/>
        <n v="89222"/>
        <n v="23514"/>
        <n v="100000"/>
        <n v="134463"/>
        <n v="126265"/>
        <n v="136023"/>
        <n v="18594"/>
        <n v="56543"/>
        <n v="78335"/>
        <n v="13243"/>
        <n v="84469"/>
        <n v="65828"/>
        <n v="76278"/>
        <n v="32562"/>
        <n v="74156"/>
        <n v="83334"/>
        <n v="16243"/>
        <n v="80300"/>
        <n v="39600"/>
        <n v="27619"/>
        <n v="18087"/>
        <n v="75587"/>
        <n v="56403"/>
        <n v="100358"/>
        <n v="69924"/>
        <n v="56264"/>
        <n v="132099"/>
        <n v="127553"/>
        <n v="91718"/>
        <n v="50033"/>
        <n v="125513"/>
        <n v="63797"/>
        <n v="63192"/>
        <n v="110600"/>
        <n v="88300"/>
        <n v="167700"/>
        <n v="45400"/>
        <n v="143539"/>
        <n v="46395"/>
        <n v="95105"/>
        <n v="83101"/>
        <n v="144438"/>
        <n v="148126"/>
        <n v="136948"/>
        <n v="77011"/>
        <n v="29500"/>
        <n v="78800"/>
        <n v="53331"/>
        <n v="15751"/>
        <n v="133499"/>
        <n v="161800"/>
        <n v="142300"/>
        <n v="61300"/>
        <n v="147400"/>
        <n v="46500"/>
        <n v="33185"/>
        <n v="29744"/>
        <n v="12716"/>
        <n v="93511"/>
        <n v="50043"/>
        <n v="65076"/>
        <n v="44888"/>
        <n v="15976"/>
        <n v="71986"/>
        <n v="105504"/>
        <n v="27829"/>
        <n v="30459"/>
        <n v="12921"/>
        <n v="148155"/>
        <n v="115539"/>
        <n v="168500"/>
        <n v="80200"/>
        <n v="115600"/>
        <n v="168300"/>
        <n v="162500"/>
        <n v="111700"/>
        <n v="197000"/>
        <n v="61313"/>
        <n v="53403"/>
        <n v="28202"/>
        <n v="20987"/>
        <n v="119710"/>
        <n v="127900"/>
        <n v="117700"/>
        <n v="118381"/>
        <n v="77432"/>
        <n v="134370"/>
        <n v="129340"/>
        <n v="136239"/>
        <n v="54906"/>
        <n v="38836"/>
        <n v="89075"/>
        <n v="109774"/>
        <n v="58241"/>
        <n v="59652"/>
        <n v="105402"/>
        <n v="90990"/>
        <n v="176200"/>
        <n v="129100"/>
        <n v="143000"/>
        <n v="138600"/>
        <n v="30100"/>
        <n v="71500"/>
        <n v="116200"/>
        <n v="122301"/>
        <n v="60184"/>
        <n v="30122"/>
        <n v="20250"/>
        <n v="61973"/>
        <n v="49029"/>
        <n v="32425"/>
        <n v="67083"/>
        <n v="104832"/>
        <n v="110155"/>
        <n v="108000"/>
        <n v="128500"/>
        <n v="252700"/>
        <n v="24842"/>
        <n v="96034"/>
        <n v="48649"/>
        <n v="55985"/>
        <n v="14455"/>
        <n v="61754"/>
        <n v="95120"/>
        <n v="60711"/>
        <n v="60971"/>
        <n v="107203"/>
        <n v="216500"/>
        <n v="119500"/>
        <n v="131500"/>
        <n v="131696"/>
        <n v="71473"/>
        <n v="65590"/>
        <n v="23854"/>
        <n v="33575"/>
        <n v="24111"/>
        <n v="21054"/>
        <n v="10203"/>
        <n v="60293"/>
        <n v="56209"/>
        <n v="16381"/>
        <n v="14697"/>
        <n v="62685"/>
        <n v="45445"/>
        <n v="81100"/>
        <n v="106400"/>
        <n v="132400"/>
        <n v="111923"/>
        <n v="92544"/>
        <n v="15861"/>
        <n v="23763"/>
        <n v="61871"/>
        <n v="14839"/>
        <n v="53910"/>
        <n v="132023"/>
        <n v="26151"/>
        <n v="111560"/>
        <n v="141959"/>
        <n v="18718"/>
        <n v="131631"/>
        <n v="44520"/>
        <n v="53745"/>
        <n v="115100"/>
        <n v="261400"/>
        <n v="329700"/>
        <n v="151100"/>
        <n v="116700"/>
        <n v="146100"/>
        <n v="130600"/>
        <n v="145309"/>
        <n v="92567"/>
        <n v="34686"/>
        <n v="109770"/>
        <n v="104248"/>
        <n v="101068"/>
        <n v="19773"/>
        <n v="65015"/>
        <n v="139196"/>
        <n v="46548"/>
        <n v="89127"/>
        <n v="274500"/>
        <n v="116900"/>
        <n v="126000"/>
        <n v="150500"/>
        <n v="60464"/>
        <n v="23792"/>
        <n v="129137"/>
        <n v="56292"/>
        <n v="102152"/>
        <n v="197800"/>
        <n v="65173"/>
        <n v="139415"/>
        <n v="118025"/>
        <n v="101336"/>
        <n v="35809"/>
        <n v="103726"/>
        <n v="115054"/>
        <n v="107942"/>
        <n v="144791"/>
        <n v="133397"/>
        <n v="48394"/>
        <n v="102100"/>
        <n v="117500"/>
        <n v="265300"/>
        <n v="22058"/>
        <n v="117112"/>
        <n v="144948"/>
        <n v="149102"/>
        <n v="89006"/>
        <n v="59724"/>
        <n v="152200"/>
        <n v="128200"/>
        <n v="152700"/>
        <n v="108983"/>
        <n v="73575"/>
        <n v="82812"/>
        <n v="85926"/>
        <n v="18770"/>
        <n v="121109"/>
        <n v="95094"/>
        <n v="83785"/>
        <n v="146524"/>
        <n v="25084"/>
        <n v="47834"/>
        <n v="262700"/>
        <n v="46600"/>
        <n v="118000"/>
        <n v="235500"/>
        <n v="158300"/>
        <n v="132011"/>
        <n v="38879"/>
        <n v="122022"/>
        <n v="64616"/>
        <n v="132516"/>
        <n v="124943"/>
        <n v="229400"/>
        <n v="185900"/>
        <n v="48071"/>
        <n v="44984"/>
        <n v="61026"/>
        <n v="66048"/>
        <n v="62406"/>
        <n v="77004"/>
        <n v="221100"/>
        <n v="49467"/>
        <n v="141919"/>
        <n v="42241"/>
        <n v="101529"/>
        <n v="147775"/>
        <n v="126144"/>
        <n v="25928"/>
        <n v="70665"/>
        <n v="114665"/>
        <n v="99942"/>
        <n v="146200"/>
        <n v="164500"/>
        <n v="154900"/>
        <n v="140300"/>
        <n v="68086"/>
        <n v="20798"/>
        <n v="43341"/>
        <n v="124523"/>
        <n v="81736"/>
        <n v="113963"/>
        <n v="114371"/>
        <n v="20135"/>
        <n v="138826"/>
        <n v="42209"/>
        <n v="74896"/>
        <n v="27459"/>
        <n v="68465"/>
        <n v="118100"/>
        <n v="85400"/>
        <n v="193500"/>
        <n v="213400"/>
        <n v="67500"/>
        <n v="98400"/>
        <n v="32979"/>
        <n v="40607"/>
        <n v="74481"/>
        <n v="106381"/>
        <n v="87533"/>
        <n v="52794"/>
        <n v="67036"/>
        <n v="105788"/>
        <n v="112195"/>
        <n v="245100"/>
        <n v="194900"/>
        <n v="153600"/>
        <n v="126293"/>
        <n v="46166"/>
        <n v="128237"/>
        <n v="67042"/>
        <n v="136083"/>
        <n v="91965"/>
        <n v="90117"/>
        <n v="123458"/>
        <n v="35203"/>
        <n v="37113"/>
        <n v="182900"/>
        <n v="282300"/>
        <n v="89400"/>
        <n v="128700"/>
        <n v="163100"/>
        <n v="89722"/>
        <n v="51499"/>
        <n v="53657"/>
        <n v="27753"/>
        <n v="94498"/>
        <n v="145362"/>
        <n v="59057"/>
        <n v="172300"/>
        <n v="44575"/>
        <n v="37124"/>
        <n v="102150"/>
        <n v="16574"/>
        <n v="137416"/>
        <n v="47812"/>
        <n v="48574"/>
        <n v="39904"/>
        <n v="137281"/>
        <n v="131745"/>
        <n v="104689"/>
        <n v="193600"/>
        <n v="193300"/>
        <n v="245400"/>
        <n v="141800"/>
        <n v="234800"/>
        <n v="253900"/>
        <n v="146529"/>
        <n v="78764"/>
        <n v="124517"/>
        <n v="49324"/>
        <n v="123747"/>
        <n v="142853"/>
        <n v="10553"/>
        <n v="54006"/>
        <n v="23960"/>
        <n v="101497"/>
        <n v="14677"/>
        <n v="95038"/>
        <n v="27173"/>
        <n v="55427"/>
        <n v="155100"/>
        <n v="207700"/>
        <n v="55248"/>
        <n v="83251"/>
        <n v="19052"/>
        <n v="149333"/>
        <n v="127984"/>
        <n v="55955"/>
        <n v="122409"/>
        <n v="127786"/>
        <n v="57640"/>
        <n v="147982"/>
        <n v="95700"/>
        <n v="55300"/>
        <n v="212000"/>
        <n v="88000"/>
        <n v="126685"/>
        <n v="61670"/>
        <n v="88735"/>
        <n v="37632"/>
        <n v="12030"/>
        <n v="145200"/>
        <n v="132189"/>
        <n v="14937"/>
        <n v="21300"/>
        <n v="121847"/>
        <n v="104197"/>
        <n v="101364"/>
        <n v="130537"/>
        <n v="19939"/>
        <n v="30354"/>
        <n v="89300"/>
        <n v="111500"/>
        <n v="270900"/>
        <n v="15594"/>
        <n v="135211"/>
        <n v="83144"/>
        <n v="52563"/>
        <n v="14955"/>
        <n v="161600"/>
        <n v="63000"/>
        <n v="149674"/>
        <n v="49305"/>
        <n v="76314"/>
        <n v="63638"/>
        <n v="94918"/>
        <n v="104853"/>
        <n v="93252"/>
        <n v="112676"/>
        <n v="137749"/>
        <n v="108290"/>
        <n v="125467"/>
        <n v="136400"/>
        <n v="226500"/>
        <n v="142400"/>
        <n v="136700"/>
        <n v="263500"/>
        <n v="156700"/>
        <n v="53374"/>
        <n v="133796"/>
        <n v="78163"/>
        <n v="34721"/>
        <n v="35308"/>
        <n v="33047"/>
        <n v="89077"/>
        <n v="202800"/>
        <n v="128300"/>
        <n v="26696"/>
        <n v="118618"/>
        <n v="144220"/>
        <n v="38957"/>
        <n v="141128"/>
        <n v="14502"/>
        <n v="111996"/>
        <n v="144562"/>
        <n v="76101"/>
        <n v="136997"/>
        <n v="267400"/>
        <n v="137700"/>
        <n v="388600"/>
        <n v="23251"/>
        <n v="73798"/>
        <n v="108018"/>
        <n v="61121"/>
        <n v="73356"/>
        <n v="108736"/>
        <n v="116383"/>
        <n v="65845"/>
        <n v="149000"/>
        <n v="93100"/>
        <n v="134300"/>
        <n v="84951"/>
        <n v="45507"/>
        <n v="127177"/>
        <n v="47603"/>
        <n v="35394"/>
        <n v="110136"/>
        <n v="59544"/>
        <n v="101300"/>
        <n v="66925"/>
        <n v="43755"/>
        <n v="68434"/>
        <n v="15696"/>
        <n v="86656"/>
        <n v="81717"/>
        <n v="61975"/>
        <n v="17624"/>
        <n v="129529"/>
        <n v="40426"/>
        <n v="161000"/>
        <n v="191100"/>
        <n v="119200"/>
        <n v="87300"/>
        <n v="106613"/>
        <n v="94391"/>
        <n v="70310"/>
        <n v="88959"/>
        <n v="113932"/>
        <n v="78826"/>
        <n v="65138"/>
        <n v="131271"/>
        <n v="109022"/>
        <n v="112424"/>
        <n v="89904"/>
        <n v="24337"/>
        <n v="30829"/>
        <n v="81676"/>
        <n v="188800"/>
        <n v="175200"/>
        <n v="306800"/>
        <n v="94185"/>
        <n v="87166"/>
        <n v="122631"/>
        <n v="73001"/>
        <n v="56094"/>
        <n v="75228"/>
        <n v="142759"/>
        <n v="141070"/>
        <n v="62746"/>
        <n v="66485"/>
        <n v="196700"/>
        <n v="148400"/>
        <n v="140268"/>
        <n v="90078"/>
        <n v="30640"/>
        <n v="101302"/>
        <n v="140413"/>
        <n v="50519"/>
        <n v="52608"/>
        <n v="65984"/>
        <n v="50585"/>
        <n v="54770"/>
        <n v="194800"/>
        <n v="49800"/>
        <n v="125951"/>
        <n v="15100"/>
        <n v="138991"/>
        <n v="134518"/>
        <n v="116537"/>
        <n v="88294"/>
        <n v="127585"/>
        <n v="62500"/>
        <n v="116661"/>
        <n v="115668"/>
        <n v="222700"/>
        <n v="129500"/>
        <n v="134439"/>
        <n v="104035"/>
        <n v="49075"/>
        <n v="54143"/>
        <n v="125485"/>
        <n v="74388"/>
        <n v="82691"/>
        <n v="91205"/>
        <n v="36479"/>
        <n v="66020"/>
        <n v="117738"/>
        <n v="112500"/>
        <n v="133600"/>
        <n v="66591"/>
        <n v="41034"/>
        <n v="33473"/>
        <n v="80580"/>
        <n v="42088"/>
        <n v="182400"/>
        <n v="132000"/>
        <n v="38536"/>
        <n v="51592"/>
        <n v="111844"/>
        <n v="75547"/>
        <n v="130993"/>
        <n v="77067"/>
        <n v="34759"/>
        <n v="34100"/>
        <n v="281500"/>
        <n v="199900"/>
        <n v="123140"/>
        <n v="95065"/>
        <n v="84447"/>
        <n v="15642"/>
        <n v="34569"/>
        <n v="80100"/>
        <n v="192400"/>
        <n v="52239"/>
        <n v="131502"/>
        <n v="27568"/>
        <n v="105896"/>
        <n v="130931"/>
        <n v="10770"/>
        <n v="30151"/>
        <n v="30530"/>
        <n v="23170"/>
        <n v="83500"/>
        <n v="125800"/>
        <n v="282500"/>
        <n v="189800"/>
        <n v="57660"/>
        <n v="89877"/>
        <n v="124375"/>
        <n v="80455"/>
        <n v="142018"/>
        <n v="28201"/>
        <n v="94239"/>
        <n v="120918"/>
        <n v="86880"/>
        <n v="125499"/>
        <n v="138566"/>
        <n v="55703"/>
        <n v="24828"/>
        <n v="52800"/>
        <n v="53200"/>
        <n v="168200"/>
        <n v="202200"/>
        <n v="238600"/>
        <n v="56814"/>
        <n v="146413"/>
        <n v="128984"/>
        <n v="49980"/>
        <n v="32715"/>
        <n v="65931"/>
        <n v="35598"/>
        <n v="115422"/>
        <n v="62300"/>
        <n v="60100"/>
        <n v="96019"/>
        <n v="95862"/>
        <n v="135040"/>
        <n v="134514"/>
        <n v="36279"/>
        <n v="143002"/>
        <n v="45280"/>
        <n v="97496"/>
        <n v="126837"/>
        <n v="36607"/>
        <n v="127426"/>
        <n v="72098"/>
        <n v="156000"/>
        <n v="158400"/>
        <n v="275900"/>
        <n v="56100"/>
        <n v="13881"/>
        <n v="97258"/>
        <n v="120583"/>
        <n v="19046"/>
        <n v="111743"/>
        <n v="31281"/>
        <n v="99060"/>
        <n v="52877"/>
        <n v="24852"/>
        <n v="47402"/>
        <n v="122716"/>
        <n v="58000"/>
        <n v="149139"/>
        <n v="98904"/>
        <n v="125095"/>
        <n v="13539"/>
        <n v="43161"/>
        <n v="147065"/>
        <n v="78041"/>
        <n v="132445"/>
        <n v="141141"/>
        <n v="58625"/>
        <n v="88102"/>
        <n v="52439"/>
        <n v="35550"/>
        <n v="66968"/>
        <n v="67600"/>
        <n v="124600"/>
        <n v="26978"/>
        <n v="137439"/>
        <n v="125427"/>
        <n v="108954"/>
        <n v="111472"/>
        <n v="61854"/>
        <n v="323400"/>
        <n v="149062"/>
        <n v="17676"/>
        <n v="138839"/>
        <n v="69376"/>
        <n v="118670"/>
        <n v="44212"/>
        <n v="110580"/>
        <n v="135443"/>
        <n v="111053"/>
        <n v="17184"/>
        <n v="16482"/>
        <n v="136889"/>
        <n v="59973"/>
        <n v="190300"/>
        <n v="228300"/>
        <n v="135045"/>
        <n v="15260"/>
        <n v="54047"/>
        <n v="65965"/>
        <n v="59902"/>
        <n v="118271"/>
        <n v="88233"/>
        <n v="126918"/>
        <n v="53904"/>
        <n v="11179"/>
        <n v="36640"/>
        <n v="50176"/>
        <n v="86000"/>
        <n v="177800"/>
        <n v="51030"/>
        <n v="91697"/>
        <n v="68172"/>
        <n v="102889"/>
        <n v="13423"/>
        <n v="120138"/>
        <n v="34055"/>
        <n v="84722"/>
        <n v="88101"/>
        <n v="132478"/>
        <n v="137481"/>
        <n v="134228"/>
        <n v="59200"/>
        <n v="127200"/>
        <n v="132600"/>
        <n v="130900"/>
        <n v="224000"/>
        <n v="110361"/>
        <n v="16772"/>
        <n v="49833"/>
        <n v="100777"/>
        <n v="45509"/>
        <n v="139129"/>
        <n v="84088"/>
        <n v="74949"/>
        <n v="144095"/>
        <n v="231300"/>
        <n v="114500"/>
        <n v="83741"/>
        <n v="68825"/>
        <n v="81997"/>
        <n v="13078"/>
        <n v="137262"/>
        <n v="86189"/>
        <n v="28610"/>
        <n v="74305"/>
        <n v="122141"/>
        <n v="57798"/>
        <n v="143667"/>
        <n v="78100"/>
        <n v="195200"/>
        <n v="38783"/>
        <n v="91340"/>
        <n v="52202"/>
        <n v="145182"/>
        <n v="61793"/>
        <n v="132293"/>
        <n v="144419"/>
        <n v="54505"/>
        <n v="79133"/>
        <n v="80168"/>
        <n v="56265"/>
        <n v="75346"/>
        <n v="95089"/>
        <n v="113823"/>
        <n v="136100"/>
        <n v="226800"/>
        <n v="115251"/>
        <n v="68009"/>
        <n v="57313"/>
        <n v="16089"/>
        <n v="65414"/>
        <n v="124862"/>
        <n v="64471"/>
        <n v="89414"/>
        <n v="62916"/>
        <n v="174300"/>
        <n v="194000"/>
        <n v="35112"/>
        <n v="18996"/>
        <n v="39445"/>
        <n v="28921"/>
        <n v="85813"/>
        <n v="32871"/>
        <n v="59700"/>
        <n v="25860"/>
        <n v="19612"/>
        <n v="104816"/>
        <n v="143048"/>
        <n v="97158"/>
        <n v="137800"/>
        <n v="240000"/>
        <n v="141443"/>
        <n v="117871"/>
        <n v="22869"/>
        <n v="76986"/>
        <n v="94854"/>
        <n v="103960"/>
        <n v="25383"/>
        <n v="40208"/>
        <n v="132793"/>
        <n v="125029"/>
        <n v="130100"/>
        <n v="66218"/>
        <n v="86860"/>
        <n v="37737"/>
        <n v="49857"/>
        <n v="110190"/>
        <n v="74172"/>
        <n v="49396"/>
        <n v="14819"/>
        <n v="28050"/>
        <n v="197400"/>
        <n v="150900"/>
        <n v="34700"/>
        <n v="167500"/>
        <n v="165800"/>
        <n v="130782"/>
        <n v="84963"/>
        <n v="90379"/>
        <n v="75410"/>
        <n v="24860"/>
        <n v="122658"/>
        <n v="50503"/>
        <n v="129554"/>
        <n v="78580"/>
        <n v="39676"/>
        <n v="35723"/>
        <n v="104855"/>
        <n v="141403"/>
        <n v="83904"/>
        <n v="99800"/>
        <n v="205200"/>
        <n v="43100"/>
        <n v="218400"/>
        <n v="41521"/>
        <n v="116227"/>
        <n v="55663"/>
        <n v="87159"/>
        <n v="65107"/>
        <n v="198200"/>
        <n v="111146"/>
        <n v="117620"/>
        <n v="115356"/>
        <n v="91834"/>
        <n v="89507"/>
        <n v="143740"/>
        <n v="135000"/>
        <n v="115572"/>
        <n v="64259"/>
        <n v="37398"/>
        <n v="91567"/>
        <n v="64016"/>
        <n v="25765"/>
        <n v="73255"/>
        <n v="12100"/>
        <n v="27358"/>
        <n v="23107"/>
        <n v="123298"/>
        <n v="237800"/>
        <n v="166600"/>
        <n v="54500"/>
        <n v="199300"/>
        <n v="67753"/>
        <n v="23616"/>
        <n v="40202"/>
        <n v="53246"/>
        <n v="109692"/>
        <n v="138200"/>
        <n v="140500"/>
        <n v="96049"/>
        <n v="98979"/>
        <n v="83135"/>
        <n v="30517"/>
        <n v="144940"/>
        <n v="75491"/>
        <n v="33084"/>
        <n v="38497"/>
        <n v="140604"/>
        <n v="95263"/>
        <n v="100686"/>
        <n v="78396"/>
        <n v="132040"/>
        <n v="133216"/>
        <n v="114012"/>
        <n v="108039"/>
        <n v="59158"/>
        <n v="59914"/>
        <n v="163200"/>
        <n v="32400"/>
        <n v="201600"/>
        <n v="98499"/>
        <n v="47495"/>
        <n v="125178"/>
        <n v="144200"/>
        <n v="76598"/>
        <n v="73442"/>
        <n v="79356"/>
        <n v="76513"/>
        <n v="32290"/>
        <n v="69056"/>
        <n v="25660"/>
        <n v="85465"/>
        <n v="78211"/>
        <n v="34849"/>
        <n v="143731"/>
        <n v="95141"/>
        <n v="35344"/>
        <n v="35089"/>
        <n v="216100"/>
        <n v="288300"/>
        <n v="93323"/>
        <n v="148227"/>
        <n v="15508"/>
        <n v="44161"/>
        <n v="100583"/>
        <n v="97601"/>
        <n v="149459"/>
        <n v="122413"/>
        <n v="147075"/>
        <n v="81392"/>
        <n v="70312"/>
        <n v="14687"/>
        <n v="135524"/>
        <n v="119189"/>
        <n v="128781"/>
        <n v="42968"/>
        <n v="27940"/>
        <n v="145534"/>
        <n v="143373"/>
        <n v="56800"/>
        <n v="87632"/>
        <n v="14858"/>
        <n v="103917"/>
        <n v="33365"/>
        <n v="121710"/>
        <n v="101909"/>
        <n v="25390"/>
        <n v="108702"/>
        <n v="43857"/>
        <n v="20974"/>
        <n v="66858"/>
        <n v="130525"/>
        <n v="168400"/>
        <n v="181700"/>
        <n v="31203"/>
        <n v="113425"/>
        <n v="123982"/>
        <n v="124462"/>
        <n v="124938"/>
        <n v="23993"/>
        <n v="30286"/>
        <n v="48052"/>
        <n v="248200"/>
        <n v="72900"/>
        <n v="59659"/>
        <n v="97468"/>
        <n v="51178"/>
        <n v="60936"/>
        <n v="28238"/>
        <n v="98973"/>
        <n v="70149"/>
        <n v="110258"/>
        <n v="94590"/>
        <n v="122257"/>
        <n v="58465"/>
        <n v="46636"/>
        <n v="39168"/>
        <n v="63312"/>
        <n v="27871"/>
        <n v="53612"/>
        <n v="14934"/>
        <n v="117656"/>
        <n v="47741"/>
        <n v="116698"/>
        <n v="244000"/>
        <n v="98700"/>
        <n v="188700"/>
        <n v="23115"/>
        <n v="81449"/>
        <n v="112539"/>
        <n v="138738"/>
        <n v="12116"/>
        <n v="47329"/>
        <n v="100606"/>
        <n v="91808"/>
        <n v="16564"/>
        <n v="88775"/>
        <n v="30954"/>
        <n v="132573"/>
        <n v="97878"/>
        <n v="60416"/>
        <n v="39339"/>
        <n v="30855"/>
        <n v="22394"/>
        <n v="63792"/>
        <n v="112008"/>
        <n v="83239"/>
        <n v="87011"/>
        <n v="145573"/>
        <n v="77235"/>
        <n v="231600"/>
        <n v="103300"/>
        <n v="63100"/>
        <n v="217900"/>
        <n v="146656"/>
        <n v="90938"/>
        <n v="146407"/>
        <n v="71140"/>
        <n v="147652"/>
        <n v="71945"/>
        <n v="111552"/>
        <n v="71324"/>
        <n v="99968"/>
        <n v="147600"/>
        <n v="296100"/>
        <n v="126801"/>
        <n v="129057"/>
        <n v="31577"/>
        <n v="103353"/>
        <n v="60851"/>
        <n v="56474"/>
        <n v="16944"/>
        <n v="122359"/>
        <n v="39396"/>
        <n v="227600"/>
        <n v="175000"/>
        <n v="170300"/>
        <n v="107260"/>
        <n v="16463"/>
        <n v="112821"/>
        <n v="38940"/>
        <n v="107347"/>
        <n v="104380"/>
        <n v="24720"/>
        <n v="17596"/>
        <n v="120389"/>
        <n v="17484"/>
        <n v="68500"/>
        <n v="242300"/>
        <n v="335800"/>
        <n v="164200"/>
        <n v="138077"/>
        <n v="17374"/>
        <n v="135429"/>
        <n v="17945"/>
        <n v="23046"/>
        <n v="34809"/>
        <n v="78901"/>
        <n v="113994"/>
        <n v="57036"/>
        <n v="203400"/>
        <n v="136531"/>
        <n v="120533"/>
        <n v="80071"/>
        <n v="51732"/>
        <n v="69388"/>
        <n v="107100"/>
        <n v="89712"/>
        <n v="16099"/>
        <n v="48848"/>
        <n v="68300"/>
        <n v="25960"/>
        <n v="63897"/>
        <n v="98987"/>
        <n v="58222"/>
        <n v="84090"/>
        <n v="70981"/>
        <n v="36543"/>
        <n v="186100"/>
        <n v="192800"/>
        <n v="11271"/>
        <n v="132610"/>
        <n v="15033"/>
        <n v="142779"/>
        <n v="64422"/>
        <n v="130720"/>
        <n v="11833"/>
        <n v="30062"/>
        <n v="74904"/>
        <n v="220000"/>
        <n v="121900"/>
        <n v="77089"/>
        <n v="84046"/>
        <n v="106782"/>
        <n v="30487"/>
        <n v="87935"/>
        <n v="60118"/>
        <n v="63653"/>
        <n v="149863"/>
        <n v="197600"/>
        <n v="130452"/>
        <n v="23612"/>
        <n v="142229"/>
        <n v="135158"/>
        <n v="109154"/>
        <n v="55216"/>
        <n v="28583"/>
        <n v="148080"/>
        <n v="59308"/>
        <n v="12525"/>
        <n v="74286"/>
        <n v="27622"/>
        <n v="65689"/>
        <n v="20446"/>
        <n v="129200"/>
        <n v="18847"/>
        <n v="34437"/>
        <n v="148265"/>
        <n v="99266"/>
        <n v="97635"/>
        <n v="19782"/>
        <n v="16621"/>
        <n v="44832"/>
        <n v="254100"/>
        <n v="147869"/>
        <n v="21900"/>
        <n v="90069"/>
        <n v="45917"/>
        <n v="23558"/>
        <n v="46417"/>
        <n v="72700"/>
        <n v="229600"/>
        <n v="25095"/>
        <n v="23074"/>
        <n v="92503"/>
        <n v="40836"/>
        <n v="86769"/>
        <n v="71332"/>
        <n v="98115"/>
        <n v="47860"/>
        <n v="121833"/>
        <n v="114050"/>
        <n v="104378"/>
        <n v="21555"/>
        <n v="127391"/>
        <n v="49900"/>
        <n v="213300"/>
        <n v="204400"/>
        <n v="90459"/>
        <n v="47265"/>
        <n v="141855"/>
        <n v="119623"/>
        <n v="93432"/>
        <n v="139017"/>
        <n v="21989"/>
        <n v="58417"/>
        <n v="90496"/>
        <n v="39118"/>
        <n v="104000"/>
        <n v="63890"/>
        <n v="93593"/>
        <n v="80655"/>
        <n v="86723"/>
        <n v="109200"/>
        <n v="128800"/>
        <n v="357700"/>
        <n v="55793"/>
        <n v="85244"/>
        <n v="74407"/>
        <n v="138449"/>
        <n v="95547"/>
        <n v="244400"/>
        <n v="165700"/>
        <n v="144133"/>
        <n v="121399"/>
        <n v="136956"/>
        <n v="66108"/>
        <n v="84881"/>
        <n v="110637"/>
        <n v="149560"/>
        <n v="146429"/>
        <n v="100890"/>
        <n v="118287"/>
        <n v="38975"/>
        <n v="137340"/>
        <n v="163000"/>
        <n v="75600"/>
        <n v="79500"/>
        <n v="71265"/>
        <n v="104697"/>
        <n v="126831"/>
        <n v="49701"/>
        <n v="14180"/>
        <n v="99836"/>
        <n v="37502"/>
        <n v="85450"/>
        <n v="136195"/>
        <n v="83640"/>
        <n v="67590"/>
        <n v="24374"/>
        <n v="56662"/>
        <n v="131204"/>
        <n v="132822"/>
        <n v="21876"/>
        <n v="143527"/>
        <n v="81660"/>
        <n v="13038"/>
        <n v="82423"/>
        <n v="248800"/>
        <n v="186200"/>
        <n v="38500"/>
        <n v="155600"/>
        <n v="164000"/>
        <n v="69019"/>
        <n v="121870"/>
        <n v="117454"/>
        <n v="91851"/>
        <n v="126640"/>
        <n v="129863"/>
        <n v="139278"/>
        <n v="54146"/>
        <n v="30387"/>
        <n v="80152"/>
        <n v="30505"/>
        <n v="107758"/>
        <n v="97525"/>
        <n v="52846"/>
        <n v="117100"/>
        <n v="183800"/>
        <n v="148410"/>
        <n v="39234"/>
        <n v="82402"/>
        <n v="53955"/>
        <n v="21015"/>
        <n v="101579"/>
        <n v="140868"/>
        <n v="107900"/>
        <n v="71859"/>
        <n v="103431"/>
        <n v="79603"/>
        <n v="123262"/>
        <n v="59612"/>
        <n v="106225"/>
        <n v="68627"/>
        <n v="66433"/>
        <n v="93611"/>
        <n v="140640"/>
        <n v="141028"/>
        <n v="99271"/>
        <n v="23746"/>
        <n v="44942"/>
        <n v="123800"/>
        <n v="49069"/>
        <n v="54049"/>
        <n v="73486"/>
        <n v="141074"/>
        <n v="86180"/>
        <n v="124438"/>
        <n v="78269"/>
        <n v="66615"/>
        <n v="75199"/>
        <n v="106599"/>
        <n v="40270"/>
        <n v="99361"/>
        <n v="127208"/>
        <n v="263000"/>
        <n v="45600"/>
        <n v="125539"/>
        <n v="58996"/>
        <n v="63994"/>
        <n v="59155"/>
        <n v="130172"/>
        <n v="32528"/>
        <n v="42915"/>
        <n v="227000"/>
        <n v="12640"/>
        <n v="76423"/>
        <n v="68876"/>
        <n v="79509"/>
        <n v="148383"/>
        <n v="144091"/>
        <n v="73543"/>
        <n v="32322"/>
        <n v="97800"/>
        <n v="140393"/>
        <n v="105596"/>
        <n v="76704"/>
        <n v="63956"/>
        <n v="116873"/>
        <n v="11521"/>
        <n v="41288"/>
        <n v="62598"/>
        <n v="137571"/>
        <n v="114110"/>
        <n v="33902"/>
        <n v="20534"/>
        <n v="131074"/>
        <n v="33769"/>
        <n v="327800"/>
        <n v="107700"/>
        <n v="87600"/>
        <n v="286100"/>
        <n v="19702"/>
        <n v="57770"/>
        <n v="75702"/>
        <n v="103538"/>
        <n v="52576"/>
        <n v="12434"/>
        <n v="63213"/>
        <n v="121184"/>
        <n v="75662"/>
        <n v="85108"/>
        <n v="33306"/>
        <n v="117370"/>
        <n v="80498"/>
        <n v="82493"/>
        <n v="122070"/>
        <n v="148577"/>
        <n v="49352"/>
        <n v="12293"/>
        <n v="134139"/>
        <n v="166100"/>
        <n v="162100"/>
        <n v="155500"/>
        <n v="148143"/>
        <n v="123700"/>
        <n v="68526"/>
        <n v="53851"/>
        <n v="56620"/>
        <n v="45935"/>
        <n v="136549"/>
        <n v="58321"/>
        <n v="245300"/>
        <n v="208100"/>
        <n v="68100"/>
        <n v="73409"/>
        <n v="46978"/>
        <n v="19747"/>
        <n v="71138"/>
        <n v="52970"/>
        <n v="99220"/>
        <n v="94118"/>
        <n v="10169"/>
        <n v="91844"/>
        <n v="83429"/>
        <n v="121694"/>
        <n v="134947"/>
        <n v="81887"/>
        <n v="129871"/>
        <n v="13569"/>
        <n v="82785"/>
        <n v="25106"/>
        <n v="60430"/>
        <n v="195500"/>
        <n v="205300"/>
        <n v="248700"/>
        <n v="195700"/>
        <n v="113616"/>
        <n v="107057"/>
        <n v="24065"/>
        <n v="110162"/>
        <n v="80282"/>
        <n v="80466"/>
        <n v="17148"/>
        <n v="43288"/>
        <n v="109796"/>
        <n v="137267"/>
        <n v="87083"/>
        <n v="229800"/>
        <n v="104968"/>
        <n v="81270"/>
        <n v="66581"/>
        <n v="146642"/>
        <n v="127466"/>
        <n v="76437"/>
        <n v="218700"/>
        <n v="247300"/>
        <n v="136092"/>
        <n v="102115"/>
        <n v="148524"/>
        <n v="38025"/>
        <n v="104658"/>
        <n v="121645"/>
        <n v="141179"/>
        <n v="122590"/>
        <n v="128000"/>
        <n v="209400"/>
        <n v="53600"/>
        <n v="146800"/>
        <n v="35497"/>
        <n v="38696"/>
        <n v="130938"/>
        <n v="52411"/>
        <n v="75829"/>
        <n v="50396"/>
        <n v="131493"/>
        <n v="240500"/>
        <n v="114700"/>
        <n v="116800"/>
        <n v="90919"/>
        <n v="83080"/>
        <n v="126775"/>
        <n v="132098"/>
        <n v="76346"/>
        <n v="104776"/>
        <n v="171900"/>
        <n v="111922"/>
        <n v="78160"/>
        <n v="145899"/>
        <n v="140895"/>
        <n v="102729"/>
        <n v="11434"/>
        <n v="98992"/>
        <n v="24464"/>
        <n v="183200"/>
        <n v="116578"/>
        <n v="77326"/>
        <n v="136934"/>
        <n v="91518"/>
        <n v="247600"/>
        <n v="70773"/>
        <n v="126443"/>
        <n v="48821"/>
        <n v="11052"/>
        <n v="86441"/>
        <n v="104362"/>
        <n v="55800"/>
        <n v="44200"/>
        <n v="81734"/>
        <n v="55963"/>
        <n v="10141"/>
        <n v="80675"/>
        <n v="94763"/>
        <n v="149088"/>
        <n v="127300"/>
        <n v="34082"/>
        <n v="26238"/>
        <n v="31116"/>
        <n v="94872"/>
        <n v="71185"/>
        <n v="100597"/>
        <n v="61003"/>
        <n v="23539"/>
        <n v="68000"/>
        <n v="65770"/>
        <n v="204900"/>
        <n v="50030"/>
        <n v="82404"/>
        <n v="60930"/>
        <n v="60387"/>
        <n v="146146"/>
        <n v="106350"/>
        <n v="100150"/>
        <n v="145092"/>
        <n v="84374"/>
        <n v="142698"/>
        <n v="149279"/>
        <n v="107412"/>
        <n v="89000"/>
        <n v="64351"/>
        <n v="90567"/>
        <n v="104317"/>
        <n v="113988"/>
        <n v="15846"/>
        <n v="43645"/>
        <n v="116298"/>
        <n v="50080"/>
        <n v="12380"/>
        <n v="58393"/>
        <n v="36738"/>
        <n v="20357"/>
        <n v="59456"/>
        <n v="50435"/>
        <n v="27851"/>
        <n v="54055"/>
        <n v="120370"/>
        <n v="83129"/>
        <n v="226700"/>
        <n v="158600"/>
        <n v="271700"/>
        <n v="60200"/>
        <n v="84426"/>
        <n v="116405"/>
        <n v="25136"/>
        <n v="113665"/>
        <n v="148578"/>
        <n v="58717"/>
        <n v="82103"/>
        <n v="34354"/>
        <n v="262500"/>
        <n v="217600"/>
        <n v="111907"/>
        <n v="27585"/>
        <n v="35644"/>
        <n v="49764"/>
        <n v="101374"/>
        <n v="128187"/>
        <n v="32600"/>
        <n v="218500"/>
        <n v="103724"/>
        <n v="77325"/>
        <n v="130646"/>
        <n v="83379"/>
        <n v="35910"/>
        <n v="11432"/>
        <n v="113522"/>
        <n v="116364"/>
        <n v="37708"/>
        <n v="111297"/>
        <n v="68472"/>
        <n v="71353"/>
        <n v="113064"/>
        <n v="131400"/>
        <n v="271300"/>
        <n v="241200"/>
        <n v="117148"/>
        <n v="106341"/>
        <n v="73634"/>
        <n v="56536"/>
        <n v="48291"/>
        <n v="92755"/>
        <n v="84259"/>
        <n v="86685"/>
        <n v="187300"/>
        <n v="361600"/>
        <n v="109242"/>
        <n v="73134"/>
        <n v="36576"/>
        <n v="145143"/>
        <n v="55653"/>
        <n v="121140"/>
        <n v="23097"/>
        <n v="87507"/>
        <n v="124897"/>
        <n v="55749"/>
        <n v="134108"/>
        <n v="116557"/>
        <n v="39200"/>
        <n v="70200"/>
        <n v="50400"/>
        <n v="145891"/>
        <n v="136853"/>
        <n v="64785"/>
        <n v="70037"/>
        <n v="90100"/>
        <n v="126600"/>
        <n v="139244"/>
        <n v="42811"/>
        <n v="83829"/>
        <n v="97834"/>
        <n v="132647"/>
        <n v="104814"/>
        <n v="71952"/>
        <n v="14529"/>
        <n v="125197"/>
        <n v="91836"/>
        <n v="71155"/>
        <n v="169200"/>
        <n v="167000"/>
        <n v="49400"/>
        <n v="53413"/>
        <n v="19604"/>
        <n v="60209"/>
        <n v="80760"/>
        <n v="23241"/>
        <n v="96008"/>
        <n v="138410"/>
        <n v="84599"/>
        <n v="99254"/>
        <n v="74412"/>
        <n v="30679"/>
        <n v="14025"/>
        <n v="146258"/>
        <n v="243400"/>
        <n v="282800"/>
        <n v="31500"/>
        <n v="24110"/>
        <n v="141015"/>
        <n v="15773"/>
        <n v="80195"/>
        <n v="49848"/>
        <n v="28774"/>
        <n v="24416"/>
        <n v="67390"/>
        <n v="155400"/>
        <n v="13155"/>
        <n v="19422"/>
        <n v="39529"/>
        <n v="96427"/>
        <n v="121497"/>
        <n v="40646"/>
        <n v="70487"/>
        <n v="93300"/>
        <n v="61800"/>
        <n v="270800"/>
        <n v="205700"/>
        <n v="131253"/>
        <n v="34836"/>
        <n v="135812"/>
        <n v="81949"/>
        <n v="33854"/>
        <n v="215800"/>
        <n v="47000"/>
        <n v="88424"/>
        <n v="53422"/>
        <n v="71282"/>
        <n v="75853"/>
        <n v="62760"/>
        <n v="63726"/>
        <n v="97943"/>
        <n v="132084"/>
        <n v="68899"/>
        <n v="49128"/>
        <n v="24775"/>
        <n v="126255"/>
        <n v="73447"/>
        <n v="237200"/>
        <n v="181300"/>
        <n v="147868"/>
        <n v="49238"/>
        <n v="128002"/>
        <n v="126552"/>
        <n v="85737"/>
        <n v="33199"/>
        <n v="100225"/>
        <n v="28688"/>
        <n v="120265"/>
        <n v="102584"/>
        <n v="63368"/>
        <n v="67766"/>
        <n v="126292"/>
        <n v="115067"/>
        <n v="22115"/>
        <n v="94357"/>
        <n v="10368"/>
        <n v="137806"/>
        <n v="45833"/>
        <n v="48227"/>
        <n v="36900"/>
        <n v="209200"/>
        <n v="205800"/>
        <n v="69300"/>
        <n v="232800"/>
        <n v="114693"/>
        <n v="57271"/>
        <n v="56026"/>
        <n v="73580"/>
        <n v="22190"/>
        <n v="32846"/>
        <n v="74770"/>
        <n v="112697"/>
        <n v="93262"/>
        <n v="182300"/>
        <n v="295300"/>
        <n v="53300"/>
        <n v="95305"/>
        <n v="36360"/>
        <n v="149373"/>
        <n v="22185"/>
        <n v="23720"/>
        <n v="123729"/>
        <n v="17190"/>
        <n v="81388"/>
        <n v="133869"/>
        <n v="60412"/>
        <n v="70392"/>
        <n v="55836"/>
        <n v="109370"/>
        <n v="85100"/>
        <n v="117900"/>
        <n v="231000"/>
        <n v="354300"/>
        <n v="73295"/>
        <n v="105350"/>
        <n v="106573"/>
        <n v="100759"/>
        <n v="97843"/>
        <n v="121308"/>
        <n v="37141"/>
        <n v="164700"/>
        <n v="58788"/>
        <n v="39899"/>
        <n v="138755"/>
        <n v="133816"/>
        <n v="98620"/>
        <n v="104580"/>
        <n v="88740"/>
        <n v="57540"/>
        <n v="111525"/>
        <n v="31274"/>
        <n v="11740"/>
        <n v="17791"/>
        <n v="43500"/>
        <n v="78200"/>
        <n v="145400"/>
        <n v="49080"/>
        <n v="81097"/>
        <n v="24538"/>
        <n v="123584"/>
        <n v="83415"/>
        <n v="103057"/>
        <n v="82598"/>
        <n v="70777"/>
        <n v="23920"/>
        <n v="67554"/>
        <n v="39386"/>
        <n v="13527"/>
        <n v="92146"/>
        <n v="100594"/>
        <n v="91884"/>
        <n v="77271"/>
        <n v="104138"/>
        <n v="200800"/>
        <n v="48200"/>
        <n v="122660"/>
        <n v="123044"/>
        <n v="22333"/>
        <n v="36631"/>
        <n v="107360"/>
        <n v="59165"/>
        <n v="58948"/>
        <n v="251400"/>
        <n v="121529"/>
        <n v="58394"/>
        <n v="96422"/>
        <n v="56652"/>
        <n v="111778"/>
        <n v="117752"/>
        <n v="35790"/>
        <n v="232900"/>
        <n v="101956"/>
        <n v="110806"/>
        <n v="15062"/>
        <n v="111019"/>
        <n v="38279"/>
        <n v="124289"/>
        <n v="70147"/>
        <n v="137901"/>
        <n v="126921"/>
        <n v="99412"/>
        <n v="49876"/>
        <n v="80174"/>
        <n v="124176"/>
        <n v="36520"/>
        <n v="12488"/>
        <n v="32969"/>
        <n v="75567"/>
        <n v="108814"/>
        <n v="67247"/>
        <n v="87437"/>
        <n v="48304"/>
        <n v="45074"/>
        <n v="38444"/>
        <n v="139513"/>
        <n v="41363"/>
        <n v="135489"/>
        <n v="111837"/>
        <n v="39700"/>
        <n v="447200"/>
        <n v="17721"/>
        <n v="138742"/>
        <n v="88349"/>
        <n v="57191"/>
        <n v="69072"/>
        <n v="53518"/>
        <n v="119376"/>
        <n v="34780"/>
        <n v="18819"/>
        <n v="44096"/>
        <n v="62601"/>
        <n v="206000"/>
        <n v="71700"/>
        <n v="205400"/>
        <n v="20687"/>
        <n v="27013"/>
        <n v="136399"/>
        <n v="126066"/>
        <n v="136702"/>
        <n v="105995"/>
        <n v="240600"/>
        <n v="63383"/>
        <n v="88905"/>
        <n v="32805"/>
        <n v="62286"/>
        <n v="12509"/>
        <n v="145103"/>
        <n v="119946"/>
        <n v="113166"/>
        <n v="95919"/>
        <n v="41400"/>
        <n v="115302"/>
        <n v="47982"/>
        <n v="147158"/>
        <n v="29259"/>
        <n v="30402"/>
        <n v="97256"/>
        <n v="25631"/>
        <n v="91671"/>
        <n v="29432"/>
        <n v="121605"/>
        <n v="14682"/>
        <n v="110299"/>
        <n v="49123"/>
        <n v="17629"/>
        <n v="130747"/>
        <n v="127000"/>
        <n v="122333"/>
        <n v="63900"/>
        <n v="104700"/>
        <n v="154300"/>
        <n v="90121"/>
        <n v="101730"/>
        <n v="142730"/>
        <n v="10360"/>
        <n v="100134"/>
        <n v="21899"/>
        <n v="39520"/>
        <n v="61189"/>
        <n v="61207"/>
        <n v="59834"/>
        <n v="86682"/>
        <n v="219200"/>
        <n v="263400"/>
        <n v="92078"/>
        <n v="56750"/>
        <n v="137191"/>
        <n v="115401"/>
        <n v="140771"/>
        <n v="148477"/>
        <n v="88147"/>
        <n v="63025"/>
        <n v="325900"/>
        <n v="50500"/>
        <n v="77300"/>
      </sharedItems>
    </cacheField>
    <cacheField name="Actual" numFmtId="3">
      <sharedItems containsSemiMixedTypes="0" containsString="0" containsNumber="1" containsInteger="1" minValue="8037" maxValue="921700" count="4961">
        <n v="131692"/>
        <n v="108541"/>
        <n v="61785"/>
        <n v="91982"/>
        <n v="112722"/>
        <n v="59633"/>
        <n v="95129"/>
        <n v="139614"/>
        <n v="147199"/>
        <n v="291600"/>
        <n v="44100"/>
        <n v="69000"/>
        <n v="121400"/>
        <n v="109900"/>
        <n v="145000"/>
        <n v="244100"/>
        <n v="80900"/>
        <n v="187900"/>
        <n v="119354"/>
        <n v="55318"/>
        <n v="141241"/>
        <n v="40061"/>
        <n v="13782"/>
        <n v="90181"/>
        <n v="11794"/>
        <n v="160703"/>
        <n v="99769"/>
        <n v="120542"/>
        <n v="66794"/>
        <n v="117744"/>
        <n v="218000"/>
        <n v="187200"/>
        <n v="120500"/>
        <n v="80500"/>
        <n v="77400"/>
        <n v="145700"/>
        <n v="56400"/>
        <n v="129600"/>
        <n v="82100"/>
        <n v="199500"/>
        <n v="67400"/>
        <n v="187100"/>
        <n v="93992"/>
        <n v="63801"/>
        <n v="17474"/>
        <n v="37303"/>
        <n v="53122"/>
        <n v="113011"/>
        <n v="110384"/>
        <n v="97100"/>
        <n v="98000"/>
        <n v="98800"/>
        <n v="118700"/>
        <n v="71600"/>
        <n v="104900"/>
        <n v="78600"/>
        <n v="41845"/>
        <n v="59352"/>
        <n v="159024"/>
        <n v="164591"/>
        <n v="59794"/>
        <n v="161758"/>
        <n v="112700"/>
        <n v="238700"/>
        <n v="160500"/>
        <n v="73500"/>
        <n v="72700"/>
        <n v="8944"/>
        <n v="109128"/>
        <n v="99498"/>
        <n v="56934"/>
        <n v="133232"/>
        <n v="122251"/>
        <n v="157919"/>
        <n v="105828"/>
        <n v="39653"/>
        <n v="145472"/>
        <n v="35959"/>
        <n v="270000"/>
        <n v="72400"/>
        <n v="101700"/>
        <n v="101900"/>
        <n v="160600"/>
        <n v="217600"/>
        <n v="65100"/>
        <n v="61400"/>
        <n v="46900"/>
        <n v="445000"/>
        <n v="144374"/>
        <n v="38119"/>
        <n v="42380"/>
        <n v="128839"/>
        <n v="32031"/>
        <n v="70482"/>
        <n v="70100"/>
        <n v="189500"/>
        <n v="70800"/>
        <n v="108600"/>
        <n v="132900"/>
        <n v="155100"/>
        <n v="114627"/>
        <n v="24478"/>
        <n v="98609"/>
        <n v="159298"/>
        <n v="96322"/>
        <n v="39359"/>
        <n v="79500"/>
        <n v="84500"/>
        <n v="57900"/>
        <n v="116500"/>
        <n v="146900"/>
        <n v="181900"/>
        <n v="16133"/>
        <n v="45014"/>
        <n v="105757"/>
        <n v="9376"/>
        <n v="67844"/>
        <n v="104673"/>
        <n v="76373"/>
        <n v="69292"/>
        <n v="32924"/>
        <n v="70953"/>
        <n v="76975"/>
        <n v="97617"/>
        <n v="85236"/>
        <n v="90298"/>
        <n v="118800"/>
        <n v="113200"/>
        <n v="89900"/>
        <n v="95000"/>
        <n v="214100"/>
        <n v="81400"/>
        <n v="135000"/>
        <n v="157800"/>
        <n v="207400"/>
        <n v="150300"/>
        <n v="176900"/>
        <n v="66400"/>
        <n v="90700"/>
        <n v="144746"/>
        <n v="128400"/>
        <n v="127424"/>
        <n v="135587"/>
        <n v="33268"/>
        <n v="42576"/>
        <n v="108154"/>
        <n v="126698"/>
        <n v="54716"/>
        <n v="162302"/>
        <n v="28576"/>
        <n v="177400"/>
        <n v="168500"/>
        <n v="84900"/>
        <n v="70900"/>
        <n v="53600"/>
        <n v="159300"/>
        <n v="207800"/>
        <n v="43400"/>
        <n v="43300"/>
        <n v="296700"/>
        <n v="66594"/>
        <n v="162254"/>
        <n v="10164"/>
        <n v="152160"/>
        <n v="38373"/>
        <n v="80283"/>
        <n v="95464"/>
        <n v="164671"/>
        <n v="9816"/>
        <n v="18637"/>
        <n v="42951"/>
        <n v="105300"/>
        <n v="119500"/>
        <n v="78900"/>
        <n v="161600"/>
        <n v="188900"/>
        <n v="153200"/>
        <n v="110700"/>
        <n v="162500"/>
        <n v="151800"/>
        <n v="50100"/>
        <n v="153700"/>
        <n v="36669"/>
        <n v="168243"/>
        <n v="103795"/>
        <n v="80948"/>
        <n v="22518"/>
        <n v="164200"/>
        <n v="58700"/>
        <n v="203100"/>
        <n v="75900"/>
        <n v="96600"/>
        <n v="97191"/>
        <n v="134861"/>
        <n v="102827"/>
        <n v="89041"/>
        <n v="24466"/>
        <n v="99765"/>
        <n v="154140"/>
        <n v="94977"/>
        <n v="115500"/>
        <n v="86100"/>
        <n v="130500"/>
        <n v="129100"/>
        <n v="82700"/>
        <n v="167700"/>
        <n v="147200"/>
        <n v="112500"/>
        <n v="162322"/>
        <n v="117067"/>
        <n v="23168"/>
        <n v="169845"/>
        <n v="107749"/>
        <n v="74133"/>
        <n v="124231"/>
        <n v="42754"/>
        <n v="134295"/>
        <n v="20039"/>
        <n v="99900"/>
        <n v="110500"/>
        <n v="62800"/>
        <n v="282300"/>
        <n v="96500"/>
        <n v="155800"/>
        <n v="157100"/>
        <n v="99400"/>
        <n v="95100"/>
        <n v="198500"/>
        <n v="101846"/>
        <n v="36351"/>
        <n v="58064"/>
        <n v="37129"/>
        <n v="94581"/>
        <n v="166194"/>
        <n v="74458"/>
        <n v="60700"/>
        <n v="115300"/>
        <n v="64900"/>
        <n v="165900"/>
        <n v="110100"/>
        <n v="61700"/>
        <n v="132000"/>
        <n v="126288"/>
        <n v="74648"/>
        <n v="23010"/>
        <n v="56489"/>
        <n v="110800"/>
        <n v="86700"/>
        <n v="148400"/>
        <n v="136400"/>
        <n v="19678"/>
        <n v="134769"/>
        <n v="71827"/>
        <n v="131272"/>
        <n v="130015"/>
        <n v="74028"/>
        <n v="117438"/>
        <n v="83047"/>
        <n v="124932"/>
        <n v="8173"/>
        <n v="101577"/>
        <n v="196900"/>
        <n v="149300"/>
        <n v="74100"/>
        <n v="155400"/>
        <n v="139900"/>
        <n v="162000"/>
        <n v="67700"/>
        <n v="98600"/>
        <n v="78300"/>
        <n v="179500"/>
        <n v="97200"/>
        <n v="98147"/>
        <n v="106944"/>
        <n v="90946"/>
        <n v="53885"/>
        <n v="9418"/>
        <n v="51654"/>
        <n v="30224"/>
        <n v="9495"/>
        <n v="108330"/>
        <n v="136000"/>
        <n v="94500"/>
        <n v="108900"/>
        <n v="94600"/>
        <n v="294400"/>
        <n v="116300"/>
        <n v="87500"/>
        <n v="86300"/>
        <n v="120109"/>
        <n v="130961"/>
        <n v="141023"/>
        <n v="108465"/>
        <n v="15954"/>
        <n v="113413"/>
        <n v="101252"/>
        <n v="186400"/>
        <n v="245900"/>
        <n v="167600"/>
        <n v="120300"/>
        <n v="73700"/>
        <n v="124700"/>
        <n v="75000"/>
        <n v="158604"/>
        <n v="114675"/>
        <n v="43183"/>
        <n v="85942"/>
        <n v="100098"/>
        <n v="102837"/>
        <n v="99276"/>
        <n v="10057"/>
        <n v="114341"/>
        <n v="153300"/>
        <n v="214800"/>
        <n v="182500"/>
        <n v="169800"/>
        <n v="226200"/>
        <n v="150500"/>
        <n v="89800"/>
        <n v="130100"/>
        <n v="181200"/>
        <n v="208900"/>
        <n v="22963"/>
        <n v="77328"/>
        <n v="32843"/>
        <n v="116138"/>
        <n v="58678"/>
        <n v="282400"/>
        <n v="116100"/>
        <n v="148500"/>
        <n v="137000"/>
        <n v="136923"/>
        <n v="41313"/>
        <n v="161003"/>
        <n v="128145"/>
        <n v="158913"/>
        <n v="133044"/>
        <n v="131637"/>
        <n v="66793"/>
        <n v="94670"/>
        <n v="97300"/>
        <n v="108400"/>
        <n v="183200"/>
        <n v="113300"/>
        <n v="89400"/>
        <n v="170400"/>
        <n v="151100"/>
        <n v="120100"/>
        <n v="61900"/>
        <n v="41625"/>
        <n v="92195"/>
        <n v="37105"/>
        <n v="12426"/>
        <n v="23298"/>
        <n v="70896"/>
        <n v="21883"/>
        <n v="96796"/>
        <n v="167900"/>
        <n v="91800"/>
        <n v="95300"/>
        <n v="58400"/>
        <n v="164100"/>
        <n v="183000"/>
        <n v="171300"/>
        <n v="141700"/>
        <n v="17413"/>
        <n v="89319"/>
        <n v="24321"/>
        <n v="27987"/>
        <n v="28379"/>
        <n v="60245"/>
        <n v="57433"/>
        <n v="163486"/>
        <n v="23358"/>
        <n v="124500"/>
        <n v="187600"/>
        <n v="213100"/>
        <n v="92500"/>
        <n v="91200"/>
        <n v="96400"/>
        <n v="54100"/>
        <n v="94300"/>
        <n v="80200"/>
        <n v="91451"/>
        <n v="137045"/>
        <n v="44138"/>
        <n v="10216"/>
        <n v="89226"/>
        <n v="77003"/>
        <n v="101082"/>
        <n v="98116"/>
        <n v="23966"/>
        <n v="165068"/>
        <n v="162882"/>
        <n v="116400"/>
        <n v="65900"/>
        <n v="122200"/>
        <n v="97800"/>
        <n v="81800"/>
        <n v="105200"/>
        <n v="118100"/>
        <n v="156600"/>
        <n v="100800"/>
        <n v="140500"/>
        <n v="90267"/>
        <n v="125260"/>
        <n v="47821"/>
        <n v="31377"/>
        <n v="169637"/>
        <n v="86999"/>
        <n v="60957"/>
        <n v="260900"/>
        <n v="87000"/>
        <n v="434600"/>
        <n v="215400"/>
        <n v="115600"/>
        <n v="231500"/>
        <n v="74400"/>
        <n v="94707"/>
        <n v="134825"/>
        <n v="122909"/>
        <n v="28421"/>
        <n v="136287"/>
        <n v="27377"/>
        <n v="39803"/>
        <n v="105700"/>
        <n v="126200"/>
        <n v="68200"/>
        <n v="103800"/>
        <n v="141100"/>
        <n v="33091"/>
        <n v="85718"/>
        <n v="24284"/>
        <n v="167154"/>
        <n v="147432"/>
        <n v="144631"/>
        <n v="47715"/>
        <n v="42202"/>
        <n v="17846"/>
        <n v="18152"/>
        <n v="56200"/>
        <n v="83300"/>
        <n v="130600"/>
        <n v="140400"/>
        <n v="100000"/>
        <n v="156800"/>
        <n v="140800"/>
        <n v="208600"/>
        <n v="121700"/>
        <n v="116560"/>
        <n v="153720"/>
        <n v="112169"/>
        <n v="11475"/>
        <n v="145742"/>
        <n v="24551"/>
        <n v="78439"/>
        <n v="129909"/>
        <n v="59104"/>
        <n v="26324"/>
        <n v="109824"/>
        <n v="108800"/>
        <n v="277500"/>
        <n v="143100"/>
        <n v="98400"/>
        <n v="62500"/>
        <n v="151400"/>
        <n v="109600"/>
        <n v="193600"/>
        <n v="68100"/>
        <n v="26300"/>
        <n v="12581"/>
        <n v="15658"/>
        <n v="124979"/>
        <n v="110591"/>
        <n v="17106"/>
        <n v="96908"/>
        <n v="72712"/>
        <n v="130582"/>
        <n v="14507"/>
        <n v="129353"/>
        <n v="129700"/>
        <n v="80100"/>
        <n v="88900"/>
        <n v="122300"/>
        <n v="148200"/>
        <n v="126600"/>
        <n v="93800"/>
        <n v="85300"/>
        <n v="94200"/>
        <n v="148000"/>
        <n v="140600"/>
        <n v="101800"/>
        <n v="74180"/>
        <n v="114535"/>
        <n v="119788"/>
        <n v="75800"/>
        <n v="138400"/>
        <n v="53003"/>
        <n v="13444"/>
        <n v="34348"/>
        <n v="117588"/>
        <n v="91125"/>
        <n v="153518"/>
        <n v="98296"/>
        <n v="58164"/>
        <n v="70852"/>
        <n v="165407"/>
        <n v="108874"/>
        <n v="53181"/>
        <n v="76716"/>
        <n v="239200"/>
        <n v="109300"/>
        <n v="91600"/>
        <n v="216000"/>
        <n v="126100"/>
        <n v="238100"/>
        <n v="72500"/>
        <n v="187300"/>
        <n v="143700"/>
        <n v="29400"/>
        <n v="112300"/>
        <n v="199300"/>
        <n v="58261"/>
        <n v="32518"/>
        <n v="140701"/>
        <n v="52713"/>
        <n v="168436"/>
        <n v="118899"/>
        <n v="70723"/>
        <n v="14635"/>
        <n v="62721"/>
        <n v="106253"/>
        <n v="136919"/>
        <n v="100828"/>
        <n v="136398"/>
        <n v="114834"/>
        <n v="159503"/>
        <n v="92800"/>
        <n v="184100"/>
        <n v="76500"/>
        <n v="115400"/>
        <n v="55400"/>
        <n v="168300"/>
        <n v="124900"/>
        <n v="86900"/>
        <n v="51500"/>
        <n v="44400"/>
        <n v="83800"/>
        <n v="94800"/>
        <n v="22294"/>
        <n v="63869"/>
        <n v="150810"/>
        <n v="55576"/>
        <n v="36910"/>
        <n v="83237"/>
        <n v="16733"/>
        <n v="73152"/>
        <n v="44066"/>
        <n v="72960"/>
        <n v="148390"/>
        <n v="82225"/>
        <n v="37796"/>
        <n v="98210"/>
        <n v="139424"/>
        <n v="145028"/>
        <n v="166814"/>
        <n v="15048"/>
        <n v="246000"/>
        <n v="215000"/>
        <n v="47000"/>
        <n v="137500"/>
        <n v="119300"/>
        <n v="156300"/>
        <n v="129400"/>
        <n v="139800"/>
        <n v="134300"/>
        <n v="74000"/>
        <n v="176200"/>
        <n v="59500"/>
        <n v="82300"/>
        <n v="48600"/>
        <n v="71275"/>
        <n v="125991"/>
        <n v="126276"/>
        <n v="90655"/>
        <n v="141733"/>
        <n v="83112"/>
        <n v="141314"/>
        <n v="62653"/>
        <n v="122800"/>
        <n v="99000"/>
        <n v="280400"/>
        <n v="120200"/>
        <n v="89100"/>
        <n v="71000"/>
        <n v="128300"/>
        <n v="64447"/>
        <n v="88215"/>
        <n v="141929"/>
        <n v="134343"/>
        <n v="103100"/>
        <n v="145400"/>
        <n v="104400"/>
        <n v="81600"/>
        <n v="153374"/>
        <n v="24260"/>
        <n v="167838"/>
        <n v="19299"/>
        <n v="85797"/>
        <n v="142048"/>
        <n v="147300"/>
        <n v="90300"/>
        <n v="68000"/>
        <n v="99300"/>
        <n v="52600"/>
        <n v="35045"/>
        <n v="147565"/>
        <n v="148276"/>
        <n v="47056"/>
        <n v="53701"/>
        <n v="146277"/>
        <n v="75700"/>
        <n v="71900"/>
        <n v="133000"/>
        <n v="91400"/>
        <n v="167200"/>
        <n v="159611"/>
        <n v="33927"/>
        <n v="111860"/>
        <n v="37676"/>
        <n v="80934"/>
        <n v="91165"/>
        <n v="155253"/>
        <n v="163464"/>
        <n v="42024"/>
        <n v="179600"/>
        <n v="64700"/>
        <n v="92100"/>
        <n v="115000"/>
        <n v="123900"/>
        <n v="116900"/>
        <n v="93900"/>
        <n v="131100"/>
        <n v="153639"/>
        <n v="23479"/>
        <n v="102626"/>
        <n v="168845"/>
        <n v="68693"/>
        <n v="152949"/>
        <n v="24778"/>
        <n v="121717"/>
        <n v="138279"/>
        <n v="218800"/>
        <n v="150100"/>
        <n v="257600"/>
        <n v="86500"/>
        <n v="54700"/>
        <n v="63000"/>
        <n v="167800"/>
        <n v="48500"/>
        <n v="189200"/>
        <n v="58734"/>
        <n v="159925"/>
        <n v="120362"/>
        <n v="62887"/>
        <n v="164420"/>
        <n v="161407"/>
        <n v="81061"/>
        <n v="117491"/>
        <n v="126578"/>
        <n v="51397"/>
        <n v="94142"/>
        <n v="72048"/>
        <n v="9222"/>
        <n v="110823"/>
        <n v="16064"/>
        <n v="73400"/>
        <n v="118600"/>
        <n v="222700"/>
        <n v="68800"/>
        <n v="135800"/>
        <n v="94900"/>
        <n v="39500"/>
        <n v="47300"/>
        <n v="113800"/>
        <n v="253000"/>
        <n v="101100"/>
        <n v="64600"/>
        <n v="305400"/>
        <n v="111400"/>
        <n v="54596"/>
        <n v="25231"/>
        <n v="49126"/>
        <n v="65302"/>
        <n v="67482"/>
        <n v="14952"/>
        <n v="165645"/>
        <n v="138800"/>
        <n v="37600"/>
        <n v="138200"/>
        <n v="134400"/>
        <n v="126800"/>
        <n v="165100"/>
        <n v="50945"/>
        <n v="45650"/>
        <n v="129242"/>
        <n v="46739"/>
        <n v="134208"/>
        <n v="162682"/>
        <n v="20499"/>
        <n v="80911"/>
        <n v="137948"/>
        <n v="30468"/>
        <n v="116600"/>
        <n v="122000"/>
        <n v="161200"/>
        <n v="154300"/>
        <n v="68500"/>
        <n v="117000"/>
        <n v="88100"/>
        <n v="58584"/>
        <n v="38299"/>
        <n v="142938"/>
        <n v="113700"/>
        <n v="106504"/>
        <n v="154917"/>
        <n v="126667"/>
        <n v="21467"/>
        <n v="150208"/>
        <n v="45611"/>
        <n v="125704"/>
        <n v="93200"/>
        <n v="123600"/>
        <n v="81000"/>
        <n v="117900"/>
        <n v="140900"/>
        <n v="194700"/>
        <n v="169761"/>
        <n v="93973"/>
        <n v="88163"/>
        <n v="13894"/>
        <n v="63982"/>
        <n v="103400"/>
        <n v="71400"/>
        <n v="70000"/>
        <n v="115700"/>
        <n v="122329"/>
        <n v="32940"/>
        <n v="17125"/>
        <n v="32621"/>
        <n v="146489"/>
        <n v="50718"/>
        <n v="168514"/>
        <n v="98545"/>
        <n v="112733"/>
        <n v="120843"/>
        <n v="145580"/>
        <n v="15312"/>
        <n v="126500"/>
        <n v="172800"/>
        <n v="87800"/>
        <n v="288200"/>
        <n v="40600"/>
        <n v="130000"/>
        <n v="137900"/>
        <n v="127100"/>
        <n v="135600"/>
        <n v="136324"/>
        <n v="13524"/>
        <n v="48000"/>
        <n v="95516"/>
        <n v="61471"/>
        <n v="244900"/>
        <n v="108000"/>
        <n v="182200"/>
        <n v="100900"/>
        <n v="102700"/>
        <n v="97398"/>
        <n v="47499"/>
        <n v="148607"/>
        <n v="82516"/>
        <n v="162023"/>
        <n v="33597"/>
        <n v="110704"/>
        <n v="109041"/>
        <n v="14255"/>
        <n v="115484"/>
        <n v="131491"/>
        <n v="72776"/>
        <n v="240900"/>
        <n v="100400"/>
        <n v="162700"/>
        <n v="95900"/>
        <n v="212100"/>
        <n v="95700"/>
        <n v="114400"/>
        <n v="129800"/>
        <n v="97600"/>
        <n v="133500"/>
        <n v="106800"/>
        <n v="116434"/>
        <n v="154610"/>
        <n v="115390"/>
        <n v="36984"/>
        <n v="156593"/>
        <n v="145089"/>
        <n v="93332"/>
        <n v="166000"/>
        <n v="154100"/>
        <n v="196100"/>
        <n v="48800"/>
        <n v="203800"/>
        <n v="55700"/>
        <n v="90900"/>
        <n v="85319"/>
        <n v="141326"/>
        <n v="28177"/>
        <n v="102635"/>
        <n v="63349"/>
        <n v="11122"/>
        <n v="126401"/>
        <n v="55048"/>
        <n v="145637"/>
        <n v="32685"/>
        <n v="111028"/>
        <n v="79153"/>
        <n v="80400"/>
        <n v="46000"/>
        <n v="83600"/>
        <n v="66300"/>
        <n v="70200"/>
        <n v="190400"/>
        <n v="97900"/>
        <n v="101600"/>
        <n v="133557"/>
        <n v="97538"/>
        <n v="91610"/>
        <n v="137499"/>
        <n v="65087"/>
        <n v="56159"/>
        <n v="163286"/>
        <n v="29521"/>
        <n v="52718"/>
        <n v="91996"/>
        <n v="168911"/>
        <n v="30905"/>
        <n v="137600"/>
        <n v="312800"/>
        <n v="64100"/>
        <n v="99200"/>
        <n v="128200"/>
        <n v="181000"/>
        <n v="99600"/>
        <n v="175300"/>
        <n v="85400"/>
        <n v="104663"/>
        <n v="145017"/>
        <n v="13481"/>
        <n v="43847"/>
        <n v="96020"/>
        <n v="92200"/>
        <n v="322100"/>
        <n v="292900"/>
        <n v="19902"/>
        <n v="75314"/>
        <n v="56573"/>
        <n v="159690"/>
        <n v="134746"/>
        <n v="132520"/>
        <n v="25005"/>
        <n v="129141"/>
        <n v="21552"/>
        <n v="107700"/>
        <n v="112200"/>
        <n v="191900"/>
        <n v="223700"/>
        <n v="170100"/>
        <n v="76100"/>
        <n v="119169"/>
        <n v="87468"/>
        <n v="78167"/>
        <n v="57502"/>
        <n v="163629"/>
        <n v="12482"/>
        <n v="107709"/>
        <n v="146060"/>
        <n v="33056"/>
        <n v="21818"/>
        <n v="20487"/>
        <n v="40686"/>
        <n v="183600"/>
        <n v="34500"/>
        <n v="169000"/>
        <n v="198400"/>
        <n v="80600"/>
        <n v="64500"/>
        <n v="137800"/>
        <n v="82400"/>
        <n v="108700"/>
        <n v="82433"/>
        <n v="117109"/>
        <n v="155627"/>
        <n v="165108"/>
        <n v="118248"/>
        <n v="141979"/>
        <n v="58819"/>
        <n v="103525"/>
        <n v="94029"/>
        <n v="23384"/>
        <n v="78180"/>
        <n v="27353"/>
        <n v="102661"/>
        <n v="116700"/>
        <n v="149700"/>
        <n v="57800"/>
        <n v="147400"/>
        <n v="170800"/>
        <n v="113500"/>
        <n v="142200"/>
        <n v="78200"/>
        <n v="87900"/>
        <n v="113992"/>
        <n v="126022"/>
        <n v="83103"/>
        <n v="146095"/>
        <n v="82600"/>
        <n v="77000"/>
        <n v="111100"/>
        <n v="46461"/>
        <n v="60582"/>
        <n v="163424"/>
        <n v="124439"/>
        <n v="142091"/>
        <n v="53433"/>
        <n v="132100"/>
        <n v="62000"/>
        <n v="121200"/>
        <n v="114200"/>
        <n v="164800"/>
        <n v="248600"/>
        <n v="73770"/>
        <n v="71673"/>
        <n v="43833"/>
        <n v="153085"/>
        <n v="17725"/>
        <n v="116354"/>
        <n v="52482"/>
        <n v="38472"/>
        <n v="32361"/>
        <n v="97000"/>
        <n v="102800"/>
        <n v="95400"/>
        <n v="111200"/>
        <n v="144700"/>
        <n v="77800"/>
        <n v="72100"/>
        <n v="149000"/>
        <n v="46284"/>
        <n v="131592"/>
        <n v="52404"/>
        <n v="147087"/>
        <n v="151360"/>
        <n v="89152"/>
        <n v="63572"/>
        <n v="158200"/>
        <n v="103500"/>
        <n v="50800"/>
        <n v="134100"/>
        <n v="33700"/>
        <n v="83919"/>
        <n v="62879"/>
        <n v="73231"/>
        <n v="33875"/>
        <n v="37735"/>
        <n v="16649"/>
        <n v="118083"/>
        <n v="99836"/>
        <n v="87400"/>
        <n v="109200"/>
        <n v="58300"/>
        <n v="169700"/>
        <n v="107754"/>
        <n v="53139"/>
        <n v="125644"/>
        <n v="66073"/>
        <n v="113591"/>
        <n v="62579"/>
        <n v="35282"/>
        <n v="27640"/>
        <n v="168280"/>
        <n v="123565"/>
        <n v="73816"/>
        <n v="96800"/>
        <n v="208100"/>
        <n v="203600"/>
        <n v="123300"/>
        <n v="115200"/>
        <n v="104500"/>
        <n v="67800"/>
        <n v="49900"/>
        <n v="88129"/>
        <n v="68928"/>
        <n v="80290"/>
        <n v="42688"/>
        <n v="53603"/>
        <n v="68265"/>
        <n v="117782"/>
        <n v="72300"/>
        <n v="74800"/>
        <n v="67500"/>
        <n v="115800"/>
        <n v="151300"/>
        <n v="103900"/>
        <n v="82732"/>
        <n v="60600"/>
        <n v="41243"/>
        <n v="64731"/>
        <n v="59528"/>
        <n v="159920"/>
        <n v="102577"/>
        <n v="108779"/>
        <n v="70063"/>
        <n v="141360"/>
        <n v="142056"/>
        <n v="70300"/>
        <n v="163800"/>
        <n v="107300"/>
        <n v="202000"/>
        <n v="158900"/>
        <n v="111800"/>
        <n v="63600"/>
        <n v="228700"/>
        <n v="114600"/>
        <n v="80800"/>
        <n v="19691"/>
        <n v="86716"/>
        <n v="57352"/>
        <n v="136328"/>
        <n v="134934"/>
        <n v="118612"/>
        <n v="163885"/>
        <n v="140235"/>
        <n v="124176"/>
        <n v="39658"/>
        <n v="115017"/>
        <n v="178300"/>
        <n v="143300"/>
        <n v="136700"/>
        <n v="157400"/>
        <n v="60000"/>
        <n v="50300"/>
        <n v="127500"/>
        <n v="131700"/>
        <n v="99881"/>
        <n v="23430"/>
        <n v="134260"/>
        <n v="154658"/>
        <n v="20220"/>
        <n v="164249"/>
        <n v="53306"/>
        <n v="66500"/>
        <n v="119800"/>
        <n v="202800"/>
        <n v="119400"/>
        <n v="21823"/>
        <n v="43554"/>
        <n v="143347"/>
        <n v="43981"/>
        <n v="87973"/>
        <n v="85252"/>
        <n v="81200"/>
        <n v="231600"/>
        <n v="133300"/>
        <n v="90600"/>
        <n v="84100"/>
        <n v="114300"/>
        <n v="159137"/>
        <n v="81742"/>
        <n v="67899"/>
        <n v="73843"/>
        <n v="118031"/>
        <n v="85911"/>
        <n v="91840"/>
        <n v="23963"/>
        <n v="119212"/>
        <n v="197400"/>
        <n v="196300"/>
        <n v="179200"/>
        <n v="72600"/>
        <n v="79100"/>
        <n v="54800"/>
        <n v="151877"/>
        <n v="141551"/>
        <n v="28861"/>
        <n v="21196"/>
        <n v="101760"/>
        <n v="29879"/>
        <n v="134821"/>
        <n v="17686"/>
        <n v="98123"/>
        <n v="119294"/>
        <n v="48852"/>
        <n v="84505"/>
        <n v="83538"/>
        <n v="62621"/>
        <n v="316100"/>
        <n v="120800"/>
        <n v="102100"/>
        <n v="47500"/>
        <n v="119200"/>
        <n v="118000"/>
        <n v="184000"/>
        <n v="217400"/>
        <n v="96000"/>
        <n v="148300"/>
        <n v="124756"/>
        <n v="152928"/>
        <n v="17132"/>
        <n v="138179"/>
        <n v="29144"/>
        <n v="100884"/>
        <n v="101455"/>
        <n v="142900"/>
        <n v="268300"/>
        <n v="146800"/>
        <n v="159500"/>
        <n v="168800"/>
        <n v="161646"/>
        <n v="36701"/>
        <n v="35217"/>
        <n v="96781"/>
        <n v="66036"/>
        <n v="108793"/>
        <n v="10407"/>
        <n v="73583"/>
        <n v="13835"/>
        <n v="24549"/>
        <n v="153100"/>
        <n v="174700"/>
        <n v="59000"/>
        <n v="183900"/>
        <n v="180100"/>
        <n v="85200"/>
        <n v="84598"/>
        <n v="72811"/>
        <n v="90518"/>
        <n v="140221"/>
        <n v="26852"/>
        <n v="52504"/>
        <n v="17232"/>
        <n v="184900"/>
        <n v="144400"/>
        <n v="112100"/>
        <n v="101000"/>
        <n v="28300"/>
        <n v="77200"/>
        <n v="27651"/>
        <n v="106711"/>
        <n v="89818"/>
        <n v="95431"/>
        <n v="144337"/>
        <n v="137174"/>
        <n v="152525"/>
        <n v="139867"/>
        <n v="79978"/>
        <n v="142759"/>
        <n v="34457"/>
        <n v="64436"/>
        <n v="235900"/>
        <n v="268100"/>
        <n v="197600"/>
        <n v="133700"/>
        <n v="226500"/>
        <n v="192500"/>
        <n v="125000"/>
        <n v="190800"/>
        <n v="313900"/>
        <n v="32790"/>
        <n v="73823"/>
        <n v="107572"/>
        <n v="54541"/>
        <n v="110014"/>
        <n v="82774"/>
        <n v="122503"/>
        <n v="40006"/>
        <n v="38421"/>
        <n v="32972"/>
        <n v="138569"/>
        <n v="33500"/>
        <n v="172400"/>
        <n v="81300"/>
        <n v="411300"/>
        <n v="127700"/>
        <n v="272700"/>
        <n v="132700"/>
        <n v="33363"/>
        <n v="98420"/>
        <n v="106172"/>
        <n v="134366"/>
        <n v="152999"/>
        <n v="94686"/>
        <n v="134407"/>
        <n v="97607"/>
        <n v="87688"/>
        <n v="306400"/>
        <n v="206300"/>
        <n v="180900"/>
        <n v="53000"/>
        <n v="147000"/>
        <n v="67544"/>
        <n v="136538"/>
        <n v="149685"/>
        <n v="103457"/>
        <n v="25280"/>
        <n v="127932"/>
        <n v="97130"/>
        <n v="52452"/>
        <n v="98864"/>
        <n v="71823"/>
        <n v="150076"/>
        <n v="62920"/>
        <n v="83900"/>
        <n v="211400"/>
        <n v="55600"/>
        <n v="112400"/>
        <n v="110400"/>
        <n v="125300"/>
        <n v="83400"/>
        <n v="73056"/>
        <n v="89573"/>
        <n v="115873"/>
        <n v="45674"/>
        <n v="46593"/>
        <n v="17861"/>
        <n v="150120"/>
        <n v="8579"/>
        <n v="116521"/>
        <n v="130800"/>
        <n v="135500"/>
        <n v="153500"/>
        <n v="111300"/>
        <n v="84400"/>
        <n v="28186"/>
        <n v="111789"/>
        <n v="147491"/>
        <n v="158334"/>
        <n v="36493"/>
        <n v="102217"/>
        <n v="94000"/>
        <n v="70500"/>
        <n v="111600"/>
        <n v="130960"/>
        <n v="37791"/>
        <n v="128837"/>
        <n v="42500"/>
        <n v="75644"/>
        <n v="30871"/>
        <n v="39106"/>
        <n v="28946"/>
        <n v="89845"/>
        <n v="42186"/>
        <n v="54023"/>
        <n v="142500"/>
        <n v="163300"/>
        <n v="206400"/>
        <n v="139300"/>
        <n v="267400"/>
        <n v="145084"/>
        <n v="71699"/>
        <n v="124689"/>
        <n v="65805"/>
        <n v="94179"/>
        <n v="54970"/>
        <n v="145779"/>
        <n v="121036"/>
        <n v="43786"/>
        <n v="33656"/>
        <n v="161570"/>
        <n v="85800"/>
        <n v="173500"/>
        <n v="139600"/>
        <n v="88600"/>
        <n v="77300"/>
        <n v="78500"/>
        <n v="48400"/>
        <n v="263100"/>
        <n v="56500"/>
        <n v="101177"/>
        <n v="141427"/>
        <n v="48439"/>
        <n v="36981"/>
        <n v="132272"/>
        <n v="257500"/>
        <n v="85500"/>
        <n v="111988"/>
        <n v="91074"/>
        <n v="143204"/>
        <n v="63200"/>
        <n v="134833"/>
        <n v="166882"/>
        <n v="110172"/>
        <n v="111183"/>
        <n v="239500"/>
        <n v="176700"/>
        <n v="182100"/>
        <n v="30840"/>
        <n v="130809"/>
        <n v="165505"/>
        <n v="95645"/>
        <n v="156051"/>
        <n v="34980"/>
        <n v="24362"/>
        <n v="78590"/>
        <n v="91949"/>
        <n v="41618"/>
        <n v="97256"/>
        <n v="112900"/>
        <n v="74700"/>
        <n v="168700"/>
        <n v="183300"/>
        <n v="109700"/>
        <n v="109400"/>
        <n v="138700"/>
        <n v="46419"/>
        <n v="69486"/>
        <n v="71791"/>
        <n v="58730"/>
        <n v="14179"/>
        <n v="20900"/>
        <n v="105251"/>
        <n v="25962"/>
        <n v="79400"/>
        <n v="174900"/>
        <n v="44600"/>
        <n v="163900"/>
        <n v="165700"/>
        <n v="78664"/>
        <n v="136404"/>
        <n v="9484"/>
        <n v="95268"/>
        <n v="69506"/>
        <n v="166200"/>
        <n v="92433"/>
        <n v="121628"/>
        <n v="17800"/>
        <n v="24662"/>
        <n v="31618"/>
        <n v="82339"/>
        <n v="48806"/>
        <n v="133008"/>
        <n v="117880"/>
        <n v="132400"/>
        <n v="149400"/>
        <n v="44700"/>
        <n v="81100"/>
        <n v="93600"/>
        <n v="103700"/>
        <n v="127400"/>
        <n v="112800"/>
        <n v="56800"/>
        <n v="110200"/>
        <n v="124200"/>
        <n v="126357"/>
        <n v="155821"/>
        <n v="105157"/>
        <n v="28107"/>
        <n v="52417"/>
        <n v="103821"/>
        <n v="112406"/>
        <n v="159534"/>
        <n v="91700"/>
        <n v="96300"/>
        <n v="178000"/>
        <n v="157900"/>
        <n v="112600"/>
        <n v="51300"/>
        <n v="151963"/>
        <n v="89363"/>
        <n v="21650"/>
        <n v="58120"/>
        <n v="95425"/>
        <n v="94134"/>
        <n v="120721"/>
        <n v="142000"/>
        <n v="220800"/>
        <n v="86800"/>
        <n v="113900"/>
        <n v="125900"/>
        <n v="134800"/>
        <n v="63602"/>
        <n v="133839"/>
        <n v="133343"/>
        <n v="21051"/>
        <n v="104724"/>
        <n v="153556"/>
        <n v="78360"/>
        <n v="37036"/>
        <n v="108490"/>
        <n v="102000"/>
        <n v="168100"/>
        <n v="184800"/>
        <n v="221900"/>
        <n v="451100"/>
        <n v="105500"/>
        <n v="190600"/>
        <n v="150620"/>
        <n v="156549"/>
        <n v="31052"/>
        <n v="156212"/>
        <n v="29170"/>
        <n v="58259"/>
        <n v="27251"/>
        <n v="98034"/>
        <n v="19740"/>
        <n v="88648"/>
        <n v="59421"/>
        <n v="162282"/>
        <n v="156667"/>
        <n v="22945"/>
        <n v="101491"/>
        <n v="107400"/>
        <n v="176500"/>
        <n v="214700"/>
        <n v="257700"/>
        <n v="120600"/>
        <n v="56100"/>
        <n v="61200"/>
        <n v="234700"/>
        <n v="13301"/>
        <n v="116205"/>
        <n v="134109"/>
        <n v="88832"/>
        <n v="154563"/>
        <n v="40014"/>
        <n v="138566"/>
        <n v="82130"/>
        <n v="40955"/>
        <n v="36328"/>
        <n v="150672"/>
        <n v="72899"/>
        <n v="98182"/>
        <n v="73600"/>
        <n v="134000"/>
        <n v="224700"/>
        <n v="119900"/>
        <n v="46500"/>
        <n v="181800"/>
        <n v="71500"/>
        <n v="235300"/>
        <n v="149900"/>
        <n v="102045"/>
        <n v="33364"/>
        <n v="150003"/>
        <n v="111885"/>
        <n v="8892"/>
        <n v="76698"/>
        <n v="126064"/>
        <n v="127733"/>
        <n v="62930"/>
        <n v="84056"/>
        <n v="37445"/>
        <n v="130080"/>
        <n v="12348"/>
        <n v="131432"/>
        <n v="91566"/>
        <n v="142267"/>
        <n v="125964"/>
        <n v="85900"/>
        <n v="251100"/>
        <n v="224000"/>
        <n v="212300"/>
        <n v="54300"/>
        <n v="136100"/>
        <n v="117800"/>
        <n v="51800"/>
        <n v="117300"/>
        <n v="157500"/>
        <n v="94700"/>
        <n v="41100"/>
        <n v="64662"/>
        <n v="113610"/>
        <n v="112353"/>
        <n v="135117"/>
        <n v="146549"/>
        <n v="28099"/>
        <n v="157365"/>
        <n v="128827"/>
        <n v="258300"/>
        <n v="85700"/>
        <n v="250800"/>
        <n v="118500"/>
        <n v="106100"/>
        <n v="59800"/>
        <n v="106900"/>
        <n v="96024"/>
        <n v="142328"/>
        <n v="139663"/>
        <n v="32821"/>
        <n v="72317"/>
        <n v="144441"/>
        <n v="77100"/>
        <n v="48529"/>
        <n v="173200"/>
        <n v="257100"/>
        <n v="63900"/>
        <n v="122100"/>
        <n v="76870"/>
        <n v="140534"/>
        <n v="18043"/>
        <n v="32401"/>
        <n v="11966"/>
        <n v="123933"/>
        <n v="13253"/>
        <n v="154513"/>
        <n v="150641"/>
        <n v="56260"/>
        <n v="65187"/>
        <n v="49915"/>
        <n v="98978"/>
        <n v="10055"/>
        <n v="57100"/>
        <n v="236800"/>
        <n v="58500"/>
        <n v="34100"/>
        <n v="210600"/>
        <n v="109778"/>
        <n v="164381"/>
        <n v="147663"/>
        <n v="96392"/>
        <n v="151158"/>
        <n v="59779"/>
        <n v="52102"/>
        <n v="167677"/>
        <n v="159310"/>
        <n v="104600"/>
        <n v="138100"/>
        <n v="146300"/>
        <n v="118170"/>
        <n v="144484"/>
        <n v="101567"/>
        <n v="60585"/>
        <n v="58083"/>
        <n v="93401"/>
        <n v="118073"/>
        <n v="65700"/>
        <n v="186900"/>
        <n v="257200"/>
        <n v="138000"/>
        <n v="131600"/>
        <n v="59119"/>
        <n v="19495"/>
        <n v="143375"/>
        <n v="72567"/>
        <n v="131444"/>
        <n v="151439"/>
        <n v="142873"/>
        <n v="112673"/>
        <n v="91317"/>
        <n v="41508"/>
        <n v="88486"/>
        <n v="12662"/>
        <n v="108500"/>
        <n v="194300"/>
        <n v="231100"/>
        <n v="157300"/>
        <n v="142300"/>
        <n v="64800"/>
        <n v="173600"/>
        <n v="294900"/>
        <n v="165250"/>
        <n v="46787"/>
        <n v="85234"/>
        <n v="79705"/>
        <n v="124400"/>
        <n v="243900"/>
        <n v="154200"/>
        <n v="58917"/>
        <n v="143692"/>
        <n v="28374"/>
        <n v="153763"/>
        <n v="137200"/>
        <n v="115063"/>
        <n v="75849"/>
        <n v="62300"/>
        <n v="282100"/>
        <n v="202100"/>
        <n v="88500"/>
        <n v="121860"/>
        <n v="73777"/>
        <n v="21749"/>
        <n v="114594"/>
        <n v="165858"/>
        <n v="69540"/>
        <n v="138169"/>
        <n v="73376"/>
        <n v="91237"/>
        <n v="162902"/>
        <n v="33203"/>
        <n v="30150"/>
        <n v="141000"/>
        <n v="92000"/>
        <n v="149200"/>
        <n v="120400"/>
        <n v="105100"/>
        <n v="128000"/>
        <n v="158800"/>
        <n v="204500"/>
        <n v="246700"/>
        <n v="83304"/>
        <n v="166320"/>
        <n v="82920"/>
        <n v="86240"/>
        <n v="84644"/>
        <n v="140490"/>
        <n v="56718"/>
        <n v="113147"/>
        <n v="82900"/>
        <n v="330900"/>
        <n v="156400"/>
        <n v="166100"/>
        <n v="132200"/>
        <n v="54000"/>
        <n v="242600"/>
        <n v="96563"/>
        <n v="118252"/>
        <n v="123072"/>
        <n v="18199"/>
        <n v="94189"/>
        <n v="56617"/>
        <n v="136298"/>
        <n v="93211"/>
        <n v="47401"/>
        <n v="144646"/>
        <n v="67003"/>
        <n v="147407"/>
        <n v="38979"/>
        <n v="30423"/>
        <n v="107257"/>
        <n v="200700"/>
        <n v="125800"/>
        <n v="114500"/>
        <n v="286600"/>
        <n v="67300"/>
        <n v="285100"/>
        <n v="225400"/>
        <n v="121300"/>
        <n v="166400"/>
        <n v="69400"/>
        <n v="73100"/>
        <n v="58100"/>
        <n v="130907"/>
        <n v="115088"/>
        <n v="99884"/>
        <n v="109381"/>
        <n v="63932"/>
        <n v="115114"/>
        <n v="164012"/>
        <n v="63905"/>
        <n v="211100"/>
        <n v="184300"/>
        <n v="89500"/>
        <n v="57700"/>
        <n v="119700"/>
        <n v="129500"/>
        <n v="145745"/>
        <n v="127294"/>
        <n v="110744"/>
        <n v="77650"/>
        <n v="40868"/>
        <n v="159947"/>
        <n v="115668"/>
        <n v="122900"/>
        <n v="139000"/>
        <n v="65400"/>
        <n v="98700"/>
        <n v="91097"/>
        <n v="42369"/>
        <n v="32174"/>
        <n v="55780"/>
        <n v="63008"/>
        <n v="42378"/>
        <n v="11213"/>
        <n v="11386"/>
        <n v="25013"/>
        <n v="67868"/>
        <n v="151033"/>
        <n v="166766"/>
        <n v="89655"/>
        <n v="163101"/>
        <n v="110900"/>
        <n v="92700"/>
        <n v="230100"/>
        <n v="180500"/>
        <n v="129300"/>
        <n v="76400"/>
        <n v="121500"/>
        <n v="93824"/>
        <n v="24597"/>
        <n v="38617"/>
        <n v="64557"/>
        <n v="44534"/>
        <n v="32486"/>
        <n v="14758"/>
        <n v="166118"/>
        <n v="120000"/>
        <n v="126900"/>
        <n v="106700"/>
        <n v="383500"/>
        <n v="158600"/>
        <n v="13530"/>
        <n v="11817"/>
        <n v="66311"/>
        <n v="130429"/>
        <n v="132046"/>
        <n v="76959"/>
        <n v="50483"/>
        <n v="145061"/>
        <n v="30755"/>
        <n v="103734"/>
        <n v="113947"/>
        <n v="51379"/>
        <n v="102850"/>
        <n v="169244"/>
        <n v="156803"/>
        <n v="238900"/>
        <n v="243300"/>
        <n v="90200"/>
        <n v="190200"/>
        <n v="85000"/>
        <n v="52700"/>
        <n v="208200"/>
        <n v="105400"/>
        <n v="20147"/>
        <n v="168878"/>
        <n v="25126"/>
        <n v="93966"/>
        <n v="150867"/>
        <n v="30000"/>
        <n v="168388"/>
        <n v="119479"/>
        <n v="31699"/>
        <n v="106357"/>
        <n v="148856"/>
        <n v="153400"/>
        <n v="260800"/>
        <n v="263900"/>
        <n v="192900"/>
        <n v="105900"/>
        <n v="117637"/>
        <n v="96284"/>
        <n v="94037"/>
        <n v="169129"/>
        <n v="108945"/>
        <n v="29014"/>
        <n v="136452"/>
        <n v="84848"/>
        <n v="202300"/>
        <n v="96200"/>
        <n v="155900"/>
        <n v="173400"/>
        <n v="201600"/>
        <n v="155000"/>
        <n v="110300"/>
        <n v="154557"/>
        <n v="132172"/>
        <n v="10794"/>
        <n v="157104"/>
        <n v="88223"/>
        <n v="134119"/>
        <n v="74192"/>
        <n v="16357"/>
        <n v="142038"/>
        <n v="107270"/>
        <n v="112487"/>
        <n v="84300"/>
        <n v="155300"/>
        <n v="181500"/>
        <n v="183100"/>
        <n v="112000"/>
        <n v="159800"/>
        <n v="150600"/>
        <n v="176100"/>
        <n v="149100"/>
        <n v="17366"/>
        <n v="44615"/>
        <n v="57373"/>
        <n v="9307"/>
        <n v="77507"/>
        <n v="159191"/>
        <n v="22095"/>
        <n v="75200"/>
        <n v="93000"/>
        <n v="152400"/>
        <n v="61500"/>
        <n v="163100"/>
        <n v="86590"/>
        <n v="59812"/>
        <n v="81972"/>
        <n v="48619"/>
        <n v="153920"/>
        <n v="92266"/>
        <n v="55238"/>
        <n v="30701"/>
        <n v="171200"/>
        <n v="164400"/>
        <n v="156000"/>
        <n v="53400"/>
        <n v="106600"/>
        <n v="169300"/>
        <n v="101200"/>
        <n v="84357"/>
        <n v="99546"/>
        <n v="119009"/>
        <n v="158393"/>
        <n v="57567"/>
        <n v="156934"/>
        <n v="56101"/>
        <n v="148458"/>
        <n v="100424"/>
        <n v="76094"/>
        <n v="61893"/>
        <n v="42929"/>
        <n v="92600"/>
        <n v="219400"/>
        <n v="30800"/>
        <n v="268800"/>
        <n v="192300"/>
        <n v="97400"/>
        <n v="61600"/>
        <n v="91500"/>
        <n v="167484"/>
        <n v="169961"/>
        <n v="97318"/>
        <n v="59267"/>
        <n v="144028"/>
        <n v="135585"/>
        <n v="9083"/>
        <n v="162719"/>
        <n v="35220"/>
        <n v="65642"/>
        <n v="165998"/>
        <n v="78700"/>
        <n v="79600"/>
        <n v="95800"/>
        <n v="29139"/>
        <n v="129590"/>
        <n v="81532"/>
        <n v="161770"/>
        <n v="106239"/>
        <n v="137524"/>
        <n v="139648"/>
        <n v="89825"/>
        <n v="38184"/>
        <n v="107100"/>
        <n v="303100"/>
        <n v="74200"/>
        <n v="147500"/>
        <n v="52400"/>
        <n v="63800"/>
        <n v="69300"/>
        <n v="49738"/>
        <n v="77141"/>
        <n v="103022"/>
        <n v="75034"/>
        <n v="99162"/>
        <n v="88388"/>
        <n v="133800"/>
        <n v="67900"/>
        <n v="198200"/>
        <n v="111235"/>
        <n v="143536"/>
        <n v="10670"/>
        <n v="124676"/>
        <n v="42294"/>
        <n v="122755"/>
        <n v="62917"/>
        <n v="19634"/>
        <n v="21135"/>
        <n v="100419"/>
        <n v="9240"/>
        <n v="143940"/>
        <n v="168346"/>
        <n v="34000"/>
        <n v="59600"/>
        <n v="87600"/>
        <n v="247600"/>
        <n v="185600"/>
        <n v="135400"/>
        <n v="91537"/>
        <n v="53191"/>
        <n v="136599"/>
        <n v="87826"/>
        <n v="118712"/>
        <n v="119965"/>
        <n v="18539"/>
        <n v="151071"/>
        <n v="33499"/>
        <n v="155772"/>
        <n v="106517"/>
        <n v="168471"/>
        <n v="9481"/>
        <n v="146169"/>
        <n v="158786"/>
        <n v="133242"/>
        <n v="135700"/>
        <n v="141200"/>
        <n v="188200"/>
        <n v="234600"/>
        <n v="438300"/>
        <n v="163015"/>
        <n v="124815"/>
        <n v="13570"/>
        <n v="145310"/>
        <n v="54788"/>
        <n v="159922"/>
        <n v="127162"/>
        <n v="107613"/>
        <n v="156957"/>
        <n v="37838"/>
        <n v="102775"/>
        <n v="144589"/>
        <n v="26699"/>
        <n v="70400"/>
        <n v="97500"/>
        <n v="55900"/>
        <n v="220200"/>
        <n v="89200"/>
        <n v="68400"/>
        <n v="79700"/>
        <n v="205900"/>
        <n v="104100"/>
        <n v="195300"/>
        <n v="60420"/>
        <n v="19159"/>
        <n v="18357"/>
        <n v="83793"/>
        <n v="120440"/>
        <n v="121248"/>
        <n v="26780"/>
        <n v="135300"/>
        <n v="118200"/>
        <n v="77900"/>
        <n v="78800"/>
        <n v="161700"/>
        <n v="136272"/>
        <n v="155445"/>
        <n v="52330"/>
        <n v="52976"/>
        <n v="93854"/>
        <n v="96205"/>
        <n v="155345"/>
        <n v="119679"/>
        <n v="175100"/>
        <n v="211200"/>
        <n v="202400"/>
        <n v="110305"/>
        <n v="90994"/>
        <n v="156217"/>
        <n v="58450"/>
        <n v="116485"/>
        <n v="44317"/>
        <n v="37107"/>
        <n v="156158"/>
        <n v="16949"/>
        <n v="73900"/>
        <n v="50200"/>
        <n v="231700"/>
        <n v="109100"/>
        <n v="96100"/>
        <n v="190100"/>
        <n v="126901"/>
        <n v="17811"/>
        <n v="27235"/>
        <n v="85528"/>
        <n v="61405"/>
        <n v="90549"/>
        <n v="108570"/>
        <n v="67799"/>
        <n v="166205"/>
        <n v="288600"/>
        <n v="92400"/>
        <n v="123800"/>
        <n v="90400"/>
        <n v="60466"/>
        <n v="165885"/>
        <n v="169692"/>
        <n v="48252"/>
        <n v="136706"/>
        <n v="107181"/>
        <n v="106669"/>
        <n v="80235"/>
        <n v="17374"/>
        <n v="13788"/>
        <n v="26687"/>
        <n v="358900"/>
        <n v="226400"/>
        <n v="193700"/>
        <n v="58800"/>
        <n v="454100"/>
        <n v="114900"/>
        <n v="141900"/>
        <n v="168367"/>
        <n v="35297"/>
        <n v="74951"/>
        <n v="157076"/>
        <n v="27616"/>
        <n v="15782"/>
        <n v="118594"/>
        <n v="39018"/>
        <n v="69208"/>
        <n v="27192"/>
        <n v="135123"/>
        <n v="53308"/>
        <n v="154400"/>
        <n v="113400"/>
        <n v="143200"/>
        <n v="182700"/>
        <n v="98100"/>
        <n v="30133"/>
        <n v="151464"/>
        <n v="86830"/>
        <n v="79626"/>
        <n v="145300"/>
        <n v="208500"/>
        <n v="114642"/>
        <n v="44942"/>
        <n v="110373"/>
        <n v="126007"/>
        <n v="149196"/>
        <n v="90702"/>
        <n v="141319"/>
        <n v="17719"/>
        <n v="106872"/>
        <n v="64356"/>
        <n v="105240"/>
        <n v="45558"/>
        <n v="324300"/>
        <n v="73800"/>
        <n v="201800"/>
        <n v="237500"/>
        <n v="64400"/>
        <n v="119600"/>
        <n v="95500"/>
        <n v="207600"/>
        <n v="161300"/>
        <n v="155600"/>
        <n v="110600"/>
        <n v="155551"/>
        <n v="127101"/>
        <n v="135398"/>
        <n v="22347"/>
        <n v="148510"/>
        <n v="144983"/>
        <n v="40606"/>
        <n v="126428"/>
        <n v="213700"/>
        <n v="136200"/>
        <n v="104800"/>
        <n v="65600"/>
        <n v="83500"/>
        <n v="162812"/>
        <n v="49534"/>
        <n v="56736"/>
        <n v="48310"/>
        <n v="147908"/>
        <n v="109196"/>
        <n v="53800"/>
        <n v="293100"/>
        <n v="201400"/>
        <n v="43048"/>
        <n v="51882"/>
        <n v="68926"/>
        <n v="150302"/>
        <n v="84531"/>
        <n v="57921"/>
        <n v="258900"/>
        <n v="206000"/>
        <n v="124458"/>
        <n v="56507"/>
        <n v="38666"/>
        <n v="116025"/>
        <n v="61156"/>
        <n v="131140"/>
        <n v="57801"/>
        <n v="158291"/>
        <n v="86400"/>
        <n v="124300"/>
        <n v="103300"/>
        <n v="48700"/>
        <n v="161948"/>
        <n v="61753"/>
        <n v="31818"/>
        <n v="113395"/>
        <n v="126639"/>
        <n v="62284"/>
        <n v="53996"/>
        <n v="75400"/>
        <n v="126400"/>
        <n v="159814"/>
        <n v="108606"/>
        <n v="38295"/>
        <n v="20695"/>
        <n v="90373"/>
        <n v="126198"/>
        <n v="153086"/>
        <n v="78143"/>
        <n v="98900"/>
        <n v="96900"/>
        <n v="104000"/>
        <n v="57600"/>
        <n v="193900"/>
        <n v="117600"/>
        <n v="60132"/>
        <n v="97038"/>
        <n v="147035"/>
        <n v="104647"/>
        <n v="65272"/>
        <n v="71506"/>
        <n v="79251"/>
        <n v="110794"/>
        <n v="33205"/>
        <n v="37500"/>
        <n v="209100"/>
        <n v="100600"/>
        <n v="119219"/>
        <n v="71840"/>
        <n v="116879"/>
        <n v="40029"/>
        <n v="34662"/>
        <n v="12471"/>
        <n v="20131"/>
        <n v="10445"/>
        <n v="112403"/>
        <n v="116453"/>
        <n v="102300"/>
        <n v="159400"/>
        <n v="158000"/>
        <n v="283800"/>
        <n v="59300"/>
        <n v="65630"/>
        <n v="53418"/>
        <n v="161432"/>
        <n v="118974"/>
        <n v="125532"/>
        <n v="142916"/>
        <n v="74986"/>
        <n v="119635"/>
        <n v="13745"/>
        <n v="246200"/>
        <n v="129000"/>
        <n v="142100"/>
        <n v="145800"/>
        <n v="107800"/>
        <n v="12667"/>
        <n v="13196"/>
        <n v="86353"/>
        <n v="68501"/>
        <n v="155640"/>
        <n v="46270"/>
        <n v="37725"/>
        <n v="91138"/>
        <n v="160499"/>
        <n v="152300"/>
        <n v="174600"/>
        <n v="113100"/>
        <n v="50400"/>
        <n v="238800"/>
        <n v="105509"/>
        <n v="48022"/>
        <n v="162039"/>
        <n v="24350"/>
        <n v="28155"/>
        <n v="72908"/>
        <n v="147326"/>
        <n v="79064"/>
        <n v="106344"/>
        <n v="48791"/>
        <n v="147700"/>
        <n v="86600"/>
        <n v="245000"/>
        <n v="87300"/>
        <n v="168710"/>
        <n v="77739"/>
        <n v="15762"/>
        <n v="89283"/>
        <n v="99004"/>
        <n v="140973"/>
        <n v="103716"/>
        <n v="83957"/>
        <n v="128737"/>
        <n v="152385"/>
        <n v="91620"/>
        <n v="220900"/>
        <n v="75500"/>
        <n v="194900"/>
        <n v="46800"/>
        <n v="233400"/>
        <n v="90800"/>
        <n v="139200"/>
        <n v="117390"/>
        <n v="117929"/>
        <n v="67959"/>
        <n v="35506"/>
        <n v="100372"/>
        <n v="168788"/>
        <n v="48224"/>
        <n v="14308"/>
        <n v="85201"/>
        <n v="9578"/>
        <n v="81711"/>
        <n v="144759"/>
        <n v="92900"/>
        <n v="72200"/>
        <n v="269300"/>
        <n v="217700"/>
        <n v="297200"/>
        <n v="69127"/>
        <n v="138929"/>
        <n v="104766"/>
        <n v="106901"/>
        <n v="111348"/>
        <n v="21026"/>
        <n v="104550"/>
        <n v="110897"/>
        <n v="11401"/>
        <n v="76200"/>
        <n v="89300"/>
        <n v="108100"/>
        <n v="52200"/>
        <n v="100200"/>
        <n v="133400"/>
        <n v="120179"/>
        <n v="20167"/>
        <n v="124639"/>
        <n v="28548"/>
        <n v="14642"/>
        <n v="35605"/>
        <n v="155460"/>
        <n v="91705"/>
        <n v="12528"/>
        <n v="63119"/>
        <n v="160100"/>
        <n v="220600"/>
        <n v="184400"/>
        <n v="36600"/>
        <n v="289900"/>
        <n v="71297"/>
        <n v="135304"/>
        <n v="50381"/>
        <n v="90109"/>
        <n v="160324"/>
        <n v="127429"/>
        <n v="137062"/>
        <n v="134025"/>
        <n v="61968"/>
        <n v="86672"/>
        <n v="19826"/>
        <n v="62693"/>
        <n v="9823"/>
        <n v="60887"/>
        <n v="147038"/>
        <n v="226300"/>
        <n v="37800"/>
        <n v="162300"/>
        <n v="281200"/>
        <n v="118400"/>
        <n v="59060"/>
        <n v="32987"/>
        <n v="29329"/>
        <n v="137465"/>
        <n v="81454"/>
        <n v="89688"/>
        <n v="21528"/>
        <n v="123983"/>
        <n v="72195"/>
        <n v="16078"/>
        <n v="111410"/>
        <n v="194400"/>
        <n v="315200"/>
        <n v="190000"/>
        <n v="160800"/>
        <n v="101300"/>
        <n v="64000"/>
        <n v="148669"/>
        <n v="14677"/>
        <n v="62827"/>
        <n v="36594"/>
        <n v="113026"/>
        <n v="147299"/>
        <n v="155871"/>
        <n v="160623"/>
        <n v="80333"/>
        <n v="150292"/>
        <n v="121900"/>
        <n v="231900"/>
        <n v="42900"/>
        <n v="213300"/>
        <n v="114700"/>
        <n v="97194"/>
        <n v="97511"/>
        <n v="18921"/>
        <n v="15166"/>
        <n v="22436"/>
        <n v="33937"/>
        <n v="19632"/>
        <n v="29600"/>
        <n v="54600"/>
        <n v="76000"/>
        <n v="128100"/>
        <n v="390900"/>
        <n v="71800"/>
        <n v="184600"/>
        <n v="113909"/>
        <n v="114596"/>
        <n v="17793"/>
        <n v="9896"/>
        <n v="122337"/>
        <n v="145668"/>
        <n v="97700"/>
        <n v="85906"/>
        <n v="166403"/>
        <n v="62384"/>
        <n v="45861"/>
        <n v="8542"/>
        <n v="89435"/>
        <n v="93886"/>
        <n v="125351"/>
        <n v="213800"/>
        <n v="219600"/>
        <n v="57300"/>
        <n v="146200"/>
        <n v="43841"/>
        <n v="71123"/>
        <n v="149266"/>
        <n v="52544"/>
        <n v="158992"/>
        <n v="71182"/>
        <n v="93407"/>
        <n v="79678"/>
        <n v="168977"/>
        <n v="96672"/>
        <n v="150440"/>
        <n v="135362"/>
        <n v="155968"/>
        <n v="48908"/>
        <n v="22026"/>
        <n v="66778"/>
        <n v="167022"/>
        <n v="27959"/>
        <n v="58625"/>
        <n v="143381"/>
        <n v="89600"/>
        <n v="102600"/>
        <n v="152700"/>
        <n v="198900"/>
        <n v="53200"/>
        <n v="142700"/>
        <n v="146700"/>
        <n v="24931"/>
        <n v="101863"/>
        <n v="48807"/>
        <n v="78512"/>
        <n v="163819"/>
        <n v="134095"/>
        <n v="45850"/>
        <n v="117200"/>
        <n v="241800"/>
        <n v="120900"/>
        <n v="8608"/>
        <n v="28581"/>
        <n v="47128"/>
        <n v="73747"/>
        <n v="77590"/>
        <n v="42483"/>
        <n v="145725"/>
        <n v="125786"/>
        <n v="124199"/>
        <n v="26909"/>
        <n v="291200"/>
        <n v="118900"/>
        <n v="143600"/>
        <n v="99100"/>
        <n v="48955"/>
        <n v="118424"/>
        <n v="131124"/>
        <n v="109818"/>
        <n v="97232"/>
        <n v="159294"/>
        <n v="143163"/>
        <n v="142765"/>
        <n v="130250"/>
        <n v="92843"/>
        <n v="106300"/>
        <n v="211700"/>
        <n v="176800"/>
        <n v="71200"/>
        <n v="151700"/>
        <n v="161528"/>
        <n v="122188"/>
        <n v="22264"/>
        <n v="107605"/>
        <n v="299300"/>
        <n v="90500"/>
        <n v="81900"/>
        <n v="50734"/>
        <n v="117938"/>
        <n v="35278"/>
        <n v="109211"/>
        <n v="50301"/>
        <n v="141156"/>
        <n v="143237"/>
        <n v="130916"/>
        <n v="81339"/>
        <n v="76402"/>
        <n v="142600"/>
        <n v="151600"/>
        <n v="100700"/>
        <n v="131400"/>
        <n v="375400"/>
        <n v="65000"/>
        <n v="59855"/>
        <n v="135982"/>
        <n v="41038"/>
        <n v="145075"/>
        <n v="74505"/>
        <n v="15574"/>
        <n v="55999"/>
        <n v="107782"/>
        <n v="138751"/>
        <n v="117121"/>
        <n v="25751"/>
        <n v="78727"/>
        <n v="209300"/>
        <n v="152500"/>
        <n v="190500"/>
        <n v="232000"/>
        <n v="52900"/>
        <n v="34965"/>
        <n v="91189"/>
        <n v="38071"/>
        <n v="128661"/>
        <n v="134435"/>
        <n v="168613"/>
        <n v="12323"/>
        <n v="64300"/>
        <n v="40300"/>
        <n v="23800"/>
        <n v="25963"/>
        <n v="66425"/>
        <n v="169899"/>
        <n v="150885"/>
        <n v="153605"/>
        <n v="33755"/>
        <n v="165743"/>
        <n v="58906"/>
        <n v="97618"/>
        <n v="19149"/>
        <n v="104672"/>
        <n v="78378"/>
        <n v="31336"/>
        <n v="201700"/>
        <n v="139100"/>
        <n v="100500"/>
        <n v="263000"/>
        <n v="264700"/>
        <n v="80000"/>
        <n v="230900"/>
        <n v="135482"/>
        <n v="50248"/>
        <n v="168732"/>
        <n v="118945"/>
        <n v="150813"/>
        <n v="127901"/>
        <n v="60793"/>
        <n v="77939"/>
        <n v="203900"/>
        <n v="77500"/>
        <n v="47537"/>
        <n v="42508"/>
        <n v="136939"/>
        <n v="92122"/>
        <n v="113777"/>
        <n v="67826"/>
        <n v="103331"/>
        <n v="142821"/>
        <n v="28435"/>
        <n v="152297"/>
        <n v="25121"/>
        <n v="80023"/>
        <n v="86738"/>
        <n v="103600"/>
        <n v="181300"/>
        <n v="157600"/>
        <n v="121100"/>
        <n v="171600"/>
        <n v="62100"/>
        <n v="41600"/>
        <n v="135046"/>
        <n v="70338"/>
        <n v="84585"/>
        <n v="13825"/>
        <n v="12651"/>
        <n v="169258"/>
        <n v="54195"/>
        <n v="17633"/>
        <n v="52635"/>
        <n v="115843"/>
        <n v="138639"/>
        <n v="96519"/>
        <n v="71491"/>
        <n v="147188"/>
        <n v="14210"/>
        <n v="109500"/>
        <n v="217000"/>
        <n v="180300"/>
        <n v="184200"/>
        <n v="326800"/>
        <n v="173800"/>
        <n v="75600"/>
        <n v="112271"/>
        <n v="84093"/>
        <n v="36658"/>
        <n v="153019"/>
        <n v="124854"/>
        <n v="96109"/>
        <n v="34874"/>
        <n v="106665"/>
        <n v="122594"/>
        <n v="22803"/>
        <n v="154101"/>
        <n v="33471"/>
        <n v="228500"/>
        <n v="178500"/>
        <n v="202600"/>
        <n v="174500"/>
        <n v="192700"/>
        <n v="114000"/>
        <n v="83000"/>
        <n v="41754"/>
        <n v="30456"/>
        <n v="81023"/>
        <n v="84969"/>
        <n v="87664"/>
        <n v="73029"/>
        <n v="15042"/>
        <n v="138257"/>
        <n v="137700"/>
        <n v="135900"/>
        <n v="318000"/>
        <n v="75100"/>
        <n v="54994"/>
        <n v="59879"/>
        <n v="76342"/>
        <n v="62601"/>
        <n v="41314"/>
        <n v="100964"/>
        <n v="35943"/>
        <n v="88544"/>
        <n v="267600"/>
        <n v="124000"/>
        <n v="105914"/>
        <n v="128471"/>
        <n v="78539"/>
        <n v="58971"/>
        <n v="151369"/>
        <n v="20027"/>
        <n v="129229"/>
        <n v="69700"/>
        <n v="118300"/>
        <n v="55200"/>
        <n v="141600"/>
        <n v="77850"/>
        <n v="10020"/>
        <n v="64909"/>
        <n v="78859"/>
        <n v="30681"/>
        <n v="130383"/>
        <n v="87131"/>
        <n v="68099"/>
        <n v="59164"/>
        <n v="159960"/>
        <n v="47100"/>
        <n v="221700"/>
        <n v="133100"/>
        <n v="15153"/>
        <n v="146954"/>
        <n v="74195"/>
        <n v="48671"/>
        <n v="36125"/>
        <n v="46933"/>
        <n v="16962"/>
        <n v="9298"/>
        <n v="83242"/>
        <n v="18727"/>
        <n v="80422"/>
        <n v="47392"/>
        <n v="70230"/>
        <n v="24034"/>
        <n v="60500"/>
        <n v="145200"/>
        <n v="93500"/>
        <n v="102900"/>
        <n v="84620"/>
        <n v="136619"/>
        <n v="91268"/>
        <n v="95623"/>
        <n v="118520"/>
        <n v="41055"/>
        <n v="126670"/>
        <n v="71242"/>
        <n v="122467"/>
        <n v="38968"/>
        <n v="17964"/>
        <n v="77246"/>
        <n v="119803"/>
        <n v="76285"/>
        <n v="28345"/>
        <n v="69500"/>
        <n v="204600"/>
        <n v="136600"/>
        <n v="103200"/>
        <n v="323500"/>
        <n v="49800"/>
        <n v="200800"/>
        <n v="55467"/>
        <n v="82216"/>
        <n v="162399"/>
        <n v="40938"/>
        <n v="52722"/>
        <n v="78519"/>
        <n v="61285"/>
        <n v="93874"/>
        <n v="34993"/>
        <n v="156534"/>
        <n v="116794"/>
        <n v="62189"/>
        <n v="57159"/>
        <n v="33900"/>
        <n v="241000"/>
        <n v="70600"/>
        <n v="99700"/>
        <n v="73000"/>
        <n v="62700"/>
        <n v="91900"/>
        <n v="170600"/>
        <n v="36950"/>
        <n v="113086"/>
        <n v="63111"/>
        <n v="36228"/>
        <n v="179800"/>
        <n v="276300"/>
        <n v="144800"/>
        <n v="156679"/>
        <n v="13000"/>
        <n v="32466"/>
        <n v="51675"/>
        <n v="60379"/>
        <n v="74706"/>
        <n v="152569"/>
        <n v="151536"/>
        <n v="54585"/>
        <n v="151024"/>
        <n v="75266"/>
        <n v="10075"/>
        <n v="76834"/>
        <n v="55927"/>
        <n v="286800"/>
        <n v="68393"/>
        <n v="115001"/>
        <n v="18285"/>
        <n v="156259"/>
        <n v="9304"/>
        <n v="82455"/>
        <n v="133956"/>
        <n v="144246"/>
        <n v="104200"/>
        <n v="182600"/>
        <n v="561700"/>
        <n v="163200"/>
        <n v="117833"/>
        <n v="86854"/>
        <n v="113264"/>
        <n v="25532"/>
        <n v="102134"/>
        <n v="78400"/>
        <n v="37421"/>
        <n v="133279"/>
        <n v="39178"/>
        <n v="153894"/>
        <n v="92058"/>
        <n v="152119"/>
        <n v="77568"/>
        <n v="69409"/>
        <n v="118377"/>
        <n v="86457"/>
        <n v="82272"/>
        <n v="79309"/>
        <n v="35396"/>
        <n v="202500"/>
        <n v="124100"/>
        <n v="127600"/>
        <n v="374400"/>
        <n v="216500"/>
        <n v="31790"/>
        <n v="55390"/>
        <n v="40744"/>
        <n v="36165"/>
        <n v="115652"/>
        <n v="52476"/>
        <n v="101357"/>
        <n v="104700"/>
        <n v="179700"/>
        <n v="35700"/>
        <n v="31900"/>
        <n v="236200"/>
        <n v="167739"/>
        <n v="149825"/>
        <n v="62423"/>
        <n v="39699"/>
        <n v="104156"/>
        <n v="40374"/>
        <n v="105671"/>
        <n v="154501"/>
        <n v="227000"/>
        <n v="54200"/>
        <n v="264500"/>
        <n v="61300"/>
        <n v="75024"/>
        <n v="17560"/>
        <n v="65022"/>
        <n v="43500"/>
        <n v="83805"/>
        <n v="82382"/>
        <n v="117089"/>
        <n v="97739"/>
        <n v="169209"/>
        <n v="84318"/>
        <n v="84787"/>
        <n v="118454"/>
        <n v="38300"/>
        <n v="113000"/>
        <n v="30547"/>
        <n v="132858"/>
        <n v="112215"/>
        <n v="99184"/>
        <n v="128768"/>
        <n v="91532"/>
        <n v="20785"/>
        <n v="101500"/>
        <n v="100300"/>
        <n v="207300"/>
        <n v="117500"/>
        <n v="237200"/>
        <n v="189300"/>
        <n v="160313"/>
        <n v="44783"/>
        <n v="151223"/>
        <n v="138637"/>
        <n v="55192"/>
        <n v="32408"/>
        <n v="153741"/>
        <n v="19763"/>
        <n v="124968"/>
        <n v="13896"/>
        <n v="132059"/>
        <n v="194500"/>
        <n v="60200"/>
        <n v="81700"/>
        <n v="110047"/>
        <n v="119830"/>
        <n v="147761"/>
        <n v="157822"/>
        <n v="81025"/>
        <n v="70330"/>
        <n v="111136"/>
        <n v="18769"/>
        <n v="127324"/>
        <n v="77580"/>
        <n v="143400"/>
        <n v="76600"/>
        <n v="76300"/>
        <n v="89000"/>
        <n v="140200"/>
        <n v="66918"/>
        <n v="123874"/>
        <n v="62436"/>
        <n v="68149"/>
        <n v="8636"/>
        <n v="149592"/>
        <n v="76224"/>
        <n v="134029"/>
        <n v="11440"/>
        <n v="151480"/>
        <n v="11919"/>
        <n v="163525"/>
        <n v="71021"/>
        <n v="138900"/>
        <n v="275300"/>
        <n v="116000"/>
        <n v="283700"/>
        <n v="154000"/>
        <n v="49600"/>
        <n v="277800"/>
        <n v="14224"/>
        <n v="74931"/>
        <n v="45761"/>
        <n v="106312"/>
        <n v="60693"/>
        <n v="140146"/>
        <n v="143092"/>
        <n v="123126"/>
        <n v="125200"/>
        <n v="88000"/>
        <n v="83200"/>
        <n v="142800"/>
        <n v="150647"/>
        <n v="135545"/>
        <n v="58459"/>
        <n v="12967"/>
        <n v="160466"/>
        <n v="164706"/>
        <n v="90828"/>
        <n v="29360"/>
        <n v="92248"/>
        <n v="161100"/>
        <n v="231400"/>
        <n v="57200"/>
        <n v="172100"/>
        <n v="210200"/>
        <n v="128800"/>
        <n v="118030"/>
        <n v="158316"/>
        <n v="37834"/>
        <n v="34905"/>
        <n v="82683"/>
        <n v="82051"/>
        <n v="18701"/>
        <n v="54728"/>
        <n v="79220"/>
        <n v="127283"/>
        <n v="33376"/>
        <n v="147900"/>
        <n v="88700"/>
        <n v="341700"/>
        <n v="136300"/>
        <n v="212600"/>
        <n v="148800"/>
        <n v="160700"/>
        <n v="155500"/>
        <n v="51189"/>
        <n v="152931"/>
        <n v="137401"/>
        <n v="110798"/>
        <n v="54273"/>
        <n v="78068"/>
        <n v="33544"/>
        <n v="123796"/>
        <n v="83281"/>
        <n v="60172"/>
        <n v="158857"/>
        <n v="37345"/>
        <n v="72237"/>
        <n v="13410"/>
        <n v="124800"/>
        <n v="210300"/>
        <n v="60100"/>
        <n v="65300"/>
        <n v="24483"/>
        <n v="97835"/>
        <n v="71039"/>
        <n v="103105"/>
        <n v="79031"/>
        <n v="84894"/>
        <n v="136245"/>
        <n v="75799"/>
        <n v="126262"/>
        <n v="149600"/>
        <n v="252700"/>
        <n v="66900"/>
        <n v="232900"/>
        <n v="109374"/>
        <n v="159094"/>
        <n v="58228"/>
        <n v="130164"/>
        <n v="46002"/>
        <n v="56247"/>
        <n v="114062"/>
        <n v="158165"/>
        <n v="164338"/>
        <n v="32041"/>
        <n v="26672"/>
        <n v="120665"/>
        <n v="25067"/>
        <n v="100969"/>
        <n v="154500"/>
        <n v="262800"/>
        <n v="65200"/>
        <n v="106000"/>
        <n v="215600"/>
        <n v="83100"/>
        <n v="201000"/>
        <n v="37658"/>
        <n v="49006"/>
        <n v="73721"/>
        <n v="67006"/>
        <n v="8037"/>
        <n v="55548"/>
        <n v="31901"/>
        <n v="121047"/>
        <n v="11110"/>
        <n v="120165"/>
        <n v="77526"/>
        <n v="320200"/>
        <n v="200900"/>
        <n v="243700"/>
        <n v="158400"/>
        <n v="336200"/>
        <n v="175600"/>
        <n v="30600"/>
        <n v="47802"/>
        <n v="139729"/>
        <n v="58224"/>
        <n v="78970"/>
        <n v="69988"/>
        <n v="169161"/>
        <n v="79362"/>
        <n v="87494"/>
        <n v="48382"/>
        <n v="138382"/>
        <n v="104611"/>
        <n v="42912"/>
        <n v="44473"/>
        <n v="122115"/>
        <n v="151821"/>
        <n v="109800"/>
        <n v="207500"/>
        <n v="263800"/>
        <n v="151500"/>
        <n v="79000"/>
        <n v="251400"/>
        <n v="53241"/>
        <n v="163977"/>
        <n v="142027"/>
        <n v="63310"/>
        <n v="82983"/>
        <n v="20897"/>
        <n v="138944"/>
        <n v="91258"/>
        <n v="62900"/>
        <n v="173700"/>
        <n v="174100"/>
        <n v="199200"/>
        <n v="148178"/>
        <n v="14900"/>
        <n v="83014"/>
        <n v="94058"/>
        <n v="18531"/>
        <n v="41375"/>
        <n v="100437"/>
        <n v="104590"/>
        <n v="67717"/>
        <n v="87063"/>
        <n v="88274"/>
        <n v="50013"/>
        <n v="239600"/>
        <n v="159100"/>
        <n v="61100"/>
        <n v="64200"/>
        <n v="70700"/>
        <n v="224400"/>
        <n v="103772"/>
        <n v="150436"/>
        <n v="44363"/>
        <n v="99569"/>
        <n v="131211"/>
        <n v="110733"/>
        <n v="129268"/>
        <n v="8749"/>
        <n v="155769"/>
        <n v="52500"/>
        <n v="188800"/>
        <n v="194100"/>
        <n v="96170"/>
        <n v="54521"/>
        <n v="131118"/>
        <n v="139823"/>
        <n v="23169"/>
        <n v="149301"/>
        <n v="55172"/>
        <n v="106572"/>
        <n v="154379"/>
        <n v="132302"/>
        <n v="50706"/>
        <n v="131736"/>
        <n v="189400"/>
        <n v="83700"/>
        <n v="74600"/>
        <n v="127300"/>
        <n v="161939"/>
        <n v="104676"/>
        <n v="60483"/>
        <n v="114091"/>
        <n v="135418"/>
        <n v="145183"/>
        <n v="147598"/>
        <n v="126020"/>
        <n v="163951"/>
        <n v="37914"/>
        <n v="131809"/>
        <n v="153044"/>
        <n v="134700"/>
        <n v="55000"/>
        <n v="90100"/>
        <n v="90000"/>
        <n v="116596"/>
        <n v="118103"/>
        <n v="28309"/>
        <n v="57684"/>
        <n v="87200"/>
        <n v="172300"/>
        <n v="105313"/>
        <n v="161071"/>
        <n v="27052"/>
        <n v="123773"/>
        <n v="134174"/>
        <n v="175500"/>
        <n v="35000"/>
        <n v="203700"/>
        <n v="233300"/>
        <n v="230200"/>
        <n v="116527"/>
        <n v="12096"/>
        <n v="140422"/>
        <n v="65846"/>
        <n v="15536"/>
        <n v="152938"/>
        <n v="71711"/>
        <n v="119065"/>
        <n v="90287"/>
        <n v="99811"/>
        <n v="153466"/>
        <n v="162638"/>
        <n v="72991"/>
        <n v="143449"/>
        <n v="229700"/>
        <n v="121000"/>
        <n v="85600"/>
        <n v="185100"/>
        <n v="177500"/>
        <n v="189900"/>
        <n v="81095"/>
        <n v="40391"/>
        <n v="42556"/>
        <n v="99739"/>
        <n v="136990"/>
        <n v="135192"/>
        <n v="97362"/>
        <n v="47883"/>
        <n v="109506"/>
        <n v="62400"/>
        <n v="115900"/>
        <n v="46520"/>
        <n v="8623"/>
        <n v="164233"/>
        <n v="120747"/>
        <n v="63991"/>
        <n v="112770"/>
        <n v="62968"/>
        <n v="107900"/>
        <n v="175000"/>
        <n v="93100"/>
        <n v="62241"/>
        <n v="166338"/>
        <n v="65378"/>
        <n v="70939"/>
        <n v="97309"/>
        <n v="148030"/>
        <n v="61972"/>
        <n v="140839"/>
        <n v="161696"/>
        <n v="72800"/>
        <n v="921700"/>
        <n v="67525"/>
        <n v="48450"/>
        <n v="95259"/>
        <n v="77600"/>
        <n v="108638"/>
        <n v="55971"/>
        <n v="84559"/>
        <n v="137960"/>
        <n v="17038"/>
        <n v="25046"/>
        <n v="57792"/>
        <n v="68086"/>
        <n v="185200"/>
        <n v="187500"/>
        <n v="134600"/>
        <n v="212000"/>
        <n v="66700"/>
        <n v="158266"/>
        <n v="70586"/>
        <n v="86245"/>
        <n v="153696"/>
        <n v="62061"/>
        <n v="157099"/>
        <n v="137100"/>
        <n v="99800"/>
        <n v="78000"/>
        <n v="121305"/>
        <n v="71826"/>
        <n v="158651"/>
        <n v="164236"/>
        <n v="58472"/>
        <n v="71444"/>
        <n v="23773"/>
        <n v="119590"/>
        <n v="83810"/>
        <n v="72731"/>
        <n v="37581"/>
        <n v="55759"/>
        <n v="100874"/>
        <n v="95835"/>
        <n v="154600"/>
        <n v="213200"/>
        <n v="36000"/>
        <n v="202700"/>
        <n v="137149"/>
        <n v="73344"/>
        <n v="129250"/>
        <n v="82233"/>
        <n v="104116"/>
        <n v="134229"/>
        <n v="72900"/>
        <n v="185400"/>
        <n v="84200"/>
        <n v="26276"/>
        <n v="141820"/>
        <n v="76640"/>
        <n v="58201"/>
        <n v="26935"/>
        <n v="121646"/>
        <n v="88894"/>
        <n v="105964"/>
        <n v="98300"/>
        <n v="41300"/>
        <n v="163360"/>
        <n v="118131"/>
        <n v="113442"/>
        <n v="67225"/>
        <n v="100146"/>
        <n v="57338"/>
        <n v="31788"/>
        <n v="94879"/>
        <n v="91798"/>
        <n v="13434"/>
        <n v="139971"/>
        <n v="23677"/>
        <n v="162607"/>
        <n v="177900"/>
        <n v="207700"/>
        <n v="58000"/>
        <n v="154900"/>
        <n v="128600"/>
        <n v="37700"/>
        <n v="53900"/>
        <n v="146043"/>
        <n v="107379"/>
        <n v="117785"/>
        <n v="62439"/>
        <n v="108576"/>
        <n v="24149"/>
        <n v="33503"/>
        <n v="169799"/>
        <n v="139787"/>
        <n v="156232"/>
        <n v="60904"/>
        <n v="58214"/>
        <n v="77794"/>
        <n v="144366"/>
        <n v="32482"/>
        <n v="163400"/>
        <n v="79800"/>
        <n v="224200"/>
        <n v="109000"/>
        <n v="167100"/>
        <n v="134500"/>
        <n v="122090"/>
        <n v="88665"/>
        <n v="104240"/>
        <n v="45436"/>
        <n v="82240"/>
        <n v="29610"/>
        <n v="95680"/>
        <n v="33443"/>
        <n v="126164"/>
        <n v="121385"/>
        <n v="59736"/>
        <n v="138309"/>
        <n v="94076"/>
        <n v="109095"/>
        <n v="111419"/>
        <n v="146594"/>
        <n v="37117"/>
        <n v="15474"/>
        <n v="198700"/>
        <n v="143800"/>
        <n v="68700"/>
        <n v="166900"/>
        <n v="145600"/>
        <n v="93400"/>
        <n v="28100"/>
        <n v="84700"/>
        <n v="111500"/>
        <n v="42343"/>
        <n v="33558"/>
        <n v="46880"/>
        <n v="91518"/>
        <n v="86901"/>
        <n v="25898"/>
        <n v="67831"/>
        <n v="129171"/>
        <n v="78311"/>
        <n v="125145"/>
        <n v="133506"/>
        <n v="105078"/>
        <n v="69800"/>
        <n v="76800"/>
        <n v="310600"/>
        <n v="68300"/>
        <n v="63671"/>
        <n v="72849"/>
        <n v="38254"/>
        <n v="100270"/>
        <n v="103607"/>
        <n v="147039"/>
        <n v="99414"/>
        <n v="120655"/>
        <n v="24698"/>
        <n v="92663"/>
        <n v="95200"/>
        <n v="209800"/>
        <n v="213400"/>
        <n v="256700"/>
        <n v="123000"/>
        <n v="100100"/>
        <n v="68007"/>
        <n v="98305"/>
        <n v="13504"/>
        <n v="132819"/>
        <n v="117232"/>
        <n v="105606"/>
        <n v="89463"/>
        <n v="71406"/>
        <n v="154459"/>
        <n v="83148"/>
        <n v="23609"/>
        <n v="110602"/>
        <n v="98671"/>
        <n v="143310"/>
        <n v="10314"/>
        <n v="128700"/>
        <n v="69600"/>
        <n v="161260"/>
        <n v="114332"/>
        <n v="113010"/>
        <n v="85062"/>
        <n v="156719"/>
        <n v="113856"/>
        <n v="143738"/>
        <n v="86892"/>
        <n v="161339"/>
        <n v="50377"/>
        <n v="107835"/>
        <n v="117532"/>
        <n v="115511"/>
        <n v="37863"/>
        <n v="38434"/>
        <n v="121995"/>
        <n v="128900"/>
        <n v="276400"/>
        <n v="285000"/>
        <n v="156100"/>
        <n v="178200"/>
        <n v="214900"/>
        <n v="105800"/>
        <n v="130900"/>
        <n v="173100"/>
        <n v="150800"/>
        <n v="135412"/>
        <n v="100527"/>
        <n v="105044"/>
        <n v="32305"/>
        <n v="12756"/>
        <n v="135991"/>
        <n v="140076"/>
        <n v="160278"/>
        <n v="77498"/>
        <n v="142924"/>
        <n v="153343"/>
        <n v="323400"/>
        <n v="131900"/>
        <n v="147800"/>
        <n v="81500"/>
        <n v="139700"/>
        <n v="125600"/>
        <n v="66100"/>
        <n v="88800"/>
        <n v="17788"/>
        <n v="109661"/>
        <n v="50884"/>
        <n v="140120"/>
        <n v="23524"/>
        <n v="200500"/>
        <n v="63300"/>
        <n v="54678"/>
        <n v="41208"/>
        <n v="90833"/>
        <n v="44233"/>
        <n v="45098"/>
        <n v="21245"/>
        <n v="101561"/>
        <n v="38261"/>
        <n v="99271"/>
        <n v="25921"/>
        <n v="120700"/>
        <n v="113600"/>
        <n v="123500"/>
        <n v="309200"/>
        <n v="144600"/>
        <n v="162127"/>
        <n v="71835"/>
        <n v="10217"/>
        <n v="49581"/>
        <n v="123569"/>
        <n v="106013"/>
        <n v="140700"/>
        <n v="122400"/>
        <n v="71335"/>
        <n v="69528"/>
        <n v="163363"/>
        <n v="137563"/>
        <n v="104309"/>
        <n v="137849"/>
        <n v="33685"/>
        <n v="159005"/>
        <n v="57449"/>
        <n v="17305"/>
        <n v="85415"/>
        <n v="240200"/>
        <n v="56000"/>
        <n v="243600"/>
        <n v="21553"/>
        <n v="18437"/>
        <n v="124245"/>
        <n v="103139"/>
        <n v="132372"/>
        <n v="168695"/>
        <n v="140300"/>
        <n v="138370"/>
        <n v="135549"/>
        <n v="29712"/>
        <n v="12758"/>
        <n v="92763"/>
        <n v="221300"/>
        <n v="51200"/>
        <n v="57941"/>
        <n v="133477"/>
        <n v="15793"/>
        <n v="49312"/>
        <n v="163393"/>
        <n v="152082"/>
        <n v="133041"/>
        <n v="64229"/>
        <n v="137383"/>
        <n v="125284"/>
        <n v="65500"/>
        <n v="190900"/>
        <n v="70502"/>
        <n v="13931"/>
        <n v="41489"/>
        <n v="131336"/>
        <n v="100904"/>
        <n v="150832"/>
        <n v="39117"/>
        <n v="63611"/>
        <n v="162190"/>
        <n v="81067"/>
        <n v="62324"/>
        <n v="55152"/>
        <n v="148530"/>
        <n v="243100"/>
        <n v="67600"/>
        <n v="208700"/>
        <n v="26476"/>
        <n v="147127"/>
        <n v="63242"/>
        <n v="156036"/>
        <n v="24015"/>
        <n v="88777"/>
        <n v="168864"/>
        <n v="66450"/>
        <n v="41934"/>
        <n v="166559"/>
        <n v="74300"/>
        <n v="249300"/>
        <n v="196600"/>
        <n v="211500"/>
        <n v="194600"/>
        <n v="82140"/>
        <n v="24308"/>
        <n v="152741"/>
        <n v="106354"/>
        <n v="71239"/>
        <n v="150177"/>
        <n v="22429"/>
        <n v="132343"/>
        <n v="53051"/>
        <n v="37460"/>
        <n v="141882"/>
        <n v="232200"/>
        <n v="349000"/>
        <n v="80300"/>
        <n v="168200"/>
        <n v="159689"/>
        <n v="90172"/>
        <n v="103415"/>
        <n v="156342"/>
        <n v="62527"/>
        <n v="54951"/>
        <n v="152597"/>
        <n v="168400"/>
        <n v="82860"/>
        <n v="107622"/>
        <n v="34339"/>
        <n v="46275"/>
        <n v="146987"/>
        <n v="38882"/>
        <n v="103701"/>
        <n v="92041"/>
        <n v="115821"/>
        <n v="43079"/>
        <n v="22879"/>
        <n v="146100"/>
        <n v="176000"/>
        <n v="61000"/>
        <n v="186800"/>
        <n v="237400"/>
        <n v="231800"/>
        <n v="132412"/>
        <n v="126256"/>
        <n v="66048"/>
        <n v="89602"/>
        <n v="93607"/>
        <n v="13177"/>
        <n v="62891"/>
        <n v="87028"/>
        <n v="22723"/>
        <n v="29274"/>
        <n v="129857"/>
        <n v="97547"/>
        <n v="157897"/>
        <n v="180700"/>
        <n v="210100"/>
        <n v="51700"/>
        <n v="59400"/>
        <n v="34544"/>
        <n v="163182"/>
        <n v="142742"/>
        <n v="51096"/>
        <n v="166502"/>
        <n v="8240"/>
        <n v="61194"/>
        <n v="45692"/>
        <n v="55976"/>
        <n v="102500"/>
        <n v="51100"/>
        <n v="211900"/>
        <n v="266900"/>
        <n v="151000"/>
        <n v="51491"/>
        <n v="73581"/>
        <n v="19734"/>
        <n v="123683"/>
        <n v="97124"/>
        <n v="98500"/>
        <n v="29952"/>
        <n v="161448"/>
        <n v="31521"/>
        <n v="149943"/>
        <n v="51871"/>
        <n v="143235"/>
        <n v="20404"/>
        <n v="136432"/>
        <n v="139112"/>
        <n v="195100"/>
        <n v="10332"/>
        <n v="23341"/>
        <n v="92905"/>
        <n v="25693"/>
        <n v="26908"/>
        <n v="142675"/>
        <n v="29023"/>
        <n v="132289"/>
        <n v="150331"/>
        <n v="120541"/>
        <n v="65718"/>
        <n v="29232"/>
        <n v="129786"/>
        <n v="110222"/>
        <n v="135878"/>
        <n v="234900"/>
        <n v="165500"/>
        <n v="297500"/>
        <n v="98200"/>
        <n v="102151"/>
        <n v="142536"/>
        <n v="153504"/>
        <n v="116154"/>
        <n v="23606"/>
        <n v="197000"/>
        <n v="214000"/>
        <n v="130847"/>
        <n v="52460"/>
        <n v="161530"/>
        <n v="102079"/>
        <n v="120568"/>
        <n v="68722"/>
        <n v="127976"/>
        <n v="152529"/>
        <n v="50680"/>
        <n v="114065"/>
        <n v="131300"/>
        <n v="183700"/>
        <n v="80700"/>
        <n v="323200"/>
        <n v="444600"/>
        <n v="19016"/>
        <n v="91001"/>
        <n v="95320"/>
        <n v="88002"/>
        <n v="137097"/>
        <n v="152322"/>
        <n v="95890"/>
        <n v="43662"/>
        <n v="49000"/>
        <n v="166392"/>
        <n v="149059"/>
        <n v="149314"/>
        <n v="121260"/>
        <n v="126063"/>
        <n v="156765"/>
        <n v="9906"/>
        <n v="84000"/>
        <n v="167400"/>
        <n v="86117"/>
        <n v="41434"/>
        <n v="113976"/>
        <n v="9286"/>
        <n v="101719"/>
        <n v="72183"/>
        <n v="64689"/>
        <n v="99207"/>
        <n v="64282"/>
        <n v="141865"/>
        <n v="194000"/>
        <n v="205300"/>
        <n v="71300"/>
        <n v="154800"/>
        <n v="234400"/>
        <n v="111700"/>
        <n v="39400"/>
        <n v="79734"/>
        <n v="71838"/>
        <n v="22675"/>
        <n v="81423"/>
        <n v="17279"/>
        <n v="131155"/>
        <n v="163013"/>
        <n v="38427"/>
        <n v="96397"/>
        <n v="111659"/>
        <n v="135234"/>
        <n v="101985"/>
        <n v="94053"/>
        <n v="99837"/>
        <n v="12071"/>
        <n v="39900"/>
        <n v="162400"/>
        <n v="198000"/>
        <n v="177800"/>
        <n v="162100"/>
        <n v="214600"/>
        <n v="125302"/>
        <n v="31364"/>
        <n v="35514"/>
        <n v="62491"/>
        <n v="75819"/>
        <n v="100965"/>
        <n v="147398"/>
        <n v="110723"/>
        <n v="98504"/>
        <n v="77574"/>
        <n v="134900"/>
        <n v="47800"/>
        <n v="88200"/>
        <n v="241300"/>
        <n v="123400"/>
        <n v="79900"/>
        <n v="66477"/>
        <n v="61232"/>
        <n v="47564"/>
        <n v="168103"/>
        <n v="59968"/>
        <n v="50178"/>
        <n v="151261"/>
        <n v="100568"/>
        <n v="138373"/>
        <n v="112694"/>
        <n v="249500"/>
        <n v="245500"/>
        <n v="174800"/>
        <n v="142223"/>
        <n v="150502"/>
        <n v="119112"/>
        <n v="101425"/>
        <n v="9400"/>
        <n v="33482"/>
        <n v="125349"/>
        <n v="161804"/>
        <n v="88802"/>
        <n v="15342"/>
        <n v="209600"/>
        <n v="278200"/>
        <n v="91300"/>
        <n v="13971"/>
        <n v="143177"/>
        <n v="43271"/>
        <n v="77454"/>
        <n v="165047"/>
        <n v="10919"/>
        <n v="132788"/>
        <n v="46531"/>
        <n v="168509"/>
        <n v="76594"/>
        <n v="156982"/>
        <n v="109089"/>
        <n v="19773"/>
        <n v="164679"/>
        <n v="151924"/>
        <n v="29834"/>
        <n v="133174"/>
        <n v="108200"/>
        <n v="76900"/>
        <n v="12390"/>
        <n v="130227"/>
        <n v="94810"/>
        <n v="108449"/>
        <n v="13740"/>
        <n v="10965"/>
        <n v="11813"/>
        <n v="35100"/>
        <n v="125100"/>
        <n v="344700"/>
        <n v="224500"/>
        <n v="30168"/>
        <n v="76919"/>
        <n v="136066"/>
        <n v="91184"/>
        <n v="151790"/>
        <n v="96069"/>
        <n v="279600"/>
        <n v="119349"/>
        <n v="26892"/>
        <n v="40969"/>
        <n v="29420"/>
        <n v="62780"/>
        <n v="35798"/>
        <n v="166097"/>
        <n v="88332"/>
        <n v="32449"/>
        <n v="20409"/>
        <n v="126000"/>
        <n v="184700"/>
        <n v="79300"/>
        <n v="155517"/>
        <n v="167308"/>
        <n v="157028"/>
        <n v="145426"/>
        <n v="23948"/>
        <n v="119857"/>
        <n v="16145"/>
        <n v="78057"/>
        <n v="123526"/>
        <n v="72933"/>
        <n v="112027"/>
        <n v="125032"/>
        <n v="69075"/>
        <n v="115100"/>
        <n v="288100"/>
        <n v="131144"/>
        <n v="17250"/>
        <n v="49445"/>
        <n v="169496"/>
        <n v="43218"/>
        <n v="138963"/>
        <n v="127254"/>
        <n v="123429"/>
        <n v="121600"/>
        <n v="180600"/>
        <n v="162471"/>
        <n v="154234"/>
        <n v="59126"/>
        <n v="77159"/>
        <n v="82696"/>
        <n v="61483"/>
        <n v="21460"/>
        <n v="31376"/>
        <n v="46036"/>
        <n v="62149"/>
        <n v="26578"/>
        <n v="123333"/>
        <n v="82500"/>
        <n v="59700"/>
        <n v="23410"/>
        <n v="16723"/>
        <n v="142648"/>
        <n v="97849"/>
        <n v="152045"/>
        <n v="61808"/>
        <n v="138764"/>
        <n v="128155"/>
        <n v="88852"/>
        <n v="118857"/>
        <n v="138305"/>
        <n v="47400"/>
        <n v="106200"/>
        <n v="151200"/>
        <n v="107500"/>
        <n v="118994"/>
        <n v="99659"/>
        <n v="27238"/>
        <n v="12391"/>
        <n v="33071"/>
        <n v="139972"/>
        <n v="159525"/>
        <n v="9212"/>
        <n v="121685"/>
        <n v="34452"/>
        <n v="168141"/>
        <n v="109463"/>
        <n v="151698"/>
        <n v="65036"/>
        <n v="78100"/>
        <n v="127800"/>
        <n v="113737"/>
        <n v="31307"/>
        <n v="165206"/>
        <n v="69405"/>
        <n v="19690"/>
        <n v="91645"/>
        <n v="148700"/>
        <n v="334800"/>
        <n v="24625"/>
        <n v="141076"/>
        <n v="78471"/>
        <n v="33124"/>
        <n v="132481"/>
        <n v="10775"/>
        <n v="60028"/>
        <n v="77538"/>
        <n v="23350"/>
        <n v="146679"/>
        <n v="66380"/>
        <n v="20140"/>
        <n v="168333"/>
        <n v="222500"/>
        <n v="66600"/>
        <n v="221500"/>
        <n v="94100"/>
        <n v="77700"/>
        <n v="166212"/>
        <n v="159064"/>
        <n v="36976"/>
        <n v="58007"/>
        <n v="93833"/>
        <n v="48754"/>
        <n v="169068"/>
        <n v="37535"/>
        <n v="64801"/>
        <n v="45448"/>
        <n v="39785"/>
        <n v="82708"/>
        <n v="74900"/>
        <n v="209900"/>
        <n v="122600"/>
        <n v="193200"/>
        <n v="153900"/>
        <n v="102952"/>
        <n v="31226"/>
        <n v="81933"/>
        <n v="22741"/>
        <n v="88296"/>
        <n v="158294"/>
        <n v="162697"/>
        <n v="17549"/>
        <n v="136630"/>
        <n v="63016"/>
        <n v="87770"/>
        <n v="141138"/>
        <n v="165239"/>
        <n v="168000"/>
        <n v="254700"/>
        <n v="163600"/>
        <n v="318400"/>
        <n v="34021"/>
        <n v="52454"/>
        <n v="78762"/>
        <n v="99540"/>
        <n v="95036"/>
        <n v="94424"/>
        <n v="164936"/>
        <n v="59096"/>
        <n v="72531"/>
        <n v="269200"/>
        <n v="43320"/>
        <n v="161879"/>
        <n v="155420"/>
        <n v="63634"/>
        <n v="99514"/>
        <n v="51567"/>
        <n v="141928"/>
        <n v="126377"/>
        <n v="21586"/>
        <n v="103209"/>
        <n v="154067"/>
        <n v="57046"/>
        <n v="117400"/>
        <n v="28321"/>
        <n v="98275"/>
        <n v="75116"/>
        <n v="68780"/>
        <n v="106632"/>
        <n v="100687"/>
        <n v="132500"/>
        <n v="114646"/>
        <n v="31585"/>
        <n v="49388"/>
        <n v="137457"/>
        <n v="61841"/>
        <n v="138729"/>
        <n v="152820"/>
        <n v="75136"/>
        <n v="166700"/>
        <n v="114100"/>
        <n v="116800"/>
        <n v="39700"/>
        <n v="149500"/>
        <n v="225500"/>
        <n v="158300"/>
        <n v="49725"/>
        <n v="130829"/>
        <n v="61760"/>
        <n v="84520"/>
        <n v="97506"/>
        <n v="72752"/>
        <n v="90823"/>
        <n v="50994"/>
        <n v="47242"/>
        <n v="240700"/>
        <n v="172500"/>
        <n v="63400"/>
        <n v="116553"/>
        <n v="30678"/>
        <n v="115885"/>
        <n v="33240"/>
        <n v="63351"/>
        <n v="80136"/>
        <n v="144000"/>
        <n v="132052"/>
        <n v="163214"/>
        <n v="149541"/>
        <n v="36965"/>
        <n v="109496"/>
        <n v="269400"/>
        <n v="55742"/>
        <n v="115354"/>
        <n v="73592"/>
        <n v="9360"/>
        <n v="93675"/>
        <n v="43886"/>
        <n v="55395"/>
        <n v="68355"/>
        <n v="17396"/>
        <n v="152054"/>
        <n v="133900"/>
        <n v="205600"/>
        <n v="116058"/>
        <n v="155573"/>
        <n v="45916"/>
        <n v="126788"/>
        <n v="61768"/>
        <n v="87119"/>
        <n v="103784"/>
        <n v="67478"/>
        <n v="13421"/>
        <n v="261100"/>
        <n v="106400"/>
        <n v="137300"/>
        <n v="30700"/>
        <n v="132865"/>
        <n v="92753"/>
        <n v="119260"/>
        <n v="58782"/>
        <n v="54614"/>
        <n v="152621"/>
        <n v="156132"/>
        <n v="152961"/>
        <n v="51640"/>
        <n v="149919"/>
        <n v="59479"/>
        <n v="147556"/>
        <n v="76430"/>
        <n v="68757"/>
        <n v="242100"/>
        <n v="258800"/>
        <n v="162900"/>
        <n v="245100"/>
        <n v="149800"/>
        <n v="137400"/>
        <n v="229100"/>
        <n v="83682"/>
        <n v="87488"/>
        <n v="138103"/>
        <n v="52319"/>
        <n v="40438"/>
        <n v="239800"/>
        <n v="192800"/>
        <n v="47911"/>
        <n v="111553"/>
        <n v="119443"/>
        <n v="121043"/>
        <n v="88481"/>
        <n v="21632"/>
        <n v="111900"/>
        <n v="109664"/>
        <n v="91538"/>
        <n v="52796"/>
        <n v="116556"/>
        <n v="148211"/>
        <n v="25410"/>
        <n v="54210"/>
        <n v="103944"/>
        <n v="125389"/>
        <n v="136261"/>
        <n v="45888"/>
        <n v="56900"/>
        <n v="31128"/>
        <n v="77914"/>
        <n v="162608"/>
        <n v="47231"/>
        <n v="165600"/>
        <n v="73886"/>
        <n v="51677"/>
        <n v="93534"/>
        <n v="146753"/>
        <n v="39577"/>
        <n v="86251"/>
        <n v="167000"/>
        <n v="167879"/>
        <n v="87597"/>
        <n v="154454"/>
        <n v="131934"/>
        <n v="42054"/>
        <n v="92711"/>
        <n v="165662"/>
        <n v="66643"/>
        <n v="98750"/>
        <n v="73862"/>
        <n v="162739"/>
        <n v="54108"/>
        <n v="26700"/>
        <n v="66800"/>
        <n v="189000"/>
        <n v="15800"/>
        <n v="73540"/>
        <n v="110140"/>
        <n v="147896"/>
        <n v="164900"/>
        <n v="155537"/>
        <n v="138541"/>
        <n v="73452"/>
        <n v="54604"/>
        <n v="11751"/>
        <n v="21791"/>
        <n v="139032"/>
        <n v="18126"/>
        <n v="169058"/>
        <n v="49181"/>
        <n v="157151"/>
        <n v="96615"/>
        <n v="131969"/>
        <n v="110851"/>
        <n v="255300"/>
        <n v="46451"/>
        <n v="35948"/>
        <n v="98766"/>
        <n v="27876"/>
        <n v="89784"/>
        <n v="108402"/>
        <n v="69572"/>
        <n v="30140"/>
        <n v="104565"/>
        <n v="89876"/>
        <n v="144100"/>
        <n v="103000"/>
        <n v="18802"/>
        <n v="167348"/>
        <n v="42128"/>
        <n v="79868"/>
        <n v="107042"/>
        <n v="134347"/>
        <n v="20202"/>
        <n v="42364"/>
        <n v="17349"/>
        <n v="53500"/>
        <n v="180400"/>
        <n v="147058"/>
        <n v="98355"/>
        <n v="73657"/>
        <n v="67323"/>
        <n v="188400"/>
        <n v="66200"/>
        <n v="28754"/>
        <n v="112182"/>
        <n v="43371"/>
        <n v="138611"/>
        <n v="23796"/>
        <n v="155746"/>
        <n v="90673"/>
        <n v="53322"/>
        <n v="175700"/>
        <n v="95600"/>
        <n v="102468"/>
        <n v="65560"/>
        <n v="95740"/>
        <n v="67785"/>
        <n v="163562"/>
        <n v="97128"/>
        <n v="74265"/>
        <n v="105564"/>
        <n v="74330"/>
        <n v="289600"/>
        <n v="160400"/>
        <n v="135374"/>
        <n v="13801"/>
        <n v="98915"/>
        <n v="42052"/>
        <n v="129489"/>
        <n v="168275"/>
        <n v="72698"/>
        <n v="123910"/>
        <n v="24964"/>
        <n v="53217"/>
        <n v="169324"/>
        <n v="18974"/>
        <n v="242900"/>
        <n v="123100"/>
        <n v="105000"/>
        <n v="32039"/>
        <n v="62450"/>
        <n v="89187"/>
        <n v="114369"/>
        <n v="29781"/>
        <n v="100517"/>
        <n v="163889"/>
        <n v="125333"/>
        <n v="60960"/>
        <n v="9270"/>
        <n v="92314"/>
        <n v="238500"/>
        <n v="145100"/>
        <n v="28343"/>
        <n v="166082"/>
        <n v="100516"/>
        <n v="117790"/>
        <n v="89974"/>
        <n v="123206"/>
        <n v="113906"/>
        <n v="106425"/>
        <n v="62600"/>
        <n v="84600"/>
        <n v="121901"/>
        <n v="52889"/>
        <n v="40501"/>
        <n v="112857"/>
        <n v="64602"/>
        <n v="41988"/>
        <n v="133038"/>
        <n v="36986"/>
        <n v="82824"/>
        <n v="61331"/>
        <n v="61025"/>
        <n v="105747"/>
        <n v="41677"/>
        <n v="48986"/>
        <n v="160116"/>
        <n v="63500"/>
        <n v="250200"/>
        <n v="205500"/>
        <n v="208400"/>
        <n v="74352"/>
        <n v="118732"/>
        <n v="161401"/>
        <n v="96853"/>
        <n v="32478"/>
        <n v="48452"/>
        <n v="155818"/>
        <n v="42936"/>
        <n v="257400"/>
        <n v="95878"/>
        <n v="76605"/>
        <n v="109270"/>
        <n v="147639"/>
        <n v="68855"/>
        <n v="97988"/>
        <n v="124609"/>
        <n v="162474"/>
        <n v="39636"/>
        <n v="279200"/>
        <n v="184500"/>
        <n v="189700"/>
        <n v="124167"/>
        <n v="162830"/>
        <n v="124160"/>
        <n v="62596"/>
        <n v="126893"/>
        <n v="17552"/>
        <n v="83466"/>
        <n v="161892"/>
        <n v="9791"/>
        <n v="18810"/>
        <n v="187400"/>
        <n v="265200"/>
        <n v="143377"/>
        <n v="144830"/>
        <n v="139846"/>
        <n v="29345"/>
        <n v="61374"/>
        <n v="89353"/>
        <n v="110345"/>
        <n v="73366"/>
        <n v="154659"/>
        <n v="197800"/>
        <n v="235800"/>
        <n v="158100"/>
        <n v="102200"/>
        <n v="20801"/>
        <n v="162015"/>
        <n v="50329"/>
        <n v="155548"/>
        <n v="137745"/>
        <n v="19633"/>
        <n v="68771"/>
        <n v="58617"/>
        <n v="161972"/>
        <n v="16253"/>
        <n v="116306"/>
        <n v="30830"/>
        <n v="83422"/>
        <n v="40681"/>
        <n v="8343"/>
        <n v="121971"/>
        <n v="193400"/>
        <n v="135100"/>
        <n v="272300"/>
        <n v="239400"/>
        <n v="119181"/>
        <n v="74247"/>
        <n v="151408"/>
        <n v="27387"/>
        <n v="98249"/>
        <n v="81181"/>
        <n v="147874"/>
        <n v="106464"/>
        <n v="168469"/>
        <n v="158571"/>
        <n v="166500"/>
        <n v="73939"/>
        <n v="160318"/>
        <n v="106316"/>
        <n v="79623"/>
        <n v="59131"/>
        <n v="134827"/>
        <n v="98849"/>
        <n v="41742"/>
        <n v="40732"/>
        <n v="82000"/>
        <n v="82953"/>
        <n v="57431"/>
        <n v="75391"/>
        <n v="79910"/>
        <n v="82084"/>
        <n v="122094"/>
        <n v="66694"/>
        <n v="39130"/>
        <n v="136900"/>
        <n v="152158"/>
        <n v="103038"/>
        <n v="102285"/>
        <n v="140846"/>
        <n v="55099"/>
        <n v="68982"/>
        <n v="168090"/>
        <n v="181100"/>
        <n v="271800"/>
        <n v="199700"/>
        <n v="164700"/>
        <n v="29633"/>
        <n v="49939"/>
        <n v="164047"/>
        <n v="146894"/>
        <n v="31362"/>
        <n v="82210"/>
        <n v="31679"/>
        <n v="293400"/>
        <n v="106500"/>
        <n v="57500"/>
        <n v="94400"/>
        <n v="160096"/>
        <n v="108869"/>
        <n v="94384"/>
        <n v="37285"/>
        <n v="138188"/>
        <n v="135507"/>
        <n v="58600"/>
        <n v="261400"/>
        <n v="90309"/>
        <n v="133175"/>
        <n v="120641"/>
        <n v="42869"/>
        <n v="123213"/>
        <n v="91014"/>
        <n v="130817"/>
        <n v="56221"/>
        <n v="116862"/>
        <n v="73427"/>
        <n v="30591"/>
        <n v="131053"/>
        <n v="49700"/>
        <n v="104300"/>
        <n v="50900"/>
        <n v="225700"/>
        <n v="122500"/>
        <n v="209500"/>
        <n v="144210"/>
        <n v="118280"/>
        <n v="169528"/>
        <n v="56977"/>
        <n v="47856"/>
        <n v="57401"/>
        <n v="53269"/>
        <n v="28771"/>
        <n v="24950"/>
        <n v="32000"/>
        <n v="19629"/>
        <n v="44184"/>
        <n v="78048"/>
        <n v="125428"/>
        <n v="148863"/>
        <n v="148100"/>
        <n v="202200"/>
        <n v="73200"/>
        <n v="373500"/>
        <n v="21895"/>
        <n v="25736"/>
        <n v="56673"/>
        <n v="99680"/>
        <n v="75904"/>
        <n v="49229"/>
        <n v="302700"/>
        <n v="178600"/>
        <n v="178900"/>
        <n v="101164"/>
        <n v="88707"/>
        <n v="125083"/>
        <n v="161835"/>
        <n v="25985"/>
        <n v="127268"/>
        <n v="20323"/>
        <n v="110216"/>
        <n v="134535"/>
        <n v="138465"/>
        <n v="122407"/>
        <n v="89931"/>
        <n v="68900"/>
        <n v="66989"/>
        <n v="143419"/>
        <n v="52285"/>
        <n v="97594"/>
        <n v="217100"/>
        <n v="57339"/>
        <n v="27388"/>
        <n v="119058"/>
        <n v="24983"/>
        <n v="83328"/>
        <n v="157130"/>
        <n v="55893"/>
        <n v="116756"/>
        <n v="88970"/>
        <n v="142928"/>
        <n v="81303"/>
        <n v="127079"/>
        <n v="43348"/>
        <n v="8381"/>
        <n v="105429"/>
        <n v="98231"/>
        <n v="296000"/>
        <n v="87100"/>
        <n v="50000"/>
        <n v="169445"/>
        <n v="46735"/>
        <n v="8269"/>
        <n v="12304"/>
        <n v="127590"/>
        <n v="76492"/>
        <n v="162879"/>
        <n v="64338"/>
        <n v="140966"/>
        <n v="90511"/>
        <n v="115892"/>
        <n v="13085"/>
        <n v="58342"/>
        <n v="29946"/>
        <n v="220500"/>
        <n v="134200"/>
        <n v="85100"/>
        <n v="92300"/>
        <n v="82659"/>
        <n v="111516"/>
        <n v="80483"/>
        <n v="57146"/>
        <n v="36505"/>
        <n v="114677"/>
        <n v="86043"/>
        <n v="109454"/>
        <n v="103987"/>
        <n v="98005"/>
        <n v="132737"/>
        <n v="168206"/>
        <n v="16706"/>
        <n v="121341"/>
        <n v="34552"/>
        <n v="104270"/>
        <n v="52800"/>
        <n v="136369"/>
        <n v="169798"/>
        <n v="153332"/>
        <n v="66617"/>
        <n v="11542"/>
        <n v="12920"/>
        <n v="107304"/>
        <n v="170900"/>
        <n v="75542"/>
        <n v="136367"/>
        <n v="71529"/>
        <n v="55873"/>
        <n v="24244"/>
        <n v="116955"/>
        <n v="10364"/>
        <n v="46465"/>
        <n v="70787"/>
        <n v="105385"/>
        <n v="125877"/>
        <n v="164640"/>
        <n v="19467"/>
        <n v="274000"/>
        <n v="131200"/>
        <n v="41800"/>
        <n v="129200"/>
        <n v="144500"/>
        <n v="163993"/>
        <n v="46992"/>
        <n v="83978"/>
        <n v="51553"/>
        <n v="107837"/>
        <n v="80119"/>
        <n v="317100"/>
        <n v="9080"/>
        <n v="101708"/>
        <n v="117364"/>
        <n v="122341"/>
        <n v="105794"/>
        <n v="27965"/>
        <n v="161979"/>
        <n v="166317"/>
        <n v="129129"/>
        <n v="45200"/>
        <n v="39247"/>
        <n v="70823"/>
        <n v="55326"/>
        <n v="29068"/>
        <n v="133084"/>
        <n v="118748"/>
        <n v="143356"/>
        <n v="25353"/>
        <n v="125966"/>
        <n v="40432"/>
        <n v="111747"/>
        <n v="101988"/>
        <n v="89142"/>
        <n v="127777"/>
        <n v="358800"/>
        <n v="286100"/>
        <n v="87896"/>
        <n v="165735"/>
        <n v="24834"/>
        <n v="46599"/>
        <n v="55260"/>
        <n v="161672"/>
        <n v="205100"/>
        <n v="137778"/>
        <n v="66242"/>
        <n v="157336"/>
        <n v="62999"/>
        <n v="38678"/>
        <n v="84545"/>
        <n v="18375"/>
        <n v="92110"/>
        <n v="151079"/>
        <n v="69011"/>
        <n v="74322"/>
        <n v="138725"/>
        <n v="46200"/>
        <n v="185800"/>
        <n v="183500"/>
        <n v="197500"/>
        <n v="138300"/>
        <n v="150200"/>
        <n v="153494"/>
        <n v="45880"/>
        <n v="167033"/>
        <n v="47680"/>
        <n v="56887"/>
        <n v="130502"/>
        <n v="125413"/>
        <n v="16014"/>
        <n v="287000"/>
        <n v="226000"/>
        <n v="22916"/>
        <n v="45483"/>
        <n v="16989"/>
        <n v="114213"/>
        <n v="88181"/>
        <n v="81467"/>
        <n v="142377"/>
        <n v="37756"/>
        <n v="54175"/>
        <n v="87850"/>
        <n v="46342"/>
        <n v="12968"/>
        <n v="35544"/>
        <n v="73921"/>
        <n v="130021"/>
        <n v="98794"/>
        <n v="38801"/>
        <n v="45510"/>
        <n v="144900"/>
        <n v="229900"/>
        <n v="188600"/>
        <n v="261700"/>
        <n v="152470"/>
        <n v="31872"/>
        <n v="149443"/>
        <n v="151394"/>
        <n v="169207"/>
        <n v="152584"/>
        <n v="155884"/>
        <n v="85759"/>
        <n v="50607"/>
        <n v="146328"/>
        <n v="137298"/>
        <n v="164600"/>
        <n v="119388"/>
        <n v="42489"/>
        <n v="12187"/>
        <n v="157704"/>
        <n v="122158"/>
        <n v="127502"/>
        <n v="12330"/>
        <n v="261200"/>
        <n v="206500"/>
        <n v="290500"/>
        <n v="139400"/>
        <n v="161382"/>
        <n v="90119"/>
        <n v="101321"/>
        <n v="51232"/>
        <n v="90209"/>
        <n v="159900"/>
        <n v="124967"/>
        <n v="21906"/>
        <n v="102980"/>
        <n v="92028"/>
        <n v="151773"/>
        <n v="117963"/>
        <n v="95659"/>
        <n v="132257"/>
        <n v="135931"/>
        <n v="143046"/>
        <n v="123930"/>
        <n v="228200"/>
        <n v="191400"/>
        <n v="234800"/>
        <n v="54477"/>
        <n v="33413"/>
        <n v="91468"/>
        <n v="28823"/>
        <n v="77249"/>
        <n v="55931"/>
        <n v="73300"/>
        <n v="204000"/>
        <n v="49072"/>
        <n v="26137"/>
        <n v="86080"/>
        <n v="87754"/>
        <n v="17362"/>
        <n v="133099"/>
        <n v="144153"/>
        <n v="121552"/>
        <n v="58900"/>
        <n v="197700"/>
        <n v="138500"/>
        <n v="177700"/>
        <n v="10377"/>
        <n v="109901"/>
        <n v="163899"/>
        <n v="135106"/>
        <n v="212200"/>
        <n v="245600"/>
        <n v="126060"/>
        <n v="14326"/>
        <n v="101939"/>
        <n v="59697"/>
        <n v="112438"/>
        <n v="105783"/>
        <n v="42100"/>
        <n v="15638"/>
        <n v="70496"/>
        <n v="155879"/>
        <n v="23367"/>
        <n v="9098"/>
        <n v="76557"/>
        <n v="127000"/>
        <n v="53649"/>
        <n v="157201"/>
        <n v="63434"/>
        <n v="89189"/>
        <n v="138754"/>
        <n v="152677"/>
        <n v="9524"/>
        <n v="137368"/>
        <n v="163000"/>
        <n v="96074"/>
        <n v="95768"/>
        <n v="157389"/>
        <n v="63805"/>
        <n v="161023"/>
        <n v="11663"/>
        <n v="51105"/>
        <n v="126723"/>
        <n v="33446"/>
        <n v="106736"/>
        <n v="87298"/>
        <n v="85885"/>
        <n v="135200"/>
        <n v="191200"/>
        <n v="64261"/>
        <n v="41136"/>
        <n v="90728"/>
        <n v="97482"/>
        <n v="23767"/>
        <n v="97359"/>
        <n v="108254"/>
        <n v="83738"/>
        <n v="124210"/>
        <n v="36356"/>
        <n v="8072"/>
        <n v="126523"/>
        <n v="145892"/>
        <n v="107407"/>
        <n v="115212"/>
        <n v="119345"/>
        <n v="90220"/>
        <n v="19036"/>
        <n v="229400"/>
        <n v="317000"/>
        <n v="88400"/>
        <n v="143537"/>
        <n v="10112"/>
        <n v="58732"/>
        <n v="86761"/>
        <n v="157450"/>
        <n v="121032"/>
        <n v="26897"/>
        <n v="22253"/>
        <n v="343700"/>
        <n v="159000"/>
        <n v="210400"/>
        <n v="23332"/>
        <n v="125811"/>
        <n v="123028"/>
        <n v="165668"/>
        <n v="133850"/>
        <n v="130452"/>
        <n v="33100"/>
        <n v="204300"/>
        <n v="83624"/>
        <n v="43775"/>
        <n v="33310"/>
        <n v="131739"/>
        <n v="80702"/>
        <n v="51543"/>
        <n v="159932"/>
        <n v="73763"/>
        <n v="114840"/>
        <n v="47946"/>
        <n v="99913"/>
        <n v="9497"/>
        <n v="81128"/>
        <n v="63100"/>
        <n v="177600"/>
        <n v="272000"/>
        <n v="163759"/>
        <n v="38589"/>
        <n v="96362"/>
        <n v="17077"/>
        <n v="35033"/>
        <n v="119646"/>
        <n v="91238"/>
        <n v="217500"/>
        <n v="358400"/>
        <n v="197900"/>
        <n v="146523"/>
        <n v="97957"/>
        <n v="27519"/>
        <n v="20353"/>
        <n v="11384"/>
        <n v="86320"/>
        <n v="128690"/>
        <n v="164614"/>
        <n v="143847"/>
        <n v="59754"/>
        <n v="91092"/>
        <n v="114420"/>
        <n v="17472"/>
        <n v="44000"/>
        <n v="175400"/>
        <n v="59200"/>
        <n v="98539"/>
        <n v="168591"/>
        <n v="66486"/>
        <n v="34758"/>
        <n v="115006"/>
        <n v="60300"/>
        <n v="131951"/>
        <n v="109627"/>
        <n v="168057"/>
        <n v="103306"/>
        <n v="96665"/>
        <n v="51955"/>
        <n v="9095"/>
        <n v="74141"/>
        <n v="29494"/>
        <n v="36606"/>
        <n v="130374"/>
        <n v="67000"/>
        <n v="41000"/>
        <n v="99354"/>
        <n v="42424"/>
        <n v="159416"/>
        <n v="128672"/>
        <n v="32623"/>
        <n v="120623"/>
        <n v="80428"/>
        <n v="44866"/>
        <n v="8683"/>
        <n v="11857"/>
        <n v="51824"/>
        <n v="127117"/>
        <n v="127562"/>
        <n v="188100"/>
        <n v="71100"/>
        <n v="102400"/>
        <n v="327200"/>
        <n v="275800"/>
        <n v="50890"/>
        <n v="131113"/>
        <n v="163091"/>
        <n v="158153"/>
        <n v="122654"/>
        <n v="157353"/>
        <n v="84328"/>
        <n v="65554"/>
        <n v="34496"/>
        <n v="121202"/>
        <n v="116863"/>
        <n v="100664"/>
        <n v="136702"/>
        <n v="14687"/>
        <n v="140423"/>
        <n v="60400"/>
        <n v="303800"/>
        <n v="186700"/>
        <n v="63471"/>
        <n v="138795"/>
        <n v="70422"/>
        <n v="21873"/>
        <n v="117263"/>
        <n v="259900"/>
        <n v="128919"/>
        <n v="141286"/>
        <n v="47744"/>
        <n v="52637"/>
        <n v="57890"/>
        <n v="135182"/>
        <n v="127062"/>
        <n v="67129"/>
        <n v="18568"/>
        <n v="110263"/>
        <n v="126627"/>
        <n v="26688"/>
        <n v="12409"/>
        <n v="215900"/>
        <n v="208000"/>
        <n v="150475"/>
        <n v="52006"/>
        <n v="143004"/>
        <n v="118481"/>
        <n v="150268"/>
        <n v="149006"/>
        <n v="138109"/>
        <n v="114946"/>
        <n v="57206"/>
        <n v="233100"/>
        <n v="67228"/>
        <n v="53076"/>
        <n v="35333"/>
        <n v="96238"/>
        <n v="135074"/>
        <n v="41123"/>
        <n v="144768"/>
        <n v="17501"/>
        <n v="60266"/>
        <n v="135337"/>
        <n v="67766"/>
        <n v="270800"/>
        <n v="130779"/>
        <n v="163348"/>
        <n v="94946"/>
        <n v="49204"/>
        <n v="60091"/>
        <n v="83093"/>
        <n v="84693"/>
        <n v="69905"/>
        <n v="83316"/>
        <n v="69909"/>
        <n v="218100"/>
        <n v="318800"/>
        <n v="161800"/>
        <n v="41247"/>
        <n v="110244"/>
        <n v="143191"/>
        <n v="152860"/>
        <n v="146352"/>
        <n v="64603"/>
        <n v="75059"/>
        <n v="136125"/>
        <n v="64097"/>
        <n v="166009"/>
        <n v="56644"/>
        <n v="71655"/>
        <n v="51228"/>
        <n v="165200"/>
        <n v="131800"/>
        <n v="258700"/>
        <n v="429800"/>
        <n v="243500"/>
        <n v="64092"/>
        <n v="8232"/>
        <n v="96314"/>
        <n v="99885"/>
        <n v="137145"/>
        <n v="150060"/>
        <n v="83883"/>
        <n v="57512"/>
        <n v="39709"/>
        <n v="11219"/>
        <n v="95233"/>
        <n v="135218"/>
        <n v="13553"/>
        <n v="85524"/>
        <n v="61945"/>
        <n v="150593"/>
        <n v="39935"/>
        <n v="153327"/>
        <n v="147495"/>
        <n v="40000"/>
        <n v="53300"/>
        <n v="43600"/>
        <n v="177000"/>
        <n v="173900"/>
        <n v="167039"/>
        <n v="141207"/>
        <n v="95991"/>
        <n v="67716"/>
        <n v="158544"/>
        <n v="65076"/>
        <n v="116762"/>
        <n v="143637"/>
        <n v="78972"/>
        <n v="20805"/>
        <n v="20304"/>
        <n v="159203"/>
        <n v="137740"/>
        <n v="81143"/>
        <n v="117550"/>
        <n v="120985"/>
        <n v="157700"/>
        <n v="48300"/>
        <n v="67155"/>
        <n v="56046"/>
        <n v="37563"/>
        <n v="51209"/>
        <n v="142511"/>
        <n v="107354"/>
        <n v="22048"/>
        <n v="122116"/>
        <n v="281700"/>
        <n v="15035"/>
        <n v="149568"/>
        <n v="57389"/>
        <n v="164454"/>
        <n v="113029"/>
        <n v="136327"/>
        <n v="159945"/>
        <n v="12302"/>
        <n v="121919"/>
        <n v="307900"/>
        <n v="55100"/>
        <n v="93300"/>
        <n v="171000"/>
        <n v="68438"/>
        <n v="57157"/>
        <n v="33862"/>
        <n v="139101"/>
        <n v="126437"/>
        <n v="28062"/>
        <n v="155287"/>
        <n v="52767"/>
        <n v="192400"/>
        <n v="16124"/>
        <n v="59552"/>
        <n v="114324"/>
        <n v="132292"/>
        <n v="16982"/>
        <n v="160374"/>
        <n v="15272"/>
        <n v="45254"/>
        <n v="165953"/>
        <n v="158076"/>
        <n v="53012"/>
        <n v="27612"/>
        <n v="68039"/>
        <n v="156363"/>
        <n v="147935"/>
        <n v="121243"/>
        <n v="149650"/>
        <n v="79907"/>
        <n v="242700"/>
        <n v="31500"/>
        <n v="182400"/>
        <n v="72000"/>
        <n v="446900"/>
        <n v="169777"/>
        <n v="104866"/>
        <n v="80358"/>
        <n v="59931"/>
        <n v="134009"/>
        <n v="17765"/>
        <n v="38214"/>
        <n v="150285"/>
        <n v="160836"/>
        <n v="135404"/>
        <n v="163500"/>
        <n v="203200"/>
        <n v="144265"/>
        <n v="109551"/>
        <n v="162867"/>
        <n v="75124"/>
        <n v="31807"/>
        <n v="169609"/>
        <n v="89700"/>
        <n v="264000"/>
        <n v="57887"/>
        <n v="133059"/>
        <n v="89794"/>
        <n v="131777"/>
        <n v="117073"/>
        <n v="20232"/>
        <n v="8409"/>
        <n v="105428"/>
        <n v="140617"/>
        <n v="113425"/>
        <n v="170300"/>
        <n v="32400"/>
        <n v="82200"/>
        <n v="137925"/>
        <n v="18175"/>
        <n v="137266"/>
        <n v="39660"/>
        <n v="24833"/>
        <n v="59005"/>
        <n v="39573"/>
        <n v="50691"/>
        <n v="8223"/>
        <n v="13819"/>
        <n v="81967"/>
        <n v="63330"/>
        <n v="105101"/>
        <n v="28392"/>
        <n v="155372"/>
        <n v="186200"/>
        <n v="59078"/>
        <n v="50229"/>
        <n v="86840"/>
        <n v="40562"/>
        <n v="48353"/>
        <n v="36532"/>
        <n v="44452"/>
        <n v="158874"/>
        <n v="127981"/>
        <n v="54174"/>
        <n v="22763"/>
        <n v="73527"/>
        <n v="224800"/>
        <n v="150000"/>
        <n v="321300"/>
        <n v="227400"/>
        <n v="91000"/>
        <n v="138704"/>
        <n v="63926"/>
        <n v="154450"/>
        <n v="28276"/>
        <n v="71915"/>
        <n v="152905"/>
        <n v="94385"/>
        <n v="108341"/>
        <n v="82277"/>
        <n v="230600"/>
        <n v="45900"/>
        <n v="217200"/>
      </sharedItems>
    </cacheField>
    <cacheField name="Payment Method" numFmtId="0">
      <sharedItems/>
    </cacheField>
    <cacheField name="Transaction ID" numFmtId="0">
      <sharedItems containsBlank="1"/>
    </cacheField>
    <cacheField name="Type" numFmtId="0">
      <sharedItems count="2">
        <s v="Expense"/>
        <s v="Income"/>
      </sharedItems>
    </cacheField>
  </cacheFields>
  <extLst>
    <ext xmlns:x14="http://schemas.microsoft.com/office/spreadsheetml/2009/9/main" uri="{725AE2AE-9491-48be-B2B4-4EB974FC3084}">
      <x14:pivotCacheDefinition pivotCacheId="599131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75">
  <r>
    <d v="2023-01-01T00:00:00"/>
    <x v="0"/>
    <x v="0"/>
    <x v="0"/>
    <x v="0"/>
    <x v="0"/>
    <s v="Bank Transfer"/>
    <s v="TXN101006"/>
    <x v="0"/>
  </r>
  <r>
    <d v="2023-01-01T00:00:00"/>
    <x v="0"/>
    <x v="1"/>
    <x v="1"/>
    <x v="1"/>
    <x v="1"/>
    <s v="Cash"/>
    <s v="TXN101257"/>
    <x v="0"/>
  </r>
  <r>
    <d v="2023-01-01T00:00:00"/>
    <x v="0"/>
    <x v="2"/>
    <x v="2"/>
    <x v="2"/>
    <x v="2"/>
    <s v="UPI"/>
    <s v="TXN104416"/>
    <x v="0"/>
  </r>
  <r>
    <d v="2023-01-01T00:00:00"/>
    <x v="0"/>
    <x v="3"/>
    <x v="2"/>
    <x v="3"/>
    <x v="3"/>
    <s v="Bank Transfer"/>
    <s v="TXN106436"/>
    <x v="0"/>
  </r>
  <r>
    <d v="2023-01-01T00:00:00"/>
    <x v="0"/>
    <x v="2"/>
    <x v="3"/>
    <x v="4"/>
    <x v="4"/>
    <s v="UPI"/>
    <s v="TXN107415"/>
    <x v="0"/>
  </r>
  <r>
    <d v="2023-01-01T00:00:00"/>
    <x v="0"/>
    <x v="1"/>
    <x v="3"/>
    <x v="5"/>
    <x v="5"/>
    <s v="Cash"/>
    <s v="TXN108836"/>
    <x v="0"/>
  </r>
  <r>
    <d v="2023-01-01T00:00:00"/>
    <x v="0"/>
    <x v="1"/>
    <x v="4"/>
    <x v="6"/>
    <x v="6"/>
    <s v="Card"/>
    <s v="TXN108929"/>
    <x v="0"/>
  </r>
  <r>
    <d v="2023-01-01T00:00:00"/>
    <x v="0"/>
    <x v="4"/>
    <x v="1"/>
    <x v="7"/>
    <x v="7"/>
    <s v="Card"/>
    <s v="TXN109589"/>
    <x v="0"/>
  </r>
  <r>
    <d v="2023-01-01T00:00:00"/>
    <x v="0"/>
    <x v="3"/>
    <x v="1"/>
    <x v="8"/>
    <x v="8"/>
    <s v="Bank Transfer"/>
    <s v="TXN109819"/>
    <x v="0"/>
  </r>
  <r>
    <d v="2023-01-01T00:00:00"/>
    <x v="0"/>
    <x v="5"/>
    <x v="0"/>
    <x v="9"/>
    <x v="9"/>
    <s v="Card"/>
    <s v="REV100372"/>
    <x v="1"/>
  </r>
  <r>
    <d v="2023-01-01T00:00:00"/>
    <x v="0"/>
    <x v="6"/>
    <x v="1"/>
    <x v="10"/>
    <x v="10"/>
    <s v="Card"/>
    <s v="REV100459"/>
    <x v="1"/>
  </r>
  <r>
    <d v="2023-01-01T00:00:00"/>
    <x v="0"/>
    <x v="6"/>
    <x v="2"/>
    <x v="11"/>
    <x v="11"/>
    <s v="UPI"/>
    <s v="REV101524"/>
    <x v="1"/>
  </r>
  <r>
    <d v="2023-01-01T00:00:00"/>
    <x v="0"/>
    <x v="6"/>
    <x v="2"/>
    <x v="12"/>
    <x v="12"/>
    <s v="Card"/>
    <s v="REV102177"/>
    <x v="1"/>
  </r>
  <r>
    <d v="2023-01-01T00:00:00"/>
    <x v="0"/>
    <x v="5"/>
    <x v="3"/>
    <x v="13"/>
    <x v="13"/>
    <s v="Bank Transfer"/>
    <s v="REV102517"/>
    <x v="1"/>
  </r>
  <r>
    <d v="2023-01-01T00:00:00"/>
    <x v="0"/>
    <x v="5"/>
    <x v="3"/>
    <x v="14"/>
    <x v="14"/>
    <s v="Bank Transfer"/>
    <s v="REV102993"/>
    <x v="1"/>
  </r>
  <r>
    <d v="2023-01-01T00:00:00"/>
    <x v="0"/>
    <x v="5"/>
    <x v="4"/>
    <x v="15"/>
    <x v="15"/>
    <s v="Bank Transfer"/>
    <s v="REV103023"/>
    <x v="1"/>
  </r>
  <r>
    <d v="2023-01-01T00:00:00"/>
    <x v="0"/>
    <x v="6"/>
    <x v="1"/>
    <x v="16"/>
    <x v="16"/>
    <s v="Bank Transfer"/>
    <s v="REV103240"/>
    <x v="1"/>
  </r>
  <r>
    <d v="2023-01-01T00:00:00"/>
    <x v="0"/>
    <x v="6"/>
    <x v="1"/>
    <x v="17"/>
    <x v="17"/>
    <s v="Card"/>
    <s v="REV103325"/>
    <x v="1"/>
  </r>
  <r>
    <d v="2023-01-02T00:00:00"/>
    <x v="0"/>
    <x v="3"/>
    <x v="3"/>
    <x v="18"/>
    <x v="18"/>
    <s v="Bank Transfer"/>
    <s v="TXN100509"/>
    <x v="0"/>
  </r>
  <r>
    <d v="2023-01-02T00:00:00"/>
    <x v="0"/>
    <x v="0"/>
    <x v="0"/>
    <x v="19"/>
    <x v="19"/>
    <s v="Card"/>
    <s v="TXN100517"/>
    <x v="0"/>
  </r>
  <r>
    <d v="2023-01-02T00:00:00"/>
    <x v="0"/>
    <x v="2"/>
    <x v="0"/>
    <x v="20"/>
    <x v="20"/>
    <s v="Bank Transfer"/>
    <s v="TXN101430"/>
    <x v="0"/>
  </r>
  <r>
    <d v="2023-01-02T00:00:00"/>
    <x v="0"/>
    <x v="4"/>
    <x v="1"/>
    <x v="21"/>
    <x v="21"/>
    <s v="Cash"/>
    <s v="TXN103484"/>
    <x v="0"/>
  </r>
  <r>
    <d v="2023-01-02T00:00:00"/>
    <x v="0"/>
    <x v="0"/>
    <x v="1"/>
    <x v="22"/>
    <x v="22"/>
    <s v="UPI"/>
    <s v="TXN104023"/>
    <x v="0"/>
  </r>
  <r>
    <d v="2023-01-02T00:00:00"/>
    <x v="0"/>
    <x v="2"/>
    <x v="4"/>
    <x v="23"/>
    <x v="23"/>
    <s v="UPI"/>
    <s v="TXN104103"/>
    <x v="0"/>
  </r>
  <r>
    <d v="2023-01-02T00:00:00"/>
    <x v="0"/>
    <x v="1"/>
    <x v="4"/>
    <x v="24"/>
    <x v="24"/>
    <s v="Card"/>
    <s v="TXN104657"/>
    <x v="0"/>
  </r>
  <r>
    <d v="2023-01-02T00:00:00"/>
    <x v="0"/>
    <x v="1"/>
    <x v="0"/>
    <x v="25"/>
    <x v="25"/>
    <s v="Bank Transfer"/>
    <s v="TXN104836"/>
    <x v="0"/>
  </r>
  <r>
    <d v="2023-01-02T00:00:00"/>
    <x v="0"/>
    <x v="1"/>
    <x v="0"/>
    <x v="26"/>
    <x v="26"/>
    <s v="Cash"/>
    <s v="TXN105365"/>
    <x v="0"/>
  </r>
  <r>
    <d v="2023-01-02T00:00:00"/>
    <x v="0"/>
    <x v="0"/>
    <x v="3"/>
    <x v="27"/>
    <x v="27"/>
    <s v="Bank Transfer"/>
    <s v="TXN106228"/>
    <x v="0"/>
  </r>
  <r>
    <d v="2023-01-02T00:00:00"/>
    <x v="0"/>
    <x v="4"/>
    <x v="0"/>
    <x v="28"/>
    <x v="28"/>
    <s v="Cash"/>
    <s v="TXN108321"/>
    <x v="0"/>
  </r>
  <r>
    <d v="2023-01-02T00:00:00"/>
    <x v="0"/>
    <x v="0"/>
    <x v="1"/>
    <x v="29"/>
    <x v="29"/>
    <s v="Bank Transfer"/>
    <s v="TXN109107"/>
    <x v="0"/>
  </r>
  <r>
    <d v="2023-01-02T00:00:00"/>
    <x v="0"/>
    <x v="5"/>
    <x v="3"/>
    <x v="30"/>
    <x v="30"/>
    <s v="Card"/>
    <s v="REV100195"/>
    <x v="1"/>
  </r>
  <r>
    <d v="2023-01-02T00:00:00"/>
    <x v="0"/>
    <x v="6"/>
    <x v="0"/>
    <x v="31"/>
    <x v="31"/>
    <s v="Bank Transfer"/>
    <s v="REV100200"/>
    <x v="1"/>
  </r>
  <r>
    <d v="2023-01-02T00:00:00"/>
    <x v="0"/>
    <x v="5"/>
    <x v="0"/>
    <x v="32"/>
    <x v="32"/>
    <s v="Card"/>
    <s v="REV100525"/>
    <x v="1"/>
  </r>
  <r>
    <d v="2023-01-02T00:00:00"/>
    <x v="0"/>
    <x v="6"/>
    <x v="1"/>
    <x v="33"/>
    <x v="33"/>
    <s v="Bank Transfer"/>
    <s v="REV101189"/>
    <x v="1"/>
  </r>
  <r>
    <d v="2023-01-02T00:00:00"/>
    <x v="0"/>
    <x v="5"/>
    <x v="1"/>
    <x v="34"/>
    <x v="34"/>
    <s v="Card"/>
    <s v="REV101395"/>
    <x v="1"/>
  </r>
  <r>
    <d v="2023-01-02T00:00:00"/>
    <x v="0"/>
    <x v="6"/>
    <x v="4"/>
    <x v="35"/>
    <x v="35"/>
    <s v="Card"/>
    <s v="REV101418"/>
    <x v="1"/>
  </r>
  <r>
    <d v="2023-01-02T00:00:00"/>
    <x v="0"/>
    <x v="5"/>
    <x v="4"/>
    <x v="36"/>
    <x v="36"/>
    <s v="Bank Transfer"/>
    <s v="REV101590"/>
    <x v="1"/>
  </r>
  <r>
    <d v="2023-01-02T00:00:00"/>
    <x v="0"/>
    <x v="5"/>
    <x v="0"/>
    <x v="37"/>
    <x v="37"/>
    <s v="Bank Transfer"/>
    <s v="REV101650"/>
    <x v="1"/>
  </r>
  <r>
    <d v="2023-01-02T00:00:00"/>
    <x v="0"/>
    <x v="6"/>
    <x v="0"/>
    <x v="38"/>
    <x v="38"/>
    <s v="UPI"/>
    <s v="REV101824"/>
    <x v="1"/>
  </r>
  <r>
    <d v="2023-01-02T00:00:00"/>
    <x v="0"/>
    <x v="5"/>
    <x v="3"/>
    <x v="39"/>
    <x v="39"/>
    <s v="Bank Transfer"/>
    <s v="REV102095"/>
    <x v="1"/>
  </r>
  <r>
    <d v="2023-01-02T00:00:00"/>
    <x v="0"/>
    <x v="5"/>
    <x v="0"/>
    <x v="40"/>
    <x v="40"/>
    <s v="Bank Transfer"/>
    <s v="REV102827"/>
    <x v="1"/>
  </r>
  <r>
    <d v="2023-01-02T00:00:00"/>
    <x v="0"/>
    <x v="5"/>
    <x v="1"/>
    <x v="41"/>
    <x v="41"/>
    <s v="Card"/>
    <s v="REV103081"/>
    <x v="1"/>
  </r>
  <r>
    <d v="2023-01-03T00:00:00"/>
    <x v="0"/>
    <x v="4"/>
    <x v="1"/>
    <x v="42"/>
    <x v="42"/>
    <s v="Card"/>
    <s v="TXN100441"/>
    <x v="0"/>
  </r>
  <r>
    <d v="2023-01-03T00:00:00"/>
    <x v="0"/>
    <x v="2"/>
    <x v="1"/>
    <x v="43"/>
    <x v="43"/>
    <s v="Card"/>
    <s v="TXN102720"/>
    <x v="0"/>
  </r>
  <r>
    <d v="2023-01-03T00:00:00"/>
    <x v="0"/>
    <x v="0"/>
    <x v="3"/>
    <x v="44"/>
    <x v="44"/>
    <s v="UPI"/>
    <s v="TXN103008"/>
    <x v="0"/>
  </r>
  <r>
    <d v="2023-01-03T00:00:00"/>
    <x v="0"/>
    <x v="4"/>
    <x v="2"/>
    <x v="45"/>
    <x v="45"/>
    <s v="Bank Transfer"/>
    <s v="TXN103899"/>
    <x v="0"/>
  </r>
  <r>
    <d v="2023-01-03T00:00:00"/>
    <x v="0"/>
    <x v="2"/>
    <x v="0"/>
    <x v="46"/>
    <x v="46"/>
    <s v="Card"/>
    <s v="TXN104124"/>
    <x v="0"/>
  </r>
  <r>
    <d v="2023-01-03T00:00:00"/>
    <x v="0"/>
    <x v="7"/>
    <x v="3"/>
    <x v="47"/>
    <x v="47"/>
    <s v="Cash"/>
    <s v="TXN106692"/>
    <x v="0"/>
  </r>
  <r>
    <d v="2023-01-03T00:00:00"/>
    <x v="0"/>
    <x v="3"/>
    <x v="3"/>
    <x v="48"/>
    <x v="48"/>
    <s v="UPI"/>
    <s v="TXN109032"/>
    <x v="0"/>
  </r>
  <r>
    <d v="2023-01-03T00:00:00"/>
    <x v="0"/>
    <x v="5"/>
    <x v="1"/>
    <x v="49"/>
    <x v="49"/>
    <s v="Bank Transfer"/>
    <s v="REV100168"/>
    <x v="1"/>
  </r>
  <r>
    <d v="2023-01-03T00:00:00"/>
    <x v="0"/>
    <x v="5"/>
    <x v="1"/>
    <x v="50"/>
    <x v="50"/>
    <s v="Bank Transfer"/>
    <s v="REV100950"/>
    <x v="1"/>
  </r>
  <r>
    <d v="2023-01-03T00:00:00"/>
    <x v="0"/>
    <x v="5"/>
    <x v="3"/>
    <x v="51"/>
    <x v="51"/>
    <s v="Bank Transfer"/>
    <s v="REV101044"/>
    <x v="1"/>
  </r>
  <r>
    <d v="2023-01-03T00:00:00"/>
    <x v="0"/>
    <x v="5"/>
    <x v="2"/>
    <x v="52"/>
    <x v="52"/>
    <s v="UPI"/>
    <s v="REV101348"/>
    <x v="1"/>
  </r>
  <r>
    <d v="2023-01-03T00:00:00"/>
    <x v="0"/>
    <x v="5"/>
    <x v="0"/>
    <x v="53"/>
    <x v="53"/>
    <s v="Bank Transfer"/>
    <s v="REV101429"/>
    <x v="1"/>
  </r>
  <r>
    <d v="2023-01-03T00:00:00"/>
    <x v="0"/>
    <x v="5"/>
    <x v="3"/>
    <x v="54"/>
    <x v="54"/>
    <s v="Bank Transfer"/>
    <s v="REV102276"/>
    <x v="1"/>
  </r>
  <r>
    <d v="2023-01-03T00:00:00"/>
    <x v="0"/>
    <x v="6"/>
    <x v="3"/>
    <x v="55"/>
    <x v="55"/>
    <s v="Bank Transfer"/>
    <s v="REV103056"/>
    <x v="1"/>
  </r>
  <r>
    <d v="2023-01-04T00:00:00"/>
    <x v="0"/>
    <x v="7"/>
    <x v="1"/>
    <x v="56"/>
    <x v="56"/>
    <s v="UPI"/>
    <s v="TXN101325"/>
    <x v="0"/>
  </r>
  <r>
    <d v="2023-01-04T00:00:00"/>
    <x v="0"/>
    <x v="3"/>
    <x v="2"/>
    <x v="57"/>
    <x v="57"/>
    <s v="Card"/>
    <s v="TXN103544"/>
    <x v="0"/>
  </r>
  <r>
    <d v="2023-01-04T00:00:00"/>
    <x v="0"/>
    <x v="3"/>
    <x v="2"/>
    <x v="58"/>
    <x v="58"/>
    <s v="Bank Transfer"/>
    <s v="TXN107670"/>
    <x v="0"/>
  </r>
  <r>
    <d v="2023-01-04T00:00:00"/>
    <x v="0"/>
    <x v="4"/>
    <x v="3"/>
    <x v="59"/>
    <x v="59"/>
    <s v="Bank Transfer"/>
    <s v="TXN108448"/>
    <x v="0"/>
  </r>
  <r>
    <d v="2023-01-04T00:00:00"/>
    <x v="0"/>
    <x v="0"/>
    <x v="0"/>
    <x v="60"/>
    <x v="60"/>
    <s v="Bank Transfer"/>
    <s v="TXN108896"/>
    <x v="0"/>
  </r>
  <r>
    <d v="2023-01-04T00:00:00"/>
    <x v="0"/>
    <x v="0"/>
    <x v="1"/>
    <x v="61"/>
    <x v="61"/>
    <s v="Cash"/>
    <s v="TXN109255"/>
    <x v="0"/>
  </r>
  <r>
    <d v="2023-01-04T00:00:00"/>
    <x v="0"/>
    <x v="6"/>
    <x v="1"/>
    <x v="62"/>
    <x v="62"/>
    <s v="Bank Transfer"/>
    <s v="REV100490"/>
    <x v="1"/>
  </r>
  <r>
    <d v="2023-01-04T00:00:00"/>
    <x v="0"/>
    <x v="6"/>
    <x v="2"/>
    <x v="63"/>
    <x v="63"/>
    <s v="Card"/>
    <s v="REV101211"/>
    <x v="1"/>
  </r>
  <r>
    <d v="2023-01-04T00:00:00"/>
    <x v="0"/>
    <x v="6"/>
    <x v="2"/>
    <x v="64"/>
    <x v="32"/>
    <s v="Card"/>
    <s v="REV102613"/>
    <x v="1"/>
  </r>
  <r>
    <d v="2023-01-04T00:00:00"/>
    <x v="0"/>
    <x v="5"/>
    <x v="3"/>
    <x v="65"/>
    <x v="64"/>
    <s v="Card"/>
    <s v="REV102865"/>
    <x v="1"/>
  </r>
  <r>
    <d v="2023-01-04T00:00:00"/>
    <x v="0"/>
    <x v="5"/>
    <x v="0"/>
    <x v="53"/>
    <x v="65"/>
    <s v="Bank Transfer"/>
    <s v="REV103010"/>
    <x v="1"/>
  </r>
  <r>
    <d v="2023-01-04T00:00:00"/>
    <x v="0"/>
    <x v="5"/>
    <x v="1"/>
    <x v="66"/>
    <x v="66"/>
    <s v="Card"/>
    <s v="REV103122"/>
    <x v="1"/>
  </r>
  <r>
    <d v="2023-01-05T00:00:00"/>
    <x v="0"/>
    <x v="1"/>
    <x v="1"/>
    <x v="67"/>
    <x v="67"/>
    <s v="UPI"/>
    <s v="TXN100425"/>
    <x v="0"/>
  </r>
  <r>
    <d v="2023-01-05T00:00:00"/>
    <x v="0"/>
    <x v="0"/>
    <x v="3"/>
    <x v="68"/>
    <x v="68"/>
    <s v="Cash"/>
    <s v="TXN100949"/>
    <x v="0"/>
  </r>
  <r>
    <d v="2023-01-05T00:00:00"/>
    <x v="0"/>
    <x v="1"/>
    <x v="1"/>
    <x v="69"/>
    <x v="69"/>
    <s v="Cash"/>
    <s v="TXN103765"/>
    <x v="0"/>
  </r>
  <r>
    <d v="2023-01-05T00:00:00"/>
    <x v="0"/>
    <x v="0"/>
    <x v="2"/>
    <x v="70"/>
    <x v="70"/>
    <s v="Bank Transfer"/>
    <s v="TXN104826"/>
    <x v="0"/>
  </r>
  <r>
    <d v="2023-01-05T00:00:00"/>
    <x v="0"/>
    <x v="1"/>
    <x v="0"/>
    <x v="71"/>
    <x v="71"/>
    <s v="Cash"/>
    <s v="TXN105186"/>
    <x v="0"/>
  </r>
  <r>
    <d v="2023-01-05T00:00:00"/>
    <x v="0"/>
    <x v="4"/>
    <x v="3"/>
    <x v="72"/>
    <x v="72"/>
    <s v="Cash"/>
    <s v="TXN105898"/>
    <x v="0"/>
  </r>
  <r>
    <d v="2023-01-05T00:00:00"/>
    <x v="0"/>
    <x v="3"/>
    <x v="1"/>
    <x v="73"/>
    <x v="73"/>
    <s v="Bank Transfer"/>
    <s v="TXN107212"/>
    <x v="0"/>
  </r>
  <r>
    <d v="2023-01-05T00:00:00"/>
    <x v="0"/>
    <x v="0"/>
    <x v="0"/>
    <x v="74"/>
    <x v="74"/>
    <s v="Card"/>
    <s v="TXN107392"/>
    <x v="0"/>
  </r>
  <r>
    <d v="2023-01-05T00:00:00"/>
    <x v="0"/>
    <x v="7"/>
    <x v="3"/>
    <x v="75"/>
    <x v="75"/>
    <s v="Card"/>
    <s v="TXN107573"/>
    <x v="0"/>
  </r>
  <r>
    <d v="2023-01-05T00:00:00"/>
    <x v="0"/>
    <x v="2"/>
    <x v="0"/>
    <x v="76"/>
    <x v="76"/>
    <s v="Cash"/>
    <s v="TXN108005"/>
    <x v="0"/>
  </r>
  <r>
    <d v="2023-01-05T00:00:00"/>
    <x v="0"/>
    <x v="3"/>
    <x v="3"/>
    <x v="77"/>
    <x v="77"/>
    <s v="UPI"/>
    <s v="TXN109526"/>
    <x v="0"/>
  </r>
  <r>
    <d v="2023-01-05T00:00:00"/>
    <x v="0"/>
    <x v="6"/>
    <x v="1"/>
    <x v="78"/>
    <x v="78"/>
    <s v="Bank Transfer"/>
    <s v="REV100158"/>
    <x v="1"/>
  </r>
  <r>
    <d v="2023-01-05T00:00:00"/>
    <x v="0"/>
    <x v="5"/>
    <x v="3"/>
    <x v="79"/>
    <x v="36"/>
    <s v="Bank Transfer"/>
    <s v="REV100352"/>
    <x v="1"/>
  </r>
  <r>
    <d v="2023-01-05T00:00:00"/>
    <x v="0"/>
    <x v="5"/>
    <x v="1"/>
    <x v="80"/>
    <x v="79"/>
    <s v="Bank Transfer"/>
    <s v="REV101295"/>
    <x v="1"/>
  </r>
  <r>
    <d v="2023-01-05T00:00:00"/>
    <x v="0"/>
    <x v="5"/>
    <x v="2"/>
    <x v="81"/>
    <x v="80"/>
    <s v="Card"/>
    <s v="REV101644"/>
    <x v="1"/>
  </r>
  <r>
    <d v="2023-01-05T00:00:00"/>
    <x v="0"/>
    <x v="6"/>
    <x v="0"/>
    <x v="82"/>
    <x v="81"/>
    <s v="Card"/>
    <s v="REV101757"/>
    <x v="1"/>
  </r>
  <r>
    <d v="2023-01-05T00:00:00"/>
    <x v="0"/>
    <x v="5"/>
    <x v="3"/>
    <x v="83"/>
    <x v="82"/>
    <s v="UPI"/>
    <s v="REV101993"/>
    <x v="1"/>
  </r>
  <r>
    <d v="2023-01-05T00:00:00"/>
    <x v="0"/>
    <x v="5"/>
    <x v="1"/>
    <x v="84"/>
    <x v="83"/>
    <s v="Card"/>
    <s v="REV102448"/>
    <x v="1"/>
  </r>
  <r>
    <d v="2023-01-05T00:00:00"/>
    <x v="0"/>
    <x v="5"/>
    <x v="0"/>
    <x v="85"/>
    <x v="84"/>
    <s v="Card"/>
    <s v="REV102511"/>
    <x v="1"/>
  </r>
  <r>
    <d v="2023-01-05T00:00:00"/>
    <x v="0"/>
    <x v="6"/>
    <x v="3"/>
    <x v="86"/>
    <x v="85"/>
    <s v="Bank Transfer"/>
    <s v="REV102572"/>
    <x v="1"/>
  </r>
  <r>
    <d v="2023-01-05T00:00:00"/>
    <x v="0"/>
    <x v="5"/>
    <x v="0"/>
    <x v="87"/>
    <x v="86"/>
    <s v="Bank Transfer"/>
    <s v="REV102720"/>
    <x v="1"/>
  </r>
  <r>
    <d v="2023-01-05T00:00:00"/>
    <x v="0"/>
    <x v="5"/>
    <x v="3"/>
    <x v="88"/>
    <x v="87"/>
    <s v="Card"/>
    <s v="REV103217"/>
    <x v="1"/>
  </r>
  <r>
    <d v="2023-01-06T00:00:00"/>
    <x v="0"/>
    <x v="1"/>
    <x v="2"/>
    <x v="89"/>
    <x v="88"/>
    <s v="Cash"/>
    <s v="TXN100497"/>
    <x v="0"/>
  </r>
  <r>
    <d v="2023-01-06T00:00:00"/>
    <x v="0"/>
    <x v="2"/>
    <x v="0"/>
    <x v="90"/>
    <x v="89"/>
    <s v="Card"/>
    <s v="TXN100980"/>
    <x v="0"/>
  </r>
  <r>
    <d v="2023-01-06T00:00:00"/>
    <x v="0"/>
    <x v="7"/>
    <x v="3"/>
    <x v="91"/>
    <x v="90"/>
    <s v="Card"/>
    <s v="TXN101571"/>
    <x v="0"/>
  </r>
  <r>
    <d v="2023-01-06T00:00:00"/>
    <x v="0"/>
    <x v="4"/>
    <x v="1"/>
    <x v="92"/>
    <x v="91"/>
    <s v="Cash"/>
    <s v="TXN102915"/>
    <x v="0"/>
  </r>
  <r>
    <d v="2023-01-06T00:00:00"/>
    <x v="0"/>
    <x v="7"/>
    <x v="2"/>
    <x v="93"/>
    <x v="92"/>
    <s v="Cash"/>
    <s v="TXN103556"/>
    <x v="0"/>
  </r>
  <r>
    <d v="2023-01-06T00:00:00"/>
    <x v="0"/>
    <x v="0"/>
    <x v="4"/>
    <x v="94"/>
    <x v="93"/>
    <s v="Bank Transfer"/>
    <s v="TXN107493"/>
    <x v="0"/>
  </r>
  <r>
    <d v="2023-01-06T00:00:00"/>
    <x v="0"/>
    <x v="6"/>
    <x v="2"/>
    <x v="95"/>
    <x v="94"/>
    <s v="Bank Transfer"/>
    <s v="REV100190"/>
    <x v="1"/>
  </r>
  <r>
    <d v="2023-01-06T00:00:00"/>
    <x v="0"/>
    <x v="6"/>
    <x v="0"/>
    <x v="96"/>
    <x v="95"/>
    <s v="Card"/>
    <s v="REV100366"/>
    <x v="1"/>
  </r>
  <r>
    <d v="2023-01-06T00:00:00"/>
    <x v="0"/>
    <x v="6"/>
    <x v="3"/>
    <x v="97"/>
    <x v="96"/>
    <s v="Bank Transfer"/>
    <s v="REV100578"/>
    <x v="1"/>
  </r>
  <r>
    <d v="2023-01-06T00:00:00"/>
    <x v="0"/>
    <x v="6"/>
    <x v="1"/>
    <x v="98"/>
    <x v="97"/>
    <s v="Bank Transfer"/>
    <s v="REV101017"/>
    <x v="1"/>
  </r>
  <r>
    <d v="2023-01-06T00:00:00"/>
    <x v="0"/>
    <x v="5"/>
    <x v="2"/>
    <x v="99"/>
    <x v="98"/>
    <s v="Card"/>
    <s v="REV101214"/>
    <x v="1"/>
  </r>
  <r>
    <d v="2023-01-06T00:00:00"/>
    <x v="0"/>
    <x v="5"/>
    <x v="4"/>
    <x v="100"/>
    <x v="99"/>
    <s v="Bank Transfer"/>
    <s v="REV102537"/>
    <x v="1"/>
  </r>
  <r>
    <d v="2023-01-07T00:00:00"/>
    <x v="0"/>
    <x v="7"/>
    <x v="1"/>
    <x v="101"/>
    <x v="100"/>
    <s v="Bank Transfer"/>
    <s v="TXN102659"/>
    <x v="0"/>
  </r>
  <r>
    <d v="2023-01-07T00:00:00"/>
    <x v="0"/>
    <x v="7"/>
    <x v="3"/>
    <x v="102"/>
    <x v="101"/>
    <s v="Card"/>
    <s v="TXN103277"/>
    <x v="0"/>
  </r>
  <r>
    <d v="2023-01-07T00:00:00"/>
    <x v="0"/>
    <x v="1"/>
    <x v="1"/>
    <x v="103"/>
    <x v="102"/>
    <s v="UPI"/>
    <s v="TXN106367"/>
    <x v="0"/>
  </r>
  <r>
    <d v="2023-01-07T00:00:00"/>
    <x v="0"/>
    <x v="7"/>
    <x v="3"/>
    <x v="104"/>
    <x v="103"/>
    <s v="Bank Transfer"/>
    <s v="TXN107494"/>
    <x v="0"/>
  </r>
  <r>
    <d v="2023-01-07T00:00:00"/>
    <x v="0"/>
    <x v="2"/>
    <x v="4"/>
    <x v="105"/>
    <x v="104"/>
    <s v="Bank Transfer"/>
    <s v="TXN107926"/>
    <x v="0"/>
  </r>
  <r>
    <d v="2023-01-07T00:00:00"/>
    <x v="0"/>
    <x v="7"/>
    <x v="0"/>
    <x v="106"/>
    <x v="105"/>
    <s v="Cash"/>
    <s v="TXN108963"/>
    <x v="0"/>
  </r>
  <r>
    <d v="2023-01-07T00:00:00"/>
    <x v="0"/>
    <x v="5"/>
    <x v="1"/>
    <x v="107"/>
    <x v="106"/>
    <s v="UPI"/>
    <s v="REV100932"/>
    <x v="1"/>
  </r>
  <r>
    <d v="2023-01-07T00:00:00"/>
    <x v="0"/>
    <x v="5"/>
    <x v="3"/>
    <x v="108"/>
    <x v="107"/>
    <s v="UPI"/>
    <s v="REV101125"/>
    <x v="1"/>
  </r>
  <r>
    <d v="2023-01-07T00:00:00"/>
    <x v="0"/>
    <x v="5"/>
    <x v="1"/>
    <x v="109"/>
    <x v="108"/>
    <s v="Card"/>
    <s v="REV102151"/>
    <x v="1"/>
  </r>
  <r>
    <d v="2023-01-07T00:00:00"/>
    <x v="0"/>
    <x v="5"/>
    <x v="3"/>
    <x v="110"/>
    <x v="109"/>
    <s v="Bank Transfer"/>
    <s v="REV102538"/>
    <x v="1"/>
  </r>
  <r>
    <d v="2023-01-07T00:00:00"/>
    <x v="0"/>
    <x v="5"/>
    <x v="4"/>
    <x v="111"/>
    <x v="110"/>
    <s v="Bank Transfer"/>
    <s v="REV102691"/>
    <x v="1"/>
  </r>
  <r>
    <d v="2023-01-07T00:00:00"/>
    <x v="0"/>
    <x v="6"/>
    <x v="0"/>
    <x v="112"/>
    <x v="111"/>
    <s v="Card"/>
    <s v="REV103036"/>
    <x v="1"/>
  </r>
  <r>
    <d v="2023-01-08T00:00:00"/>
    <x v="0"/>
    <x v="3"/>
    <x v="2"/>
    <x v="113"/>
    <x v="112"/>
    <s v="UPI"/>
    <s v="TXN100588"/>
    <x v="0"/>
  </r>
  <r>
    <d v="2023-01-08T00:00:00"/>
    <x v="0"/>
    <x v="2"/>
    <x v="0"/>
    <x v="114"/>
    <x v="113"/>
    <s v="UPI"/>
    <s v="TXN101185"/>
    <x v="0"/>
  </r>
  <r>
    <d v="2023-01-08T00:00:00"/>
    <x v="0"/>
    <x v="0"/>
    <x v="0"/>
    <x v="115"/>
    <x v="114"/>
    <s v="UPI"/>
    <s v="TXN101286"/>
    <x v="0"/>
  </r>
  <r>
    <d v="2023-01-08T00:00:00"/>
    <x v="0"/>
    <x v="7"/>
    <x v="3"/>
    <x v="116"/>
    <x v="115"/>
    <s v="Bank Transfer"/>
    <s v="TXN101745"/>
    <x v="0"/>
  </r>
  <r>
    <d v="2023-01-08T00:00:00"/>
    <x v="0"/>
    <x v="0"/>
    <x v="3"/>
    <x v="117"/>
    <x v="116"/>
    <s v="Bank Transfer"/>
    <s v="TXN103815"/>
    <x v="0"/>
  </r>
  <r>
    <d v="2023-01-08T00:00:00"/>
    <x v="0"/>
    <x v="7"/>
    <x v="0"/>
    <x v="118"/>
    <x v="117"/>
    <s v="Card"/>
    <s v="TXN105376"/>
    <x v="0"/>
  </r>
  <r>
    <d v="2023-01-08T00:00:00"/>
    <x v="0"/>
    <x v="3"/>
    <x v="3"/>
    <x v="119"/>
    <x v="118"/>
    <s v="UPI"/>
    <s v="TXN105835"/>
    <x v="0"/>
  </r>
  <r>
    <d v="2023-01-08T00:00:00"/>
    <x v="0"/>
    <x v="3"/>
    <x v="0"/>
    <x v="120"/>
    <x v="119"/>
    <s v="UPI"/>
    <s v="TXN105877"/>
    <x v="0"/>
  </r>
  <r>
    <d v="2023-01-08T00:00:00"/>
    <x v="0"/>
    <x v="4"/>
    <x v="4"/>
    <x v="121"/>
    <x v="120"/>
    <s v="Card"/>
    <s v="TXN106601"/>
    <x v="0"/>
  </r>
  <r>
    <d v="2023-01-08T00:00:00"/>
    <x v="0"/>
    <x v="3"/>
    <x v="4"/>
    <x v="122"/>
    <x v="121"/>
    <s v="Cash"/>
    <s v="TXN106652"/>
    <x v="0"/>
  </r>
  <r>
    <d v="2023-01-08T00:00:00"/>
    <x v="0"/>
    <x v="3"/>
    <x v="2"/>
    <x v="123"/>
    <x v="122"/>
    <s v="Bank Transfer"/>
    <s v="TXN107003"/>
    <x v="0"/>
  </r>
  <r>
    <d v="2023-01-08T00:00:00"/>
    <x v="0"/>
    <x v="4"/>
    <x v="0"/>
    <x v="124"/>
    <x v="123"/>
    <s v="Card"/>
    <s v="TXN107759"/>
    <x v="0"/>
  </r>
  <r>
    <d v="2023-01-08T00:00:00"/>
    <x v="0"/>
    <x v="7"/>
    <x v="1"/>
    <x v="125"/>
    <x v="124"/>
    <s v="Card"/>
    <s v="TXN108282"/>
    <x v="0"/>
  </r>
  <r>
    <d v="2023-01-08T00:00:00"/>
    <x v="0"/>
    <x v="0"/>
    <x v="2"/>
    <x v="126"/>
    <x v="125"/>
    <s v="Card"/>
    <s v="TXN109591"/>
    <x v="0"/>
  </r>
  <r>
    <d v="2023-01-08T00:00:00"/>
    <x v="0"/>
    <x v="5"/>
    <x v="2"/>
    <x v="127"/>
    <x v="126"/>
    <s v="Card"/>
    <s v="REV100227"/>
    <x v="1"/>
  </r>
  <r>
    <d v="2023-01-08T00:00:00"/>
    <x v="0"/>
    <x v="5"/>
    <x v="0"/>
    <x v="128"/>
    <x v="127"/>
    <s v="Card"/>
    <s v="REV100437"/>
    <x v="1"/>
  </r>
  <r>
    <d v="2023-01-08T00:00:00"/>
    <x v="0"/>
    <x v="5"/>
    <x v="0"/>
    <x v="129"/>
    <x v="128"/>
    <s v="Card"/>
    <s v="REV100470"/>
    <x v="1"/>
  </r>
  <r>
    <d v="2023-01-08T00:00:00"/>
    <x v="0"/>
    <x v="6"/>
    <x v="3"/>
    <x v="130"/>
    <x v="53"/>
    <s v="Bank Transfer"/>
    <s v="REV100636"/>
    <x v="1"/>
  </r>
  <r>
    <d v="2023-01-08T00:00:00"/>
    <x v="0"/>
    <x v="6"/>
    <x v="3"/>
    <x v="127"/>
    <x v="129"/>
    <s v="Card"/>
    <s v="REV101318"/>
    <x v="1"/>
  </r>
  <r>
    <d v="2023-01-08T00:00:00"/>
    <x v="0"/>
    <x v="5"/>
    <x v="0"/>
    <x v="131"/>
    <x v="130"/>
    <s v="Bank Transfer"/>
    <s v="REV101830"/>
    <x v="1"/>
  </r>
  <r>
    <d v="2023-01-08T00:00:00"/>
    <x v="0"/>
    <x v="5"/>
    <x v="3"/>
    <x v="132"/>
    <x v="131"/>
    <s v="Bank Transfer"/>
    <s v="REV101974"/>
    <x v="1"/>
  </r>
  <r>
    <d v="2023-01-08T00:00:00"/>
    <x v="0"/>
    <x v="6"/>
    <x v="0"/>
    <x v="133"/>
    <x v="132"/>
    <s v="Bank Transfer"/>
    <s v="REV101985"/>
    <x v="1"/>
  </r>
  <r>
    <d v="2023-01-08T00:00:00"/>
    <x v="0"/>
    <x v="5"/>
    <x v="4"/>
    <x v="134"/>
    <x v="133"/>
    <s v="Bank Transfer"/>
    <s v="REV102240"/>
    <x v="1"/>
  </r>
  <r>
    <d v="2023-01-08T00:00:00"/>
    <x v="0"/>
    <x v="5"/>
    <x v="4"/>
    <x v="135"/>
    <x v="134"/>
    <s v="Bank Transfer"/>
    <s v="REV102263"/>
    <x v="1"/>
  </r>
  <r>
    <d v="2023-01-08T00:00:00"/>
    <x v="0"/>
    <x v="6"/>
    <x v="2"/>
    <x v="136"/>
    <x v="135"/>
    <s v="UPI"/>
    <s v="REV102376"/>
    <x v="1"/>
  </r>
  <r>
    <d v="2023-01-08T00:00:00"/>
    <x v="0"/>
    <x v="6"/>
    <x v="0"/>
    <x v="137"/>
    <x v="136"/>
    <s v="Card"/>
    <s v="REV102640"/>
    <x v="1"/>
  </r>
  <r>
    <d v="2023-01-08T00:00:00"/>
    <x v="0"/>
    <x v="5"/>
    <x v="1"/>
    <x v="138"/>
    <x v="137"/>
    <s v="Bank Transfer"/>
    <s v="REV102816"/>
    <x v="1"/>
  </r>
  <r>
    <d v="2023-01-08T00:00:00"/>
    <x v="0"/>
    <x v="5"/>
    <x v="2"/>
    <x v="139"/>
    <x v="138"/>
    <s v="Bank Transfer"/>
    <s v="REV103241"/>
    <x v="1"/>
  </r>
  <r>
    <d v="2023-01-09T00:00:00"/>
    <x v="0"/>
    <x v="0"/>
    <x v="4"/>
    <x v="140"/>
    <x v="139"/>
    <s v="UPI"/>
    <s v="TXN100402"/>
    <x v="0"/>
  </r>
  <r>
    <d v="2023-01-09T00:00:00"/>
    <x v="0"/>
    <x v="1"/>
    <x v="3"/>
    <x v="141"/>
    <x v="140"/>
    <s v="Bank Transfer"/>
    <s v="TXN100675"/>
    <x v="0"/>
  </r>
  <r>
    <d v="2023-01-09T00:00:00"/>
    <x v="0"/>
    <x v="3"/>
    <x v="3"/>
    <x v="142"/>
    <x v="141"/>
    <s v="Card"/>
    <s v="TXN101113"/>
    <x v="0"/>
  </r>
  <r>
    <d v="2023-01-09T00:00:00"/>
    <x v="0"/>
    <x v="1"/>
    <x v="4"/>
    <x v="143"/>
    <x v="142"/>
    <s v="Bank Transfer"/>
    <s v="TXN103883"/>
    <x v="0"/>
  </r>
  <r>
    <d v="2023-01-09T00:00:00"/>
    <x v="0"/>
    <x v="1"/>
    <x v="0"/>
    <x v="144"/>
    <x v="143"/>
    <s v="UPI"/>
    <s v="TXN103995"/>
    <x v="0"/>
  </r>
  <r>
    <d v="2023-01-09T00:00:00"/>
    <x v="0"/>
    <x v="2"/>
    <x v="3"/>
    <x v="145"/>
    <x v="144"/>
    <s v="Bank Transfer"/>
    <s v="TXN106352"/>
    <x v="0"/>
  </r>
  <r>
    <d v="2023-01-09T00:00:00"/>
    <x v="0"/>
    <x v="0"/>
    <x v="2"/>
    <x v="146"/>
    <x v="145"/>
    <s v="Cash"/>
    <s v="TXN107030"/>
    <x v="0"/>
  </r>
  <r>
    <d v="2023-01-09T00:00:00"/>
    <x v="0"/>
    <x v="1"/>
    <x v="2"/>
    <x v="147"/>
    <x v="146"/>
    <s v="UPI"/>
    <s v="TXN108257"/>
    <x v="0"/>
  </r>
  <r>
    <d v="2023-01-09T00:00:00"/>
    <x v="0"/>
    <x v="0"/>
    <x v="2"/>
    <x v="148"/>
    <x v="147"/>
    <s v="Cash"/>
    <s v="TXN108717"/>
    <x v="0"/>
  </r>
  <r>
    <d v="2023-01-09T00:00:00"/>
    <x v="0"/>
    <x v="2"/>
    <x v="4"/>
    <x v="149"/>
    <x v="148"/>
    <s v="UPI"/>
    <s v="TXN109243"/>
    <x v="0"/>
  </r>
  <r>
    <d v="2023-01-09T00:00:00"/>
    <x v="0"/>
    <x v="4"/>
    <x v="3"/>
    <x v="150"/>
    <x v="149"/>
    <s v="UPI"/>
    <s v="TXN109789"/>
    <x v="0"/>
  </r>
  <r>
    <d v="2023-01-09T00:00:00"/>
    <x v="0"/>
    <x v="5"/>
    <x v="4"/>
    <x v="151"/>
    <x v="150"/>
    <s v="UPI"/>
    <s v="REV100152"/>
    <x v="1"/>
  </r>
  <r>
    <d v="2023-01-09T00:00:00"/>
    <x v="0"/>
    <x v="5"/>
    <x v="3"/>
    <x v="152"/>
    <x v="151"/>
    <s v="Card"/>
    <s v="REV100257"/>
    <x v="1"/>
  </r>
  <r>
    <d v="2023-01-09T00:00:00"/>
    <x v="0"/>
    <x v="6"/>
    <x v="3"/>
    <x v="153"/>
    <x v="81"/>
    <s v="Bank Transfer"/>
    <s v="REV100410"/>
    <x v="1"/>
  </r>
  <r>
    <d v="2023-01-09T00:00:00"/>
    <x v="0"/>
    <x v="5"/>
    <x v="4"/>
    <x v="154"/>
    <x v="152"/>
    <s v="Bank Transfer"/>
    <s v="REV101340"/>
    <x v="1"/>
  </r>
  <r>
    <d v="2023-01-09T00:00:00"/>
    <x v="0"/>
    <x v="5"/>
    <x v="0"/>
    <x v="155"/>
    <x v="153"/>
    <s v="Bank Transfer"/>
    <s v="REV101385"/>
    <x v="1"/>
  </r>
  <r>
    <d v="2023-01-09T00:00:00"/>
    <x v="0"/>
    <x v="6"/>
    <x v="3"/>
    <x v="156"/>
    <x v="154"/>
    <s v="UPI"/>
    <s v="REV102142"/>
    <x v="1"/>
  </r>
  <r>
    <d v="2023-01-09T00:00:00"/>
    <x v="0"/>
    <x v="5"/>
    <x v="2"/>
    <x v="157"/>
    <x v="155"/>
    <s v="UPI"/>
    <s v="REV102387"/>
    <x v="1"/>
  </r>
  <r>
    <d v="2023-01-09T00:00:00"/>
    <x v="0"/>
    <x v="5"/>
    <x v="2"/>
    <x v="158"/>
    <x v="156"/>
    <s v="Bank Transfer"/>
    <s v="REV102803"/>
    <x v="1"/>
  </r>
  <r>
    <d v="2023-01-09T00:00:00"/>
    <x v="0"/>
    <x v="5"/>
    <x v="2"/>
    <x v="159"/>
    <x v="157"/>
    <s v="Bank Transfer"/>
    <s v="REV102958"/>
    <x v="1"/>
  </r>
  <r>
    <d v="2023-01-09T00:00:00"/>
    <x v="0"/>
    <x v="6"/>
    <x v="4"/>
    <x v="160"/>
    <x v="158"/>
    <s v="Bank Transfer"/>
    <s v="REV103117"/>
    <x v="1"/>
  </r>
  <r>
    <d v="2023-01-09T00:00:00"/>
    <x v="0"/>
    <x v="5"/>
    <x v="3"/>
    <x v="161"/>
    <x v="159"/>
    <s v="Bank Transfer"/>
    <s v="REV103312"/>
    <x v="1"/>
  </r>
  <r>
    <d v="2023-01-10T00:00:00"/>
    <x v="0"/>
    <x v="4"/>
    <x v="4"/>
    <x v="162"/>
    <x v="160"/>
    <s v="UPI"/>
    <s v="TXN100512"/>
    <x v="0"/>
  </r>
  <r>
    <d v="2023-01-10T00:00:00"/>
    <x v="0"/>
    <x v="4"/>
    <x v="0"/>
    <x v="163"/>
    <x v="161"/>
    <s v="Cash"/>
    <s v="TXN102081"/>
    <x v="0"/>
  </r>
  <r>
    <d v="2023-01-10T00:00:00"/>
    <x v="0"/>
    <x v="0"/>
    <x v="1"/>
    <x v="164"/>
    <x v="162"/>
    <s v="Card"/>
    <s v="TXN102840"/>
    <x v="0"/>
  </r>
  <r>
    <d v="2023-01-10T00:00:00"/>
    <x v="0"/>
    <x v="0"/>
    <x v="3"/>
    <x v="165"/>
    <x v="163"/>
    <s v="UPI"/>
    <s v="TXN102981"/>
    <x v="0"/>
  </r>
  <r>
    <d v="2023-01-10T00:00:00"/>
    <x v="0"/>
    <x v="3"/>
    <x v="0"/>
    <x v="166"/>
    <x v="164"/>
    <s v="Cash"/>
    <s v="TXN105331"/>
    <x v="0"/>
  </r>
  <r>
    <d v="2023-01-10T00:00:00"/>
    <x v="0"/>
    <x v="0"/>
    <x v="3"/>
    <x v="167"/>
    <x v="165"/>
    <s v="Card"/>
    <s v="TXN108002"/>
    <x v="0"/>
  </r>
  <r>
    <d v="2023-01-10T00:00:00"/>
    <x v="0"/>
    <x v="2"/>
    <x v="1"/>
    <x v="168"/>
    <x v="166"/>
    <s v="UPI"/>
    <s v="TXN108135"/>
    <x v="0"/>
  </r>
  <r>
    <d v="2023-01-10T00:00:00"/>
    <x v="0"/>
    <x v="3"/>
    <x v="1"/>
    <x v="169"/>
    <x v="167"/>
    <s v="Cash"/>
    <s v="TXN108492"/>
    <x v="0"/>
  </r>
  <r>
    <d v="2023-01-10T00:00:00"/>
    <x v="0"/>
    <x v="7"/>
    <x v="0"/>
    <x v="170"/>
    <x v="168"/>
    <s v="Cash"/>
    <s v="TXN108906"/>
    <x v="0"/>
  </r>
  <r>
    <d v="2023-01-10T00:00:00"/>
    <x v="0"/>
    <x v="7"/>
    <x v="1"/>
    <x v="171"/>
    <x v="169"/>
    <s v="Cash"/>
    <s v="TXN109773"/>
    <x v="0"/>
  </r>
  <r>
    <d v="2023-01-10T00:00:00"/>
    <x v="0"/>
    <x v="2"/>
    <x v="1"/>
    <x v="172"/>
    <x v="170"/>
    <s v="Card"/>
    <s v="TXN109883"/>
    <x v="0"/>
  </r>
  <r>
    <d v="2023-01-10T00:00:00"/>
    <x v="0"/>
    <x v="6"/>
    <x v="4"/>
    <x v="173"/>
    <x v="171"/>
    <s v="Bank Transfer"/>
    <s v="REV100197"/>
    <x v="1"/>
  </r>
  <r>
    <d v="2023-01-10T00:00:00"/>
    <x v="0"/>
    <x v="5"/>
    <x v="0"/>
    <x v="174"/>
    <x v="172"/>
    <s v="Card"/>
    <s v="REV100741"/>
    <x v="1"/>
  </r>
  <r>
    <d v="2023-01-10T00:00:00"/>
    <x v="0"/>
    <x v="5"/>
    <x v="1"/>
    <x v="175"/>
    <x v="173"/>
    <s v="Bank Transfer"/>
    <s v="REV100999"/>
    <x v="1"/>
  </r>
  <r>
    <d v="2023-01-10T00:00:00"/>
    <x v="0"/>
    <x v="5"/>
    <x v="3"/>
    <x v="176"/>
    <x v="174"/>
    <s v="Bank Transfer"/>
    <s v="REV101036"/>
    <x v="1"/>
  </r>
  <r>
    <d v="2023-01-10T00:00:00"/>
    <x v="0"/>
    <x v="5"/>
    <x v="0"/>
    <x v="177"/>
    <x v="175"/>
    <s v="Card"/>
    <s v="REV101810"/>
    <x v="1"/>
  </r>
  <r>
    <d v="2023-01-10T00:00:00"/>
    <x v="0"/>
    <x v="5"/>
    <x v="3"/>
    <x v="178"/>
    <x v="176"/>
    <s v="Bank Transfer"/>
    <s v="REV102718"/>
    <x v="1"/>
  </r>
  <r>
    <d v="2023-01-10T00:00:00"/>
    <x v="0"/>
    <x v="5"/>
    <x v="1"/>
    <x v="179"/>
    <x v="177"/>
    <s v="Bank Transfer"/>
    <s v="REV102763"/>
    <x v="1"/>
  </r>
  <r>
    <d v="2023-01-10T00:00:00"/>
    <x v="0"/>
    <x v="5"/>
    <x v="1"/>
    <x v="180"/>
    <x v="178"/>
    <s v="Bank Transfer"/>
    <s v="REV102875"/>
    <x v="1"/>
  </r>
  <r>
    <d v="2023-01-10T00:00:00"/>
    <x v="0"/>
    <x v="6"/>
    <x v="0"/>
    <x v="181"/>
    <x v="179"/>
    <s v="Bank Transfer"/>
    <s v="REV103015"/>
    <x v="1"/>
  </r>
  <r>
    <d v="2023-01-10T00:00:00"/>
    <x v="0"/>
    <x v="5"/>
    <x v="1"/>
    <x v="182"/>
    <x v="180"/>
    <s v="Bank Transfer"/>
    <s v="REV103308"/>
    <x v="1"/>
  </r>
  <r>
    <d v="2023-01-10T00:00:00"/>
    <x v="0"/>
    <x v="5"/>
    <x v="1"/>
    <x v="183"/>
    <x v="181"/>
    <s v="Bank Transfer"/>
    <s v="REV103344"/>
    <x v="1"/>
  </r>
  <r>
    <d v="2023-01-11T00:00:00"/>
    <x v="0"/>
    <x v="3"/>
    <x v="2"/>
    <x v="184"/>
    <x v="182"/>
    <s v="UPI"/>
    <s v="TXN100323"/>
    <x v="0"/>
  </r>
  <r>
    <d v="2023-01-11T00:00:00"/>
    <x v="0"/>
    <x v="7"/>
    <x v="0"/>
    <x v="185"/>
    <x v="183"/>
    <s v="Cash"/>
    <s v="TXN102800"/>
    <x v="0"/>
  </r>
  <r>
    <d v="2023-01-11T00:00:00"/>
    <x v="0"/>
    <x v="3"/>
    <x v="0"/>
    <x v="186"/>
    <x v="184"/>
    <s v="Bank Transfer"/>
    <s v="TXN105410"/>
    <x v="0"/>
  </r>
  <r>
    <d v="2023-01-11T00:00:00"/>
    <x v="0"/>
    <x v="1"/>
    <x v="0"/>
    <x v="187"/>
    <x v="185"/>
    <s v="Card"/>
    <s v="TXN108297"/>
    <x v="0"/>
  </r>
  <r>
    <d v="2023-01-11T00:00:00"/>
    <x v="0"/>
    <x v="3"/>
    <x v="3"/>
    <x v="188"/>
    <x v="186"/>
    <s v="Bank Transfer"/>
    <s v="TXN108694"/>
    <x v="0"/>
  </r>
  <r>
    <d v="2023-01-11T00:00:00"/>
    <x v="0"/>
    <x v="5"/>
    <x v="2"/>
    <x v="189"/>
    <x v="187"/>
    <s v="Card"/>
    <s v="REV100118"/>
    <x v="1"/>
  </r>
  <r>
    <d v="2023-01-11T00:00:00"/>
    <x v="0"/>
    <x v="5"/>
    <x v="0"/>
    <x v="190"/>
    <x v="188"/>
    <s v="Card"/>
    <s v="REV100987"/>
    <x v="1"/>
  </r>
  <r>
    <d v="2023-01-11T00:00:00"/>
    <x v="0"/>
    <x v="6"/>
    <x v="0"/>
    <x v="191"/>
    <x v="189"/>
    <s v="Bank Transfer"/>
    <s v="REV101838"/>
    <x v="1"/>
  </r>
  <r>
    <d v="2023-01-11T00:00:00"/>
    <x v="0"/>
    <x v="5"/>
    <x v="0"/>
    <x v="192"/>
    <x v="190"/>
    <s v="Bank Transfer"/>
    <s v="REV102820"/>
    <x v="1"/>
  </r>
  <r>
    <d v="2023-01-11T00:00:00"/>
    <x v="0"/>
    <x v="5"/>
    <x v="3"/>
    <x v="193"/>
    <x v="191"/>
    <s v="Bank Transfer"/>
    <s v="REV102952"/>
    <x v="1"/>
  </r>
  <r>
    <d v="2023-01-12T00:00:00"/>
    <x v="0"/>
    <x v="7"/>
    <x v="0"/>
    <x v="194"/>
    <x v="192"/>
    <s v="Bank Transfer"/>
    <s v="TXN101851"/>
    <x v="0"/>
  </r>
  <r>
    <d v="2023-01-12T00:00:00"/>
    <x v="0"/>
    <x v="3"/>
    <x v="4"/>
    <x v="195"/>
    <x v="193"/>
    <s v="Card"/>
    <s v="TXN103316"/>
    <x v="0"/>
  </r>
  <r>
    <d v="2023-01-12T00:00:00"/>
    <x v="0"/>
    <x v="0"/>
    <x v="0"/>
    <x v="196"/>
    <x v="194"/>
    <s v="Cash"/>
    <s v="TXN103687"/>
    <x v="0"/>
  </r>
  <r>
    <d v="2023-01-12T00:00:00"/>
    <x v="0"/>
    <x v="4"/>
    <x v="0"/>
    <x v="197"/>
    <x v="195"/>
    <s v="Card"/>
    <s v="TXN104470"/>
    <x v="0"/>
  </r>
  <r>
    <d v="2023-01-12T00:00:00"/>
    <x v="0"/>
    <x v="0"/>
    <x v="0"/>
    <x v="198"/>
    <x v="196"/>
    <s v="Bank Transfer"/>
    <s v="TXN104524"/>
    <x v="0"/>
  </r>
  <r>
    <d v="2023-01-12T00:00:00"/>
    <x v="0"/>
    <x v="7"/>
    <x v="0"/>
    <x v="199"/>
    <x v="197"/>
    <s v="Bank Transfer"/>
    <s v="TXN106272"/>
    <x v="0"/>
  </r>
  <r>
    <d v="2023-01-12T00:00:00"/>
    <x v="0"/>
    <x v="1"/>
    <x v="0"/>
    <x v="200"/>
    <x v="198"/>
    <s v="UPI"/>
    <s v="TXN107190"/>
    <x v="0"/>
  </r>
  <r>
    <d v="2023-01-12T00:00:00"/>
    <x v="0"/>
    <x v="7"/>
    <x v="3"/>
    <x v="201"/>
    <x v="199"/>
    <s v="Card"/>
    <s v="TXN109448"/>
    <x v="0"/>
  </r>
  <r>
    <d v="2023-01-12T00:00:00"/>
    <x v="0"/>
    <x v="6"/>
    <x v="0"/>
    <x v="202"/>
    <x v="200"/>
    <s v="Card"/>
    <s v="REV100673"/>
    <x v="1"/>
  </r>
  <r>
    <d v="2023-01-12T00:00:00"/>
    <x v="0"/>
    <x v="5"/>
    <x v="4"/>
    <x v="203"/>
    <x v="201"/>
    <s v="Bank Transfer"/>
    <s v="REV101137"/>
    <x v="1"/>
  </r>
  <r>
    <d v="2023-01-12T00:00:00"/>
    <x v="0"/>
    <x v="6"/>
    <x v="0"/>
    <x v="204"/>
    <x v="202"/>
    <s v="Card"/>
    <s v="REV101263"/>
    <x v="1"/>
  </r>
  <r>
    <d v="2023-01-12T00:00:00"/>
    <x v="0"/>
    <x v="5"/>
    <x v="0"/>
    <x v="205"/>
    <x v="203"/>
    <s v="Card"/>
    <s v="REV101541"/>
    <x v="1"/>
  </r>
  <r>
    <d v="2023-01-12T00:00:00"/>
    <x v="0"/>
    <x v="5"/>
    <x v="0"/>
    <x v="206"/>
    <x v="204"/>
    <s v="Bank Transfer"/>
    <s v="REV101552"/>
    <x v="1"/>
  </r>
  <r>
    <d v="2023-01-12T00:00:00"/>
    <x v="0"/>
    <x v="5"/>
    <x v="0"/>
    <x v="207"/>
    <x v="205"/>
    <s v="Bank Transfer"/>
    <s v="REV102114"/>
    <x v="1"/>
  </r>
  <r>
    <d v="2023-01-12T00:00:00"/>
    <x v="0"/>
    <x v="6"/>
    <x v="0"/>
    <x v="208"/>
    <x v="206"/>
    <s v="Bank Transfer"/>
    <s v="REV102440"/>
    <x v="1"/>
  </r>
  <r>
    <d v="2023-01-12T00:00:00"/>
    <x v="0"/>
    <x v="6"/>
    <x v="3"/>
    <x v="207"/>
    <x v="207"/>
    <s v="Bank Transfer"/>
    <s v="REV103194"/>
    <x v="1"/>
  </r>
  <r>
    <d v="2023-01-13T00:00:00"/>
    <x v="0"/>
    <x v="0"/>
    <x v="1"/>
    <x v="209"/>
    <x v="208"/>
    <s v="Bank Transfer"/>
    <s v="TXN100113"/>
    <x v="0"/>
  </r>
  <r>
    <d v="2023-01-13T00:00:00"/>
    <x v="0"/>
    <x v="3"/>
    <x v="4"/>
    <x v="210"/>
    <x v="209"/>
    <s v="UPI"/>
    <s v="TXN102120"/>
    <x v="0"/>
  </r>
  <r>
    <d v="2023-01-13T00:00:00"/>
    <x v="0"/>
    <x v="2"/>
    <x v="1"/>
    <x v="211"/>
    <x v="210"/>
    <s v="Cash"/>
    <s v="TXN105867"/>
    <x v="0"/>
  </r>
  <r>
    <d v="2023-01-13T00:00:00"/>
    <x v="0"/>
    <x v="2"/>
    <x v="4"/>
    <x v="212"/>
    <x v="211"/>
    <s v="Card"/>
    <s v="TXN106160"/>
    <x v="0"/>
  </r>
  <r>
    <d v="2023-01-13T00:00:00"/>
    <x v="0"/>
    <x v="7"/>
    <x v="0"/>
    <x v="213"/>
    <x v="212"/>
    <s v="Bank Transfer"/>
    <s v="TXN107105"/>
    <x v="0"/>
  </r>
  <r>
    <d v="2023-01-13T00:00:00"/>
    <x v="0"/>
    <x v="4"/>
    <x v="2"/>
    <x v="214"/>
    <x v="213"/>
    <s v="Cash"/>
    <s v="TXN107205"/>
    <x v="0"/>
  </r>
  <r>
    <d v="2023-01-13T00:00:00"/>
    <x v="0"/>
    <x v="0"/>
    <x v="1"/>
    <x v="215"/>
    <x v="214"/>
    <s v="UPI"/>
    <s v="TXN107514"/>
    <x v="0"/>
  </r>
  <r>
    <d v="2023-01-13T00:00:00"/>
    <x v="0"/>
    <x v="4"/>
    <x v="1"/>
    <x v="216"/>
    <x v="215"/>
    <s v="Cash"/>
    <s v="TXN107634"/>
    <x v="0"/>
  </r>
  <r>
    <d v="2023-01-13T00:00:00"/>
    <x v="0"/>
    <x v="1"/>
    <x v="3"/>
    <x v="217"/>
    <x v="216"/>
    <s v="Cash"/>
    <s v="TXN108273"/>
    <x v="0"/>
  </r>
  <r>
    <d v="2023-01-13T00:00:00"/>
    <x v="0"/>
    <x v="2"/>
    <x v="1"/>
    <x v="218"/>
    <x v="217"/>
    <s v="Bank Transfer"/>
    <s v="TXN108918"/>
    <x v="0"/>
  </r>
  <r>
    <d v="2023-01-13T00:00:00"/>
    <x v="0"/>
    <x v="6"/>
    <x v="1"/>
    <x v="66"/>
    <x v="218"/>
    <s v="Bank Transfer"/>
    <s v="REV100044"/>
    <x v="1"/>
  </r>
  <r>
    <d v="2023-01-13T00:00:00"/>
    <x v="0"/>
    <x v="5"/>
    <x v="4"/>
    <x v="219"/>
    <x v="219"/>
    <s v="Card"/>
    <s v="REV100753"/>
    <x v="1"/>
  </r>
  <r>
    <d v="2023-01-13T00:00:00"/>
    <x v="0"/>
    <x v="6"/>
    <x v="1"/>
    <x v="220"/>
    <x v="220"/>
    <s v="UPI"/>
    <s v="REV101982"/>
    <x v="1"/>
  </r>
  <r>
    <d v="2023-01-13T00:00:00"/>
    <x v="0"/>
    <x v="6"/>
    <x v="4"/>
    <x v="221"/>
    <x v="221"/>
    <s v="Bank Transfer"/>
    <s v="REV102076"/>
    <x v="1"/>
  </r>
  <r>
    <d v="2023-01-13T00:00:00"/>
    <x v="0"/>
    <x v="6"/>
    <x v="0"/>
    <x v="222"/>
    <x v="222"/>
    <s v="UPI"/>
    <s v="REV102411"/>
    <x v="1"/>
  </r>
  <r>
    <d v="2023-01-13T00:00:00"/>
    <x v="0"/>
    <x v="5"/>
    <x v="2"/>
    <x v="223"/>
    <x v="223"/>
    <s v="Bank Transfer"/>
    <s v="REV102445"/>
    <x v="1"/>
  </r>
  <r>
    <d v="2023-01-13T00:00:00"/>
    <x v="0"/>
    <x v="5"/>
    <x v="1"/>
    <x v="224"/>
    <x v="224"/>
    <s v="Bank Transfer"/>
    <s v="REV102548"/>
    <x v="1"/>
  </r>
  <r>
    <d v="2023-01-13T00:00:00"/>
    <x v="0"/>
    <x v="5"/>
    <x v="1"/>
    <x v="225"/>
    <x v="225"/>
    <s v="Card"/>
    <s v="REV102594"/>
    <x v="1"/>
  </r>
  <r>
    <d v="2023-01-13T00:00:00"/>
    <x v="0"/>
    <x v="6"/>
    <x v="3"/>
    <x v="226"/>
    <x v="226"/>
    <s v="Card"/>
    <s v="REV102812"/>
    <x v="1"/>
  </r>
  <r>
    <d v="2023-01-13T00:00:00"/>
    <x v="0"/>
    <x v="5"/>
    <x v="1"/>
    <x v="39"/>
    <x v="227"/>
    <s v="Bank Transfer"/>
    <s v="REV103020"/>
    <x v="1"/>
  </r>
  <r>
    <d v="2023-01-14T00:00:00"/>
    <x v="0"/>
    <x v="1"/>
    <x v="1"/>
    <x v="227"/>
    <x v="228"/>
    <s v="Cash"/>
    <s v="TXN101028"/>
    <x v="0"/>
  </r>
  <r>
    <d v="2023-01-14T00:00:00"/>
    <x v="0"/>
    <x v="7"/>
    <x v="1"/>
    <x v="228"/>
    <x v="229"/>
    <s v="Bank Transfer"/>
    <s v="TXN101537"/>
    <x v="0"/>
  </r>
  <r>
    <d v="2023-01-14T00:00:00"/>
    <x v="0"/>
    <x v="1"/>
    <x v="2"/>
    <x v="229"/>
    <x v="230"/>
    <s v="Cash"/>
    <s v="TXN101688"/>
    <x v="0"/>
  </r>
  <r>
    <d v="2023-01-14T00:00:00"/>
    <x v="0"/>
    <x v="7"/>
    <x v="0"/>
    <x v="230"/>
    <x v="231"/>
    <s v="Bank Transfer"/>
    <s v="TXN101877"/>
    <x v="0"/>
  </r>
  <r>
    <d v="2023-01-14T00:00:00"/>
    <x v="0"/>
    <x v="1"/>
    <x v="1"/>
    <x v="231"/>
    <x v="232"/>
    <s v="Bank Transfer"/>
    <s v="TXN102212"/>
    <x v="0"/>
  </r>
  <r>
    <d v="2023-01-14T00:00:00"/>
    <x v="0"/>
    <x v="1"/>
    <x v="4"/>
    <x v="232"/>
    <x v="233"/>
    <s v="Card"/>
    <s v="TXN106760"/>
    <x v="0"/>
  </r>
  <r>
    <d v="2023-01-14T00:00:00"/>
    <x v="0"/>
    <x v="2"/>
    <x v="1"/>
    <x v="233"/>
    <x v="234"/>
    <s v="Card"/>
    <s v="TXN109422"/>
    <x v="0"/>
  </r>
  <r>
    <d v="2023-01-14T00:00:00"/>
    <x v="0"/>
    <x v="6"/>
    <x v="1"/>
    <x v="234"/>
    <x v="235"/>
    <s v="Bank Transfer"/>
    <s v="REV100381"/>
    <x v="1"/>
  </r>
  <r>
    <d v="2023-01-14T00:00:00"/>
    <x v="0"/>
    <x v="6"/>
    <x v="1"/>
    <x v="235"/>
    <x v="236"/>
    <s v="Bank Transfer"/>
    <s v="REV100562"/>
    <x v="1"/>
  </r>
  <r>
    <d v="2023-01-14T00:00:00"/>
    <x v="0"/>
    <x v="6"/>
    <x v="2"/>
    <x v="236"/>
    <x v="237"/>
    <s v="Bank Transfer"/>
    <s v="REV100620"/>
    <x v="1"/>
  </r>
  <r>
    <d v="2023-01-14T00:00:00"/>
    <x v="0"/>
    <x v="5"/>
    <x v="0"/>
    <x v="237"/>
    <x v="238"/>
    <s v="Bank Transfer"/>
    <s v="REV100677"/>
    <x v="1"/>
  </r>
  <r>
    <d v="2023-01-14T00:00:00"/>
    <x v="0"/>
    <x v="6"/>
    <x v="1"/>
    <x v="238"/>
    <x v="239"/>
    <s v="Card"/>
    <s v="REV100783"/>
    <x v="1"/>
  </r>
  <r>
    <d v="2023-01-14T00:00:00"/>
    <x v="0"/>
    <x v="6"/>
    <x v="4"/>
    <x v="239"/>
    <x v="240"/>
    <s v="Bank Transfer"/>
    <s v="REV102301"/>
    <x v="1"/>
  </r>
  <r>
    <d v="2023-01-14T00:00:00"/>
    <x v="0"/>
    <x v="6"/>
    <x v="1"/>
    <x v="240"/>
    <x v="241"/>
    <s v="Bank Transfer"/>
    <s v="REV103187"/>
    <x v="1"/>
  </r>
  <r>
    <d v="2023-01-15T00:00:00"/>
    <x v="0"/>
    <x v="0"/>
    <x v="0"/>
    <x v="241"/>
    <x v="242"/>
    <s v="Cash"/>
    <s v="TXN102849"/>
    <x v="0"/>
  </r>
  <r>
    <d v="2023-01-15T00:00:00"/>
    <x v="0"/>
    <x v="4"/>
    <x v="4"/>
    <x v="242"/>
    <x v="243"/>
    <s v="Cash"/>
    <s v="TXN103224"/>
    <x v="0"/>
  </r>
  <r>
    <d v="2023-01-15T00:00:00"/>
    <x v="0"/>
    <x v="3"/>
    <x v="1"/>
    <x v="243"/>
    <x v="244"/>
    <s v="Cash"/>
    <s v="TXN105641"/>
    <x v="0"/>
  </r>
  <r>
    <d v="2023-01-15T00:00:00"/>
    <x v="0"/>
    <x v="7"/>
    <x v="0"/>
    <x v="244"/>
    <x v="245"/>
    <s v="Card"/>
    <s v="TXN109417"/>
    <x v="0"/>
  </r>
  <r>
    <d v="2023-01-15T00:00:00"/>
    <x v="0"/>
    <x v="5"/>
    <x v="0"/>
    <x v="245"/>
    <x v="246"/>
    <s v="Card"/>
    <s v="REV101002"/>
    <x v="1"/>
  </r>
  <r>
    <d v="2023-01-15T00:00:00"/>
    <x v="0"/>
    <x v="6"/>
    <x v="4"/>
    <x v="246"/>
    <x v="247"/>
    <s v="UPI"/>
    <s v="REV101105"/>
    <x v="1"/>
  </r>
  <r>
    <d v="2023-01-15T00:00:00"/>
    <x v="0"/>
    <x v="5"/>
    <x v="1"/>
    <x v="247"/>
    <x v="248"/>
    <s v="Card"/>
    <s v="REV101921"/>
    <x v="1"/>
  </r>
  <r>
    <d v="2023-01-15T00:00:00"/>
    <x v="0"/>
    <x v="5"/>
    <x v="0"/>
    <x v="248"/>
    <x v="249"/>
    <s v="Card"/>
    <s v="REV103182"/>
    <x v="1"/>
  </r>
  <r>
    <d v="2023-01-16T00:00:00"/>
    <x v="0"/>
    <x v="2"/>
    <x v="4"/>
    <x v="249"/>
    <x v="250"/>
    <s v="Bank Transfer"/>
    <s v="TXN100963"/>
    <x v="0"/>
  </r>
  <r>
    <d v="2023-01-16T00:00:00"/>
    <x v="0"/>
    <x v="3"/>
    <x v="3"/>
    <x v="250"/>
    <x v="251"/>
    <s v="Cash"/>
    <s v="TXN101524"/>
    <x v="0"/>
  </r>
  <r>
    <d v="2023-01-16T00:00:00"/>
    <x v="0"/>
    <x v="3"/>
    <x v="0"/>
    <x v="251"/>
    <x v="252"/>
    <s v="UPI"/>
    <s v="TXN103353"/>
    <x v="0"/>
  </r>
  <r>
    <d v="2023-01-16T00:00:00"/>
    <x v="0"/>
    <x v="0"/>
    <x v="2"/>
    <x v="252"/>
    <x v="253"/>
    <s v="Card"/>
    <s v="TXN105251"/>
    <x v="0"/>
  </r>
  <r>
    <d v="2023-01-16T00:00:00"/>
    <x v="0"/>
    <x v="2"/>
    <x v="1"/>
    <x v="253"/>
    <x v="254"/>
    <s v="Bank Transfer"/>
    <s v="TXN105533"/>
    <x v="0"/>
  </r>
  <r>
    <d v="2023-01-16T00:00:00"/>
    <x v="0"/>
    <x v="1"/>
    <x v="1"/>
    <x v="254"/>
    <x v="255"/>
    <s v="Bank Transfer"/>
    <s v="TXN106583"/>
    <x v="0"/>
  </r>
  <r>
    <d v="2023-01-16T00:00:00"/>
    <x v="0"/>
    <x v="3"/>
    <x v="4"/>
    <x v="255"/>
    <x v="256"/>
    <s v="Card"/>
    <s v="TXN107385"/>
    <x v="0"/>
  </r>
  <r>
    <d v="2023-01-16T00:00:00"/>
    <x v="0"/>
    <x v="1"/>
    <x v="2"/>
    <x v="256"/>
    <x v="257"/>
    <s v="Card"/>
    <s v="TXN107736"/>
    <x v="0"/>
  </r>
  <r>
    <d v="2023-01-16T00:00:00"/>
    <x v="0"/>
    <x v="4"/>
    <x v="0"/>
    <x v="257"/>
    <x v="258"/>
    <s v="UPI"/>
    <s v="TXN108264"/>
    <x v="0"/>
  </r>
  <r>
    <d v="2023-01-16T00:00:00"/>
    <x v="0"/>
    <x v="1"/>
    <x v="1"/>
    <x v="258"/>
    <x v="259"/>
    <s v="Cash"/>
    <s v="TXN108317"/>
    <x v="0"/>
  </r>
  <r>
    <d v="2023-01-16T00:00:00"/>
    <x v="0"/>
    <x v="4"/>
    <x v="0"/>
    <x v="259"/>
    <x v="260"/>
    <s v="Bank Transfer"/>
    <s v="TXN109476"/>
    <x v="0"/>
  </r>
  <r>
    <d v="2023-01-16T00:00:00"/>
    <x v="0"/>
    <x v="5"/>
    <x v="4"/>
    <x v="96"/>
    <x v="261"/>
    <s v="Card"/>
    <s v="REV100358"/>
    <x v="1"/>
  </r>
  <r>
    <d v="2023-01-16T00:00:00"/>
    <x v="0"/>
    <x v="5"/>
    <x v="3"/>
    <x v="260"/>
    <x v="262"/>
    <s v="Card"/>
    <s v="REV100558"/>
    <x v="1"/>
  </r>
  <r>
    <d v="2023-01-16T00:00:00"/>
    <x v="0"/>
    <x v="5"/>
    <x v="0"/>
    <x v="261"/>
    <x v="263"/>
    <s v="Bank Transfer"/>
    <s v="REV101153"/>
    <x v="1"/>
  </r>
  <r>
    <d v="2023-01-16T00:00:00"/>
    <x v="0"/>
    <x v="5"/>
    <x v="2"/>
    <x v="262"/>
    <x v="264"/>
    <s v="Card"/>
    <s v="REV101780"/>
    <x v="1"/>
  </r>
  <r>
    <d v="2023-01-16T00:00:00"/>
    <x v="0"/>
    <x v="5"/>
    <x v="1"/>
    <x v="263"/>
    <x v="265"/>
    <s v="Bank Transfer"/>
    <s v="REV101884"/>
    <x v="1"/>
  </r>
  <r>
    <d v="2023-01-16T00:00:00"/>
    <x v="0"/>
    <x v="5"/>
    <x v="1"/>
    <x v="264"/>
    <x v="266"/>
    <s v="Bank Transfer"/>
    <s v="REV102237"/>
    <x v="1"/>
  </r>
  <r>
    <d v="2023-01-16T00:00:00"/>
    <x v="0"/>
    <x v="5"/>
    <x v="4"/>
    <x v="265"/>
    <x v="267"/>
    <s v="Card"/>
    <s v="REV102508"/>
    <x v="1"/>
  </r>
  <r>
    <d v="2023-01-16T00:00:00"/>
    <x v="0"/>
    <x v="6"/>
    <x v="2"/>
    <x v="266"/>
    <x v="268"/>
    <s v="Bank Transfer"/>
    <s v="REV102632"/>
    <x v="1"/>
  </r>
  <r>
    <d v="2023-01-16T00:00:00"/>
    <x v="0"/>
    <x v="6"/>
    <x v="0"/>
    <x v="267"/>
    <x v="269"/>
    <s v="Bank Transfer"/>
    <s v="REV102807"/>
    <x v="1"/>
  </r>
  <r>
    <d v="2023-01-16T00:00:00"/>
    <x v="0"/>
    <x v="5"/>
    <x v="1"/>
    <x v="268"/>
    <x v="270"/>
    <s v="UPI"/>
    <s v="REV102826"/>
    <x v="1"/>
  </r>
  <r>
    <d v="2023-01-16T00:00:00"/>
    <x v="0"/>
    <x v="6"/>
    <x v="0"/>
    <x v="269"/>
    <x v="271"/>
    <s v="UPI"/>
    <s v="REV103200"/>
    <x v="1"/>
  </r>
  <r>
    <d v="2023-01-17T00:00:00"/>
    <x v="0"/>
    <x v="2"/>
    <x v="0"/>
    <x v="270"/>
    <x v="272"/>
    <s v="UPI"/>
    <s v="TXN104492"/>
    <x v="0"/>
  </r>
  <r>
    <d v="2023-01-17T00:00:00"/>
    <x v="0"/>
    <x v="1"/>
    <x v="1"/>
    <x v="271"/>
    <x v="273"/>
    <s v="Bank Transfer"/>
    <s v="TXN104577"/>
    <x v="0"/>
  </r>
  <r>
    <d v="2023-01-17T00:00:00"/>
    <x v="0"/>
    <x v="4"/>
    <x v="1"/>
    <x v="272"/>
    <x v="274"/>
    <s v="Bank Transfer"/>
    <s v="TXN105950"/>
    <x v="0"/>
  </r>
  <r>
    <d v="2023-01-17T00:00:00"/>
    <x v="0"/>
    <x v="0"/>
    <x v="2"/>
    <x v="273"/>
    <x v="275"/>
    <s v="Bank Transfer"/>
    <s v="TXN107556"/>
    <x v="0"/>
  </r>
  <r>
    <d v="2023-01-17T00:00:00"/>
    <x v="0"/>
    <x v="2"/>
    <x v="3"/>
    <x v="274"/>
    <x v="276"/>
    <s v="Cash"/>
    <s v="TXN107677"/>
    <x v="0"/>
  </r>
  <r>
    <d v="2023-01-17T00:00:00"/>
    <x v="0"/>
    <x v="7"/>
    <x v="2"/>
    <x v="275"/>
    <x v="277"/>
    <s v="UPI"/>
    <s v="TXN108065"/>
    <x v="0"/>
  </r>
  <r>
    <d v="2023-01-17T00:00:00"/>
    <x v="0"/>
    <x v="4"/>
    <x v="4"/>
    <x v="276"/>
    <x v="278"/>
    <s v="Cash"/>
    <s v="TXN108152"/>
    <x v="0"/>
  </r>
  <r>
    <d v="2023-01-17T00:00:00"/>
    <x v="0"/>
    <x v="1"/>
    <x v="0"/>
    <x v="277"/>
    <x v="279"/>
    <s v="UPI"/>
    <s v="TXN108580"/>
    <x v="0"/>
  </r>
  <r>
    <d v="2023-01-17T00:00:00"/>
    <x v="0"/>
    <x v="4"/>
    <x v="0"/>
    <x v="278"/>
    <x v="280"/>
    <s v="Cash"/>
    <s v="TXN109078"/>
    <x v="0"/>
  </r>
  <r>
    <d v="2023-01-17T00:00:00"/>
    <x v="0"/>
    <x v="5"/>
    <x v="0"/>
    <x v="279"/>
    <x v="281"/>
    <s v="Card"/>
    <s v="REV101543"/>
    <x v="1"/>
  </r>
  <r>
    <d v="2023-01-17T00:00:00"/>
    <x v="0"/>
    <x v="5"/>
    <x v="1"/>
    <x v="280"/>
    <x v="108"/>
    <s v="Card"/>
    <s v="REV101567"/>
    <x v="1"/>
  </r>
  <r>
    <d v="2023-01-17T00:00:00"/>
    <x v="0"/>
    <x v="5"/>
    <x v="1"/>
    <x v="281"/>
    <x v="282"/>
    <s v="Card"/>
    <s v="REV102010"/>
    <x v="1"/>
  </r>
  <r>
    <d v="2023-01-17T00:00:00"/>
    <x v="0"/>
    <x v="5"/>
    <x v="2"/>
    <x v="282"/>
    <x v="283"/>
    <s v="Bank Transfer"/>
    <s v="REV102565"/>
    <x v="1"/>
  </r>
  <r>
    <d v="2023-01-17T00:00:00"/>
    <x v="0"/>
    <x v="5"/>
    <x v="3"/>
    <x v="283"/>
    <x v="284"/>
    <s v="Card"/>
    <s v="REV102616"/>
    <x v="1"/>
  </r>
  <r>
    <d v="2023-01-17T00:00:00"/>
    <x v="0"/>
    <x v="5"/>
    <x v="2"/>
    <x v="284"/>
    <x v="285"/>
    <s v="Bank Transfer"/>
    <s v="REV102742"/>
    <x v="1"/>
  </r>
  <r>
    <d v="2023-01-17T00:00:00"/>
    <x v="0"/>
    <x v="6"/>
    <x v="4"/>
    <x v="285"/>
    <x v="286"/>
    <s v="Card"/>
    <s v="REV102769"/>
    <x v="1"/>
  </r>
  <r>
    <d v="2023-01-17T00:00:00"/>
    <x v="0"/>
    <x v="6"/>
    <x v="0"/>
    <x v="286"/>
    <x v="287"/>
    <s v="Card"/>
    <s v="REV102913"/>
    <x v="1"/>
  </r>
  <r>
    <d v="2023-01-17T00:00:00"/>
    <x v="0"/>
    <x v="5"/>
    <x v="0"/>
    <x v="287"/>
    <x v="288"/>
    <s v="Bank Transfer"/>
    <s v="REV103070"/>
    <x v="1"/>
  </r>
  <r>
    <d v="2023-01-18T00:00:00"/>
    <x v="0"/>
    <x v="4"/>
    <x v="1"/>
    <x v="288"/>
    <x v="289"/>
    <s v="Card"/>
    <s v="TXN100017"/>
    <x v="0"/>
  </r>
  <r>
    <d v="2023-01-18T00:00:00"/>
    <x v="0"/>
    <x v="2"/>
    <x v="3"/>
    <x v="289"/>
    <x v="290"/>
    <s v="Bank Transfer"/>
    <s v="TXN100695"/>
    <x v="0"/>
  </r>
  <r>
    <d v="2023-01-18T00:00:00"/>
    <x v="0"/>
    <x v="1"/>
    <x v="2"/>
    <x v="290"/>
    <x v="291"/>
    <s v="UPI"/>
    <s v="TXN101125"/>
    <x v="0"/>
  </r>
  <r>
    <d v="2023-01-18T00:00:00"/>
    <x v="0"/>
    <x v="4"/>
    <x v="0"/>
    <x v="291"/>
    <x v="292"/>
    <s v="Card"/>
    <s v="TXN101297"/>
    <x v="0"/>
  </r>
  <r>
    <d v="2023-01-18T00:00:00"/>
    <x v="0"/>
    <x v="1"/>
    <x v="2"/>
    <x v="292"/>
    <x v="293"/>
    <s v="Card"/>
    <s v="TXN104830"/>
    <x v="0"/>
  </r>
  <r>
    <d v="2023-01-18T00:00:00"/>
    <x v="0"/>
    <x v="3"/>
    <x v="3"/>
    <x v="293"/>
    <x v="294"/>
    <s v="Cash"/>
    <s v="TXN105246"/>
    <x v="0"/>
  </r>
  <r>
    <d v="2023-01-18T00:00:00"/>
    <x v="0"/>
    <x v="4"/>
    <x v="1"/>
    <x v="294"/>
    <x v="295"/>
    <s v="Card"/>
    <s v="TXN106688"/>
    <x v="0"/>
  </r>
  <r>
    <d v="2023-01-18T00:00:00"/>
    <x v="0"/>
    <x v="6"/>
    <x v="1"/>
    <x v="295"/>
    <x v="296"/>
    <s v="Bank Transfer"/>
    <s v="REV100006"/>
    <x v="1"/>
  </r>
  <r>
    <d v="2023-01-18T00:00:00"/>
    <x v="0"/>
    <x v="6"/>
    <x v="3"/>
    <x v="296"/>
    <x v="297"/>
    <s v="Bank Transfer"/>
    <s v="REV100261"/>
    <x v="1"/>
  </r>
  <r>
    <d v="2023-01-18T00:00:00"/>
    <x v="0"/>
    <x v="5"/>
    <x v="2"/>
    <x v="297"/>
    <x v="298"/>
    <s v="Bank Transfer"/>
    <s v="REV100415"/>
    <x v="1"/>
  </r>
  <r>
    <d v="2023-01-18T00:00:00"/>
    <x v="0"/>
    <x v="6"/>
    <x v="0"/>
    <x v="298"/>
    <x v="299"/>
    <s v="UPI"/>
    <s v="REV100477"/>
    <x v="1"/>
  </r>
  <r>
    <d v="2023-01-18T00:00:00"/>
    <x v="0"/>
    <x v="6"/>
    <x v="2"/>
    <x v="299"/>
    <x v="300"/>
    <s v="Bank Transfer"/>
    <s v="REV101647"/>
    <x v="1"/>
  </r>
  <r>
    <d v="2023-01-18T00:00:00"/>
    <x v="0"/>
    <x v="5"/>
    <x v="3"/>
    <x v="300"/>
    <x v="301"/>
    <s v="Bank Transfer"/>
    <s v="REV101777"/>
    <x v="1"/>
  </r>
  <r>
    <d v="2023-01-18T00:00:00"/>
    <x v="0"/>
    <x v="6"/>
    <x v="1"/>
    <x v="301"/>
    <x v="302"/>
    <s v="Bank Transfer"/>
    <s v="REV102274"/>
    <x v="1"/>
  </r>
  <r>
    <d v="2023-01-19T00:00:00"/>
    <x v="0"/>
    <x v="2"/>
    <x v="0"/>
    <x v="302"/>
    <x v="303"/>
    <s v="Bank Transfer"/>
    <s v="TXN100119"/>
    <x v="0"/>
  </r>
  <r>
    <d v="2023-01-19T00:00:00"/>
    <x v="0"/>
    <x v="4"/>
    <x v="2"/>
    <x v="303"/>
    <x v="304"/>
    <s v="UPI"/>
    <s v="TXN101749"/>
    <x v="0"/>
  </r>
  <r>
    <d v="2023-01-19T00:00:00"/>
    <x v="0"/>
    <x v="1"/>
    <x v="2"/>
    <x v="304"/>
    <x v="305"/>
    <s v="Card"/>
    <s v="TXN102449"/>
    <x v="0"/>
  </r>
  <r>
    <d v="2023-01-19T00:00:00"/>
    <x v="0"/>
    <x v="0"/>
    <x v="0"/>
    <x v="305"/>
    <x v="306"/>
    <s v="Cash"/>
    <s v="TXN103947"/>
    <x v="0"/>
  </r>
  <r>
    <d v="2023-01-19T00:00:00"/>
    <x v="0"/>
    <x v="4"/>
    <x v="4"/>
    <x v="306"/>
    <x v="307"/>
    <s v="Bank Transfer"/>
    <s v="TXN106019"/>
    <x v="0"/>
  </r>
  <r>
    <d v="2023-01-19T00:00:00"/>
    <x v="0"/>
    <x v="3"/>
    <x v="1"/>
    <x v="307"/>
    <x v="308"/>
    <s v="UPI"/>
    <s v="TXN106659"/>
    <x v="0"/>
  </r>
  <r>
    <d v="2023-01-19T00:00:00"/>
    <x v="0"/>
    <x v="0"/>
    <x v="4"/>
    <x v="308"/>
    <x v="309"/>
    <s v="Cash"/>
    <s v="TXN107016"/>
    <x v="0"/>
  </r>
  <r>
    <d v="2023-01-19T00:00:00"/>
    <x v="0"/>
    <x v="3"/>
    <x v="4"/>
    <x v="309"/>
    <x v="310"/>
    <s v="Bank Transfer"/>
    <s v="TXN109602"/>
    <x v="0"/>
  </r>
  <r>
    <d v="2023-01-19T00:00:00"/>
    <x v="0"/>
    <x v="0"/>
    <x v="1"/>
    <x v="310"/>
    <x v="311"/>
    <s v="Card"/>
    <s v="TXN109984"/>
    <x v="0"/>
  </r>
  <r>
    <d v="2023-01-19T00:00:00"/>
    <x v="0"/>
    <x v="0"/>
    <x v="1"/>
    <x v="310"/>
    <x v="311"/>
    <s v="Card"/>
    <s v="TXN109984"/>
    <x v="0"/>
  </r>
  <r>
    <d v="2023-01-19T00:00:00"/>
    <x v="0"/>
    <x v="5"/>
    <x v="0"/>
    <x v="311"/>
    <x v="312"/>
    <s v="Bank Transfer"/>
    <s v="REV100046"/>
    <x v="1"/>
  </r>
  <r>
    <d v="2023-01-19T00:00:00"/>
    <x v="0"/>
    <x v="6"/>
    <x v="2"/>
    <x v="312"/>
    <x v="313"/>
    <s v="Bank Transfer"/>
    <s v="REV100637"/>
    <x v="1"/>
  </r>
  <r>
    <d v="2023-01-19T00:00:00"/>
    <x v="0"/>
    <x v="6"/>
    <x v="2"/>
    <x v="313"/>
    <x v="314"/>
    <s v="Bank Transfer"/>
    <s v="REV100861"/>
    <x v="1"/>
  </r>
  <r>
    <d v="2023-01-19T00:00:00"/>
    <x v="0"/>
    <x v="5"/>
    <x v="0"/>
    <x v="314"/>
    <x v="315"/>
    <s v="Bank Transfer"/>
    <s v="REV101365"/>
    <x v="1"/>
  </r>
  <r>
    <d v="2023-01-19T00:00:00"/>
    <x v="0"/>
    <x v="5"/>
    <x v="4"/>
    <x v="315"/>
    <x v="316"/>
    <s v="Card"/>
    <s v="REV102033"/>
    <x v="1"/>
  </r>
  <r>
    <d v="2023-01-19T00:00:00"/>
    <x v="0"/>
    <x v="5"/>
    <x v="1"/>
    <x v="316"/>
    <x v="317"/>
    <s v="Card"/>
    <s v="REV102265"/>
    <x v="1"/>
  </r>
  <r>
    <d v="2023-01-19T00:00:00"/>
    <x v="0"/>
    <x v="6"/>
    <x v="4"/>
    <x v="317"/>
    <x v="318"/>
    <s v="Bank Transfer"/>
    <s v="REV102380"/>
    <x v="1"/>
  </r>
  <r>
    <d v="2023-01-19T00:00:00"/>
    <x v="0"/>
    <x v="5"/>
    <x v="4"/>
    <x v="318"/>
    <x v="319"/>
    <s v="Card"/>
    <s v="REV103246"/>
    <x v="1"/>
  </r>
  <r>
    <d v="2023-01-19T00:00:00"/>
    <x v="0"/>
    <x v="5"/>
    <x v="1"/>
    <x v="319"/>
    <x v="320"/>
    <s v="Bank Transfer"/>
    <s v="REV103380"/>
    <x v="1"/>
  </r>
  <r>
    <d v="2023-01-19T00:00:00"/>
    <x v="0"/>
    <x v="6"/>
    <x v="1"/>
    <x v="320"/>
    <x v="321"/>
    <s v="UPI"/>
    <s v="REV103387"/>
    <x v="1"/>
  </r>
  <r>
    <d v="2023-01-20T00:00:00"/>
    <x v="0"/>
    <x v="4"/>
    <x v="4"/>
    <x v="321"/>
    <x v="322"/>
    <s v="UPI"/>
    <s v="TXN100223"/>
    <x v="0"/>
  </r>
  <r>
    <d v="2023-01-20T00:00:00"/>
    <x v="0"/>
    <x v="7"/>
    <x v="1"/>
    <x v="322"/>
    <x v="323"/>
    <s v="Cash"/>
    <s v="TXN100672"/>
    <x v="0"/>
  </r>
  <r>
    <d v="2023-01-20T00:00:00"/>
    <x v="0"/>
    <x v="3"/>
    <x v="2"/>
    <x v="323"/>
    <x v="324"/>
    <s v="Cash"/>
    <s v="TXN101404"/>
    <x v="0"/>
  </r>
  <r>
    <d v="2023-01-20T00:00:00"/>
    <x v="0"/>
    <x v="4"/>
    <x v="2"/>
    <x v="324"/>
    <x v="325"/>
    <s v="Card"/>
    <s v="TXN104680"/>
    <x v="0"/>
  </r>
  <r>
    <d v="2023-01-20T00:00:00"/>
    <x v="0"/>
    <x v="7"/>
    <x v="3"/>
    <x v="325"/>
    <x v="326"/>
    <s v="Bank Transfer"/>
    <s v="TXN105841"/>
    <x v="0"/>
  </r>
  <r>
    <d v="2023-01-20T00:00:00"/>
    <x v="0"/>
    <x v="6"/>
    <x v="4"/>
    <x v="326"/>
    <x v="327"/>
    <s v="Bank Transfer"/>
    <s v="REV100080"/>
    <x v="1"/>
  </r>
  <r>
    <d v="2023-01-20T00:00:00"/>
    <x v="0"/>
    <x v="6"/>
    <x v="1"/>
    <x v="327"/>
    <x v="328"/>
    <s v="UPI"/>
    <s v="REV100255"/>
    <x v="1"/>
  </r>
  <r>
    <d v="2023-01-20T00:00:00"/>
    <x v="0"/>
    <x v="5"/>
    <x v="2"/>
    <x v="328"/>
    <x v="329"/>
    <s v="UPI"/>
    <s v="REV100515"/>
    <x v="1"/>
  </r>
  <r>
    <d v="2023-01-20T00:00:00"/>
    <x v="0"/>
    <x v="6"/>
    <x v="2"/>
    <x v="329"/>
    <x v="330"/>
    <s v="Bank Transfer"/>
    <s v="REV101602"/>
    <x v="1"/>
  </r>
  <r>
    <d v="2023-01-20T00:00:00"/>
    <x v="0"/>
    <x v="5"/>
    <x v="3"/>
    <x v="330"/>
    <x v="190"/>
    <s v="Bank Transfer"/>
    <s v="REV101975"/>
    <x v="1"/>
  </r>
  <r>
    <d v="2023-01-21T00:00:00"/>
    <x v="0"/>
    <x v="7"/>
    <x v="1"/>
    <x v="331"/>
    <x v="331"/>
    <s v="Cash"/>
    <s v="TXN100444"/>
    <x v="0"/>
  </r>
  <r>
    <d v="2023-01-21T00:00:00"/>
    <x v="0"/>
    <x v="1"/>
    <x v="1"/>
    <x v="332"/>
    <x v="332"/>
    <s v="Bank Transfer"/>
    <s v="TXN101036"/>
    <x v="0"/>
  </r>
  <r>
    <d v="2023-01-21T00:00:00"/>
    <x v="0"/>
    <x v="3"/>
    <x v="0"/>
    <x v="333"/>
    <x v="333"/>
    <s v="Cash"/>
    <s v="TXN101617"/>
    <x v="0"/>
  </r>
  <r>
    <d v="2023-01-21T00:00:00"/>
    <x v="0"/>
    <x v="2"/>
    <x v="0"/>
    <x v="334"/>
    <x v="334"/>
    <s v="Card"/>
    <s v="TXN103068"/>
    <x v="0"/>
  </r>
  <r>
    <d v="2023-01-21T00:00:00"/>
    <x v="0"/>
    <x v="0"/>
    <x v="0"/>
    <x v="335"/>
    <x v="335"/>
    <s v="Bank Transfer"/>
    <s v="TXN103481"/>
    <x v="0"/>
  </r>
  <r>
    <d v="2023-01-21T00:00:00"/>
    <x v="0"/>
    <x v="4"/>
    <x v="4"/>
    <x v="336"/>
    <x v="336"/>
    <s v="Bank Transfer"/>
    <s v="TXN104083"/>
    <x v="0"/>
  </r>
  <r>
    <d v="2023-01-21T00:00:00"/>
    <x v="0"/>
    <x v="4"/>
    <x v="4"/>
    <x v="337"/>
    <x v="337"/>
    <s v="Bank Transfer"/>
    <s v="TXN105087"/>
    <x v="0"/>
  </r>
  <r>
    <d v="2023-01-21T00:00:00"/>
    <x v="0"/>
    <x v="1"/>
    <x v="3"/>
    <x v="338"/>
    <x v="338"/>
    <s v="Cash"/>
    <s v="TXN106989"/>
    <x v="0"/>
  </r>
  <r>
    <d v="2023-01-21T00:00:00"/>
    <x v="0"/>
    <x v="1"/>
    <x v="4"/>
    <x v="339"/>
    <x v="339"/>
    <s v="Card"/>
    <s v="TXN108707"/>
    <x v="0"/>
  </r>
  <r>
    <d v="2023-01-21T00:00:00"/>
    <x v="0"/>
    <x v="6"/>
    <x v="1"/>
    <x v="340"/>
    <x v="340"/>
    <s v="Bank Transfer"/>
    <s v="REV100169"/>
    <x v="1"/>
  </r>
  <r>
    <d v="2023-01-21T00:00:00"/>
    <x v="0"/>
    <x v="5"/>
    <x v="1"/>
    <x v="341"/>
    <x v="341"/>
    <s v="Bank Transfer"/>
    <s v="REV100383"/>
    <x v="1"/>
  </r>
  <r>
    <d v="2023-01-21T00:00:00"/>
    <x v="0"/>
    <x v="6"/>
    <x v="0"/>
    <x v="342"/>
    <x v="342"/>
    <s v="Bank Transfer"/>
    <s v="REV100598"/>
    <x v="1"/>
  </r>
  <r>
    <d v="2023-01-21T00:00:00"/>
    <x v="0"/>
    <x v="6"/>
    <x v="0"/>
    <x v="343"/>
    <x v="343"/>
    <s v="Bank Transfer"/>
    <s v="REV101059"/>
    <x v="1"/>
  </r>
  <r>
    <d v="2023-01-21T00:00:00"/>
    <x v="0"/>
    <x v="5"/>
    <x v="0"/>
    <x v="344"/>
    <x v="344"/>
    <s v="UPI"/>
    <s v="REV101188"/>
    <x v="1"/>
  </r>
  <r>
    <d v="2023-01-21T00:00:00"/>
    <x v="0"/>
    <x v="6"/>
    <x v="4"/>
    <x v="345"/>
    <x v="345"/>
    <s v="UPI"/>
    <s v="REV101410"/>
    <x v="1"/>
  </r>
  <r>
    <d v="2023-01-21T00:00:00"/>
    <x v="0"/>
    <x v="6"/>
    <x v="4"/>
    <x v="346"/>
    <x v="346"/>
    <s v="Card"/>
    <s v="REV101732"/>
    <x v="1"/>
  </r>
  <r>
    <d v="2023-01-21T00:00:00"/>
    <x v="0"/>
    <x v="5"/>
    <x v="3"/>
    <x v="347"/>
    <x v="347"/>
    <s v="Bank Transfer"/>
    <s v="REV102372"/>
    <x v="1"/>
  </r>
  <r>
    <d v="2023-01-21T00:00:00"/>
    <x v="0"/>
    <x v="5"/>
    <x v="4"/>
    <x v="348"/>
    <x v="348"/>
    <s v="Bank Transfer"/>
    <s v="REV102956"/>
    <x v="1"/>
  </r>
  <r>
    <d v="2023-01-22T00:00:00"/>
    <x v="0"/>
    <x v="0"/>
    <x v="2"/>
    <x v="349"/>
    <x v="349"/>
    <s v="Card"/>
    <s v="TXN100162"/>
    <x v="0"/>
  </r>
  <r>
    <d v="2023-01-22T00:00:00"/>
    <x v="0"/>
    <x v="2"/>
    <x v="1"/>
    <x v="350"/>
    <x v="350"/>
    <s v="Bank Transfer"/>
    <s v="TXN100518"/>
    <x v="0"/>
  </r>
  <r>
    <d v="2023-01-22T00:00:00"/>
    <x v="0"/>
    <x v="0"/>
    <x v="2"/>
    <x v="351"/>
    <x v="351"/>
    <s v="Card"/>
    <s v="TXN101451"/>
    <x v="0"/>
  </r>
  <r>
    <d v="2023-01-22T00:00:00"/>
    <x v="0"/>
    <x v="7"/>
    <x v="0"/>
    <x v="352"/>
    <x v="352"/>
    <s v="UPI"/>
    <s v="TXN104013"/>
    <x v="0"/>
  </r>
  <r>
    <d v="2023-01-22T00:00:00"/>
    <x v="0"/>
    <x v="1"/>
    <x v="1"/>
    <x v="353"/>
    <x v="353"/>
    <s v="UPI"/>
    <s v="TXN104458"/>
    <x v="0"/>
  </r>
  <r>
    <d v="2023-01-22T00:00:00"/>
    <x v="0"/>
    <x v="1"/>
    <x v="0"/>
    <x v="354"/>
    <x v="354"/>
    <s v="UPI"/>
    <s v="TXN105340"/>
    <x v="0"/>
  </r>
  <r>
    <d v="2023-01-22T00:00:00"/>
    <x v="0"/>
    <x v="1"/>
    <x v="3"/>
    <x v="355"/>
    <x v="355"/>
    <s v="UPI"/>
    <s v="TXN106642"/>
    <x v="0"/>
  </r>
  <r>
    <d v="2023-01-22T00:00:00"/>
    <x v="0"/>
    <x v="3"/>
    <x v="0"/>
    <x v="356"/>
    <x v="356"/>
    <s v="Bank Transfer"/>
    <s v="TXN106787"/>
    <x v="0"/>
  </r>
  <r>
    <d v="2023-01-22T00:00:00"/>
    <x v="0"/>
    <x v="5"/>
    <x v="2"/>
    <x v="357"/>
    <x v="357"/>
    <s v="Card"/>
    <s v="REV100059"/>
    <x v="1"/>
  </r>
  <r>
    <d v="2023-01-22T00:00:00"/>
    <x v="0"/>
    <x v="6"/>
    <x v="1"/>
    <x v="358"/>
    <x v="358"/>
    <s v="Bank Transfer"/>
    <s v="REV100201"/>
    <x v="1"/>
  </r>
  <r>
    <d v="2023-01-22T00:00:00"/>
    <x v="0"/>
    <x v="5"/>
    <x v="2"/>
    <x v="359"/>
    <x v="359"/>
    <s v="Bank Transfer"/>
    <s v="REV100534"/>
    <x v="1"/>
  </r>
  <r>
    <d v="2023-01-22T00:00:00"/>
    <x v="0"/>
    <x v="5"/>
    <x v="0"/>
    <x v="360"/>
    <x v="360"/>
    <s v="Card"/>
    <s v="REV101389"/>
    <x v="1"/>
  </r>
  <r>
    <d v="2023-01-22T00:00:00"/>
    <x v="0"/>
    <x v="5"/>
    <x v="1"/>
    <x v="361"/>
    <x v="361"/>
    <s v="Bank Transfer"/>
    <s v="REV101535"/>
    <x v="1"/>
  </r>
  <r>
    <d v="2023-01-22T00:00:00"/>
    <x v="0"/>
    <x v="6"/>
    <x v="0"/>
    <x v="362"/>
    <x v="362"/>
    <s v="Card"/>
    <s v="REV101814"/>
    <x v="1"/>
  </r>
  <r>
    <d v="2023-01-22T00:00:00"/>
    <x v="0"/>
    <x v="5"/>
    <x v="3"/>
    <x v="363"/>
    <x v="363"/>
    <s v="Card"/>
    <s v="REV102259"/>
    <x v="1"/>
  </r>
  <r>
    <d v="2023-01-22T00:00:00"/>
    <x v="0"/>
    <x v="5"/>
    <x v="0"/>
    <x v="364"/>
    <x v="364"/>
    <s v="UPI"/>
    <s v="REV102312"/>
    <x v="1"/>
  </r>
  <r>
    <d v="2023-01-23T00:00:00"/>
    <x v="0"/>
    <x v="1"/>
    <x v="1"/>
    <x v="365"/>
    <x v="365"/>
    <s v="UPI"/>
    <s v="TXN101162"/>
    <x v="0"/>
  </r>
  <r>
    <d v="2023-01-23T00:00:00"/>
    <x v="0"/>
    <x v="0"/>
    <x v="4"/>
    <x v="366"/>
    <x v="366"/>
    <s v="Cash"/>
    <s v="TXN102446"/>
    <x v="0"/>
  </r>
  <r>
    <d v="2023-01-23T00:00:00"/>
    <x v="0"/>
    <x v="1"/>
    <x v="4"/>
    <x v="367"/>
    <x v="367"/>
    <s v="Card"/>
    <s v="TXN103081"/>
    <x v="0"/>
  </r>
  <r>
    <d v="2023-01-23T00:00:00"/>
    <x v="0"/>
    <x v="0"/>
    <x v="4"/>
    <x v="368"/>
    <x v="368"/>
    <s v="UPI"/>
    <s v="TXN103099"/>
    <x v="0"/>
  </r>
  <r>
    <d v="2023-01-23T00:00:00"/>
    <x v="0"/>
    <x v="0"/>
    <x v="1"/>
    <x v="369"/>
    <x v="369"/>
    <s v="Cash"/>
    <s v="TXN104927"/>
    <x v="0"/>
  </r>
  <r>
    <d v="2023-01-23T00:00:00"/>
    <x v="0"/>
    <x v="1"/>
    <x v="4"/>
    <x v="370"/>
    <x v="370"/>
    <s v="Card"/>
    <s v="TXN106241"/>
    <x v="0"/>
  </r>
  <r>
    <d v="2023-01-23T00:00:00"/>
    <x v="0"/>
    <x v="4"/>
    <x v="2"/>
    <x v="371"/>
    <x v="371"/>
    <s v="Cash"/>
    <s v="TXN106546"/>
    <x v="0"/>
  </r>
  <r>
    <d v="2023-01-23T00:00:00"/>
    <x v="0"/>
    <x v="3"/>
    <x v="2"/>
    <x v="372"/>
    <x v="372"/>
    <s v="Cash"/>
    <s v="TXN107265"/>
    <x v="0"/>
  </r>
  <r>
    <d v="2023-01-23T00:00:00"/>
    <x v="0"/>
    <x v="2"/>
    <x v="1"/>
    <x v="373"/>
    <x v="373"/>
    <s v="UPI"/>
    <s v="TXN108682"/>
    <x v="0"/>
  </r>
  <r>
    <d v="2023-01-23T00:00:00"/>
    <x v="0"/>
    <x v="5"/>
    <x v="1"/>
    <x v="247"/>
    <x v="374"/>
    <s v="Bank Transfer"/>
    <s v="REV100428"/>
    <x v="1"/>
  </r>
  <r>
    <d v="2023-01-23T00:00:00"/>
    <x v="0"/>
    <x v="5"/>
    <x v="4"/>
    <x v="374"/>
    <x v="375"/>
    <s v="Card"/>
    <s v="REV100859"/>
    <x v="1"/>
  </r>
  <r>
    <d v="2023-01-23T00:00:00"/>
    <x v="0"/>
    <x v="6"/>
    <x v="4"/>
    <x v="375"/>
    <x v="376"/>
    <s v="Bank Transfer"/>
    <s v="REV101063"/>
    <x v="1"/>
  </r>
  <r>
    <d v="2023-01-23T00:00:00"/>
    <x v="0"/>
    <x v="6"/>
    <x v="4"/>
    <x v="376"/>
    <x v="377"/>
    <s v="Bank Transfer"/>
    <s v="REV101070"/>
    <x v="1"/>
  </r>
  <r>
    <d v="2023-01-23T00:00:00"/>
    <x v="0"/>
    <x v="6"/>
    <x v="1"/>
    <x v="377"/>
    <x v="378"/>
    <s v="Bank Transfer"/>
    <s v="REV101680"/>
    <x v="1"/>
  </r>
  <r>
    <d v="2023-01-23T00:00:00"/>
    <x v="0"/>
    <x v="5"/>
    <x v="4"/>
    <x v="378"/>
    <x v="379"/>
    <s v="Bank Transfer"/>
    <s v="REV102101"/>
    <x v="1"/>
  </r>
  <r>
    <d v="2023-01-23T00:00:00"/>
    <x v="0"/>
    <x v="5"/>
    <x v="2"/>
    <x v="379"/>
    <x v="380"/>
    <s v="Bank Transfer"/>
    <s v="REV102222"/>
    <x v="1"/>
  </r>
  <r>
    <d v="2023-01-23T00:00:00"/>
    <x v="0"/>
    <x v="5"/>
    <x v="2"/>
    <x v="80"/>
    <x v="381"/>
    <s v="Card"/>
    <s v="REV102469"/>
    <x v="1"/>
  </r>
  <r>
    <d v="2023-01-23T00:00:00"/>
    <x v="0"/>
    <x v="6"/>
    <x v="1"/>
    <x v="380"/>
    <x v="382"/>
    <s v="Card"/>
    <s v="REV102948"/>
    <x v="1"/>
  </r>
  <r>
    <d v="2023-01-24T00:00:00"/>
    <x v="0"/>
    <x v="2"/>
    <x v="3"/>
    <x v="381"/>
    <x v="383"/>
    <s v="UPI"/>
    <s v="TXN100381"/>
    <x v="0"/>
  </r>
  <r>
    <d v="2023-01-24T00:00:00"/>
    <x v="0"/>
    <x v="3"/>
    <x v="2"/>
    <x v="382"/>
    <x v="384"/>
    <s v="Bank Transfer"/>
    <s v="TXN100468"/>
    <x v="0"/>
  </r>
  <r>
    <d v="2023-01-24T00:00:00"/>
    <x v="0"/>
    <x v="3"/>
    <x v="2"/>
    <x v="383"/>
    <x v="385"/>
    <s v="Card"/>
    <s v="TXN102963"/>
    <x v="0"/>
  </r>
  <r>
    <d v="2023-01-24T00:00:00"/>
    <x v="0"/>
    <x v="1"/>
    <x v="3"/>
    <x v="384"/>
    <x v="386"/>
    <s v="UPI"/>
    <s v="TXN103029"/>
    <x v="0"/>
  </r>
  <r>
    <d v="2023-01-24T00:00:00"/>
    <x v="0"/>
    <x v="3"/>
    <x v="4"/>
    <x v="385"/>
    <x v="387"/>
    <s v="UPI"/>
    <s v="TXN104072"/>
    <x v="0"/>
  </r>
  <r>
    <d v="2023-01-24T00:00:00"/>
    <x v="0"/>
    <x v="2"/>
    <x v="2"/>
    <x v="386"/>
    <x v="388"/>
    <s v="Bank Transfer"/>
    <s v="TXN104341"/>
    <x v="0"/>
  </r>
  <r>
    <d v="2023-01-24T00:00:00"/>
    <x v="0"/>
    <x v="3"/>
    <x v="0"/>
    <x v="387"/>
    <x v="389"/>
    <s v="Card"/>
    <s v="TXN105568"/>
    <x v="0"/>
  </r>
  <r>
    <d v="2023-01-24T00:00:00"/>
    <x v="0"/>
    <x v="7"/>
    <x v="3"/>
    <x v="388"/>
    <x v="390"/>
    <s v="UPI"/>
    <s v="TXN106118"/>
    <x v="0"/>
  </r>
  <r>
    <d v="2023-01-24T00:00:00"/>
    <x v="0"/>
    <x v="1"/>
    <x v="2"/>
    <x v="389"/>
    <x v="391"/>
    <s v="UPI"/>
    <s v="TXN106607"/>
    <x v="0"/>
  </r>
  <r>
    <d v="2023-01-24T00:00:00"/>
    <x v="0"/>
    <x v="0"/>
    <x v="0"/>
    <x v="390"/>
    <x v="392"/>
    <s v="Bank Transfer"/>
    <s v="TXN107551"/>
    <x v="0"/>
  </r>
  <r>
    <d v="2023-01-24T00:00:00"/>
    <x v="0"/>
    <x v="2"/>
    <x v="4"/>
    <x v="391"/>
    <x v="393"/>
    <s v="UPI"/>
    <s v="TXN109621"/>
    <x v="0"/>
  </r>
  <r>
    <d v="2023-01-24T00:00:00"/>
    <x v="0"/>
    <x v="5"/>
    <x v="3"/>
    <x v="235"/>
    <x v="394"/>
    <s v="Bank Transfer"/>
    <s v="REV100143"/>
    <x v="1"/>
  </r>
  <r>
    <d v="2023-01-24T00:00:00"/>
    <x v="0"/>
    <x v="6"/>
    <x v="2"/>
    <x v="392"/>
    <x v="395"/>
    <s v="Bank Transfer"/>
    <s v="REV100177"/>
    <x v="1"/>
  </r>
  <r>
    <d v="2023-01-24T00:00:00"/>
    <x v="0"/>
    <x v="5"/>
    <x v="2"/>
    <x v="393"/>
    <x v="396"/>
    <s v="Bank Transfer"/>
    <s v="REV101030"/>
    <x v="1"/>
  </r>
  <r>
    <d v="2023-01-24T00:00:00"/>
    <x v="0"/>
    <x v="5"/>
    <x v="3"/>
    <x v="154"/>
    <x v="397"/>
    <s v="Bank Transfer"/>
    <s v="REV101049"/>
    <x v="1"/>
  </r>
  <r>
    <d v="2023-01-24T00:00:00"/>
    <x v="0"/>
    <x v="6"/>
    <x v="4"/>
    <x v="394"/>
    <x v="398"/>
    <s v="UPI"/>
    <s v="REV101406"/>
    <x v="1"/>
  </r>
  <r>
    <d v="2023-01-24T00:00:00"/>
    <x v="0"/>
    <x v="5"/>
    <x v="2"/>
    <x v="395"/>
    <x v="174"/>
    <s v="Card"/>
    <s v="REV101503"/>
    <x v="1"/>
  </r>
  <r>
    <d v="2023-01-24T00:00:00"/>
    <x v="0"/>
    <x v="5"/>
    <x v="0"/>
    <x v="396"/>
    <x v="399"/>
    <s v="Bank Transfer"/>
    <s v="REV101901"/>
    <x v="1"/>
  </r>
  <r>
    <d v="2023-01-24T00:00:00"/>
    <x v="0"/>
    <x v="5"/>
    <x v="3"/>
    <x v="397"/>
    <x v="400"/>
    <s v="UPI"/>
    <s v="REV102063"/>
    <x v="1"/>
  </r>
  <r>
    <d v="2023-01-24T00:00:00"/>
    <x v="0"/>
    <x v="5"/>
    <x v="2"/>
    <x v="398"/>
    <x v="401"/>
    <s v="Card"/>
    <s v="REV102243"/>
    <x v="1"/>
  </r>
  <r>
    <d v="2023-01-24T00:00:00"/>
    <x v="0"/>
    <x v="5"/>
    <x v="0"/>
    <x v="52"/>
    <x v="402"/>
    <s v="UPI"/>
    <s v="REV102563"/>
    <x v="1"/>
  </r>
  <r>
    <d v="2023-01-24T00:00:00"/>
    <x v="0"/>
    <x v="5"/>
    <x v="4"/>
    <x v="397"/>
    <x v="403"/>
    <s v="Card"/>
    <s v="REV103254"/>
    <x v="1"/>
  </r>
  <r>
    <d v="2023-01-25T00:00:00"/>
    <x v="0"/>
    <x v="4"/>
    <x v="3"/>
    <x v="399"/>
    <x v="404"/>
    <s v="Bank Transfer"/>
    <s v="TXN100824"/>
    <x v="0"/>
  </r>
  <r>
    <d v="2023-01-25T00:00:00"/>
    <x v="0"/>
    <x v="0"/>
    <x v="3"/>
    <x v="400"/>
    <x v="405"/>
    <s v="UPI"/>
    <s v="TXN101417"/>
    <x v="0"/>
  </r>
  <r>
    <d v="2023-01-25T00:00:00"/>
    <x v="0"/>
    <x v="4"/>
    <x v="3"/>
    <x v="401"/>
    <x v="406"/>
    <s v="Cash"/>
    <s v="TXN101442"/>
    <x v="0"/>
  </r>
  <r>
    <d v="2023-01-25T00:00:00"/>
    <x v="0"/>
    <x v="4"/>
    <x v="2"/>
    <x v="402"/>
    <x v="407"/>
    <s v="Card"/>
    <s v="TXN106093"/>
    <x v="0"/>
  </r>
  <r>
    <d v="2023-01-25T00:00:00"/>
    <x v="0"/>
    <x v="7"/>
    <x v="4"/>
    <x v="403"/>
    <x v="408"/>
    <s v="Cash"/>
    <s v="TXN106307"/>
    <x v="0"/>
  </r>
  <r>
    <d v="2023-01-25T00:00:00"/>
    <x v="0"/>
    <x v="0"/>
    <x v="3"/>
    <x v="404"/>
    <x v="409"/>
    <s v="Bank Transfer"/>
    <s v="TXN108924"/>
    <x v="0"/>
  </r>
  <r>
    <d v="2023-01-25T00:00:00"/>
    <x v="0"/>
    <x v="2"/>
    <x v="4"/>
    <x v="405"/>
    <x v="410"/>
    <s v="Cash"/>
    <s v="TXN109661"/>
    <x v="0"/>
  </r>
  <r>
    <d v="2023-01-25T00:00:00"/>
    <x v="0"/>
    <x v="5"/>
    <x v="3"/>
    <x v="406"/>
    <x v="411"/>
    <s v="UPI"/>
    <s v="REV100301"/>
    <x v="1"/>
  </r>
  <r>
    <d v="2023-01-25T00:00:00"/>
    <x v="0"/>
    <x v="6"/>
    <x v="3"/>
    <x v="49"/>
    <x v="412"/>
    <s v="Bank Transfer"/>
    <s v="REV100520"/>
    <x v="1"/>
  </r>
  <r>
    <d v="2023-01-25T00:00:00"/>
    <x v="0"/>
    <x v="6"/>
    <x v="3"/>
    <x v="407"/>
    <x v="413"/>
    <s v="Card"/>
    <s v="REV100530"/>
    <x v="1"/>
  </r>
  <r>
    <d v="2023-01-25T00:00:00"/>
    <x v="0"/>
    <x v="6"/>
    <x v="2"/>
    <x v="408"/>
    <x v="414"/>
    <s v="Bank Transfer"/>
    <s v="REV102056"/>
    <x v="1"/>
  </r>
  <r>
    <d v="2023-01-25T00:00:00"/>
    <x v="0"/>
    <x v="5"/>
    <x v="4"/>
    <x v="409"/>
    <x v="415"/>
    <s v="UPI"/>
    <s v="REV102125"/>
    <x v="1"/>
  </r>
  <r>
    <d v="2023-01-25T00:00:00"/>
    <x v="0"/>
    <x v="6"/>
    <x v="3"/>
    <x v="410"/>
    <x v="416"/>
    <s v="UPI"/>
    <s v="REV103021"/>
    <x v="1"/>
  </r>
  <r>
    <d v="2023-01-25T00:00:00"/>
    <x v="0"/>
    <x v="6"/>
    <x v="4"/>
    <x v="411"/>
    <x v="417"/>
    <s v="Bank Transfer"/>
    <s v="REV103268"/>
    <x v="1"/>
  </r>
  <r>
    <d v="2023-01-26T00:00:00"/>
    <x v="0"/>
    <x v="7"/>
    <x v="1"/>
    <x v="412"/>
    <x v="418"/>
    <s v="Cash"/>
    <s v="TXN102854"/>
    <x v="0"/>
  </r>
  <r>
    <d v="2023-01-26T00:00:00"/>
    <x v="0"/>
    <x v="3"/>
    <x v="1"/>
    <x v="413"/>
    <x v="419"/>
    <s v="Card"/>
    <s v="TXN104542"/>
    <x v="0"/>
  </r>
  <r>
    <d v="2023-01-26T00:00:00"/>
    <x v="0"/>
    <x v="0"/>
    <x v="0"/>
    <x v="414"/>
    <x v="420"/>
    <s v="Card"/>
    <s v="TXN104786"/>
    <x v="0"/>
  </r>
  <r>
    <d v="2023-01-26T00:00:00"/>
    <x v="0"/>
    <x v="0"/>
    <x v="4"/>
    <x v="415"/>
    <x v="421"/>
    <s v="UPI"/>
    <s v="TXN105367"/>
    <x v="0"/>
  </r>
  <r>
    <d v="2023-01-26T00:00:00"/>
    <x v="0"/>
    <x v="3"/>
    <x v="2"/>
    <x v="416"/>
    <x v="422"/>
    <s v="Card"/>
    <s v="TXN105484"/>
    <x v="0"/>
  </r>
  <r>
    <d v="2023-01-26T00:00:00"/>
    <x v="0"/>
    <x v="4"/>
    <x v="4"/>
    <x v="417"/>
    <x v="423"/>
    <s v="Cash"/>
    <s v="TXN106817"/>
    <x v="0"/>
  </r>
  <r>
    <d v="2023-01-26T00:00:00"/>
    <x v="0"/>
    <x v="2"/>
    <x v="2"/>
    <x v="418"/>
    <x v="424"/>
    <s v="UPI"/>
    <s v="TXN108440"/>
    <x v="0"/>
  </r>
  <r>
    <d v="2023-01-26T00:00:00"/>
    <x v="0"/>
    <x v="5"/>
    <x v="1"/>
    <x v="219"/>
    <x v="246"/>
    <s v="Bank Transfer"/>
    <s v="REV101003"/>
    <x v="1"/>
  </r>
  <r>
    <d v="2023-01-26T00:00:00"/>
    <x v="0"/>
    <x v="6"/>
    <x v="1"/>
    <x v="419"/>
    <x v="425"/>
    <s v="Bank Transfer"/>
    <s v="REV101558"/>
    <x v="1"/>
  </r>
  <r>
    <d v="2023-01-26T00:00:00"/>
    <x v="0"/>
    <x v="6"/>
    <x v="0"/>
    <x v="420"/>
    <x v="426"/>
    <s v="UPI"/>
    <s v="REV101634"/>
    <x v="1"/>
  </r>
  <r>
    <d v="2023-01-26T00:00:00"/>
    <x v="0"/>
    <x v="5"/>
    <x v="4"/>
    <x v="421"/>
    <x v="425"/>
    <s v="UPI"/>
    <s v="REV101826"/>
    <x v="1"/>
  </r>
  <r>
    <d v="2023-01-26T00:00:00"/>
    <x v="0"/>
    <x v="5"/>
    <x v="2"/>
    <x v="422"/>
    <x v="427"/>
    <s v="Bank Transfer"/>
    <s v="REV101867"/>
    <x v="1"/>
  </r>
  <r>
    <d v="2023-01-26T00:00:00"/>
    <x v="0"/>
    <x v="5"/>
    <x v="4"/>
    <x v="423"/>
    <x v="428"/>
    <s v="UPI"/>
    <s v="REV102318"/>
    <x v="1"/>
  </r>
  <r>
    <d v="2023-01-26T00:00:00"/>
    <x v="0"/>
    <x v="5"/>
    <x v="2"/>
    <x v="424"/>
    <x v="429"/>
    <s v="Bank Transfer"/>
    <s v="REV102862"/>
    <x v="1"/>
  </r>
  <r>
    <d v="2023-01-27T00:00:00"/>
    <x v="0"/>
    <x v="0"/>
    <x v="3"/>
    <x v="425"/>
    <x v="430"/>
    <s v="Cash"/>
    <s v="TXN102110"/>
    <x v="0"/>
  </r>
  <r>
    <d v="2023-01-27T00:00:00"/>
    <x v="0"/>
    <x v="3"/>
    <x v="2"/>
    <x v="426"/>
    <x v="431"/>
    <s v="Cash"/>
    <s v="TXN103273"/>
    <x v="0"/>
  </r>
  <r>
    <d v="2023-01-27T00:00:00"/>
    <x v="0"/>
    <x v="7"/>
    <x v="3"/>
    <x v="427"/>
    <x v="432"/>
    <s v="Bank Transfer"/>
    <s v="TXN104945"/>
    <x v="0"/>
  </r>
  <r>
    <d v="2023-01-27T00:00:00"/>
    <x v="0"/>
    <x v="4"/>
    <x v="0"/>
    <x v="428"/>
    <x v="433"/>
    <s v="Card"/>
    <s v="TXN106419"/>
    <x v="0"/>
  </r>
  <r>
    <d v="2023-01-27T00:00:00"/>
    <x v="0"/>
    <x v="3"/>
    <x v="4"/>
    <x v="429"/>
    <x v="434"/>
    <s v="Cash"/>
    <s v="TXN107183"/>
    <x v="0"/>
  </r>
  <r>
    <d v="2023-01-27T00:00:00"/>
    <x v="0"/>
    <x v="2"/>
    <x v="4"/>
    <x v="430"/>
    <x v="435"/>
    <s v="Card"/>
    <s v="TXN108105"/>
    <x v="0"/>
  </r>
  <r>
    <d v="2023-01-27T00:00:00"/>
    <x v="0"/>
    <x v="2"/>
    <x v="0"/>
    <x v="431"/>
    <x v="436"/>
    <s v="Bank Transfer"/>
    <s v="TXN108397"/>
    <x v="0"/>
  </r>
  <r>
    <d v="2023-01-27T00:00:00"/>
    <x v="0"/>
    <x v="7"/>
    <x v="1"/>
    <x v="432"/>
    <x v="437"/>
    <s v="Card"/>
    <s v="TXN109017"/>
    <x v="0"/>
  </r>
  <r>
    <d v="2023-01-27T00:00:00"/>
    <x v="0"/>
    <x v="2"/>
    <x v="2"/>
    <x v="433"/>
    <x v="438"/>
    <s v="UPI"/>
    <s v="TXN109114"/>
    <x v="0"/>
  </r>
  <r>
    <d v="2023-01-27T00:00:00"/>
    <x v="0"/>
    <x v="1"/>
    <x v="2"/>
    <x v="434"/>
    <x v="439"/>
    <s v="Cash"/>
    <s v="TXN109626"/>
    <x v="0"/>
  </r>
  <r>
    <d v="2023-01-27T00:00:00"/>
    <x v="0"/>
    <x v="5"/>
    <x v="3"/>
    <x v="435"/>
    <x v="440"/>
    <s v="Bank Transfer"/>
    <s v="REV100750"/>
    <x v="1"/>
  </r>
  <r>
    <d v="2023-01-27T00:00:00"/>
    <x v="0"/>
    <x v="6"/>
    <x v="2"/>
    <x v="436"/>
    <x v="49"/>
    <s v="UPI"/>
    <s v="REV101122"/>
    <x v="1"/>
  </r>
  <r>
    <d v="2023-01-27T00:00:00"/>
    <x v="0"/>
    <x v="5"/>
    <x v="3"/>
    <x v="437"/>
    <x v="441"/>
    <s v="Bank Transfer"/>
    <s v="REV101687"/>
    <x v="1"/>
  </r>
  <r>
    <d v="2023-01-27T00:00:00"/>
    <x v="0"/>
    <x v="5"/>
    <x v="0"/>
    <x v="438"/>
    <x v="442"/>
    <s v="Card"/>
    <s v="REV102171"/>
    <x v="1"/>
  </r>
  <r>
    <d v="2023-01-27T00:00:00"/>
    <x v="0"/>
    <x v="5"/>
    <x v="4"/>
    <x v="439"/>
    <x v="443"/>
    <s v="UPI"/>
    <s v="REV102436"/>
    <x v="1"/>
  </r>
  <r>
    <d v="2023-01-27T00:00:00"/>
    <x v="0"/>
    <x v="6"/>
    <x v="4"/>
    <x v="440"/>
    <x v="444"/>
    <s v="Bank Transfer"/>
    <s v="REV102755"/>
    <x v="1"/>
  </r>
  <r>
    <d v="2023-01-27T00:00:00"/>
    <x v="0"/>
    <x v="5"/>
    <x v="0"/>
    <x v="441"/>
    <x v="445"/>
    <s v="Card"/>
    <s v="REV102853"/>
    <x v="1"/>
  </r>
  <r>
    <d v="2023-01-27T00:00:00"/>
    <x v="0"/>
    <x v="6"/>
    <x v="1"/>
    <x v="180"/>
    <x v="446"/>
    <s v="UPI"/>
    <s v="REV103053"/>
    <x v="1"/>
  </r>
  <r>
    <d v="2023-01-27T00:00:00"/>
    <x v="0"/>
    <x v="6"/>
    <x v="2"/>
    <x v="442"/>
    <x v="447"/>
    <s v="Card"/>
    <s v="REV103084"/>
    <x v="1"/>
  </r>
  <r>
    <d v="2023-01-27T00:00:00"/>
    <x v="0"/>
    <x v="6"/>
    <x v="2"/>
    <x v="443"/>
    <x v="448"/>
    <s v="Bank Transfer"/>
    <s v="REV103255"/>
    <x v="1"/>
  </r>
  <r>
    <d v="2023-01-28T00:00:00"/>
    <x v="0"/>
    <x v="3"/>
    <x v="4"/>
    <x v="444"/>
    <x v="449"/>
    <s v="UPI"/>
    <s v="TXN101033"/>
    <x v="0"/>
  </r>
  <r>
    <d v="2023-01-28T00:00:00"/>
    <x v="0"/>
    <x v="3"/>
    <x v="3"/>
    <x v="445"/>
    <x v="450"/>
    <s v="Bank Transfer"/>
    <s v="TXN103397"/>
    <x v="0"/>
  </r>
  <r>
    <d v="2023-01-28T00:00:00"/>
    <x v="0"/>
    <x v="7"/>
    <x v="0"/>
    <x v="446"/>
    <x v="451"/>
    <s v="UPI"/>
    <s v="TXN103414"/>
    <x v="0"/>
  </r>
  <r>
    <d v="2023-01-28T00:00:00"/>
    <x v="0"/>
    <x v="4"/>
    <x v="0"/>
    <x v="447"/>
    <x v="452"/>
    <s v="Cash"/>
    <s v="TXN103429"/>
    <x v="0"/>
  </r>
  <r>
    <d v="2023-01-28T00:00:00"/>
    <x v="0"/>
    <x v="7"/>
    <x v="2"/>
    <x v="448"/>
    <x v="453"/>
    <s v="Cash"/>
    <s v="TXN103814"/>
    <x v="0"/>
  </r>
  <r>
    <d v="2023-01-28T00:00:00"/>
    <x v="0"/>
    <x v="1"/>
    <x v="0"/>
    <x v="449"/>
    <x v="454"/>
    <s v="UPI"/>
    <s v="TXN103857"/>
    <x v="0"/>
  </r>
  <r>
    <d v="2023-01-28T00:00:00"/>
    <x v="0"/>
    <x v="4"/>
    <x v="3"/>
    <x v="450"/>
    <x v="455"/>
    <s v="Bank Transfer"/>
    <s v="TXN104108"/>
    <x v="0"/>
  </r>
  <r>
    <d v="2023-01-28T00:00:00"/>
    <x v="0"/>
    <x v="2"/>
    <x v="0"/>
    <x v="451"/>
    <x v="456"/>
    <s v="UPI"/>
    <s v="TXN105672"/>
    <x v="0"/>
  </r>
  <r>
    <d v="2023-01-28T00:00:00"/>
    <x v="0"/>
    <x v="3"/>
    <x v="2"/>
    <x v="452"/>
    <x v="457"/>
    <s v="Card"/>
    <s v="TXN106573"/>
    <x v="0"/>
  </r>
  <r>
    <d v="2023-01-28T00:00:00"/>
    <x v="0"/>
    <x v="0"/>
    <x v="1"/>
    <x v="453"/>
    <x v="458"/>
    <s v="Cash"/>
    <s v="TXN108567"/>
    <x v="0"/>
  </r>
  <r>
    <d v="2023-01-28T00:00:00"/>
    <x v="0"/>
    <x v="2"/>
    <x v="2"/>
    <x v="454"/>
    <x v="459"/>
    <s v="UPI"/>
    <s v="TXN109600"/>
    <x v="0"/>
  </r>
  <r>
    <d v="2023-01-28T00:00:00"/>
    <x v="0"/>
    <x v="6"/>
    <x v="4"/>
    <x v="455"/>
    <x v="460"/>
    <s v="Bank Transfer"/>
    <s v="REV100382"/>
    <x v="1"/>
  </r>
  <r>
    <d v="2023-01-28T00:00:00"/>
    <x v="0"/>
    <x v="6"/>
    <x v="3"/>
    <x v="456"/>
    <x v="461"/>
    <s v="UPI"/>
    <s v="REV101165"/>
    <x v="1"/>
  </r>
  <r>
    <d v="2023-01-28T00:00:00"/>
    <x v="0"/>
    <x v="6"/>
    <x v="0"/>
    <x v="457"/>
    <x v="462"/>
    <s v="Bank Transfer"/>
    <s v="REV101171"/>
    <x v="1"/>
  </r>
  <r>
    <d v="2023-01-28T00:00:00"/>
    <x v="0"/>
    <x v="6"/>
    <x v="0"/>
    <x v="283"/>
    <x v="463"/>
    <s v="Bank Transfer"/>
    <s v="REV101175"/>
    <x v="1"/>
  </r>
  <r>
    <d v="2023-01-28T00:00:00"/>
    <x v="0"/>
    <x v="5"/>
    <x v="2"/>
    <x v="458"/>
    <x v="464"/>
    <s v="Card"/>
    <s v="REV101317"/>
    <x v="1"/>
  </r>
  <r>
    <d v="2023-01-28T00:00:00"/>
    <x v="0"/>
    <x v="5"/>
    <x v="0"/>
    <x v="459"/>
    <x v="465"/>
    <s v="Bank Transfer"/>
    <s v="REV101331"/>
    <x v="1"/>
  </r>
  <r>
    <d v="2023-01-28T00:00:00"/>
    <x v="0"/>
    <x v="5"/>
    <x v="3"/>
    <x v="460"/>
    <x v="466"/>
    <s v="Bank Transfer"/>
    <s v="REV101421"/>
    <x v="1"/>
  </r>
  <r>
    <d v="2023-01-28T00:00:00"/>
    <x v="0"/>
    <x v="6"/>
    <x v="0"/>
    <x v="461"/>
    <x v="467"/>
    <s v="Bank Transfer"/>
    <s v="REV101930"/>
    <x v="1"/>
  </r>
  <r>
    <d v="2023-01-28T00:00:00"/>
    <x v="0"/>
    <x v="6"/>
    <x v="2"/>
    <x v="462"/>
    <x v="468"/>
    <s v="Bank Transfer"/>
    <s v="REV102233"/>
    <x v="1"/>
  </r>
  <r>
    <d v="2023-01-28T00:00:00"/>
    <x v="0"/>
    <x v="5"/>
    <x v="1"/>
    <x v="463"/>
    <x v="469"/>
    <s v="Bank Transfer"/>
    <s v="REV102907"/>
    <x v="1"/>
  </r>
  <r>
    <d v="2023-01-28T00:00:00"/>
    <x v="0"/>
    <x v="5"/>
    <x v="2"/>
    <x v="464"/>
    <x v="347"/>
    <s v="UPI"/>
    <s v="REV103245"/>
    <x v="1"/>
  </r>
  <r>
    <d v="2023-01-29T00:00:00"/>
    <x v="0"/>
    <x v="1"/>
    <x v="3"/>
    <x v="465"/>
    <x v="470"/>
    <s v="Bank Transfer"/>
    <s v="TXN100271"/>
    <x v="0"/>
  </r>
  <r>
    <d v="2023-01-29T00:00:00"/>
    <x v="0"/>
    <x v="3"/>
    <x v="4"/>
    <x v="466"/>
    <x v="471"/>
    <s v="Card"/>
    <s v="TXN100600"/>
    <x v="0"/>
  </r>
  <r>
    <d v="2023-01-29T00:00:00"/>
    <x v="0"/>
    <x v="0"/>
    <x v="1"/>
    <x v="467"/>
    <x v="472"/>
    <s v="UPI"/>
    <s v="TXN100709"/>
    <x v="0"/>
  </r>
  <r>
    <d v="2023-01-29T00:00:00"/>
    <x v="0"/>
    <x v="2"/>
    <x v="3"/>
    <x v="468"/>
    <x v="473"/>
    <s v="Bank Transfer"/>
    <s v="TXN100933"/>
    <x v="0"/>
  </r>
  <r>
    <d v="2023-01-29T00:00:00"/>
    <x v="0"/>
    <x v="3"/>
    <x v="4"/>
    <x v="469"/>
    <x v="474"/>
    <s v="Bank Transfer"/>
    <s v="TXN101117"/>
    <x v="0"/>
  </r>
  <r>
    <d v="2023-01-29T00:00:00"/>
    <x v="0"/>
    <x v="4"/>
    <x v="3"/>
    <x v="470"/>
    <x v="475"/>
    <s v="Bank Transfer"/>
    <s v="TXN101896"/>
    <x v="0"/>
  </r>
  <r>
    <d v="2023-01-29T00:00:00"/>
    <x v="0"/>
    <x v="0"/>
    <x v="1"/>
    <x v="471"/>
    <x v="476"/>
    <s v="Cash"/>
    <s v="TXN103133"/>
    <x v="0"/>
  </r>
  <r>
    <d v="2023-01-29T00:00:00"/>
    <x v="0"/>
    <x v="4"/>
    <x v="0"/>
    <x v="472"/>
    <x v="477"/>
    <s v="Cash"/>
    <s v="TXN104154"/>
    <x v="0"/>
  </r>
  <r>
    <d v="2023-01-29T00:00:00"/>
    <x v="0"/>
    <x v="3"/>
    <x v="2"/>
    <x v="473"/>
    <x v="478"/>
    <s v="Bank Transfer"/>
    <s v="TXN106277"/>
    <x v="0"/>
  </r>
  <r>
    <d v="2023-01-29T00:00:00"/>
    <x v="0"/>
    <x v="1"/>
    <x v="3"/>
    <x v="474"/>
    <x v="479"/>
    <s v="UPI"/>
    <s v="TXN107257"/>
    <x v="0"/>
  </r>
  <r>
    <d v="2023-01-29T00:00:00"/>
    <x v="0"/>
    <x v="2"/>
    <x v="3"/>
    <x v="475"/>
    <x v="480"/>
    <s v="Bank Transfer"/>
    <s v="TXN108355"/>
    <x v="0"/>
  </r>
  <r>
    <d v="2023-01-29T00:00:00"/>
    <x v="0"/>
    <x v="5"/>
    <x v="3"/>
    <x v="476"/>
    <x v="481"/>
    <s v="Card"/>
    <s v="REV100096"/>
    <x v="1"/>
  </r>
  <r>
    <d v="2023-01-29T00:00:00"/>
    <x v="0"/>
    <x v="5"/>
    <x v="4"/>
    <x v="477"/>
    <x v="482"/>
    <s v="Card"/>
    <s v="REV100233"/>
    <x v="1"/>
  </r>
  <r>
    <d v="2023-01-29T00:00:00"/>
    <x v="0"/>
    <x v="5"/>
    <x v="1"/>
    <x v="478"/>
    <x v="483"/>
    <s v="Bank Transfer"/>
    <s v="REV100265"/>
    <x v="1"/>
  </r>
  <r>
    <d v="2023-01-29T00:00:00"/>
    <x v="0"/>
    <x v="6"/>
    <x v="3"/>
    <x v="178"/>
    <x v="484"/>
    <s v="UPI"/>
    <s v="REV100345"/>
    <x v="1"/>
  </r>
  <r>
    <d v="2023-01-29T00:00:00"/>
    <x v="0"/>
    <x v="6"/>
    <x v="4"/>
    <x v="479"/>
    <x v="485"/>
    <s v="Card"/>
    <s v="REV100411"/>
    <x v="1"/>
  </r>
  <r>
    <d v="2023-01-29T00:00:00"/>
    <x v="0"/>
    <x v="5"/>
    <x v="3"/>
    <x v="480"/>
    <x v="486"/>
    <s v="Bank Transfer"/>
    <s v="REV100680"/>
    <x v="1"/>
  </r>
  <r>
    <d v="2023-01-29T00:00:00"/>
    <x v="0"/>
    <x v="5"/>
    <x v="1"/>
    <x v="481"/>
    <x v="487"/>
    <s v="UPI"/>
    <s v="REV101079"/>
    <x v="1"/>
  </r>
  <r>
    <d v="2023-01-29T00:00:00"/>
    <x v="0"/>
    <x v="6"/>
    <x v="0"/>
    <x v="482"/>
    <x v="488"/>
    <s v="UPI"/>
    <s v="REV101439"/>
    <x v="1"/>
  </r>
  <r>
    <d v="2023-01-29T00:00:00"/>
    <x v="0"/>
    <x v="5"/>
    <x v="2"/>
    <x v="483"/>
    <x v="489"/>
    <s v="Bank Transfer"/>
    <s v="REV102117"/>
    <x v="1"/>
  </r>
  <r>
    <d v="2023-01-29T00:00:00"/>
    <x v="0"/>
    <x v="5"/>
    <x v="3"/>
    <x v="484"/>
    <x v="490"/>
    <s v="UPI"/>
    <s v="REV102467"/>
    <x v="1"/>
  </r>
  <r>
    <d v="2023-01-29T00:00:00"/>
    <x v="0"/>
    <x v="5"/>
    <x v="3"/>
    <x v="485"/>
    <x v="491"/>
    <s v="Bank Transfer"/>
    <s v="REV102843"/>
    <x v="1"/>
  </r>
  <r>
    <d v="2023-01-30T00:00:00"/>
    <x v="0"/>
    <x v="3"/>
    <x v="1"/>
    <x v="486"/>
    <x v="492"/>
    <s v="Card"/>
    <s v="TXN103185"/>
    <x v="0"/>
  </r>
  <r>
    <d v="2023-01-30T00:00:00"/>
    <x v="0"/>
    <x v="2"/>
    <x v="3"/>
    <x v="487"/>
    <x v="493"/>
    <s v="Cash"/>
    <s v="TXN105448"/>
    <x v="0"/>
  </r>
  <r>
    <d v="2023-01-30T00:00:00"/>
    <x v="0"/>
    <x v="1"/>
    <x v="4"/>
    <x v="488"/>
    <x v="494"/>
    <s v="Cash"/>
    <s v="TXN109700"/>
    <x v="0"/>
  </r>
  <r>
    <d v="2023-01-30T00:00:00"/>
    <x v="0"/>
    <x v="6"/>
    <x v="1"/>
    <x v="393"/>
    <x v="495"/>
    <s v="Card"/>
    <s v="REV101097"/>
    <x v="1"/>
  </r>
  <r>
    <d v="2023-01-30T00:00:00"/>
    <x v="0"/>
    <x v="5"/>
    <x v="3"/>
    <x v="489"/>
    <x v="496"/>
    <s v="UPI"/>
    <s v="REV101856"/>
    <x v="1"/>
  </r>
  <r>
    <d v="2023-01-30T00:00:00"/>
    <x v="0"/>
    <x v="5"/>
    <x v="4"/>
    <x v="490"/>
    <x v="156"/>
    <s v="Bank Transfer"/>
    <s v="REV103279"/>
    <x v="1"/>
  </r>
  <r>
    <d v="2023-01-31T00:00:00"/>
    <x v="0"/>
    <x v="2"/>
    <x v="4"/>
    <x v="491"/>
    <x v="497"/>
    <s v="Card"/>
    <s v="TXN100397"/>
    <x v="0"/>
  </r>
  <r>
    <d v="2023-01-31T00:00:00"/>
    <x v="0"/>
    <x v="7"/>
    <x v="0"/>
    <x v="492"/>
    <x v="498"/>
    <s v="Card"/>
    <s v="TXN100616"/>
    <x v="0"/>
  </r>
  <r>
    <d v="2023-01-31T00:00:00"/>
    <x v="0"/>
    <x v="4"/>
    <x v="4"/>
    <x v="493"/>
    <x v="499"/>
    <s v="Bank Transfer"/>
    <s v="TXN100937"/>
    <x v="0"/>
  </r>
  <r>
    <d v="2023-01-31T00:00:00"/>
    <x v="0"/>
    <x v="4"/>
    <x v="1"/>
    <x v="494"/>
    <x v="500"/>
    <s v="Bank Transfer"/>
    <s v="TXN101226"/>
    <x v="0"/>
  </r>
  <r>
    <d v="2023-01-31T00:00:00"/>
    <x v="0"/>
    <x v="0"/>
    <x v="2"/>
    <x v="495"/>
    <x v="501"/>
    <s v="Cash"/>
    <s v="TXN101753"/>
    <x v="0"/>
  </r>
  <r>
    <d v="2023-01-31T00:00:00"/>
    <x v="0"/>
    <x v="7"/>
    <x v="2"/>
    <x v="496"/>
    <x v="502"/>
    <s v="Cash"/>
    <s v="TXN102644"/>
    <x v="0"/>
  </r>
  <r>
    <d v="2023-01-31T00:00:00"/>
    <x v="0"/>
    <x v="4"/>
    <x v="4"/>
    <x v="497"/>
    <x v="503"/>
    <s v="Bank Transfer"/>
    <s v="TXN103792"/>
    <x v="0"/>
  </r>
  <r>
    <d v="2023-01-31T00:00:00"/>
    <x v="0"/>
    <x v="4"/>
    <x v="2"/>
    <x v="498"/>
    <x v="504"/>
    <s v="UPI"/>
    <s v="TXN104036"/>
    <x v="0"/>
  </r>
  <r>
    <d v="2023-01-31T00:00:00"/>
    <x v="0"/>
    <x v="7"/>
    <x v="2"/>
    <x v="499"/>
    <x v="505"/>
    <s v="Bank Transfer"/>
    <s v="TXN106034"/>
    <x v="0"/>
  </r>
  <r>
    <d v="2023-01-31T00:00:00"/>
    <x v="0"/>
    <x v="2"/>
    <x v="0"/>
    <x v="500"/>
    <x v="506"/>
    <s v="Cash"/>
    <s v="TXN106316"/>
    <x v="0"/>
  </r>
  <r>
    <d v="2023-01-31T00:00:00"/>
    <x v="0"/>
    <x v="3"/>
    <x v="4"/>
    <x v="179"/>
    <x v="507"/>
    <s v="UPI"/>
    <s v="TXN107648"/>
    <x v="0"/>
  </r>
  <r>
    <d v="2023-01-31T00:00:00"/>
    <x v="0"/>
    <x v="1"/>
    <x v="3"/>
    <x v="501"/>
    <x v="508"/>
    <s v="Cash"/>
    <s v="TXN108536"/>
    <x v="0"/>
  </r>
  <r>
    <d v="2023-01-31T00:00:00"/>
    <x v="0"/>
    <x v="7"/>
    <x v="4"/>
    <x v="502"/>
    <x v="509"/>
    <s v="Cash"/>
    <s v="TXN109304"/>
    <x v="0"/>
  </r>
  <r>
    <d v="2023-01-31T00:00:00"/>
    <x v="0"/>
    <x v="6"/>
    <x v="4"/>
    <x v="503"/>
    <x v="510"/>
    <s v="Bank Transfer"/>
    <s v="REV100150"/>
    <x v="1"/>
  </r>
  <r>
    <d v="2023-01-31T00:00:00"/>
    <x v="0"/>
    <x v="5"/>
    <x v="0"/>
    <x v="504"/>
    <x v="511"/>
    <s v="Card"/>
    <s v="REV100238"/>
    <x v="1"/>
  </r>
  <r>
    <d v="2023-01-31T00:00:00"/>
    <x v="0"/>
    <x v="5"/>
    <x v="4"/>
    <x v="505"/>
    <x v="512"/>
    <s v="Bank Transfer"/>
    <s v="REV100347"/>
    <x v="1"/>
  </r>
  <r>
    <d v="2023-01-31T00:00:00"/>
    <x v="0"/>
    <x v="5"/>
    <x v="1"/>
    <x v="506"/>
    <x v="513"/>
    <s v="UPI"/>
    <s v="REV100450"/>
    <x v="1"/>
  </r>
  <r>
    <d v="2023-01-31T00:00:00"/>
    <x v="0"/>
    <x v="6"/>
    <x v="2"/>
    <x v="507"/>
    <x v="514"/>
    <s v="Bank Transfer"/>
    <s v="REV100639"/>
    <x v="1"/>
  </r>
  <r>
    <d v="2023-01-31T00:00:00"/>
    <x v="0"/>
    <x v="5"/>
    <x v="2"/>
    <x v="508"/>
    <x v="515"/>
    <s v="Card"/>
    <s v="REV100925"/>
    <x v="1"/>
  </r>
  <r>
    <d v="2023-01-31T00:00:00"/>
    <x v="0"/>
    <x v="5"/>
    <x v="4"/>
    <x v="509"/>
    <x v="516"/>
    <s v="UPI"/>
    <s v="REV101308"/>
    <x v="1"/>
  </r>
  <r>
    <d v="2023-01-31T00:00:00"/>
    <x v="0"/>
    <x v="5"/>
    <x v="2"/>
    <x v="510"/>
    <x v="140"/>
    <s v="Card"/>
    <s v="REV101398"/>
    <x v="1"/>
  </r>
  <r>
    <d v="2023-01-31T00:00:00"/>
    <x v="0"/>
    <x v="6"/>
    <x v="2"/>
    <x v="247"/>
    <x v="517"/>
    <s v="Bank Transfer"/>
    <s v="REV102039"/>
    <x v="1"/>
  </r>
  <r>
    <d v="2023-01-31T00:00:00"/>
    <x v="0"/>
    <x v="6"/>
    <x v="0"/>
    <x v="511"/>
    <x v="518"/>
    <s v="Card"/>
    <s v="REV102132"/>
    <x v="1"/>
  </r>
  <r>
    <d v="2023-01-31T00:00:00"/>
    <x v="0"/>
    <x v="5"/>
    <x v="4"/>
    <x v="512"/>
    <x v="519"/>
    <s v="Bank Transfer"/>
    <s v="REV102600"/>
    <x v="1"/>
  </r>
  <r>
    <d v="2023-01-31T00:00:00"/>
    <x v="0"/>
    <x v="6"/>
    <x v="3"/>
    <x v="513"/>
    <x v="520"/>
    <s v="Bank Transfer"/>
    <s v="REV102893"/>
    <x v="1"/>
  </r>
  <r>
    <d v="2023-01-31T00:00:00"/>
    <x v="0"/>
    <x v="6"/>
    <x v="4"/>
    <x v="514"/>
    <x v="521"/>
    <s v="Bank Transfer"/>
    <s v="REV103145"/>
    <x v="1"/>
  </r>
  <r>
    <d v="2023-02-01T00:00:00"/>
    <x v="1"/>
    <x v="3"/>
    <x v="0"/>
    <x v="515"/>
    <x v="522"/>
    <s v="Cash"/>
    <s v="TXN100359"/>
    <x v="0"/>
  </r>
  <r>
    <d v="2023-02-01T00:00:00"/>
    <x v="1"/>
    <x v="3"/>
    <x v="2"/>
    <x v="516"/>
    <x v="523"/>
    <s v="Cash"/>
    <s v="TXN102595"/>
    <x v="0"/>
  </r>
  <r>
    <d v="2023-02-01T00:00:00"/>
    <x v="1"/>
    <x v="7"/>
    <x v="1"/>
    <x v="517"/>
    <x v="524"/>
    <s v="Bank Transfer"/>
    <s v="TXN102613"/>
    <x v="0"/>
  </r>
  <r>
    <d v="2023-02-01T00:00:00"/>
    <x v="1"/>
    <x v="7"/>
    <x v="3"/>
    <x v="518"/>
    <x v="525"/>
    <s v="Card"/>
    <s v="TXN103835"/>
    <x v="0"/>
  </r>
  <r>
    <d v="2023-02-01T00:00:00"/>
    <x v="1"/>
    <x v="1"/>
    <x v="4"/>
    <x v="519"/>
    <x v="526"/>
    <s v="Cash"/>
    <s v="TXN105005"/>
    <x v="0"/>
  </r>
  <r>
    <d v="2023-02-01T00:00:00"/>
    <x v="1"/>
    <x v="2"/>
    <x v="4"/>
    <x v="520"/>
    <x v="527"/>
    <s v="UPI"/>
    <s v="TXN108238"/>
    <x v="0"/>
  </r>
  <r>
    <d v="2023-02-01T00:00:00"/>
    <x v="1"/>
    <x v="3"/>
    <x v="4"/>
    <x v="521"/>
    <x v="528"/>
    <s v="Bank Transfer"/>
    <s v="TXN108437"/>
    <x v="0"/>
  </r>
  <r>
    <d v="2023-02-01T00:00:00"/>
    <x v="1"/>
    <x v="0"/>
    <x v="4"/>
    <x v="522"/>
    <x v="529"/>
    <s v="Bank Transfer"/>
    <s v="TXN108528"/>
    <x v="0"/>
  </r>
  <r>
    <d v="2023-02-01T00:00:00"/>
    <x v="1"/>
    <x v="4"/>
    <x v="3"/>
    <x v="523"/>
    <x v="530"/>
    <s v="Cash"/>
    <s v="TXN108553"/>
    <x v="0"/>
  </r>
  <r>
    <d v="2023-02-01T00:00:00"/>
    <x v="1"/>
    <x v="2"/>
    <x v="4"/>
    <x v="524"/>
    <x v="531"/>
    <s v="Card"/>
    <s v="TXN108783"/>
    <x v="0"/>
  </r>
  <r>
    <d v="2023-02-01T00:00:00"/>
    <x v="1"/>
    <x v="2"/>
    <x v="0"/>
    <x v="525"/>
    <x v="532"/>
    <s v="Card"/>
    <s v="TXN109358"/>
    <x v="0"/>
  </r>
  <r>
    <d v="2023-02-01T00:00:00"/>
    <x v="1"/>
    <x v="7"/>
    <x v="2"/>
    <x v="526"/>
    <x v="533"/>
    <s v="Bank Transfer"/>
    <s v="TXN109420"/>
    <x v="0"/>
  </r>
  <r>
    <d v="2023-02-01T00:00:00"/>
    <x v="1"/>
    <x v="4"/>
    <x v="2"/>
    <x v="527"/>
    <x v="534"/>
    <s v="UPI"/>
    <s v="TXN109489"/>
    <x v="0"/>
  </r>
  <r>
    <d v="2023-02-01T00:00:00"/>
    <x v="1"/>
    <x v="2"/>
    <x v="3"/>
    <x v="528"/>
    <x v="535"/>
    <s v="UPI"/>
    <s v="TXN109714"/>
    <x v="0"/>
  </r>
  <r>
    <d v="2023-02-01T00:00:00"/>
    <x v="1"/>
    <x v="7"/>
    <x v="3"/>
    <x v="529"/>
    <x v="536"/>
    <s v="Bank Transfer"/>
    <s v="TXN109962"/>
    <x v="0"/>
  </r>
  <r>
    <d v="2023-02-01T00:00:00"/>
    <x v="1"/>
    <x v="5"/>
    <x v="0"/>
    <x v="530"/>
    <x v="537"/>
    <s v="Card"/>
    <s v="REV100134"/>
    <x v="1"/>
  </r>
  <r>
    <d v="2023-02-01T00:00:00"/>
    <x v="1"/>
    <x v="5"/>
    <x v="2"/>
    <x v="531"/>
    <x v="538"/>
    <s v="Bank Transfer"/>
    <s v="REV100908"/>
    <x v="1"/>
  </r>
  <r>
    <d v="2023-02-01T00:00:00"/>
    <x v="1"/>
    <x v="6"/>
    <x v="1"/>
    <x v="532"/>
    <x v="181"/>
    <s v="UPI"/>
    <s v="REV100915"/>
    <x v="1"/>
  </r>
  <r>
    <d v="2023-02-01T00:00:00"/>
    <x v="1"/>
    <x v="6"/>
    <x v="3"/>
    <x v="533"/>
    <x v="398"/>
    <s v="UPI"/>
    <s v="REV101323"/>
    <x v="1"/>
  </r>
  <r>
    <d v="2023-02-01T00:00:00"/>
    <x v="1"/>
    <x v="5"/>
    <x v="4"/>
    <x v="534"/>
    <x v="539"/>
    <s v="Card"/>
    <s v="REV101706"/>
    <x v="1"/>
  </r>
  <r>
    <d v="2023-02-01T00:00:00"/>
    <x v="1"/>
    <x v="6"/>
    <x v="4"/>
    <x v="203"/>
    <x v="540"/>
    <s v="Card"/>
    <s v="REV102798"/>
    <x v="1"/>
  </r>
  <r>
    <d v="2023-02-01T00:00:00"/>
    <x v="1"/>
    <x v="5"/>
    <x v="4"/>
    <x v="535"/>
    <x v="541"/>
    <s v="UPI"/>
    <s v="REV102861"/>
    <x v="1"/>
  </r>
  <r>
    <d v="2023-02-01T00:00:00"/>
    <x v="1"/>
    <x v="5"/>
    <x v="4"/>
    <x v="536"/>
    <x v="542"/>
    <s v="Bank Transfer"/>
    <s v="REV102890"/>
    <x v="1"/>
  </r>
  <r>
    <d v="2023-02-01T00:00:00"/>
    <x v="1"/>
    <x v="5"/>
    <x v="3"/>
    <x v="64"/>
    <x v="543"/>
    <s v="Bank Transfer"/>
    <s v="REV102900"/>
    <x v="1"/>
  </r>
  <r>
    <d v="2023-02-01T00:00:00"/>
    <x v="1"/>
    <x v="6"/>
    <x v="4"/>
    <x v="537"/>
    <x v="300"/>
    <s v="Bank Transfer"/>
    <s v="REV102983"/>
    <x v="1"/>
  </r>
  <r>
    <d v="2023-02-01T00:00:00"/>
    <x v="1"/>
    <x v="6"/>
    <x v="0"/>
    <x v="538"/>
    <x v="544"/>
    <s v="Card"/>
    <s v="REV103164"/>
    <x v="1"/>
  </r>
  <r>
    <d v="2023-02-01T00:00:00"/>
    <x v="1"/>
    <x v="5"/>
    <x v="2"/>
    <x v="539"/>
    <x v="545"/>
    <s v="Bank Transfer"/>
    <s v="REV103185"/>
    <x v="1"/>
  </r>
  <r>
    <d v="2023-02-01T00:00:00"/>
    <x v="1"/>
    <x v="6"/>
    <x v="2"/>
    <x v="540"/>
    <x v="546"/>
    <s v="Bank Transfer"/>
    <s v="REV103204"/>
    <x v="1"/>
  </r>
  <r>
    <d v="2023-02-01T00:00:00"/>
    <x v="1"/>
    <x v="5"/>
    <x v="3"/>
    <x v="541"/>
    <x v="547"/>
    <s v="Bank Transfer"/>
    <s v="REV103284"/>
    <x v="1"/>
  </r>
  <r>
    <d v="2023-02-01T00:00:00"/>
    <x v="1"/>
    <x v="5"/>
    <x v="3"/>
    <x v="542"/>
    <x v="548"/>
    <s v="Bank Transfer"/>
    <s v="REV103368"/>
    <x v="1"/>
  </r>
  <r>
    <d v="2023-02-02T00:00:00"/>
    <x v="1"/>
    <x v="1"/>
    <x v="1"/>
    <x v="543"/>
    <x v="549"/>
    <s v="UPI"/>
    <s v="TXN100577"/>
    <x v="0"/>
  </r>
  <r>
    <d v="2023-02-02T00:00:00"/>
    <x v="1"/>
    <x v="7"/>
    <x v="0"/>
    <x v="544"/>
    <x v="550"/>
    <s v="Bank Transfer"/>
    <s v="TXN100881"/>
    <x v="0"/>
  </r>
  <r>
    <d v="2023-02-02T00:00:00"/>
    <x v="1"/>
    <x v="4"/>
    <x v="0"/>
    <x v="545"/>
    <x v="551"/>
    <s v="Bank Transfer"/>
    <s v="TXN101273"/>
    <x v="0"/>
  </r>
  <r>
    <d v="2023-02-02T00:00:00"/>
    <x v="1"/>
    <x v="7"/>
    <x v="3"/>
    <x v="546"/>
    <x v="552"/>
    <s v="UPI"/>
    <s v="TXN102086"/>
    <x v="0"/>
  </r>
  <r>
    <d v="2023-02-02T00:00:00"/>
    <x v="1"/>
    <x v="3"/>
    <x v="2"/>
    <x v="547"/>
    <x v="553"/>
    <s v="Cash"/>
    <s v="TXN102088"/>
    <x v="0"/>
  </r>
  <r>
    <d v="2023-02-02T00:00:00"/>
    <x v="1"/>
    <x v="0"/>
    <x v="1"/>
    <x v="548"/>
    <x v="554"/>
    <s v="Card"/>
    <s v="TXN102369"/>
    <x v="0"/>
  </r>
  <r>
    <d v="2023-02-02T00:00:00"/>
    <x v="1"/>
    <x v="3"/>
    <x v="4"/>
    <x v="549"/>
    <x v="555"/>
    <s v="Cash"/>
    <s v="TXN103110"/>
    <x v="0"/>
  </r>
  <r>
    <d v="2023-02-02T00:00:00"/>
    <x v="1"/>
    <x v="7"/>
    <x v="2"/>
    <x v="550"/>
    <x v="556"/>
    <s v="Card"/>
    <s v="TXN103728"/>
    <x v="0"/>
  </r>
  <r>
    <d v="2023-02-02T00:00:00"/>
    <x v="1"/>
    <x v="4"/>
    <x v="0"/>
    <x v="551"/>
    <x v="557"/>
    <s v="Card"/>
    <s v="TXN104157"/>
    <x v="0"/>
  </r>
  <r>
    <d v="2023-02-02T00:00:00"/>
    <x v="1"/>
    <x v="4"/>
    <x v="0"/>
    <x v="100"/>
    <x v="558"/>
    <s v="Cash"/>
    <s v="TXN105673"/>
    <x v="0"/>
  </r>
  <r>
    <d v="2023-02-02T00:00:00"/>
    <x v="1"/>
    <x v="1"/>
    <x v="2"/>
    <x v="552"/>
    <x v="559"/>
    <s v="Cash"/>
    <s v="TXN106016"/>
    <x v="0"/>
  </r>
  <r>
    <d v="2023-02-02T00:00:00"/>
    <x v="1"/>
    <x v="0"/>
    <x v="2"/>
    <x v="553"/>
    <x v="560"/>
    <s v="Card"/>
    <s v="TXN106648"/>
    <x v="0"/>
  </r>
  <r>
    <d v="2023-02-02T00:00:00"/>
    <x v="1"/>
    <x v="1"/>
    <x v="3"/>
    <x v="554"/>
    <x v="561"/>
    <s v="Card"/>
    <s v="TXN107363"/>
    <x v="0"/>
  </r>
  <r>
    <d v="2023-02-02T00:00:00"/>
    <x v="1"/>
    <x v="2"/>
    <x v="4"/>
    <x v="555"/>
    <x v="562"/>
    <s v="UPI"/>
    <s v="TXN107435"/>
    <x v="0"/>
  </r>
  <r>
    <d v="2023-02-02T00:00:00"/>
    <x v="1"/>
    <x v="0"/>
    <x v="0"/>
    <x v="556"/>
    <x v="563"/>
    <s v="UPI"/>
    <s v="TXN108546"/>
    <x v="0"/>
  </r>
  <r>
    <d v="2023-02-02T00:00:00"/>
    <x v="1"/>
    <x v="4"/>
    <x v="3"/>
    <x v="557"/>
    <x v="564"/>
    <s v="Bank Transfer"/>
    <s v="TXN108721"/>
    <x v="0"/>
  </r>
  <r>
    <d v="2023-02-02T00:00:00"/>
    <x v="1"/>
    <x v="3"/>
    <x v="3"/>
    <x v="558"/>
    <x v="565"/>
    <s v="Cash"/>
    <s v="TXN109185"/>
    <x v="0"/>
  </r>
  <r>
    <d v="2023-02-02T00:00:00"/>
    <x v="1"/>
    <x v="7"/>
    <x v="2"/>
    <x v="559"/>
    <x v="566"/>
    <s v="Card"/>
    <s v="TXN109419"/>
    <x v="0"/>
  </r>
  <r>
    <d v="2023-02-02T00:00:00"/>
    <x v="1"/>
    <x v="6"/>
    <x v="1"/>
    <x v="560"/>
    <x v="540"/>
    <s v="Card"/>
    <s v="REV100222"/>
    <x v="1"/>
  </r>
  <r>
    <d v="2023-02-02T00:00:00"/>
    <x v="1"/>
    <x v="6"/>
    <x v="0"/>
    <x v="561"/>
    <x v="567"/>
    <s v="Bank Transfer"/>
    <s v="REV100326"/>
    <x v="1"/>
  </r>
  <r>
    <d v="2023-02-02T00:00:00"/>
    <x v="1"/>
    <x v="5"/>
    <x v="0"/>
    <x v="562"/>
    <x v="568"/>
    <s v="Card"/>
    <s v="REV100463"/>
    <x v="1"/>
  </r>
  <r>
    <d v="2023-02-02T00:00:00"/>
    <x v="1"/>
    <x v="5"/>
    <x v="3"/>
    <x v="563"/>
    <x v="537"/>
    <s v="Card"/>
    <s v="REV100743"/>
    <x v="1"/>
  </r>
  <r>
    <d v="2023-02-02T00:00:00"/>
    <x v="1"/>
    <x v="5"/>
    <x v="2"/>
    <x v="564"/>
    <x v="569"/>
    <s v="UPI"/>
    <s v="REV100744"/>
    <x v="1"/>
  </r>
  <r>
    <d v="2023-02-02T00:00:00"/>
    <x v="1"/>
    <x v="6"/>
    <x v="1"/>
    <x v="565"/>
    <x v="570"/>
    <s v="UPI"/>
    <s v="REV100834"/>
    <x v="1"/>
  </r>
  <r>
    <d v="2023-02-02T00:00:00"/>
    <x v="1"/>
    <x v="6"/>
    <x v="4"/>
    <x v="566"/>
    <x v="571"/>
    <s v="Card"/>
    <s v="REV101074"/>
    <x v="1"/>
  </r>
  <r>
    <d v="2023-02-02T00:00:00"/>
    <x v="1"/>
    <x v="6"/>
    <x v="2"/>
    <x v="567"/>
    <x v="49"/>
    <s v="Bank Transfer"/>
    <s v="REV101284"/>
    <x v="1"/>
  </r>
  <r>
    <d v="2023-02-02T00:00:00"/>
    <x v="1"/>
    <x v="5"/>
    <x v="0"/>
    <x v="568"/>
    <x v="572"/>
    <s v="UPI"/>
    <s v="REV101442"/>
    <x v="1"/>
  </r>
  <r>
    <d v="2023-02-02T00:00:00"/>
    <x v="1"/>
    <x v="6"/>
    <x v="0"/>
    <x v="569"/>
    <x v="573"/>
    <s v="Bank Transfer"/>
    <s v="REV101931"/>
    <x v="1"/>
  </r>
  <r>
    <d v="2023-02-02T00:00:00"/>
    <x v="1"/>
    <x v="5"/>
    <x v="2"/>
    <x v="570"/>
    <x v="574"/>
    <s v="Bank Transfer"/>
    <s v="REV102032"/>
    <x v="1"/>
  </r>
  <r>
    <d v="2023-02-02T00:00:00"/>
    <x v="1"/>
    <x v="5"/>
    <x v="2"/>
    <x v="571"/>
    <x v="221"/>
    <s v="Card"/>
    <s v="REV102262"/>
    <x v="1"/>
  </r>
  <r>
    <d v="2023-02-02T00:00:00"/>
    <x v="1"/>
    <x v="6"/>
    <x v="3"/>
    <x v="572"/>
    <x v="575"/>
    <s v="Bank Transfer"/>
    <s v="REV102498"/>
    <x v="1"/>
  </r>
  <r>
    <d v="2023-02-02T00:00:00"/>
    <x v="1"/>
    <x v="6"/>
    <x v="4"/>
    <x v="573"/>
    <x v="576"/>
    <s v="UPI"/>
    <s v="REV102524"/>
    <x v="1"/>
  </r>
  <r>
    <d v="2023-02-02T00:00:00"/>
    <x v="1"/>
    <x v="5"/>
    <x v="0"/>
    <x v="574"/>
    <x v="577"/>
    <s v="Card"/>
    <s v="REV102897"/>
    <x v="1"/>
  </r>
  <r>
    <d v="2023-02-02T00:00:00"/>
    <x v="1"/>
    <x v="6"/>
    <x v="3"/>
    <x v="575"/>
    <x v="578"/>
    <s v="Card"/>
    <s v="REV102959"/>
    <x v="1"/>
  </r>
  <r>
    <d v="2023-02-02T00:00:00"/>
    <x v="1"/>
    <x v="6"/>
    <x v="3"/>
    <x v="38"/>
    <x v="579"/>
    <s v="Bank Transfer"/>
    <s v="REV103100"/>
    <x v="1"/>
  </r>
  <r>
    <d v="2023-02-02T00:00:00"/>
    <x v="1"/>
    <x v="5"/>
    <x v="2"/>
    <x v="576"/>
    <x v="580"/>
    <s v="Bank Transfer"/>
    <s v="REV103184"/>
    <x v="1"/>
  </r>
  <r>
    <d v="2023-02-03T00:00:00"/>
    <x v="1"/>
    <x v="2"/>
    <x v="1"/>
    <x v="577"/>
    <x v="581"/>
    <s v="Bank Transfer"/>
    <s v="TXN100068"/>
    <x v="0"/>
  </r>
  <r>
    <d v="2023-02-03T00:00:00"/>
    <x v="1"/>
    <x v="0"/>
    <x v="4"/>
    <x v="578"/>
    <x v="582"/>
    <s v="Cash"/>
    <s v="TXN100168"/>
    <x v="0"/>
  </r>
  <r>
    <d v="2023-02-03T00:00:00"/>
    <x v="1"/>
    <x v="3"/>
    <x v="0"/>
    <x v="579"/>
    <x v="583"/>
    <s v="UPI"/>
    <s v="TXN100491"/>
    <x v="0"/>
  </r>
  <r>
    <d v="2023-02-03T00:00:00"/>
    <x v="1"/>
    <x v="4"/>
    <x v="3"/>
    <x v="580"/>
    <x v="584"/>
    <s v="Bank Transfer"/>
    <s v="TXN100587"/>
    <x v="0"/>
  </r>
  <r>
    <d v="2023-02-03T00:00:00"/>
    <x v="1"/>
    <x v="0"/>
    <x v="1"/>
    <x v="581"/>
    <x v="585"/>
    <s v="Cash"/>
    <s v="TXN101829"/>
    <x v="0"/>
  </r>
  <r>
    <d v="2023-02-03T00:00:00"/>
    <x v="1"/>
    <x v="4"/>
    <x v="3"/>
    <x v="582"/>
    <x v="586"/>
    <s v="UPI"/>
    <s v="TXN106675"/>
    <x v="0"/>
  </r>
  <r>
    <d v="2023-02-03T00:00:00"/>
    <x v="1"/>
    <x v="7"/>
    <x v="4"/>
    <x v="583"/>
    <x v="587"/>
    <s v="Bank Transfer"/>
    <s v="TXN109525"/>
    <x v="0"/>
  </r>
  <r>
    <d v="2023-02-03T00:00:00"/>
    <x v="1"/>
    <x v="0"/>
    <x v="2"/>
    <x v="584"/>
    <x v="588"/>
    <s v="Card"/>
    <s v="TXN109968"/>
    <x v="0"/>
  </r>
  <r>
    <d v="2023-02-03T00:00:00"/>
    <x v="1"/>
    <x v="5"/>
    <x v="1"/>
    <x v="585"/>
    <x v="589"/>
    <s v="Card"/>
    <s v="REV100026"/>
    <x v="1"/>
  </r>
  <r>
    <d v="2023-02-03T00:00:00"/>
    <x v="1"/>
    <x v="6"/>
    <x v="4"/>
    <x v="586"/>
    <x v="590"/>
    <s v="Bank Transfer"/>
    <s v="REV100060"/>
    <x v="1"/>
  </r>
  <r>
    <d v="2023-02-03T00:00:00"/>
    <x v="1"/>
    <x v="5"/>
    <x v="0"/>
    <x v="587"/>
    <x v="591"/>
    <s v="Bank Transfer"/>
    <s v="REV100187"/>
    <x v="1"/>
  </r>
  <r>
    <d v="2023-02-03T00:00:00"/>
    <x v="1"/>
    <x v="5"/>
    <x v="3"/>
    <x v="420"/>
    <x v="592"/>
    <s v="Bank Transfer"/>
    <s v="REV100226"/>
    <x v="1"/>
  </r>
  <r>
    <d v="2023-02-03T00:00:00"/>
    <x v="1"/>
    <x v="6"/>
    <x v="1"/>
    <x v="476"/>
    <x v="593"/>
    <s v="Bank Transfer"/>
    <s v="REV100666"/>
    <x v="1"/>
  </r>
  <r>
    <d v="2023-02-03T00:00:00"/>
    <x v="1"/>
    <x v="6"/>
    <x v="3"/>
    <x v="588"/>
    <x v="594"/>
    <s v="Bank Transfer"/>
    <s v="REV102269"/>
    <x v="1"/>
  </r>
  <r>
    <d v="2023-02-03T00:00:00"/>
    <x v="1"/>
    <x v="5"/>
    <x v="4"/>
    <x v="566"/>
    <x v="595"/>
    <s v="Card"/>
    <s v="REV103216"/>
    <x v="1"/>
  </r>
  <r>
    <d v="2023-02-03T00:00:00"/>
    <x v="1"/>
    <x v="5"/>
    <x v="2"/>
    <x v="589"/>
    <x v="241"/>
    <s v="Card"/>
    <s v="REV103373"/>
    <x v="1"/>
  </r>
  <r>
    <d v="2023-02-04T00:00:00"/>
    <x v="1"/>
    <x v="4"/>
    <x v="2"/>
    <x v="590"/>
    <x v="596"/>
    <s v="Bank Transfer"/>
    <s v="TXN104935"/>
    <x v="0"/>
  </r>
  <r>
    <d v="2023-02-04T00:00:00"/>
    <x v="1"/>
    <x v="7"/>
    <x v="0"/>
    <x v="591"/>
    <x v="597"/>
    <s v="Bank Transfer"/>
    <s v="TXN107152"/>
    <x v="0"/>
  </r>
  <r>
    <d v="2023-02-04T00:00:00"/>
    <x v="1"/>
    <x v="1"/>
    <x v="4"/>
    <x v="592"/>
    <x v="598"/>
    <s v="Bank Transfer"/>
    <s v="TXN108728"/>
    <x v="0"/>
  </r>
  <r>
    <d v="2023-02-04T00:00:00"/>
    <x v="1"/>
    <x v="3"/>
    <x v="0"/>
    <x v="593"/>
    <x v="599"/>
    <s v="Bank Transfer"/>
    <s v="TXN109595"/>
    <x v="0"/>
  </r>
  <r>
    <d v="2023-02-04T00:00:00"/>
    <x v="1"/>
    <x v="5"/>
    <x v="2"/>
    <x v="110"/>
    <x v="600"/>
    <s v="Bank Transfer"/>
    <s v="REV101684"/>
    <x v="1"/>
  </r>
  <r>
    <d v="2023-02-04T00:00:00"/>
    <x v="1"/>
    <x v="6"/>
    <x v="0"/>
    <x v="594"/>
    <x v="601"/>
    <s v="UPI"/>
    <s v="REV102424"/>
    <x v="1"/>
  </r>
  <r>
    <d v="2023-02-04T00:00:00"/>
    <x v="1"/>
    <x v="6"/>
    <x v="4"/>
    <x v="595"/>
    <x v="602"/>
    <s v="Bank Transfer"/>
    <s v="REV102961"/>
    <x v="1"/>
  </r>
  <r>
    <d v="2023-02-04T00:00:00"/>
    <x v="1"/>
    <x v="5"/>
    <x v="0"/>
    <x v="596"/>
    <x v="603"/>
    <s v="UPI"/>
    <s v="REV103243"/>
    <x v="1"/>
  </r>
  <r>
    <d v="2023-02-05T00:00:00"/>
    <x v="1"/>
    <x v="4"/>
    <x v="3"/>
    <x v="597"/>
    <x v="604"/>
    <s v="Bank Transfer"/>
    <s v="TXN102065"/>
    <x v="0"/>
  </r>
  <r>
    <d v="2023-02-05T00:00:00"/>
    <x v="1"/>
    <x v="7"/>
    <x v="1"/>
    <x v="598"/>
    <x v="605"/>
    <s v="Card"/>
    <s v="TXN103833"/>
    <x v="0"/>
  </r>
  <r>
    <d v="2023-02-05T00:00:00"/>
    <x v="1"/>
    <x v="2"/>
    <x v="0"/>
    <x v="599"/>
    <x v="606"/>
    <s v="Card"/>
    <s v="TXN107825"/>
    <x v="0"/>
  </r>
  <r>
    <d v="2023-02-05T00:00:00"/>
    <x v="1"/>
    <x v="0"/>
    <x v="2"/>
    <x v="600"/>
    <x v="607"/>
    <s v="Bank Transfer"/>
    <s v="TXN107840"/>
    <x v="0"/>
  </r>
  <r>
    <d v="2023-02-05T00:00:00"/>
    <x v="1"/>
    <x v="1"/>
    <x v="0"/>
    <x v="601"/>
    <x v="608"/>
    <s v="Cash"/>
    <s v="TXN108731"/>
    <x v="0"/>
  </r>
  <r>
    <d v="2023-02-05T00:00:00"/>
    <x v="1"/>
    <x v="0"/>
    <x v="1"/>
    <x v="602"/>
    <x v="609"/>
    <s v="UPI"/>
    <s v="TXN109478"/>
    <x v="0"/>
  </r>
  <r>
    <d v="2023-02-05T00:00:00"/>
    <x v="1"/>
    <x v="5"/>
    <x v="3"/>
    <x v="247"/>
    <x v="610"/>
    <s v="Bank Transfer"/>
    <s v="REV100736"/>
    <x v="1"/>
  </r>
  <r>
    <d v="2023-02-05T00:00:00"/>
    <x v="1"/>
    <x v="5"/>
    <x v="1"/>
    <x v="603"/>
    <x v="611"/>
    <s v="Card"/>
    <s v="REV101322"/>
    <x v="1"/>
  </r>
  <r>
    <d v="2023-02-05T00:00:00"/>
    <x v="1"/>
    <x v="5"/>
    <x v="0"/>
    <x v="604"/>
    <x v="612"/>
    <s v="Bank Transfer"/>
    <s v="REV102657"/>
    <x v="1"/>
  </r>
  <r>
    <d v="2023-02-05T00:00:00"/>
    <x v="1"/>
    <x v="5"/>
    <x v="2"/>
    <x v="605"/>
    <x v="613"/>
    <s v="Bank Transfer"/>
    <s v="REV102661"/>
    <x v="1"/>
  </r>
  <r>
    <d v="2023-02-05T00:00:00"/>
    <x v="1"/>
    <x v="5"/>
    <x v="0"/>
    <x v="606"/>
    <x v="363"/>
    <s v="Bank Transfer"/>
    <s v="REV102962"/>
    <x v="1"/>
  </r>
  <r>
    <d v="2023-02-05T00:00:00"/>
    <x v="1"/>
    <x v="6"/>
    <x v="1"/>
    <x v="182"/>
    <x v="614"/>
    <s v="Bank Transfer"/>
    <s v="REV103201"/>
    <x v="1"/>
  </r>
  <r>
    <d v="2023-02-06T00:00:00"/>
    <x v="1"/>
    <x v="2"/>
    <x v="0"/>
    <x v="607"/>
    <x v="615"/>
    <s v="UPI"/>
    <s v="TXN100104"/>
    <x v="0"/>
  </r>
  <r>
    <d v="2023-02-06T00:00:00"/>
    <x v="1"/>
    <x v="4"/>
    <x v="3"/>
    <x v="608"/>
    <x v="616"/>
    <s v="Card"/>
    <s v="TXN100156"/>
    <x v="0"/>
  </r>
  <r>
    <d v="2023-02-06T00:00:00"/>
    <x v="1"/>
    <x v="1"/>
    <x v="4"/>
    <x v="609"/>
    <x v="617"/>
    <s v="UPI"/>
    <s v="TXN100580"/>
    <x v="0"/>
  </r>
  <r>
    <d v="2023-02-06T00:00:00"/>
    <x v="1"/>
    <x v="7"/>
    <x v="2"/>
    <x v="610"/>
    <x v="618"/>
    <s v="Bank Transfer"/>
    <s v="TXN101947"/>
    <x v="0"/>
  </r>
  <r>
    <d v="2023-02-06T00:00:00"/>
    <x v="1"/>
    <x v="1"/>
    <x v="1"/>
    <x v="611"/>
    <x v="619"/>
    <s v="Bank Transfer"/>
    <s v="TXN103087"/>
    <x v="0"/>
  </r>
  <r>
    <d v="2023-02-06T00:00:00"/>
    <x v="1"/>
    <x v="3"/>
    <x v="2"/>
    <x v="612"/>
    <x v="620"/>
    <s v="UPI"/>
    <s v="TXN106475"/>
    <x v="0"/>
  </r>
  <r>
    <d v="2023-02-06T00:00:00"/>
    <x v="1"/>
    <x v="5"/>
    <x v="0"/>
    <x v="613"/>
    <x v="621"/>
    <s v="UPI"/>
    <s v="REV100038"/>
    <x v="1"/>
  </r>
  <r>
    <d v="2023-02-06T00:00:00"/>
    <x v="1"/>
    <x v="5"/>
    <x v="3"/>
    <x v="614"/>
    <x v="622"/>
    <s v="Bank Transfer"/>
    <s v="REV100056"/>
    <x v="1"/>
  </r>
  <r>
    <d v="2023-02-06T00:00:00"/>
    <x v="1"/>
    <x v="6"/>
    <x v="4"/>
    <x v="615"/>
    <x v="623"/>
    <s v="Card"/>
    <s v="REV100223"/>
    <x v="1"/>
  </r>
  <r>
    <d v="2023-02-06T00:00:00"/>
    <x v="1"/>
    <x v="5"/>
    <x v="2"/>
    <x v="616"/>
    <x v="396"/>
    <s v="UPI"/>
    <s v="REV100697"/>
    <x v="1"/>
  </r>
  <r>
    <d v="2023-02-06T00:00:00"/>
    <x v="1"/>
    <x v="6"/>
    <x v="1"/>
    <x v="480"/>
    <x v="624"/>
    <s v="Bank Transfer"/>
    <s v="REV101065"/>
    <x v="1"/>
  </r>
  <r>
    <d v="2023-02-06T00:00:00"/>
    <x v="1"/>
    <x v="5"/>
    <x v="2"/>
    <x v="617"/>
    <x v="625"/>
    <s v="UPI"/>
    <s v="REV102196"/>
    <x v="1"/>
  </r>
  <r>
    <d v="2023-02-07T00:00:00"/>
    <x v="1"/>
    <x v="4"/>
    <x v="2"/>
    <x v="618"/>
    <x v="626"/>
    <s v="Bank Transfer"/>
    <s v="TXN101839"/>
    <x v="0"/>
  </r>
  <r>
    <d v="2023-02-07T00:00:00"/>
    <x v="1"/>
    <x v="2"/>
    <x v="2"/>
    <x v="619"/>
    <x v="627"/>
    <s v="Card"/>
    <s v="TXN104400"/>
    <x v="0"/>
  </r>
  <r>
    <d v="2023-02-07T00:00:00"/>
    <x v="1"/>
    <x v="1"/>
    <x v="3"/>
    <x v="620"/>
    <x v="628"/>
    <s v="Card"/>
    <s v="TXN104811"/>
    <x v="0"/>
  </r>
  <r>
    <d v="2023-02-07T00:00:00"/>
    <x v="1"/>
    <x v="3"/>
    <x v="4"/>
    <x v="621"/>
    <x v="629"/>
    <s v="UPI"/>
    <s v="TXN105500"/>
    <x v="0"/>
  </r>
  <r>
    <d v="2023-02-07T00:00:00"/>
    <x v="1"/>
    <x v="3"/>
    <x v="0"/>
    <x v="622"/>
    <x v="630"/>
    <s v="Bank Transfer"/>
    <s v="TXN106174"/>
    <x v="0"/>
  </r>
  <r>
    <d v="2023-02-07T00:00:00"/>
    <x v="1"/>
    <x v="2"/>
    <x v="3"/>
    <x v="623"/>
    <x v="631"/>
    <s v="Bank Transfer"/>
    <s v="TXN106481"/>
    <x v="0"/>
  </r>
  <r>
    <d v="2023-02-07T00:00:00"/>
    <x v="1"/>
    <x v="0"/>
    <x v="2"/>
    <x v="624"/>
    <x v="632"/>
    <s v="Cash"/>
    <s v="TXN107343"/>
    <x v="0"/>
  </r>
  <r>
    <d v="2023-02-07T00:00:00"/>
    <x v="1"/>
    <x v="2"/>
    <x v="0"/>
    <x v="625"/>
    <x v="633"/>
    <s v="Cash"/>
    <s v="TXN108101"/>
    <x v="0"/>
  </r>
  <r>
    <d v="2023-02-07T00:00:00"/>
    <x v="1"/>
    <x v="7"/>
    <x v="1"/>
    <x v="626"/>
    <x v="634"/>
    <s v="Bank Transfer"/>
    <s v="TXN108933"/>
    <x v="0"/>
  </r>
  <r>
    <d v="2023-02-07T00:00:00"/>
    <x v="1"/>
    <x v="5"/>
    <x v="2"/>
    <x v="627"/>
    <x v="635"/>
    <s v="UPI"/>
    <s v="REV100671"/>
    <x v="1"/>
  </r>
  <r>
    <d v="2023-02-07T00:00:00"/>
    <x v="1"/>
    <x v="6"/>
    <x v="2"/>
    <x v="628"/>
    <x v="636"/>
    <s v="Bank Transfer"/>
    <s v="REV101517"/>
    <x v="1"/>
  </r>
  <r>
    <d v="2023-02-07T00:00:00"/>
    <x v="1"/>
    <x v="5"/>
    <x v="3"/>
    <x v="629"/>
    <x v="637"/>
    <s v="Bank Transfer"/>
    <s v="REV101641"/>
    <x v="1"/>
  </r>
  <r>
    <d v="2023-02-07T00:00:00"/>
    <x v="1"/>
    <x v="5"/>
    <x v="4"/>
    <x v="630"/>
    <x v="638"/>
    <s v="Card"/>
    <s v="REV101871"/>
    <x v="1"/>
  </r>
  <r>
    <d v="2023-02-07T00:00:00"/>
    <x v="1"/>
    <x v="5"/>
    <x v="0"/>
    <x v="631"/>
    <x v="639"/>
    <s v="Bank Transfer"/>
    <s v="REV102080"/>
    <x v="1"/>
  </r>
  <r>
    <d v="2023-02-07T00:00:00"/>
    <x v="1"/>
    <x v="5"/>
    <x v="3"/>
    <x v="632"/>
    <x v="640"/>
    <s v="Bank Transfer"/>
    <s v="REV102198"/>
    <x v="1"/>
  </r>
  <r>
    <d v="2023-02-07T00:00:00"/>
    <x v="1"/>
    <x v="5"/>
    <x v="2"/>
    <x v="633"/>
    <x v="641"/>
    <s v="Bank Transfer"/>
    <s v="REV102491"/>
    <x v="1"/>
  </r>
  <r>
    <d v="2023-02-07T00:00:00"/>
    <x v="1"/>
    <x v="5"/>
    <x v="0"/>
    <x v="634"/>
    <x v="40"/>
    <s v="Bank Transfer"/>
    <s v="REV102753"/>
    <x v="1"/>
  </r>
  <r>
    <d v="2023-02-07T00:00:00"/>
    <x v="1"/>
    <x v="5"/>
    <x v="1"/>
    <x v="635"/>
    <x v="642"/>
    <s v="Bank Transfer"/>
    <s v="REV103026"/>
    <x v="1"/>
  </r>
  <r>
    <d v="2023-02-08T00:00:00"/>
    <x v="1"/>
    <x v="0"/>
    <x v="2"/>
    <x v="636"/>
    <x v="643"/>
    <s v="Card"/>
    <s v="TXN100361"/>
    <x v="0"/>
  </r>
  <r>
    <d v="2023-02-08T00:00:00"/>
    <x v="1"/>
    <x v="1"/>
    <x v="2"/>
    <x v="637"/>
    <x v="644"/>
    <s v="Bank Transfer"/>
    <s v="TXN100914"/>
    <x v="0"/>
  </r>
  <r>
    <d v="2023-02-08T00:00:00"/>
    <x v="1"/>
    <x v="4"/>
    <x v="2"/>
    <x v="638"/>
    <x v="645"/>
    <s v="Card"/>
    <s v="TXN103579"/>
    <x v="0"/>
  </r>
  <r>
    <d v="2023-02-08T00:00:00"/>
    <x v="1"/>
    <x v="4"/>
    <x v="0"/>
    <x v="639"/>
    <x v="646"/>
    <s v="Card"/>
    <s v="TXN106466"/>
    <x v="0"/>
  </r>
  <r>
    <d v="2023-02-08T00:00:00"/>
    <x v="1"/>
    <x v="0"/>
    <x v="3"/>
    <x v="640"/>
    <x v="647"/>
    <s v="Card"/>
    <s v="TXN107069"/>
    <x v="0"/>
  </r>
  <r>
    <d v="2023-02-08T00:00:00"/>
    <x v="1"/>
    <x v="3"/>
    <x v="2"/>
    <x v="641"/>
    <x v="648"/>
    <s v="Bank Transfer"/>
    <s v="TXN107194"/>
    <x v="0"/>
  </r>
  <r>
    <d v="2023-02-08T00:00:00"/>
    <x v="1"/>
    <x v="2"/>
    <x v="4"/>
    <x v="642"/>
    <x v="649"/>
    <s v="Cash"/>
    <s v="TXN108132"/>
    <x v="0"/>
  </r>
  <r>
    <d v="2023-02-08T00:00:00"/>
    <x v="1"/>
    <x v="7"/>
    <x v="1"/>
    <x v="643"/>
    <x v="650"/>
    <s v="UPI"/>
    <s v="TXN108253"/>
    <x v="0"/>
  </r>
  <r>
    <d v="2023-02-08T00:00:00"/>
    <x v="1"/>
    <x v="4"/>
    <x v="4"/>
    <x v="644"/>
    <x v="651"/>
    <s v="Bank Transfer"/>
    <s v="TXN109769"/>
    <x v="0"/>
  </r>
  <r>
    <d v="2023-02-08T00:00:00"/>
    <x v="1"/>
    <x v="5"/>
    <x v="2"/>
    <x v="645"/>
    <x v="652"/>
    <s v="Card"/>
    <s v="REV100135"/>
    <x v="1"/>
  </r>
  <r>
    <d v="2023-02-08T00:00:00"/>
    <x v="1"/>
    <x v="6"/>
    <x v="2"/>
    <x v="646"/>
    <x v="653"/>
    <s v="Card"/>
    <s v="REV100335"/>
    <x v="1"/>
  </r>
  <r>
    <d v="2023-02-08T00:00:00"/>
    <x v="1"/>
    <x v="6"/>
    <x v="2"/>
    <x v="647"/>
    <x v="654"/>
    <s v="Bank Transfer"/>
    <s v="REV101223"/>
    <x v="1"/>
  </r>
  <r>
    <d v="2023-02-08T00:00:00"/>
    <x v="1"/>
    <x v="5"/>
    <x v="0"/>
    <x v="648"/>
    <x v="655"/>
    <s v="Bank Transfer"/>
    <s v="REV102191"/>
    <x v="1"/>
  </r>
  <r>
    <d v="2023-02-08T00:00:00"/>
    <x v="1"/>
    <x v="6"/>
    <x v="3"/>
    <x v="649"/>
    <x v="656"/>
    <s v="UPI"/>
    <s v="REV102401"/>
    <x v="1"/>
  </r>
  <r>
    <d v="2023-02-08T00:00:00"/>
    <x v="1"/>
    <x v="5"/>
    <x v="2"/>
    <x v="650"/>
    <x v="657"/>
    <s v="Bank Transfer"/>
    <s v="REV102442"/>
    <x v="1"/>
  </r>
  <r>
    <d v="2023-02-08T00:00:00"/>
    <x v="1"/>
    <x v="6"/>
    <x v="4"/>
    <x v="651"/>
    <x v="658"/>
    <s v="Bank Transfer"/>
    <s v="REV102761"/>
    <x v="1"/>
  </r>
  <r>
    <d v="2023-02-08T00:00:00"/>
    <x v="1"/>
    <x v="5"/>
    <x v="1"/>
    <x v="652"/>
    <x v="659"/>
    <s v="Bank Transfer"/>
    <s v="REV102801"/>
    <x v="1"/>
  </r>
  <r>
    <d v="2023-02-08T00:00:00"/>
    <x v="1"/>
    <x v="5"/>
    <x v="4"/>
    <x v="511"/>
    <x v="660"/>
    <s v="Card"/>
    <s v="REV103306"/>
    <x v="1"/>
  </r>
  <r>
    <d v="2023-02-09T00:00:00"/>
    <x v="1"/>
    <x v="7"/>
    <x v="4"/>
    <x v="653"/>
    <x v="661"/>
    <s v="UPI"/>
    <s v="TXN100008"/>
    <x v="0"/>
  </r>
  <r>
    <d v="2023-02-09T00:00:00"/>
    <x v="1"/>
    <x v="4"/>
    <x v="3"/>
    <x v="654"/>
    <x v="662"/>
    <s v="Cash"/>
    <s v="TXN101676"/>
    <x v="0"/>
  </r>
  <r>
    <d v="2023-02-09T00:00:00"/>
    <x v="1"/>
    <x v="0"/>
    <x v="2"/>
    <x v="655"/>
    <x v="663"/>
    <s v="Bank Transfer"/>
    <s v="TXN101710"/>
    <x v="0"/>
  </r>
  <r>
    <d v="2023-02-09T00:00:00"/>
    <x v="1"/>
    <x v="4"/>
    <x v="3"/>
    <x v="656"/>
    <x v="664"/>
    <s v="Card"/>
    <s v="TXN101752"/>
    <x v="0"/>
  </r>
  <r>
    <d v="2023-02-09T00:00:00"/>
    <x v="1"/>
    <x v="0"/>
    <x v="2"/>
    <x v="657"/>
    <x v="665"/>
    <s v="Cash"/>
    <s v="TXN101951"/>
    <x v="0"/>
  </r>
  <r>
    <d v="2023-02-09T00:00:00"/>
    <x v="1"/>
    <x v="3"/>
    <x v="4"/>
    <x v="658"/>
    <x v="666"/>
    <s v="UPI"/>
    <s v="TXN101992"/>
    <x v="0"/>
  </r>
  <r>
    <d v="2023-02-09T00:00:00"/>
    <x v="1"/>
    <x v="0"/>
    <x v="2"/>
    <x v="659"/>
    <x v="667"/>
    <s v="Card"/>
    <s v="TXN103312"/>
    <x v="0"/>
  </r>
  <r>
    <d v="2023-02-09T00:00:00"/>
    <x v="1"/>
    <x v="7"/>
    <x v="0"/>
    <x v="660"/>
    <x v="668"/>
    <s v="UPI"/>
    <s v="TXN104579"/>
    <x v="0"/>
  </r>
  <r>
    <d v="2023-02-09T00:00:00"/>
    <x v="1"/>
    <x v="3"/>
    <x v="2"/>
    <x v="661"/>
    <x v="669"/>
    <s v="UPI"/>
    <s v="TXN105796"/>
    <x v="0"/>
  </r>
  <r>
    <d v="2023-02-09T00:00:00"/>
    <x v="1"/>
    <x v="7"/>
    <x v="1"/>
    <x v="662"/>
    <x v="670"/>
    <s v="UPI"/>
    <s v="TXN106308"/>
    <x v="0"/>
  </r>
  <r>
    <d v="2023-02-09T00:00:00"/>
    <x v="1"/>
    <x v="4"/>
    <x v="0"/>
    <x v="663"/>
    <x v="671"/>
    <s v="Card"/>
    <s v="TXN106557"/>
    <x v="0"/>
  </r>
  <r>
    <d v="2023-02-09T00:00:00"/>
    <x v="1"/>
    <x v="2"/>
    <x v="3"/>
    <x v="664"/>
    <x v="672"/>
    <s v="Bank Transfer"/>
    <s v="TXN106646"/>
    <x v="0"/>
  </r>
  <r>
    <d v="2023-02-09T00:00:00"/>
    <x v="1"/>
    <x v="0"/>
    <x v="1"/>
    <x v="665"/>
    <x v="673"/>
    <s v="Cash"/>
    <s v="TXN107613"/>
    <x v="0"/>
  </r>
  <r>
    <d v="2023-02-09T00:00:00"/>
    <x v="1"/>
    <x v="4"/>
    <x v="4"/>
    <x v="666"/>
    <x v="674"/>
    <s v="Cash"/>
    <s v="TXN107823"/>
    <x v="0"/>
  </r>
  <r>
    <d v="2023-02-09T00:00:00"/>
    <x v="1"/>
    <x v="0"/>
    <x v="4"/>
    <x v="667"/>
    <x v="675"/>
    <s v="Cash"/>
    <s v="TXN109722"/>
    <x v="0"/>
  </r>
  <r>
    <d v="2023-02-09T00:00:00"/>
    <x v="1"/>
    <x v="6"/>
    <x v="4"/>
    <x v="668"/>
    <x v="676"/>
    <s v="Bank Transfer"/>
    <s v="REV100003"/>
    <x v="1"/>
  </r>
  <r>
    <d v="2023-02-09T00:00:00"/>
    <x v="1"/>
    <x v="5"/>
    <x v="3"/>
    <x v="669"/>
    <x v="677"/>
    <s v="Bank Transfer"/>
    <s v="REV100617"/>
    <x v="1"/>
  </r>
  <r>
    <d v="2023-02-09T00:00:00"/>
    <x v="1"/>
    <x v="5"/>
    <x v="2"/>
    <x v="670"/>
    <x v="678"/>
    <s v="Bank Transfer"/>
    <s v="REV100627"/>
    <x v="1"/>
  </r>
  <r>
    <d v="2023-02-09T00:00:00"/>
    <x v="1"/>
    <x v="6"/>
    <x v="3"/>
    <x v="671"/>
    <x v="679"/>
    <s v="Bank Transfer"/>
    <s v="REV100638"/>
    <x v="1"/>
  </r>
  <r>
    <d v="2023-02-09T00:00:00"/>
    <x v="1"/>
    <x v="6"/>
    <x v="2"/>
    <x v="672"/>
    <x v="680"/>
    <s v="UPI"/>
    <s v="REV100698"/>
    <x v="1"/>
  </r>
  <r>
    <d v="2023-02-09T00:00:00"/>
    <x v="1"/>
    <x v="6"/>
    <x v="4"/>
    <x v="673"/>
    <x v="681"/>
    <s v="Bank Transfer"/>
    <s v="REV100711"/>
    <x v="1"/>
  </r>
  <r>
    <d v="2023-02-09T00:00:00"/>
    <x v="1"/>
    <x v="5"/>
    <x v="2"/>
    <x v="674"/>
    <x v="682"/>
    <s v="Card"/>
    <s v="REV101136"/>
    <x v="1"/>
  </r>
  <r>
    <d v="2023-02-09T00:00:00"/>
    <x v="1"/>
    <x v="5"/>
    <x v="0"/>
    <x v="380"/>
    <x v="107"/>
    <s v="UPI"/>
    <s v="REV101568"/>
    <x v="1"/>
  </r>
  <r>
    <d v="2023-02-09T00:00:00"/>
    <x v="1"/>
    <x v="6"/>
    <x v="2"/>
    <x v="675"/>
    <x v="683"/>
    <s v="Bank Transfer"/>
    <s v="REV101964"/>
    <x v="1"/>
  </r>
  <r>
    <d v="2023-02-09T00:00:00"/>
    <x v="1"/>
    <x v="5"/>
    <x v="1"/>
    <x v="676"/>
    <x v="684"/>
    <s v="Card"/>
    <s v="REV102126"/>
    <x v="1"/>
  </r>
  <r>
    <d v="2023-02-09T00:00:00"/>
    <x v="1"/>
    <x v="5"/>
    <x v="0"/>
    <x v="677"/>
    <x v="685"/>
    <s v="Bank Transfer"/>
    <s v="REV102225"/>
    <x v="1"/>
  </r>
  <r>
    <d v="2023-02-09T00:00:00"/>
    <x v="1"/>
    <x v="6"/>
    <x v="3"/>
    <x v="678"/>
    <x v="686"/>
    <s v="Bank Transfer"/>
    <s v="REV102261"/>
    <x v="1"/>
  </r>
  <r>
    <d v="2023-02-09T00:00:00"/>
    <x v="1"/>
    <x v="5"/>
    <x v="1"/>
    <x v="87"/>
    <x v="687"/>
    <s v="Card"/>
    <s v="REV102586"/>
    <x v="1"/>
  </r>
  <r>
    <d v="2023-02-09T00:00:00"/>
    <x v="1"/>
    <x v="5"/>
    <x v="4"/>
    <x v="679"/>
    <x v="688"/>
    <s v="Bank Transfer"/>
    <s v="REV102656"/>
    <x v="1"/>
  </r>
  <r>
    <d v="2023-02-09T00:00:00"/>
    <x v="1"/>
    <x v="5"/>
    <x v="4"/>
    <x v="680"/>
    <x v="689"/>
    <s v="Bank Transfer"/>
    <s v="REV103288"/>
    <x v="1"/>
  </r>
  <r>
    <d v="2023-02-10T00:00:00"/>
    <x v="1"/>
    <x v="2"/>
    <x v="3"/>
    <x v="681"/>
    <x v="690"/>
    <s v="Bank Transfer"/>
    <s v="TXN100550"/>
    <x v="0"/>
  </r>
  <r>
    <d v="2023-02-10T00:00:00"/>
    <x v="1"/>
    <x v="2"/>
    <x v="4"/>
    <x v="682"/>
    <x v="691"/>
    <s v="UPI"/>
    <s v="TXN100571"/>
    <x v="0"/>
  </r>
  <r>
    <d v="2023-02-10T00:00:00"/>
    <x v="1"/>
    <x v="0"/>
    <x v="4"/>
    <x v="683"/>
    <x v="692"/>
    <s v="Cash"/>
    <s v="TXN102510"/>
    <x v="0"/>
  </r>
  <r>
    <d v="2023-02-10T00:00:00"/>
    <x v="1"/>
    <x v="3"/>
    <x v="3"/>
    <x v="684"/>
    <x v="693"/>
    <s v="Card"/>
    <s v="TXN104107"/>
    <x v="0"/>
  </r>
  <r>
    <d v="2023-02-10T00:00:00"/>
    <x v="1"/>
    <x v="7"/>
    <x v="1"/>
    <x v="685"/>
    <x v="694"/>
    <s v="Cash"/>
    <s v="TXN104754"/>
    <x v="0"/>
  </r>
  <r>
    <d v="2023-02-10T00:00:00"/>
    <x v="1"/>
    <x v="2"/>
    <x v="2"/>
    <x v="686"/>
    <x v="695"/>
    <s v="Bank Transfer"/>
    <s v="TXN108573"/>
    <x v="0"/>
  </r>
  <r>
    <d v="2023-02-10T00:00:00"/>
    <x v="1"/>
    <x v="2"/>
    <x v="2"/>
    <x v="687"/>
    <x v="696"/>
    <s v="UPI"/>
    <s v="TXN109162"/>
    <x v="0"/>
  </r>
  <r>
    <d v="2023-02-10T00:00:00"/>
    <x v="1"/>
    <x v="6"/>
    <x v="3"/>
    <x v="456"/>
    <x v="697"/>
    <s v="Bank Transfer"/>
    <s v="REV100215"/>
    <x v="1"/>
  </r>
  <r>
    <d v="2023-02-10T00:00:00"/>
    <x v="1"/>
    <x v="5"/>
    <x v="4"/>
    <x v="688"/>
    <x v="698"/>
    <s v="Bank Transfer"/>
    <s v="REV100219"/>
    <x v="1"/>
  </r>
  <r>
    <d v="2023-02-10T00:00:00"/>
    <x v="1"/>
    <x v="6"/>
    <x v="4"/>
    <x v="689"/>
    <x v="699"/>
    <s v="Card"/>
    <s v="REV100881"/>
    <x v="1"/>
  </r>
  <r>
    <d v="2023-02-10T00:00:00"/>
    <x v="1"/>
    <x v="6"/>
    <x v="3"/>
    <x v="690"/>
    <x v="138"/>
    <s v="Bank Transfer"/>
    <s v="REV101420"/>
    <x v="1"/>
  </r>
  <r>
    <d v="2023-02-10T00:00:00"/>
    <x v="1"/>
    <x v="6"/>
    <x v="1"/>
    <x v="691"/>
    <x v="700"/>
    <s v="Bank Transfer"/>
    <s v="REV101622"/>
    <x v="1"/>
  </r>
  <r>
    <d v="2023-02-10T00:00:00"/>
    <x v="1"/>
    <x v="5"/>
    <x v="2"/>
    <x v="692"/>
    <x v="701"/>
    <s v="Card"/>
    <s v="REV102909"/>
    <x v="1"/>
  </r>
  <r>
    <d v="2023-02-10T00:00:00"/>
    <x v="1"/>
    <x v="5"/>
    <x v="2"/>
    <x v="693"/>
    <x v="702"/>
    <s v="Bank Transfer"/>
    <s v="REV103094"/>
    <x v="1"/>
  </r>
  <r>
    <d v="2023-02-11T00:00:00"/>
    <x v="1"/>
    <x v="4"/>
    <x v="2"/>
    <x v="694"/>
    <x v="703"/>
    <s v="UPI"/>
    <s v="TXN101156"/>
    <x v="0"/>
  </r>
  <r>
    <d v="2023-02-11T00:00:00"/>
    <x v="1"/>
    <x v="4"/>
    <x v="1"/>
    <x v="695"/>
    <x v="704"/>
    <s v="Bank Transfer"/>
    <s v="TXN102430"/>
    <x v="0"/>
  </r>
  <r>
    <d v="2023-02-11T00:00:00"/>
    <x v="1"/>
    <x v="7"/>
    <x v="3"/>
    <x v="696"/>
    <x v="705"/>
    <s v="Card"/>
    <s v="TXN102649"/>
    <x v="0"/>
  </r>
  <r>
    <d v="2023-02-11T00:00:00"/>
    <x v="1"/>
    <x v="0"/>
    <x v="4"/>
    <x v="697"/>
    <x v="706"/>
    <s v="Bank Transfer"/>
    <s v="TXN103322"/>
    <x v="0"/>
  </r>
  <r>
    <d v="2023-02-11T00:00:00"/>
    <x v="1"/>
    <x v="0"/>
    <x v="0"/>
    <x v="698"/>
    <x v="707"/>
    <s v="Bank Transfer"/>
    <s v="TXN104805"/>
    <x v="0"/>
  </r>
  <r>
    <d v="2023-02-11T00:00:00"/>
    <x v="1"/>
    <x v="1"/>
    <x v="3"/>
    <x v="699"/>
    <x v="708"/>
    <s v="Cash"/>
    <s v="TXN105525"/>
    <x v="0"/>
  </r>
  <r>
    <d v="2023-02-11T00:00:00"/>
    <x v="1"/>
    <x v="2"/>
    <x v="4"/>
    <x v="700"/>
    <x v="709"/>
    <s v="Card"/>
    <s v="TXN105888"/>
    <x v="0"/>
  </r>
  <r>
    <d v="2023-02-11T00:00:00"/>
    <x v="1"/>
    <x v="7"/>
    <x v="4"/>
    <x v="701"/>
    <x v="710"/>
    <s v="Cash"/>
    <s v="TXN107948"/>
    <x v="0"/>
  </r>
  <r>
    <d v="2023-02-11T00:00:00"/>
    <x v="1"/>
    <x v="1"/>
    <x v="3"/>
    <x v="702"/>
    <x v="711"/>
    <s v="UPI"/>
    <s v="TXN108491"/>
    <x v="0"/>
  </r>
  <r>
    <d v="2023-02-11T00:00:00"/>
    <x v="1"/>
    <x v="3"/>
    <x v="0"/>
    <x v="703"/>
    <x v="712"/>
    <s v="Bank Transfer"/>
    <s v="TXN109772"/>
    <x v="0"/>
  </r>
  <r>
    <d v="2023-02-11T00:00:00"/>
    <x v="1"/>
    <x v="6"/>
    <x v="2"/>
    <x v="704"/>
    <x v="700"/>
    <s v="UPI"/>
    <s v="REV100424"/>
    <x v="1"/>
  </r>
  <r>
    <d v="2023-02-11T00:00:00"/>
    <x v="1"/>
    <x v="5"/>
    <x v="1"/>
    <x v="705"/>
    <x v="713"/>
    <s v="UPI"/>
    <s v="REV100855"/>
    <x v="1"/>
  </r>
  <r>
    <d v="2023-02-11T00:00:00"/>
    <x v="1"/>
    <x v="6"/>
    <x v="3"/>
    <x v="691"/>
    <x v="714"/>
    <s v="Bank Transfer"/>
    <s v="REV100927"/>
    <x v="1"/>
  </r>
  <r>
    <d v="2023-02-11T00:00:00"/>
    <x v="1"/>
    <x v="5"/>
    <x v="4"/>
    <x v="706"/>
    <x v="715"/>
    <s v="Bank Transfer"/>
    <s v="REV101138"/>
    <x v="1"/>
  </r>
  <r>
    <d v="2023-02-11T00:00:00"/>
    <x v="1"/>
    <x v="5"/>
    <x v="0"/>
    <x v="707"/>
    <x v="716"/>
    <s v="UPI"/>
    <s v="REV101638"/>
    <x v="1"/>
  </r>
  <r>
    <d v="2023-02-11T00:00:00"/>
    <x v="1"/>
    <x v="5"/>
    <x v="3"/>
    <x v="708"/>
    <x v="717"/>
    <s v="Bank Transfer"/>
    <s v="REV101880"/>
    <x v="1"/>
  </r>
  <r>
    <d v="2023-02-11T00:00:00"/>
    <x v="1"/>
    <x v="6"/>
    <x v="4"/>
    <x v="709"/>
    <x v="62"/>
    <s v="Card"/>
    <s v="REV101988"/>
    <x v="1"/>
  </r>
  <r>
    <d v="2023-02-11T00:00:00"/>
    <x v="1"/>
    <x v="6"/>
    <x v="4"/>
    <x v="710"/>
    <x v="684"/>
    <s v="Bank Transfer"/>
    <s v="REV102699"/>
    <x v="1"/>
  </r>
  <r>
    <d v="2023-02-11T00:00:00"/>
    <x v="1"/>
    <x v="5"/>
    <x v="3"/>
    <x v="505"/>
    <x v="718"/>
    <s v="UPI"/>
    <s v="REV102874"/>
    <x v="1"/>
  </r>
  <r>
    <d v="2023-02-11T00:00:00"/>
    <x v="1"/>
    <x v="5"/>
    <x v="0"/>
    <x v="482"/>
    <x v="719"/>
    <s v="Card"/>
    <s v="REV103307"/>
    <x v="1"/>
  </r>
  <r>
    <d v="2023-02-12T00:00:00"/>
    <x v="1"/>
    <x v="7"/>
    <x v="3"/>
    <x v="711"/>
    <x v="720"/>
    <s v="Bank Transfer"/>
    <s v="TXN101928"/>
    <x v="0"/>
  </r>
  <r>
    <d v="2023-02-12T00:00:00"/>
    <x v="1"/>
    <x v="2"/>
    <x v="0"/>
    <x v="712"/>
    <x v="721"/>
    <s v="Cash"/>
    <s v="TXN106207"/>
    <x v="0"/>
  </r>
  <r>
    <d v="2023-02-12T00:00:00"/>
    <x v="1"/>
    <x v="7"/>
    <x v="1"/>
    <x v="713"/>
    <x v="722"/>
    <s v="Cash"/>
    <s v="TXN106369"/>
    <x v="0"/>
  </r>
  <r>
    <d v="2023-02-12T00:00:00"/>
    <x v="1"/>
    <x v="5"/>
    <x v="3"/>
    <x v="714"/>
    <x v="488"/>
    <s v="Bank Transfer"/>
    <s v="REV100690"/>
    <x v="1"/>
  </r>
  <r>
    <d v="2023-02-12T00:00:00"/>
    <x v="1"/>
    <x v="6"/>
    <x v="0"/>
    <x v="715"/>
    <x v="657"/>
    <s v="Bank Transfer"/>
    <s v="REV102091"/>
    <x v="1"/>
  </r>
  <r>
    <d v="2023-02-12T00:00:00"/>
    <x v="1"/>
    <x v="6"/>
    <x v="1"/>
    <x v="716"/>
    <x v="723"/>
    <s v="Bank Transfer"/>
    <s v="REV102153"/>
    <x v="1"/>
  </r>
  <r>
    <d v="2023-02-13T00:00:00"/>
    <x v="1"/>
    <x v="1"/>
    <x v="1"/>
    <x v="717"/>
    <x v="724"/>
    <s v="Bank Transfer"/>
    <s v="TXN100307"/>
    <x v="0"/>
  </r>
  <r>
    <d v="2023-02-13T00:00:00"/>
    <x v="1"/>
    <x v="7"/>
    <x v="4"/>
    <x v="718"/>
    <x v="725"/>
    <s v="UPI"/>
    <s v="TXN101379"/>
    <x v="0"/>
  </r>
  <r>
    <d v="2023-02-13T00:00:00"/>
    <x v="1"/>
    <x v="2"/>
    <x v="0"/>
    <x v="719"/>
    <x v="726"/>
    <s v="Bank Transfer"/>
    <s v="TXN102228"/>
    <x v="0"/>
  </r>
  <r>
    <d v="2023-02-13T00:00:00"/>
    <x v="1"/>
    <x v="4"/>
    <x v="2"/>
    <x v="720"/>
    <x v="727"/>
    <s v="Card"/>
    <s v="TXN104052"/>
    <x v="0"/>
  </r>
  <r>
    <d v="2023-02-13T00:00:00"/>
    <x v="1"/>
    <x v="2"/>
    <x v="3"/>
    <x v="721"/>
    <x v="728"/>
    <s v="UPI"/>
    <s v="TXN105321"/>
    <x v="0"/>
  </r>
  <r>
    <d v="2023-02-13T00:00:00"/>
    <x v="1"/>
    <x v="4"/>
    <x v="2"/>
    <x v="722"/>
    <x v="729"/>
    <s v="Cash"/>
    <s v="TXN106254"/>
    <x v="0"/>
  </r>
  <r>
    <d v="2023-02-13T00:00:00"/>
    <x v="1"/>
    <x v="7"/>
    <x v="0"/>
    <x v="723"/>
    <x v="730"/>
    <s v="UPI"/>
    <s v="TXN107566"/>
    <x v="0"/>
  </r>
  <r>
    <d v="2023-02-13T00:00:00"/>
    <x v="1"/>
    <x v="6"/>
    <x v="1"/>
    <x v="724"/>
    <x v="731"/>
    <s v="Bank Transfer"/>
    <s v="REV100109"/>
    <x v="1"/>
  </r>
  <r>
    <d v="2023-02-13T00:00:00"/>
    <x v="1"/>
    <x v="6"/>
    <x v="4"/>
    <x v="725"/>
    <x v="732"/>
    <s v="Bank Transfer"/>
    <s v="REV100505"/>
    <x v="1"/>
  </r>
  <r>
    <d v="2023-02-13T00:00:00"/>
    <x v="1"/>
    <x v="5"/>
    <x v="0"/>
    <x v="726"/>
    <x v="733"/>
    <s v="Bank Transfer"/>
    <s v="REV100790"/>
    <x v="1"/>
  </r>
  <r>
    <d v="2023-02-13T00:00:00"/>
    <x v="1"/>
    <x v="5"/>
    <x v="2"/>
    <x v="727"/>
    <x v="734"/>
    <s v="Bank Transfer"/>
    <s v="REV101400"/>
    <x v="1"/>
  </r>
  <r>
    <d v="2023-02-13T00:00:00"/>
    <x v="1"/>
    <x v="5"/>
    <x v="3"/>
    <x v="728"/>
    <x v="735"/>
    <s v="Bank Transfer"/>
    <s v="REV101806"/>
    <x v="1"/>
  </r>
  <r>
    <d v="2023-02-13T00:00:00"/>
    <x v="1"/>
    <x v="6"/>
    <x v="2"/>
    <x v="729"/>
    <x v="736"/>
    <s v="Card"/>
    <s v="REV102104"/>
    <x v="1"/>
  </r>
  <r>
    <d v="2023-02-13T00:00:00"/>
    <x v="1"/>
    <x v="6"/>
    <x v="0"/>
    <x v="730"/>
    <x v="517"/>
    <s v="Bank Transfer"/>
    <s v="REV102569"/>
    <x v="1"/>
  </r>
  <r>
    <d v="2023-02-14T00:00:00"/>
    <x v="1"/>
    <x v="2"/>
    <x v="4"/>
    <x v="731"/>
    <x v="737"/>
    <s v="Card"/>
    <s v="TXN100954"/>
    <x v="0"/>
  </r>
  <r>
    <d v="2023-02-14T00:00:00"/>
    <x v="1"/>
    <x v="4"/>
    <x v="0"/>
    <x v="732"/>
    <x v="738"/>
    <s v="Cash"/>
    <s v="TXN102250"/>
    <x v="0"/>
  </r>
  <r>
    <d v="2023-02-14T00:00:00"/>
    <x v="1"/>
    <x v="3"/>
    <x v="2"/>
    <x v="733"/>
    <x v="739"/>
    <s v="Bank Transfer"/>
    <s v="TXN106620"/>
    <x v="0"/>
  </r>
  <r>
    <d v="2023-02-14T00:00:00"/>
    <x v="1"/>
    <x v="2"/>
    <x v="2"/>
    <x v="734"/>
    <x v="248"/>
    <s v="UPI"/>
    <s v="TXN107938"/>
    <x v="0"/>
  </r>
  <r>
    <d v="2023-02-14T00:00:00"/>
    <x v="1"/>
    <x v="7"/>
    <x v="3"/>
    <x v="735"/>
    <x v="740"/>
    <s v="Cash"/>
    <s v="TXN108700"/>
    <x v="0"/>
  </r>
  <r>
    <d v="2023-02-14T00:00:00"/>
    <x v="1"/>
    <x v="0"/>
    <x v="0"/>
    <x v="736"/>
    <x v="741"/>
    <s v="Bank Transfer"/>
    <s v="TXN108713"/>
    <x v="0"/>
  </r>
  <r>
    <d v="2023-02-14T00:00:00"/>
    <x v="1"/>
    <x v="5"/>
    <x v="4"/>
    <x v="176"/>
    <x v="742"/>
    <s v="Card"/>
    <s v="REV100355"/>
    <x v="1"/>
  </r>
  <r>
    <d v="2023-02-14T00:00:00"/>
    <x v="1"/>
    <x v="5"/>
    <x v="0"/>
    <x v="737"/>
    <x v="743"/>
    <s v="UPI"/>
    <s v="REV100794"/>
    <x v="1"/>
  </r>
  <r>
    <d v="2023-02-14T00:00:00"/>
    <x v="1"/>
    <x v="5"/>
    <x v="2"/>
    <x v="484"/>
    <x v="537"/>
    <s v="Card"/>
    <s v="REV102250"/>
    <x v="1"/>
  </r>
  <r>
    <d v="2023-02-14T00:00:00"/>
    <x v="1"/>
    <x v="6"/>
    <x v="2"/>
    <x v="738"/>
    <x v="744"/>
    <s v="UPI"/>
    <s v="REV102693"/>
    <x v="1"/>
  </r>
  <r>
    <d v="2023-02-14T00:00:00"/>
    <x v="1"/>
    <x v="5"/>
    <x v="3"/>
    <x v="739"/>
    <x v="175"/>
    <s v="UPI"/>
    <s v="REV102954"/>
    <x v="1"/>
  </r>
  <r>
    <d v="2023-02-14T00:00:00"/>
    <x v="1"/>
    <x v="5"/>
    <x v="0"/>
    <x v="740"/>
    <x v="745"/>
    <s v="Card"/>
    <s v="REV102957"/>
    <x v="1"/>
  </r>
  <r>
    <d v="2023-02-15T00:00:00"/>
    <x v="1"/>
    <x v="7"/>
    <x v="2"/>
    <x v="741"/>
    <x v="746"/>
    <s v="Card"/>
    <s v="TXN100045"/>
    <x v="0"/>
  </r>
  <r>
    <d v="2023-02-15T00:00:00"/>
    <x v="1"/>
    <x v="7"/>
    <x v="1"/>
    <x v="742"/>
    <x v="747"/>
    <s v="UPI"/>
    <s v="TXN100386"/>
    <x v="0"/>
  </r>
  <r>
    <d v="2023-02-15T00:00:00"/>
    <x v="1"/>
    <x v="7"/>
    <x v="2"/>
    <x v="743"/>
    <x v="748"/>
    <s v="Bank Transfer"/>
    <s v="TXN101703"/>
    <x v="0"/>
  </r>
  <r>
    <d v="2023-02-15T00:00:00"/>
    <x v="1"/>
    <x v="3"/>
    <x v="0"/>
    <x v="744"/>
    <x v="749"/>
    <s v="Card"/>
    <s v="TXN101898"/>
    <x v="0"/>
  </r>
  <r>
    <d v="2023-02-15T00:00:00"/>
    <x v="1"/>
    <x v="4"/>
    <x v="1"/>
    <x v="745"/>
    <x v="750"/>
    <s v="Cash"/>
    <s v="TXN102746"/>
    <x v="0"/>
  </r>
  <r>
    <d v="2023-02-15T00:00:00"/>
    <x v="1"/>
    <x v="7"/>
    <x v="0"/>
    <x v="746"/>
    <x v="751"/>
    <s v="Cash"/>
    <s v="TXN102809"/>
    <x v="0"/>
  </r>
  <r>
    <d v="2023-02-15T00:00:00"/>
    <x v="1"/>
    <x v="7"/>
    <x v="1"/>
    <x v="747"/>
    <x v="752"/>
    <s v="UPI"/>
    <s v="TXN102866"/>
    <x v="0"/>
  </r>
  <r>
    <d v="2023-02-15T00:00:00"/>
    <x v="1"/>
    <x v="3"/>
    <x v="3"/>
    <x v="748"/>
    <x v="753"/>
    <s v="Card"/>
    <s v="TXN105956"/>
    <x v="0"/>
  </r>
  <r>
    <d v="2023-02-15T00:00:00"/>
    <x v="1"/>
    <x v="2"/>
    <x v="4"/>
    <x v="749"/>
    <x v="754"/>
    <s v="Card"/>
    <s v="TXN106669"/>
    <x v="0"/>
  </r>
  <r>
    <d v="2023-02-15T00:00:00"/>
    <x v="1"/>
    <x v="0"/>
    <x v="4"/>
    <x v="750"/>
    <x v="755"/>
    <s v="Bank Transfer"/>
    <s v="TXN108186"/>
    <x v="0"/>
  </r>
  <r>
    <d v="2023-02-15T00:00:00"/>
    <x v="1"/>
    <x v="1"/>
    <x v="4"/>
    <x v="751"/>
    <x v="756"/>
    <s v="UPI"/>
    <s v="TXN109498"/>
    <x v="0"/>
  </r>
  <r>
    <d v="2023-02-15T00:00:00"/>
    <x v="1"/>
    <x v="0"/>
    <x v="4"/>
    <x v="752"/>
    <x v="757"/>
    <s v="Bank Transfer"/>
    <s v="TXN109961"/>
    <x v="0"/>
  </r>
  <r>
    <d v="2023-02-15T00:00:00"/>
    <x v="1"/>
    <x v="5"/>
    <x v="2"/>
    <x v="753"/>
    <x v="758"/>
    <s v="Card"/>
    <s v="REV100017"/>
    <x v="1"/>
  </r>
  <r>
    <d v="2023-02-15T00:00:00"/>
    <x v="1"/>
    <x v="5"/>
    <x v="1"/>
    <x v="754"/>
    <x v="759"/>
    <s v="Bank Transfer"/>
    <s v="REV100145"/>
    <x v="1"/>
  </r>
  <r>
    <d v="2023-02-15T00:00:00"/>
    <x v="1"/>
    <x v="5"/>
    <x v="2"/>
    <x v="755"/>
    <x v="760"/>
    <s v="Bank Transfer"/>
    <s v="REV100625"/>
    <x v="1"/>
  </r>
  <r>
    <d v="2023-02-15T00:00:00"/>
    <x v="1"/>
    <x v="5"/>
    <x v="0"/>
    <x v="756"/>
    <x v="761"/>
    <s v="Bank Transfer"/>
    <s v="REV100682"/>
    <x v="1"/>
  </r>
  <r>
    <d v="2023-02-15T00:00:00"/>
    <x v="1"/>
    <x v="5"/>
    <x v="1"/>
    <x v="757"/>
    <x v="762"/>
    <s v="Bank Transfer"/>
    <s v="REV100962"/>
    <x v="1"/>
  </r>
  <r>
    <d v="2023-02-15T00:00:00"/>
    <x v="1"/>
    <x v="6"/>
    <x v="0"/>
    <x v="758"/>
    <x v="763"/>
    <s v="Card"/>
    <s v="REV100990"/>
    <x v="1"/>
  </r>
  <r>
    <d v="2023-02-15T00:00:00"/>
    <x v="1"/>
    <x v="5"/>
    <x v="1"/>
    <x v="81"/>
    <x v="201"/>
    <s v="UPI"/>
    <s v="REV101005"/>
    <x v="1"/>
  </r>
  <r>
    <d v="2023-02-15T00:00:00"/>
    <x v="1"/>
    <x v="5"/>
    <x v="3"/>
    <x v="759"/>
    <x v="764"/>
    <s v="Bank Transfer"/>
    <s v="REV102011"/>
    <x v="1"/>
  </r>
  <r>
    <d v="2023-02-15T00:00:00"/>
    <x v="1"/>
    <x v="6"/>
    <x v="4"/>
    <x v="441"/>
    <x v="236"/>
    <s v="Card"/>
    <s v="REV102268"/>
    <x v="1"/>
  </r>
  <r>
    <d v="2023-02-15T00:00:00"/>
    <x v="1"/>
    <x v="5"/>
    <x v="4"/>
    <x v="760"/>
    <x v="765"/>
    <s v="UPI"/>
    <s v="REV102780"/>
    <x v="1"/>
  </r>
  <r>
    <d v="2023-02-15T00:00:00"/>
    <x v="1"/>
    <x v="5"/>
    <x v="4"/>
    <x v="761"/>
    <x v="766"/>
    <s v="Card"/>
    <s v="REV103207"/>
    <x v="1"/>
  </r>
  <r>
    <d v="2023-02-15T00:00:00"/>
    <x v="1"/>
    <x v="6"/>
    <x v="4"/>
    <x v="762"/>
    <x v="482"/>
    <s v="Bank Transfer"/>
    <s v="REV103367"/>
    <x v="1"/>
  </r>
  <r>
    <d v="2023-02-16T00:00:00"/>
    <x v="1"/>
    <x v="4"/>
    <x v="1"/>
    <x v="763"/>
    <x v="767"/>
    <s v="Bank Transfer"/>
    <s v="TXN100039"/>
    <x v="0"/>
  </r>
  <r>
    <d v="2023-02-16T00:00:00"/>
    <x v="1"/>
    <x v="7"/>
    <x v="3"/>
    <x v="764"/>
    <x v="768"/>
    <s v="Bank Transfer"/>
    <s v="TXN100757"/>
    <x v="0"/>
  </r>
  <r>
    <d v="2023-02-16T00:00:00"/>
    <x v="1"/>
    <x v="3"/>
    <x v="4"/>
    <x v="765"/>
    <x v="769"/>
    <s v="Cash"/>
    <s v="TXN103772"/>
    <x v="0"/>
  </r>
  <r>
    <d v="2023-02-16T00:00:00"/>
    <x v="1"/>
    <x v="7"/>
    <x v="1"/>
    <x v="766"/>
    <x v="770"/>
    <s v="UPI"/>
    <s v="TXN105920"/>
    <x v="0"/>
  </r>
  <r>
    <d v="2023-02-16T00:00:00"/>
    <x v="1"/>
    <x v="1"/>
    <x v="0"/>
    <x v="767"/>
    <x v="771"/>
    <s v="Bank Transfer"/>
    <s v="TXN109641"/>
    <x v="0"/>
  </r>
  <r>
    <d v="2023-02-16T00:00:00"/>
    <x v="1"/>
    <x v="5"/>
    <x v="1"/>
    <x v="768"/>
    <x v="772"/>
    <s v="Bank Transfer"/>
    <s v="REV100014"/>
    <x v="1"/>
  </r>
  <r>
    <d v="2023-02-16T00:00:00"/>
    <x v="1"/>
    <x v="6"/>
    <x v="3"/>
    <x v="680"/>
    <x v="773"/>
    <s v="Bank Transfer"/>
    <s v="REV100278"/>
    <x v="1"/>
  </r>
  <r>
    <d v="2023-02-16T00:00:00"/>
    <x v="1"/>
    <x v="6"/>
    <x v="4"/>
    <x v="111"/>
    <x v="774"/>
    <s v="Bank Transfer"/>
    <s v="REV101298"/>
    <x v="1"/>
  </r>
  <r>
    <d v="2023-02-16T00:00:00"/>
    <x v="1"/>
    <x v="6"/>
    <x v="1"/>
    <x v="769"/>
    <x v="775"/>
    <s v="UPI"/>
    <s v="REV102000"/>
    <x v="1"/>
  </r>
  <r>
    <d v="2023-02-16T00:00:00"/>
    <x v="1"/>
    <x v="5"/>
    <x v="0"/>
    <x v="770"/>
    <x v="776"/>
    <s v="Bank Transfer"/>
    <s v="REV103262"/>
    <x v="1"/>
  </r>
  <r>
    <d v="2023-02-17T00:00:00"/>
    <x v="1"/>
    <x v="2"/>
    <x v="2"/>
    <x v="771"/>
    <x v="777"/>
    <s v="Card"/>
    <s v="TXN100926"/>
    <x v="0"/>
  </r>
  <r>
    <d v="2023-02-17T00:00:00"/>
    <x v="1"/>
    <x v="0"/>
    <x v="0"/>
    <x v="772"/>
    <x v="778"/>
    <s v="Cash"/>
    <s v="TXN101073"/>
    <x v="0"/>
  </r>
  <r>
    <d v="2023-02-17T00:00:00"/>
    <x v="1"/>
    <x v="1"/>
    <x v="0"/>
    <x v="773"/>
    <x v="779"/>
    <s v="Card"/>
    <s v="TXN101815"/>
    <x v="0"/>
  </r>
  <r>
    <d v="2023-02-17T00:00:00"/>
    <x v="1"/>
    <x v="7"/>
    <x v="3"/>
    <x v="774"/>
    <x v="780"/>
    <s v="UPI"/>
    <s v="TXN103202"/>
    <x v="0"/>
  </r>
  <r>
    <d v="2023-02-17T00:00:00"/>
    <x v="1"/>
    <x v="3"/>
    <x v="0"/>
    <x v="775"/>
    <x v="781"/>
    <s v="Cash"/>
    <s v="TXN104330"/>
    <x v="0"/>
  </r>
  <r>
    <d v="2023-02-17T00:00:00"/>
    <x v="1"/>
    <x v="7"/>
    <x v="4"/>
    <x v="776"/>
    <x v="782"/>
    <s v="Card"/>
    <s v="TXN104612"/>
    <x v="0"/>
  </r>
  <r>
    <d v="2023-02-17T00:00:00"/>
    <x v="1"/>
    <x v="2"/>
    <x v="1"/>
    <x v="777"/>
    <x v="783"/>
    <s v="Card"/>
    <s v="TXN105298"/>
    <x v="0"/>
  </r>
  <r>
    <d v="2023-02-17T00:00:00"/>
    <x v="1"/>
    <x v="4"/>
    <x v="2"/>
    <x v="778"/>
    <x v="784"/>
    <s v="Bank Transfer"/>
    <s v="TXN105599"/>
    <x v="0"/>
  </r>
  <r>
    <d v="2023-02-17T00:00:00"/>
    <x v="1"/>
    <x v="1"/>
    <x v="2"/>
    <x v="779"/>
    <x v="785"/>
    <s v="Cash"/>
    <s v="TXN106697"/>
    <x v="0"/>
  </r>
  <r>
    <d v="2023-02-17T00:00:00"/>
    <x v="1"/>
    <x v="1"/>
    <x v="0"/>
    <x v="780"/>
    <x v="786"/>
    <s v="UPI"/>
    <s v="TXN107505"/>
    <x v="0"/>
  </r>
  <r>
    <d v="2023-02-17T00:00:00"/>
    <x v="1"/>
    <x v="0"/>
    <x v="2"/>
    <x v="781"/>
    <x v="787"/>
    <s v="Card"/>
    <s v="TXN107858"/>
    <x v="0"/>
  </r>
  <r>
    <d v="2023-02-17T00:00:00"/>
    <x v="1"/>
    <x v="3"/>
    <x v="2"/>
    <x v="782"/>
    <x v="788"/>
    <s v="Card"/>
    <s v="TXN109855"/>
    <x v="0"/>
  </r>
  <r>
    <d v="2023-02-17T00:00:00"/>
    <x v="1"/>
    <x v="6"/>
    <x v="2"/>
    <x v="783"/>
    <x v="789"/>
    <s v="Bank Transfer"/>
    <s v="REV100342"/>
    <x v="1"/>
  </r>
  <r>
    <d v="2023-02-17T00:00:00"/>
    <x v="1"/>
    <x v="5"/>
    <x v="0"/>
    <x v="614"/>
    <x v="790"/>
    <s v="Bank Transfer"/>
    <s v="REV100394"/>
    <x v="1"/>
  </r>
  <r>
    <d v="2023-02-17T00:00:00"/>
    <x v="1"/>
    <x v="5"/>
    <x v="0"/>
    <x v="784"/>
    <x v="791"/>
    <s v="UPI"/>
    <s v="REV100662"/>
    <x v="1"/>
  </r>
  <r>
    <d v="2023-02-17T00:00:00"/>
    <x v="1"/>
    <x v="5"/>
    <x v="3"/>
    <x v="785"/>
    <x v="792"/>
    <s v="Card"/>
    <s v="REV101101"/>
    <x v="1"/>
  </r>
  <r>
    <d v="2023-02-17T00:00:00"/>
    <x v="1"/>
    <x v="6"/>
    <x v="0"/>
    <x v="786"/>
    <x v="793"/>
    <s v="Card"/>
    <s v="REV101499"/>
    <x v="1"/>
  </r>
  <r>
    <d v="2023-02-17T00:00:00"/>
    <x v="1"/>
    <x v="6"/>
    <x v="4"/>
    <x v="680"/>
    <x v="794"/>
    <s v="Card"/>
    <s v="REV101576"/>
    <x v="1"/>
  </r>
  <r>
    <d v="2023-02-17T00:00:00"/>
    <x v="1"/>
    <x v="5"/>
    <x v="1"/>
    <x v="787"/>
    <x v="795"/>
    <s v="Bank Transfer"/>
    <s v="REV101795"/>
    <x v="1"/>
  </r>
  <r>
    <d v="2023-02-17T00:00:00"/>
    <x v="1"/>
    <x v="6"/>
    <x v="2"/>
    <x v="98"/>
    <x v="796"/>
    <s v="UPI"/>
    <s v="REV101909"/>
    <x v="1"/>
  </r>
  <r>
    <d v="2023-02-17T00:00:00"/>
    <x v="1"/>
    <x v="6"/>
    <x v="2"/>
    <x v="788"/>
    <x v="797"/>
    <s v="Card"/>
    <s v="REV102279"/>
    <x v="1"/>
  </r>
  <r>
    <d v="2023-02-17T00:00:00"/>
    <x v="1"/>
    <x v="5"/>
    <x v="0"/>
    <x v="479"/>
    <x v="798"/>
    <s v="Card"/>
    <s v="REV102542"/>
    <x v="1"/>
  </r>
  <r>
    <d v="2023-02-17T00:00:00"/>
    <x v="1"/>
    <x v="5"/>
    <x v="2"/>
    <x v="789"/>
    <x v="799"/>
    <s v="Bank Transfer"/>
    <s v="REV102669"/>
    <x v="1"/>
  </r>
  <r>
    <d v="2023-02-17T00:00:00"/>
    <x v="1"/>
    <x v="5"/>
    <x v="2"/>
    <x v="790"/>
    <x v="611"/>
    <s v="Bank Transfer"/>
    <s v="REV103335"/>
    <x v="1"/>
  </r>
  <r>
    <d v="2023-02-18T00:00:00"/>
    <x v="1"/>
    <x v="0"/>
    <x v="2"/>
    <x v="791"/>
    <x v="800"/>
    <s v="Cash"/>
    <s v="TXN100854"/>
    <x v="0"/>
  </r>
  <r>
    <d v="2023-02-18T00:00:00"/>
    <x v="1"/>
    <x v="2"/>
    <x v="0"/>
    <x v="792"/>
    <x v="801"/>
    <s v="Cash"/>
    <s v="TXN101349"/>
    <x v="0"/>
  </r>
  <r>
    <d v="2023-02-18T00:00:00"/>
    <x v="1"/>
    <x v="3"/>
    <x v="4"/>
    <x v="793"/>
    <x v="802"/>
    <s v="UPI"/>
    <s v="TXN102234"/>
    <x v="0"/>
  </r>
  <r>
    <d v="2023-02-18T00:00:00"/>
    <x v="1"/>
    <x v="4"/>
    <x v="3"/>
    <x v="794"/>
    <x v="803"/>
    <s v="Cash"/>
    <s v="TXN102401"/>
    <x v="0"/>
  </r>
  <r>
    <d v="2023-02-18T00:00:00"/>
    <x v="1"/>
    <x v="7"/>
    <x v="0"/>
    <x v="795"/>
    <x v="804"/>
    <s v="Cash"/>
    <s v="TXN102473"/>
    <x v="0"/>
  </r>
  <r>
    <d v="2023-02-18T00:00:00"/>
    <x v="1"/>
    <x v="4"/>
    <x v="1"/>
    <x v="796"/>
    <x v="335"/>
    <s v="Card"/>
    <s v="TXN104155"/>
    <x v="0"/>
  </r>
  <r>
    <d v="2023-02-18T00:00:00"/>
    <x v="1"/>
    <x v="7"/>
    <x v="0"/>
    <x v="797"/>
    <x v="805"/>
    <s v="Cash"/>
    <s v="TXN107034"/>
    <x v="0"/>
  </r>
  <r>
    <d v="2023-02-18T00:00:00"/>
    <x v="1"/>
    <x v="0"/>
    <x v="0"/>
    <x v="798"/>
    <x v="806"/>
    <s v="UPI"/>
    <s v="TXN108472"/>
    <x v="0"/>
  </r>
  <r>
    <d v="2023-02-18T00:00:00"/>
    <x v="1"/>
    <x v="5"/>
    <x v="2"/>
    <x v="799"/>
    <x v="807"/>
    <s v="Card"/>
    <s v="REV100315"/>
    <x v="1"/>
  </r>
  <r>
    <d v="2023-02-18T00:00:00"/>
    <x v="1"/>
    <x v="5"/>
    <x v="0"/>
    <x v="727"/>
    <x v="611"/>
    <s v="Card"/>
    <s v="REV100496"/>
    <x v="1"/>
  </r>
  <r>
    <d v="2023-02-18T00:00:00"/>
    <x v="1"/>
    <x v="5"/>
    <x v="4"/>
    <x v="759"/>
    <x v="808"/>
    <s v="Bank Transfer"/>
    <s v="REV100791"/>
    <x v="1"/>
  </r>
  <r>
    <d v="2023-02-18T00:00:00"/>
    <x v="1"/>
    <x v="5"/>
    <x v="3"/>
    <x v="800"/>
    <x v="809"/>
    <s v="Card"/>
    <s v="REV100848"/>
    <x v="1"/>
  </r>
  <r>
    <d v="2023-02-18T00:00:00"/>
    <x v="1"/>
    <x v="6"/>
    <x v="0"/>
    <x v="801"/>
    <x v="810"/>
    <s v="Bank Transfer"/>
    <s v="REV100870"/>
    <x v="1"/>
  </r>
  <r>
    <d v="2023-02-18T00:00:00"/>
    <x v="1"/>
    <x v="5"/>
    <x v="1"/>
    <x v="802"/>
    <x v="811"/>
    <s v="UPI"/>
    <s v="REV101440"/>
    <x v="1"/>
  </r>
  <r>
    <d v="2023-02-18T00:00:00"/>
    <x v="1"/>
    <x v="6"/>
    <x v="0"/>
    <x v="803"/>
    <x v="812"/>
    <s v="Bank Transfer"/>
    <s v="REV102388"/>
    <x v="1"/>
  </r>
  <r>
    <d v="2023-02-18T00:00:00"/>
    <x v="1"/>
    <x v="5"/>
    <x v="0"/>
    <x v="567"/>
    <x v="813"/>
    <s v="Bank Transfer"/>
    <s v="REV102869"/>
    <x v="1"/>
  </r>
  <r>
    <d v="2023-02-19T00:00:00"/>
    <x v="1"/>
    <x v="1"/>
    <x v="2"/>
    <x v="804"/>
    <x v="814"/>
    <s v="UPI"/>
    <s v="TXN100089"/>
    <x v="0"/>
  </r>
  <r>
    <d v="2023-02-19T00:00:00"/>
    <x v="1"/>
    <x v="0"/>
    <x v="1"/>
    <x v="805"/>
    <x v="815"/>
    <s v="UPI"/>
    <s v="TXN101975"/>
    <x v="0"/>
  </r>
  <r>
    <d v="2023-02-19T00:00:00"/>
    <x v="1"/>
    <x v="1"/>
    <x v="2"/>
    <x v="806"/>
    <x v="816"/>
    <s v="Bank Transfer"/>
    <s v="TXN102439"/>
    <x v="0"/>
  </r>
  <r>
    <d v="2023-02-19T00:00:00"/>
    <x v="1"/>
    <x v="1"/>
    <x v="0"/>
    <x v="807"/>
    <x v="817"/>
    <s v="Card"/>
    <s v="TXN103646"/>
    <x v="0"/>
  </r>
  <r>
    <d v="2023-02-19T00:00:00"/>
    <x v="1"/>
    <x v="0"/>
    <x v="1"/>
    <x v="808"/>
    <x v="818"/>
    <s v="Cash"/>
    <s v="TXN103678"/>
    <x v="0"/>
  </r>
  <r>
    <d v="2023-02-19T00:00:00"/>
    <x v="1"/>
    <x v="1"/>
    <x v="3"/>
    <x v="809"/>
    <x v="819"/>
    <s v="Card"/>
    <s v="TXN104460"/>
    <x v="0"/>
  </r>
  <r>
    <d v="2023-02-19T00:00:00"/>
    <x v="1"/>
    <x v="4"/>
    <x v="3"/>
    <x v="810"/>
    <x v="820"/>
    <s v="UPI"/>
    <s v="TXN105685"/>
    <x v="0"/>
  </r>
  <r>
    <d v="2023-02-19T00:00:00"/>
    <x v="1"/>
    <x v="2"/>
    <x v="2"/>
    <x v="811"/>
    <x v="821"/>
    <s v="Cash"/>
    <s v="TXN106725"/>
    <x v="0"/>
  </r>
  <r>
    <d v="2023-02-19T00:00:00"/>
    <x v="1"/>
    <x v="3"/>
    <x v="3"/>
    <x v="812"/>
    <x v="822"/>
    <s v="UPI"/>
    <s v="TXN108852"/>
    <x v="0"/>
  </r>
  <r>
    <d v="2023-02-19T00:00:00"/>
    <x v="1"/>
    <x v="3"/>
    <x v="3"/>
    <x v="813"/>
    <x v="823"/>
    <s v="UPI"/>
    <s v="TXN109482"/>
    <x v="0"/>
  </r>
  <r>
    <d v="2023-02-19T00:00:00"/>
    <x v="1"/>
    <x v="7"/>
    <x v="1"/>
    <x v="814"/>
    <x v="824"/>
    <s v="Card"/>
    <s v="TXN109816"/>
    <x v="0"/>
  </r>
  <r>
    <d v="2023-02-19T00:00:00"/>
    <x v="1"/>
    <x v="3"/>
    <x v="0"/>
    <x v="815"/>
    <x v="825"/>
    <s v="UPI"/>
    <m/>
    <x v="0"/>
  </r>
  <r>
    <d v="2023-02-19T00:00:00"/>
    <x v="1"/>
    <x v="6"/>
    <x v="2"/>
    <x v="816"/>
    <x v="32"/>
    <s v="UPI"/>
    <s v="REV100031"/>
    <x v="1"/>
  </r>
  <r>
    <d v="2023-02-19T00:00:00"/>
    <x v="1"/>
    <x v="6"/>
    <x v="1"/>
    <x v="139"/>
    <x v="249"/>
    <s v="Bank Transfer"/>
    <s v="REV100707"/>
    <x v="1"/>
  </r>
  <r>
    <d v="2023-02-19T00:00:00"/>
    <x v="1"/>
    <x v="5"/>
    <x v="2"/>
    <x v="817"/>
    <x v="826"/>
    <s v="Bank Transfer"/>
    <s v="REV100858"/>
    <x v="1"/>
  </r>
  <r>
    <d v="2023-02-19T00:00:00"/>
    <x v="1"/>
    <x v="5"/>
    <x v="0"/>
    <x v="818"/>
    <x v="827"/>
    <s v="Bank Transfer"/>
    <s v="REV101245"/>
    <x v="1"/>
  </r>
  <r>
    <d v="2023-02-19T00:00:00"/>
    <x v="1"/>
    <x v="6"/>
    <x v="1"/>
    <x v="770"/>
    <x v="138"/>
    <s v="Card"/>
    <s v="REV101259"/>
    <x v="1"/>
  </r>
  <r>
    <d v="2023-02-19T00:00:00"/>
    <x v="1"/>
    <x v="6"/>
    <x v="3"/>
    <x v="819"/>
    <x v="828"/>
    <s v="UPI"/>
    <s v="REV101536"/>
    <x v="1"/>
  </r>
  <r>
    <d v="2023-02-19T00:00:00"/>
    <x v="1"/>
    <x v="6"/>
    <x v="0"/>
    <x v="820"/>
    <x v="829"/>
    <s v="UPI"/>
    <s v="REV101799"/>
    <x v="1"/>
  </r>
  <r>
    <d v="2023-02-19T00:00:00"/>
    <x v="1"/>
    <x v="6"/>
    <x v="3"/>
    <x v="821"/>
    <x v="830"/>
    <s v="Bank Transfer"/>
    <s v="REV101933"/>
    <x v="1"/>
  </r>
  <r>
    <d v="2023-02-19T00:00:00"/>
    <x v="1"/>
    <x v="6"/>
    <x v="2"/>
    <x v="822"/>
    <x v="775"/>
    <s v="Bank Transfer"/>
    <s v="REV102290"/>
    <x v="1"/>
  </r>
  <r>
    <d v="2023-02-19T00:00:00"/>
    <x v="1"/>
    <x v="5"/>
    <x v="3"/>
    <x v="823"/>
    <x v="831"/>
    <s v="Bank Transfer"/>
    <s v="REV102997"/>
    <x v="1"/>
  </r>
  <r>
    <d v="2023-02-19T00:00:00"/>
    <x v="1"/>
    <x v="6"/>
    <x v="3"/>
    <x v="509"/>
    <x v="832"/>
    <s v="Card"/>
    <s v="REV103202"/>
    <x v="1"/>
  </r>
  <r>
    <d v="2023-02-19T00:00:00"/>
    <x v="1"/>
    <x v="6"/>
    <x v="1"/>
    <x v="824"/>
    <x v="833"/>
    <s v="Bank Transfer"/>
    <s v="REV103324"/>
    <x v="1"/>
  </r>
  <r>
    <d v="2023-02-20T00:00:00"/>
    <x v="1"/>
    <x v="4"/>
    <x v="2"/>
    <x v="825"/>
    <x v="834"/>
    <s v="Card"/>
    <s v="TXN101177"/>
    <x v="0"/>
  </r>
  <r>
    <d v="2023-02-20T00:00:00"/>
    <x v="1"/>
    <x v="7"/>
    <x v="2"/>
    <x v="826"/>
    <x v="835"/>
    <s v="Bank Transfer"/>
    <s v="TXN101215"/>
    <x v="0"/>
  </r>
  <r>
    <d v="2023-02-20T00:00:00"/>
    <x v="1"/>
    <x v="7"/>
    <x v="3"/>
    <x v="827"/>
    <x v="836"/>
    <s v="Card"/>
    <s v="TXN101551"/>
    <x v="0"/>
  </r>
  <r>
    <d v="2023-02-20T00:00:00"/>
    <x v="1"/>
    <x v="4"/>
    <x v="2"/>
    <x v="828"/>
    <x v="837"/>
    <s v="Cash"/>
    <s v="TXN101953"/>
    <x v="0"/>
  </r>
  <r>
    <d v="2023-02-20T00:00:00"/>
    <x v="1"/>
    <x v="1"/>
    <x v="4"/>
    <x v="829"/>
    <x v="838"/>
    <s v="UPI"/>
    <s v="TXN102724"/>
    <x v="0"/>
  </r>
  <r>
    <d v="2023-02-20T00:00:00"/>
    <x v="1"/>
    <x v="0"/>
    <x v="0"/>
    <x v="830"/>
    <x v="839"/>
    <s v="Cash"/>
    <s v="TXN103609"/>
    <x v="0"/>
  </r>
  <r>
    <d v="2023-02-20T00:00:00"/>
    <x v="1"/>
    <x v="3"/>
    <x v="1"/>
    <x v="831"/>
    <x v="840"/>
    <s v="UPI"/>
    <s v="TXN103853"/>
    <x v="0"/>
  </r>
  <r>
    <d v="2023-02-20T00:00:00"/>
    <x v="1"/>
    <x v="3"/>
    <x v="4"/>
    <x v="832"/>
    <x v="841"/>
    <s v="UPI"/>
    <s v="TXN103865"/>
    <x v="0"/>
  </r>
  <r>
    <d v="2023-02-20T00:00:00"/>
    <x v="1"/>
    <x v="3"/>
    <x v="4"/>
    <x v="833"/>
    <x v="842"/>
    <s v="Cash"/>
    <s v="TXN104928"/>
    <x v="0"/>
  </r>
  <r>
    <d v="2023-02-20T00:00:00"/>
    <x v="1"/>
    <x v="0"/>
    <x v="1"/>
    <x v="834"/>
    <x v="843"/>
    <s v="UPI"/>
    <s v="TXN105243"/>
    <x v="0"/>
  </r>
  <r>
    <d v="2023-02-20T00:00:00"/>
    <x v="1"/>
    <x v="0"/>
    <x v="2"/>
    <x v="835"/>
    <x v="844"/>
    <s v="Bank Transfer"/>
    <s v="TXN106267"/>
    <x v="0"/>
  </r>
  <r>
    <d v="2023-02-20T00:00:00"/>
    <x v="1"/>
    <x v="7"/>
    <x v="0"/>
    <x v="836"/>
    <x v="845"/>
    <s v="Card"/>
    <s v="TXN107497"/>
    <x v="0"/>
  </r>
  <r>
    <d v="2023-02-20T00:00:00"/>
    <x v="1"/>
    <x v="6"/>
    <x v="2"/>
    <x v="837"/>
    <x v="846"/>
    <s v="Card"/>
    <s v="REV100432"/>
    <x v="1"/>
  </r>
  <r>
    <d v="2023-02-20T00:00:00"/>
    <x v="1"/>
    <x v="5"/>
    <x v="2"/>
    <x v="838"/>
    <x v="847"/>
    <s v="Card"/>
    <s v="REV100448"/>
    <x v="1"/>
  </r>
  <r>
    <d v="2023-02-20T00:00:00"/>
    <x v="1"/>
    <x v="5"/>
    <x v="3"/>
    <x v="442"/>
    <x v="135"/>
    <s v="Bank Transfer"/>
    <s v="REV100570"/>
    <x v="1"/>
  </r>
  <r>
    <d v="2023-02-20T00:00:00"/>
    <x v="1"/>
    <x v="5"/>
    <x v="2"/>
    <x v="839"/>
    <x v="848"/>
    <s v="Bank Transfer"/>
    <s v="REV100699"/>
    <x v="1"/>
  </r>
  <r>
    <d v="2023-02-20T00:00:00"/>
    <x v="1"/>
    <x v="5"/>
    <x v="4"/>
    <x v="158"/>
    <x v="849"/>
    <s v="Bank Transfer"/>
    <s v="REV100952"/>
    <x v="1"/>
  </r>
  <r>
    <d v="2023-02-20T00:00:00"/>
    <x v="1"/>
    <x v="5"/>
    <x v="0"/>
    <x v="840"/>
    <x v="850"/>
    <s v="Bank Transfer"/>
    <s v="REV101232"/>
    <x v="1"/>
  </r>
  <r>
    <d v="2023-02-20T00:00:00"/>
    <x v="1"/>
    <x v="5"/>
    <x v="1"/>
    <x v="841"/>
    <x v="397"/>
    <s v="Bank Transfer"/>
    <s v="REV101328"/>
    <x v="1"/>
  </r>
  <r>
    <d v="2023-02-20T00:00:00"/>
    <x v="1"/>
    <x v="6"/>
    <x v="4"/>
    <x v="842"/>
    <x v="851"/>
    <s v="Card"/>
    <s v="REV101334"/>
    <x v="1"/>
  </r>
  <r>
    <d v="2023-02-20T00:00:00"/>
    <x v="1"/>
    <x v="6"/>
    <x v="4"/>
    <x v="223"/>
    <x v="484"/>
    <s v="Card"/>
    <s v="REV101681"/>
    <x v="1"/>
  </r>
  <r>
    <d v="2023-02-20T00:00:00"/>
    <x v="1"/>
    <x v="5"/>
    <x v="1"/>
    <x v="613"/>
    <x v="852"/>
    <s v="Card"/>
    <s v="REV101775"/>
    <x v="1"/>
  </r>
  <r>
    <d v="2023-02-20T00:00:00"/>
    <x v="1"/>
    <x v="5"/>
    <x v="2"/>
    <x v="843"/>
    <x v="853"/>
    <s v="Bank Transfer"/>
    <s v="REV102110"/>
    <x v="1"/>
  </r>
  <r>
    <d v="2023-02-20T00:00:00"/>
    <x v="1"/>
    <x v="5"/>
    <x v="0"/>
    <x v="738"/>
    <x v="854"/>
    <s v="Bank Transfer"/>
    <s v="REV102539"/>
    <x v="1"/>
  </r>
  <r>
    <d v="2023-02-21T00:00:00"/>
    <x v="1"/>
    <x v="2"/>
    <x v="0"/>
    <x v="844"/>
    <x v="855"/>
    <s v="Card"/>
    <s v="TXN102217"/>
    <x v="0"/>
  </r>
  <r>
    <d v="2023-02-21T00:00:00"/>
    <x v="1"/>
    <x v="2"/>
    <x v="1"/>
    <x v="845"/>
    <x v="856"/>
    <s v="UPI"/>
    <s v="TXN104499"/>
    <x v="0"/>
  </r>
  <r>
    <d v="2023-02-21T00:00:00"/>
    <x v="1"/>
    <x v="0"/>
    <x v="0"/>
    <x v="846"/>
    <x v="857"/>
    <s v="Card"/>
    <s v="TXN106420"/>
    <x v="0"/>
  </r>
  <r>
    <d v="2023-02-21T00:00:00"/>
    <x v="1"/>
    <x v="2"/>
    <x v="3"/>
    <x v="847"/>
    <x v="858"/>
    <s v="Bank Transfer"/>
    <s v="TXN107662"/>
    <x v="0"/>
  </r>
  <r>
    <d v="2023-02-21T00:00:00"/>
    <x v="1"/>
    <x v="2"/>
    <x v="3"/>
    <x v="848"/>
    <x v="859"/>
    <s v="Card"/>
    <s v="TXN108161"/>
    <x v="0"/>
  </r>
  <r>
    <d v="2023-02-21T00:00:00"/>
    <x v="1"/>
    <x v="6"/>
    <x v="0"/>
    <x v="266"/>
    <x v="96"/>
    <s v="Card"/>
    <s v="REV100784"/>
    <x v="1"/>
  </r>
  <r>
    <d v="2023-02-21T00:00:00"/>
    <x v="1"/>
    <x v="6"/>
    <x v="1"/>
    <x v="476"/>
    <x v="860"/>
    <s v="Bank Transfer"/>
    <s v="REV101547"/>
    <x v="1"/>
  </r>
  <r>
    <d v="2023-02-21T00:00:00"/>
    <x v="1"/>
    <x v="5"/>
    <x v="0"/>
    <x v="849"/>
    <x v="491"/>
    <s v="Card"/>
    <s v="REV102172"/>
    <x v="1"/>
  </r>
  <r>
    <d v="2023-02-21T00:00:00"/>
    <x v="1"/>
    <x v="5"/>
    <x v="3"/>
    <x v="850"/>
    <x v="861"/>
    <s v="Bank Transfer"/>
    <s v="REV102607"/>
    <x v="1"/>
  </r>
  <r>
    <d v="2023-02-21T00:00:00"/>
    <x v="1"/>
    <x v="5"/>
    <x v="3"/>
    <x v="851"/>
    <x v="862"/>
    <s v="Bank Transfer"/>
    <s v="REV102770"/>
    <x v="1"/>
  </r>
  <r>
    <d v="2023-02-22T00:00:00"/>
    <x v="1"/>
    <x v="7"/>
    <x v="4"/>
    <x v="654"/>
    <x v="863"/>
    <s v="Bank Transfer"/>
    <s v="TXN101590"/>
    <x v="0"/>
  </r>
  <r>
    <d v="2023-02-22T00:00:00"/>
    <x v="1"/>
    <x v="1"/>
    <x v="2"/>
    <x v="852"/>
    <x v="864"/>
    <s v="Bank Transfer"/>
    <s v="TXN101959"/>
    <x v="0"/>
  </r>
  <r>
    <d v="2023-02-22T00:00:00"/>
    <x v="1"/>
    <x v="0"/>
    <x v="4"/>
    <x v="634"/>
    <x v="865"/>
    <s v="Bank Transfer"/>
    <s v="TXN103735"/>
    <x v="0"/>
  </r>
  <r>
    <d v="2023-02-22T00:00:00"/>
    <x v="1"/>
    <x v="2"/>
    <x v="1"/>
    <x v="853"/>
    <x v="866"/>
    <s v="Cash"/>
    <s v="TXN105443"/>
    <x v="0"/>
  </r>
  <r>
    <d v="2023-02-22T00:00:00"/>
    <x v="1"/>
    <x v="3"/>
    <x v="0"/>
    <x v="854"/>
    <x v="867"/>
    <s v="UPI"/>
    <s v="TXN107210"/>
    <x v="0"/>
  </r>
  <r>
    <d v="2023-02-22T00:00:00"/>
    <x v="1"/>
    <x v="7"/>
    <x v="0"/>
    <x v="855"/>
    <x v="868"/>
    <s v="UPI"/>
    <s v="TXN107583"/>
    <x v="0"/>
  </r>
  <r>
    <d v="2023-02-22T00:00:00"/>
    <x v="1"/>
    <x v="4"/>
    <x v="4"/>
    <x v="856"/>
    <x v="869"/>
    <s v="Bank Transfer"/>
    <s v="TXN108559"/>
    <x v="0"/>
  </r>
  <r>
    <d v="2023-02-22T00:00:00"/>
    <x v="1"/>
    <x v="2"/>
    <x v="2"/>
    <x v="857"/>
    <x v="870"/>
    <s v="Cash"/>
    <s v="TXN109211"/>
    <x v="0"/>
  </r>
  <r>
    <d v="2023-02-22T00:00:00"/>
    <x v="1"/>
    <x v="1"/>
    <x v="4"/>
    <x v="858"/>
    <x v="871"/>
    <s v="Cash"/>
    <s v="TXN109536"/>
    <x v="0"/>
  </r>
  <r>
    <d v="2023-02-22T00:00:00"/>
    <x v="1"/>
    <x v="5"/>
    <x v="4"/>
    <x v="859"/>
    <x v="62"/>
    <s v="UPI"/>
    <s v="REV100588"/>
    <x v="1"/>
  </r>
  <r>
    <d v="2023-02-22T00:00:00"/>
    <x v="1"/>
    <x v="5"/>
    <x v="2"/>
    <x v="860"/>
    <x v="872"/>
    <s v="Bank Transfer"/>
    <s v="REV100701"/>
    <x v="1"/>
  </r>
  <r>
    <d v="2023-02-22T00:00:00"/>
    <x v="1"/>
    <x v="5"/>
    <x v="4"/>
    <x v="861"/>
    <x v="263"/>
    <s v="Card"/>
    <s v="REV101287"/>
    <x v="1"/>
  </r>
  <r>
    <d v="2023-02-22T00:00:00"/>
    <x v="1"/>
    <x v="6"/>
    <x v="1"/>
    <x v="862"/>
    <x v="873"/>
    <s v="Bank Transfer"/>
    <s v="REV101853"/>
    <x v="1"/>
  </r>
  <r>
    <d v="2023-02-22T00:00:00"/>
    <x v="1"/>
    <x v="5"/>
    <x v="0"/>
    <x v="863"/>
    <x v="341"/>
    <s v="Bank Transfer"/>
    <s v="REV102447"/>
    <x v="1"/>
  </r>
  <r>
    <d v="2023-02-22T00:00:00"/>
    <x v="1"/>
    <x v="5"/>
    <x v="0"/>
    <x v="864"/>
    <x v="874"/>
    <s v="Card"/>
    <s v="REV102574"/>
    <x v="1"/>
  </r>
  <r>
    <d v="2023-02-22T00:00:00"/>
    <x v="1"/>
    <x v="5"/>
    <x v="4"/>
    <x v="865"/>
    <x v="875"/>
    <s v="Bank Transfer"/>
    <s v="REV102904"/>
    <x v="1"/>
  </r>
  <r>
    <d v="2023-02-22T00:00:00"/>
    <x v="1"/>
    <x v="6"/>
    <x v="2"/>
    <x v="374"/>
    <x v="876"/>
    <s v="UPI"/>
    <s v="REV103107"/>
    <x v="1"/>
  </r>
  <r>
    <d v="2023-02-22T00:00:00"/>
    <x v="1"/>
    <x v="5"/>
    <x v="4"/>
    <x v="866"/>
    <x v="877"/>
    <s v="Bank Transfer"/>
    <s v="REV103220"/>
    <x v="1"/>
  </r>
  <r>
    <d v="2023-02-23T00:00:00"/>
    <x v="1"/>
    <x v="0"/>
    <x v="2"/>
    <x v="867"/>
    <x v="878"/>
    <s v="Bank Transfer"/>
    <s v="TXN100498"/>
    <x v="0"/>
  </r>
  <r>
    <d v="2023-02-23T00:00:00"/>
    <x v="1"/>
    <x v="7"/>
    <x v="2"/>
    <x v="868"/>
    <x v="879"/>
    <s v="Card"/>
    <s v="TXN101743"/>
    <x v="0"/>
  </r>
  <r>
    <d v="2023-02-23T00:00:00"/>
    <x v="1"/>
    <x v="4"/>
    <x v="4"/>
    <x v="869"/>
    <x v="880"/>
    <s v="UPI"/>
    <s v="TXN102844"/>
    <x v="0"/>
  </r>
  <r>
    <d v="2023-02-23T00:00:00"/>
    <x v="1"/>
    <x v="3"/>
    <x v="2"/>
    <x v="870"/>
    <x v="881"/>
    <s v="UPI"/>
    <s v="TXN104197"/>
    <x v="0"/>
  </r>
  <r>
    <d v="2023-02-23T00:00:00"/>
    <x v="1"/>
    <x v="0"/>
    <x v="0"/>
    <x v="871"/>
    <x v="882"/>
    <s v="Card"/>
    <s v="TXN104256"/>
    <x v="0"/>
  </r>
  <r>
    <d v="2023-02-23T00:00:00"/>
    <x v="1"/>
    <x v="7"/>
    <x v="1"/>
    <x v="872"/>
    <x v="883"/>
    <s v="Bank Transfer"/>
    <s v="TXN105260"/>
    <x v="0"/>
  </r>
  <r>
    <d v="2023-02-23T00:00:00"/>
    <x v="1"/>
    <x v="4"/>
    <x v="0"/>
    <x v="873"/>
    <x v="884"/>
    <s v="Card"/>
    <s v="TXN106879"/>
    <x v="0"/>
  </r>
  <r>
    <d v="2023-02-23T00:00:00"/>
    <x v="1"/>
    <x v="3"/>
    <x v="3"/>
    <x v="874"/>
    <x v="885"/>
    <s v="UPI"/>
    <s v="TXN107132"/>
    <x v="0"/>
  </r>
  <r>
    <d v="2023-02-23T00:00:00"/>
    <x v="1"/>
    <x v="0"/>
    <x v="4"/>
    <x v="875"/>
    <x v="886"/>
    <s v="UPI"/>
    <s v="TXN108062"/>
    <x v="0"/>
  </r>
  <r>
    <d v="2023-02-23T00:00:00"/>
    <x v="1"/>
    <x v="2"/>
    <x v="2"/>
    <x v="876"/>
    <x v="887"/>
    <s v="Card"/>
    <s v="TXN108648"/>
    <x v="0"/>
  </r>
  <r>
    <d v="2023-02-23T00:00:00"/>
    <x v="1"/>
    <x v="3"/>
    <x v="2"/>
    <x v="877"/>
    <x v="888"/>
    <s v="Cash"/>
    <s v="TXN108992"/>
    <x v="0"/>
  </r>
  <r>
    <d v="2023-02-23T00:00:00"/>
    <x v="1"/>
    <x v="0"/>
    <x v="4"/>
    <x v="878"/>
    <x v="889"/>
    <s v="Cash"/>
    <s v="TXN109556"/>
    <x v="0"/>
  </r>
  <r>
    <d v="2023-02-23T00:00:00"/>
    <x v="1"/>
    <x v="5"/>
    <x v="2"/>
    <x v="879"/>
    <x v="890"/>
    <s v="Bank Transfer"/>
    <s v="REV100191"/>
    <x v="1"/>
  </r>
  <r>
    <d v="2023-02-23T00:00:00"/>
    <x v="1"/>
    <x v="5"/>
    <x v="2"/>
    <x v="880"/>
    <x v="891"/>
    <s v="Bank Transfer"/>
    <s v="REV100635"/>
    <x v="1"/>
  </r>
  <r>
    <d v="2023-02-23T00:00:00"/>
    <x v="1"/>
    <x v="5"/>
    <x v="4"/>
    <x v="139"/>
    <x v="264"/>
    <s v="Bank Transfer"/>
    <s v="REV101001"/>
    <x v="1"/>
  </r>
  <r>
    <d v="2023-02-23T00:00:00"/>
    <x v="1"/>
    <x v="6"/>
    <x v="2"/>
    <x v="12"/>
    <x v="892"/>
    <s v="Bank Transfer"/>
    <s v="REV101458"/>
    <x v="1"/>
  </r>
  <r>
    <d v="2023-02-23T00:00:00"/>
    <x v="1"/>
    <x v="5"/>
    <x v="0"/>
    <x v="881"/>
    <x v="893"/>
    <s v="Bank Transfer"/>
    <s v="REV101478"/>
    <x v="1"/>
  </r>
  <r>
    <d v="2023-02-23T00:00:00"/>
    <x v="1"/>
    <x v="5"/>
    <x v="1"/>
    <x v="882"/>
    <x v="602"/>
    <s v="Card"/>
    <s v="REV101783"/>
    <x v="1"/>
  </r>
  <r>
    <d v="2023-02-23T00:00:00"/>
    <x v="1"/>
    <x v="5"/>
    <x v="0"/>
    <x v="286"/>
    <x v="894"/>
    <s v="Bank Transfer"/>
    <s v="REV102339"/>
    <x v="1"/>
  </r>
  <r>
    <d v="2023-02-23T00:00:00"/>
    <x v="1"/>
    <x v="6"/>
    <x v="3"/>
    <x v="883"/>
    <x v="895"/>
    <s v="UPI"/>
    <s v="REV102419"/>
    <x v="1"/>
  </r>
  <r>
    <d v="2023-02-23T00:00:00"/>
    <x v="1"/>
    <x v="5"/>
    <x v="4"/>
    <x v="884"/>
    <x v="896"/>
    <s v="Bank Transfer"/>
    <s v="REV102740"/>
    <x v="1"/>
  </r>
  <r>
    <d v="2023-02-23T00:00:00"/>
    <x v="1"/>
    <x v="5"/>
    <x v="2"/>
    <x v="885"/>
    <x v="897"/>
    <s v="Bank Transfer"/>
    <s v="REV102935"/>
    <x v="1"/>
  </r>
  <r>
    <d v="2023-02-23T00:00:00"/>
    <x v="1"/>
    <x v="6"/>
    <x v="2"/>
    <x v="886"/>
    <x v="134"/>
    <s v="Bank Transfer"/>
    <s v="REV103044"/>
    <x v="1"/>
  </r>
  <r>
    <d v="2023-02-23T00:00:00"/>
    <x v="1"/>
    <x v="6"/>
    <x v="4"/>
    <x v="887"/>
    <x v="898"/>
    <s v="Card"/>
    <s v="REV103228"/>
    <x v="1"/>
  </r>
  <r>
    <d v="2023-02-24T00:00:00"/>
    <x v="1"/>
    <x v="3"/>
    <x v="0"/>
    <x v="888"/>
    <x v="899"/>
    <s v="UPI"/>
    <s v="TXN100268"/>
    <x v="0"/>
  </r>
  <r>
    <d v="2023-02-24T00:00:00"/>
    <x v="1"/>
    <x v="0"/>
    <x v="2"/>
    <x v="889"/>
    <x v="900"/>
    <s v="UPI"/>
    <s v="TXN100607"/>
    <x v="0"/>
  </r>
  <r>
    <d v="2023-02-24T00:00:00"/>
    <x v="1"/>
    <x v="2"/>
    <x v="0"/>
    <x v="890"/>
    <x v="901"/>
    <s v="UPI"/>
    <s v="TXN100756"/>
    <x v="0"/>
  </r>
  <r>
    <d v="2023-02-24T00:00:00"/>
    <x v="1"/>
    <x v="1"/>
    <x v="0"/>
    <x v="891"/>
    <x v="902"/>
    <s v="UPI"/>
    <s v="TXN101831"/>
    <x v="0"/>
  </r>
  <r>
    <d v="2023-02-24T00:00:00"/>
    <x v="1"/>
    <x v="7"/>
    <x v="3"/>
    <x v="892"/>
    <x v="903"/>
    <s v="UPI"/>
    <s v="TXN103094"/>
    <x v="0"/>
  </r>
  <r>
    <d v="2023-02-24T00:00:00"/>
    <x v="1"/>
    <x v="7"/>
    <x v="3"/>
    <x v="893"/>
    <x v="904"/>
    <s v="Card"/>
    <s v="TXN104074"/>
    <x v="0"/>
  </r>
  <r>
    <d v="2023-02-24T00:00:00"/>
    <x v="1"/>
    <x v="1"/>
    <x v="2"/>
    <x v="894"/>
    <x v="905"/>
    <s v="Bank Transfer"/>
    <s v="TXN104405"/>
    <x v="0"/>
  </r>
  <r>
    <d v="2023-02-24T00:00:00"/>
    <x v="1"/>
    <x v="2"/>
    <x v="3"/>
    <x v="895"/>
    <x v="906"/>
    <s v="Cash"/>
    <s v="TXN106080"/>
    <x v="0"/>
  </r>
  <r>
    <d v="2023-02-24T00:00:00"/>
    <x v="1"/>
    <x v="3"/>
    <x v="4"/>
    <x v="896"/>
    <x v="907"/>
    <s v="Card"/>
    <s v="TXN106667"/>
    <x v="0"/>
  </r>
  <r>
    <d v="2023-02-24T00:00:00"/>
    <x v="1"/>
    <x v="2"/>
    <x v="1"/>
    <x v="897"/>
    <x v="908"/>
    <s v="Cash"/>
    <s v="TXN107866"/>
    <x v="0"/>
  </r>
  <r>
    <d v="2023-02-24T00:00:00"/>
    <x v="1"/>
    <x v="7"/>
    <x v="0"/>
    <x v="898"/>
    <x v="909"/>
    <s v="Cash"/>
    <s v="TXN108772"/>
    <x v="0"/>
  </r>
  <r>
    <d v="2023-02-24T00:00:00"/>
    <x v="1"/>
    <x v="2"/>
    <x v="2"/>
    <x v="899"/>
    <x v="910"/>
    <s v="Cash"/>
    <s v="TXN109035"/>
    <x v="0"/>
  </r>
  <r>
    <d v="2023-02-24T00:00:00"/>
    <x v="1"/>
    <x v="2"/>
    <x v="0"/>
    <x v="900"/>
    <x v="911"/>
    <s v="Card"/>
    <s v="TXN109560"/>
    <x v="0"/>
  </r>
  <r>
    <d v="2023-02-24T00:00:00"/>
    <x v="1"/>
    <x v="5"/>
    <x v="0"/>
    <x v="901"/>
    <x v="656"/>
    <s v="Card"/>
    <s v="REV100094"/>
    <x v="1"/>
  </r>
  <r>
    <d v="2023-02-24T00:00:00"/>
    <x v="1"/>
    <x v="5"/>
    <x v="2"/>
    <x v="902"/>
    <x v="912"/>
    <s v="Bank Transfer"/>
    <s v="REV100236"/>
    <x v="1"/>
  </r>
  <r>
    <d v="2023-02-24T00:00:00"/>
    <x v="1"/>
    <x v="5"/>
    <x v="0"/>
    <x v="903"/>
    <x v="913"/>
    <s v="UPI"/>
    <s v="REV100277"/>
    <x v="1"/>
  </r>
  <r>
    <d v="2023-02-24T00:00:00"/>
    <x v="1"/>
    <x v="6"/>
    <x v="0"/>
    <x v="904"/>
    <x v="914"/>
    <s v="Bank Transfer"/>
    <s v="REV100667"/>
    <x v="1"/>
  </r>
  <r>
    <d v="2023-02-24T00:00:00"/>
    <x v="1"/>
    <x v="6"/>
    <x v="3"/>
    <x v="905"/>
    <x v="66"/>
    <s v="Card"/>
    <s v="REV101067"/>
    <x v="1"/>
  </r>
  <r>
    <d v="2023-02-24T00:00:00"/>
    <x v="1"/>
    <x v="5"/>
    <x v="3"/>
    <x v="906"/>
    <x v="890"/>
    <s v="Bank Transfer"/>
    <s v="REV101407"/>
    <x v="1"/>
  </r>
  <r>
    <d v="2023-02-24T00:00:00"/>
    <x v="1"/>
    <x v="5"/>
    <x v="2"/>
    <x v="907"/>
    <x v="915"/>
    <s v="Card"/>
    <s v="REV101520"/>
    <x v="1"/>
  </r>
  <r>
    <d v="2023-02-24T00:00:00"/>
    <x v="1"/>
    <x v="5"/>
    <x v="3"/>
    <x v="908"/>
    <x v="916"/>
    <s v="Card"/>
    <s v="REV102051"/>
    <x v="1"/>
  </r>
  <r>
    <d v="2023-02-24T00:00:00"/>
    <x v="1"/>
    <x v="6"/>
    <x v="4"/>
    <x v="909"/>
    <x v="917"/>
    <s v="Bank Transfer"/>
    <s v="REV102266"/>
    <x v="1"/>
  </r>
  <r>
    <d v="2023-02-24T00:00:00"/>
    <x v="1"/>
    <x v="5"/>
    <x v="1"/>
    <x v="910"/>
    <x v="763"/>
    <s v="Bank Transfer"/>
    <s v="REV102674"/>
    <x v="1"/>
  </r>
  <r>
    <d v="2023-02-24T00:00:00"/>
    <x v="1"/>
    <x v="6"/>
    <x v="0"/>
    <x v="911"/>
    <x v="918"/>
    <s v="Card"/>
    <s v="REV102978"/>
    <x v="1"/>
  </r>
  <r>
    <d v="2023-02-24T00:00:00"/>
    <x v="1"/>
    <x v="5"/>
    <x v="2"/>
    <x v="912"/>
    <x v="919"/>
    <s v="UPI"/>
    <s v="REV103058"/>
    <x v="1"/>
  </r>
  <r>
    <d v="2023-02-24T00:00:00"/>
    <x v="1"/>
    <x v="5"/>
    <x v="0"/>
    <x v="913"/>
    <x v="920"/>
    <s v="Card"/>
    <s v="REV103230"/>
    <x v="1"/>
  </r>
  <r>
    <d v="2023-02-25T00:00:00"/>
    <x v="1"/>
    <x v="7"/>
    <x v="3"/>
    <x v="914"/>
    <x v="921"/>
    <s v="Card"/>
    <s v="TXN102576"/>
    <x v="0"/>
  </r>
  <r>
    <d v="2023-02-25T00:00:00"/>
    <x v="1"/>
    <x v="1"/>
    <x v="3"/>
    <x v="915"/>
    <x v="922"/>
    <s v="Card"/>
    <s v="TXN105850"/>
    <x v="0"/>
  </r>
  <r>
    <d v="2023-02-25T00:00:00"/>
    <x v="1"/>
    <x v="2"/>
    <x v="1"/>
    <x v="916"/>
    <x v="923"/>
    <s v="UPI"/>
    <s v="TXN108738"/>
    <x v="0"/>
  </r>
  <r>
    <d v="2023-02-25T00:00:00"/>
    <x v="1"/>
    <x v="3"/>
    <x v="3"/>
    <x v="917"/>
    <x v="924"/>
    <s v="Bank Transfer"/>
    <s v="TXN109407"/>
    <x v="0"/>
  </r>
  <r>
    <d v="2023-02-25T00:00:00"/>
    <x v="1"/>
    <x v="5"/>
    <x v="3"/>
    <x v="912"/>
    <x v="925"/>
    <s v="Card"/>
    <s v="REV100901"/>
    <x v="1"/>
  </r>
  <r>
    <d v="2023-02-25T00:00:00"/>
    <x v="1"/>
    <x v="5"/>
    <x v="3"/>
    <x v="918"/>
    <x v="926"/>
    <s v="UPI"/>
    <s v="REV101979"/>
    <x v="1"/>
  </r>
  <r>
    <d v="2023-02-25T00:00:00"/>
    <x v="1"/>
    <x v="5"/>
    <x v="1"/>
    <x v="919"/>
    <x v="299"/>
    <s v="Bank Transfer"/>
    <s v="REV102967"/>
    <x v="1"/>
  </r>
  <r>
    <d v="2023-02-25T00:00:00"/>
    <x v="1"/>
    <x v="5"/>
    <x v="3"/>
    <x v="920"/>
    <x v="927"/>
    <s v="Bank Transfer"/>
    <s v="REV103177"/>
    <x v="1"/>
  </r>
  <r>
    <d v="2023-02-26T00:00:00"/>
    <x v="1"/>
    <x v="1"/>
    <x v="0"/>
    <x v="921"/>
    <x v="928"/>
    <s v="UPI"/>
    <s v="TXN101612"/>
    <x v="0"/>
  </r>
  <r>
    <d v="2023-02-26T00:00:00"/>
    <x v="1"/>
    <x v="3"/>
    <x v="4"/>
    <x v="922"/>
    <x v="929"/>
    <s v="Cash"/>
    <s v="TXN102371"/>
    <x v="0"/>
  </r>
  <r>
    <d v="2023-02-26T00:00:00"/>
    <x v="1"/>
    <x v="7"/>
    <x v="0"/>
    <x v="923"/>
    <x v="930"/>
    <s v="Bank Transfer"/>
    <s v="TXN102614"/>
    <x v="0"/>
  </r>
  <r>
    <d v="2023-02-26T00:00:00"/>
    <x v="1"/>
    <x v="0"/>
    <x v="3"/>
    <x v="924"/>
    <x v="931"/>
    <s v="Bank Transfer"/>
    <s v="TXN105205"/>
    <x v="0"/>
  </r>
  <r>
    <d v="2023-02-26T00:00:00"/>
    <x v="1"/>
    <x v="3"/>
    <x v="0"/>
    <x v="925"/>
    <x v="932"/>
    <s v="Card"/>
    <s v="TXN107597"/>
    <x v="0"/>
  </r>
  <r>
    <d v="2023-02-26T00:00:00"/>
    <x v="1"/>
    <x v="4"/>
    <x v="0"/>
    <x v="926"/>
    <x v="933"/>
    <s v="Cash"/>
    <s v="TXN109788"/>
    <x v="0"/>
  </r>
  <r>
    <d v="2023-02-26T00:00:00"/>
    <x v="1"/>
    <x v="5"/>
    <x v="0"/>
    <x v="913"/>
    <x v="934"/>
    <s v="Card"/>
    <s v="REV100595"/>
    <x v="1"/>
  </r>
  <r>
    <d v="2023-02-26T00:00:00"/>
    <x v="1"/>
    <x v="5"/>
    <x v="4"/>
    <x v="927"/>
    <x v="935"/>
    <s v="Card"/>
    <s v="REV100835"/>
    <x v="1"/>
  </r>
  <r>
    <d v="2023-02-26T00:00:00"/>
    <x v="1"/>
    <x v="5"/>
    <x v="0"/>
    <x v="81"/>
    <x v="936"/>
    <s v="Card"/>
    <s v="REV100916"/>
    <x v="1"/>
  </r>
  <r>
    <d v="2023-02-26T00:00:00"/>
    <x v="1"/>
    <x v="5"/>
    <x v="3"/>
    <x v="928"/>
    <x v="937"/>
    <s v="Bank Transfer"/>
    <s v="REV101763"/>
    <x v="1"/>
  </r>
  <r>
    <d v="2023-02-26T00:00:00"/>
    <x v="1"/>
    <x v="6"/>
    <x v="0"/>
    <x v="929"/>
    <x v="938"/>
    <s v="Bank Transfer"/>
    <s v="REV102581"/>
    <x v="1"/>
  </r>
  <r>
    <d v="2023-02-26T00:00:00"/>
    <x v="1"/>
    <x v="6"/>
    <x v="0"/>
    <x v="930"/>
    <x v="939"/>
    <s v="Card"/>
    <s v="REV103311"/>
    <x v="1"/>
  </r>
  <r>
    <d v="2023-02-27T00:00:00"/>
    <x v="1"/>
    <x v="2"/>
    <x v="4"/>
    <x v="931"/>
    <x v="940"/>
    <s v="Cash"/>
    <s v="TXN104350"/>
    <x v="0"/>
  </r>
  <r>
    <d v="2023-02-27T00:00:00"/>
    <x v="1"/>
    <x v="7"/>
    <x v="1"/>
    <x v="932"/>
    <x v="941"/>
    <s v="Bank Transfer"/>
    <s v="TXN104801"/>
    <x v="0"/>
  </r>
  <r>
    <d v="2023-02-27T00:00:00"/>
    <x v="1"/>
    <x v="3"/>
    <x v="4"/>
    <x v="933"/>
    <x v="942"/>
    <s v="Bank Transfer"/>
    <s v="TXN104829"/>
    <x v="0"/>
  </r>
  <r>
    <d v="2023-02-27T00:00:00"/>
    <x v="1"/>
    <x v="2"/>
    <x v="4"/>
    <x v="934"/>
    <x v="943"/>
    <s v="Cash"/>
    <s v="TXN105660"/>
    <x v="0"/>
  </r>
  <r>
    <d v="2023-02-27T00:00:00"/>
    <x v="1"/>
    <x v="4"/>
    <x v="1"/>
    <x v="935"/>
    <x v="944"/>
    <s v="Cash"/>
    <s v="TXN105966"/>
    <x v="0"/>
  </r>
  <r>
    <d v="2023-02-27T00:00:00"/>
    <x v="1"/>
    <x v="0"/>
    <x v="3"/>
    <x v="936"/>
    <x v="945"/>
    <s v="Bank Transfer"/>
    <s v="TXN106428"/>
    <x v="0"/>
  </r>
  <r>
    <d v="2023-02-27T00:00:00"/>
    <x v="1"/>
    <x v="3"/>
    <x v="2"/>
    <x v="937"/>
    <x v="946"/>
    <s v="Cash"/>
    <s v="TXN106830"/>
    <x v="0"/>
  </r>
  <r>
    <d v="2023-02-27T00:00:00"/>
    <x v="1"/>
    <x v="0"/>
    <x v="4"/>
    <x v="938"/>
    <x v="947"/>
    <s v="UPI"/>
    <s v="TXN109729"/>
    <x v="0"/>
  </r>
  <r>
    <d v="2023-02-27T00:00:00"/>
    <x v="1"/>
    <x v="1"/>
    <x v="4"/>
    <x v="939"/>
    <x v="948"/>
    <s v="UPI"/>
    <s v="TXN109829"/>
    <x v="0"/>
  </r>
  <r>
    <d v="2023-02-27T00:00:00"/>
    <x v="1"/>
    <x v="6"/>
    <x v="4"/>
    <x v="940"/>
    <x v="949"/>
    <s v="Bank Transfer"/>
    <s v="REV101504"/>
    <x v="1"/>
  </r>
  <r>
    <d v="2023-02-27T00:00:00"/>
    <x v="1"/>
    <x v="6"/>
    <x v="1"/>
    <x v="154"/>
    <x v="950"/>
    <s v="Bank Transfer"/>
    <s v="REV101637"/>
    <x v="1"/>
  </r>
  <r>
    <d v="2023-02-27T00:00:00"/>
    <x v="1"/>
    <x v="5"/>
    <x v="4"/>
    <x v="133"/>
    <x v="951"/>
    <s v="Card"/>
    <s v="REV101646"/>
    <x v="1"/>
  </r>
  <r>
    <d v="2023-02-27T00:00:00"/>
    <x v="1"/>
    <x v="5"/>
    <x v="4"/>
    <x v="941"/>
    <x v="952"/>
    <s v="Bank Transfer"/>
    <s v="REV101925"/>
    <x v="1"/>
  </r>
  <r>
    <d v="2023-02-27T00:00:00"/>
    <x v="1"/>
    <x v="5"/>
    <x v="1"/>
    <x v="942"/>
    <x v="853"/>
    <s v="UPI"/>
    <s v="REV102015"/>
    <x v="1"/>
  </r>
  <r>
    <d v="2023-02-27T00:00:00"/>
    <x v="1"/>
    <x v="5"/>
    <x v="3"/>
    <x v="943"/>
    <x v="953"/>
    <s v="Bank Transfer"/>
    <s v="REV102174"/>
    <x v="1"/>
  </r>
  <r>
    <d v="2023-02-27T00:00:00"/>
    <x v="1"/>
    <x v="5"/>
    <x v="2"/>
    <x v="944"/>
    <x v="954"/>
    <s v="UPI"/>
    <s v="REV102323"/>
    <x v="1"/>
  </r>
  <r>
    <d v="2023-02-27T00:00:00"/>
    <x v="1"/>
    <x v="5"/>
    <x v="4"/>
    <x v="901"/>
    <x v="955"/>
    <s v="Card"/>
    <s v="REV103292"/>
    <x v="1"/>
  </r>
  <r>
    <d v="2023-02-27T00:00:00"/>
    <x v="1"/>
    <x v="6"/>
    <x v="4"/>
    <x v="945"/>
    <x v="956"/>
    <s v="Bank Transfer"/>
    <s v="REV103327"/>
    <x v="1"/>
  </r>
  <r>
    <d v="2023-02-28T00:00:00"/>
    <x v="1"/>
    <x v="2"/>
    <x v="1"/>
    <x v="946"/>
    <x v="957"/>
    <s v="UPI"/>
    <s v="TXN101609"/>
    <x v="0"/>
  </r>
  <r>
    <d v="2023-02-28T00:00:00"/>
    <x v="1"/>
    <x v="3"/>
    <x v="0"/>
    <x v="947"/>
    <x v="958"/>
    <s v="UPI"/>
    <s v="TXN101894"/>
    <x v="0"/>
  </r>
  <r>
    <d v="2023-02-28T00:00:00"/>
    <x v="1"/>
    <x v="3"/>
    <x v="4"/>
    <x v="948"/>
    <x v="959"/>
    <s v="UPI"/>
    <s v="TXN103984"/>
    <x v="0"/>
  </r>
  <r>
    <d v="2023-02-28T00:00:00"/>
    <x v="1"/>
    <x v="2"/>
    <x v="3"/>
    <x v="949"/>
    <x v="960"/>
    <s v="UPI"/>
    <s v="TXN105056"/>
    <x v="0"/>
  </r>
  <r>
    <d v="2023-02-28T00:00:00"/>
    <x v="1"/>
    <x v="0"/>
    <x v="4"/>
    <x v="950"/>
    <x v="961"/>
    <s v="Cash"/>
    <s v="TXN106890"/>
    <x v="0"/>
  </r>
  <r>
    <d v="2023-02-28T00:00:00"/>
    <x v="1"/>
    <x v="1"/>
    <x v="1"/>
    <x v="951"/>
    <x v="962"/>
    <s v="Bank Transfer"/>
    <s v="TXN107252"/>
    <x v="0"/>
  </r>
  <r>
    <d v="2023-02-28T00:00:00"/>
    <x v="1"/>
    <x v="4"/>
    <x v="3"/>
    <x v="952"/>
    <x v="963"/>
    <s v="Card"/>
    <s v="TXN107563"/>
    <x v="0"/>
  </r>
  <r>
    <d v="2023-02-28T00:00:00"/>
    <x v="1"/>
    <x v="5"/>
    <x v="1"/>
    <x v="953"/>
    <x v="341"/>
    <s v="Card"/>
    <s v="REV100594"/>
    <x v="1"/>
  </r>
  <r>
    <d v="2023-02-28T00:00:00"/>
    <x v="1"/>
    <x v="5"/>
    <x v="0"/>
    <x v="954"/>
    <x v="964"/>
    <s v="Bank Transfer"/>
    <s v="REV100679"/>
    <x v="1"/>
  </r>
  <r>
    <d v="2023-02-28T00:00:00"/>
    <x v="1"/>
    <x v="5"/>
    <x v="4"/>
    <x v="955"/>
    <x v="965"/>
    <s v="Card"/>
    <s v="REV101380"/>
    <x v="1"/>
  </r>
  <r>
    <d v="2023-02-28T00:00:00"/>
    <x v="1"/>
    <x v="6"/>
    <x v="3"/>
    <x v="956"/>
    <x v="966"/>
    <s v="Card"/>
    <s v="REV101722"/>
    <x v="1"/>
  </r>
  <r>
    <d v="2023-02-28T00:00:00"/>
    <x v="1"/>
    <x v="5"/>
    <x v="4"/>
    <x v="957"/>
    <x v="967"/>
    <s v="UPI"/>
    <s v="REV102345"/>
    <x v="1"/>
  </r>
  <r>
    <d v="2023-02-28T00:00:00"/>
    <x v="1"/>
    <x v="5"/>
    <x v="1"/>
    <x v="958"/>
    <x v="968"/>
    <s v="Card"/>
    <s v="REV102463"/>
    <x v="1"/>
  </r>
  <r>
    <d v="2023-02-28T00:00:00"/>
    <x v="1"/>
    <x v="6"/>
    <x v="3"/>
    <x v="959"/>
    <x v="284"/>
    <s v="Bank Transfer"/>
    <s v="REV102568"/>
    <x v="1"/>
  </r>
  <r>
    <d v="2023-03-01T00:00:00"/>
    <x v="2"/>
    <x v="2"/>
    <x v="1"/>
    <x v="960"/>
    <x v="969"/>
    <s v="Card"/>
    <s v="TXN100336"/>
    <x v="0"/>
  </r>
  <r>
    <d v="2023-03-01T00:00:00"/>
    <x v="2"/>
    <x v="4"/>
    <x v="4"/>
    <x v="961"/>
    <x v="970"/>
    <s v="Card"/>
    <s v="TXN101967"/>
    <x v="0"/>
  </r>
  <r>
    <d v="2023-03-01T00:00:00"/>
    <x v="2"/>
    <x v="0"/>
    <x v="3"/>
    <x v="962"/>
    <x v="971"/>
    <s v="UPI"/>
    <s v="TXN102976"/>
    <x v="0"/>
  </r>
  <r>
    <d v="2023-03-01T00:00:00"/>
    <x v="2"/>
    <x v="2"/>
    <x v="1"/>
    <x v="963"/>
    <x v="972"/>
    <s v="Cash"/>
    <s v="TXN103756"/>
    <x v="0"/>
  </r>
  <r>
    <d v="2023-03-01T00:00:00"/>
    <x v="2"/>
    <x v="1"/>
    <x v="3"/>
    <x v="964"/>
    <x v="973"/>
    <s v="UPI"/>
    <s v="TXN103773"/>
    <x v="0"/>
  </r>
  <r>
    <d v="2023-03-01T00:00:00"/>
    <x v="2"/>
    <x v="2"/>
    <x v="1"/>
    <x v="965"/>
    <x v="974"/>
    <s v="Card"/>
    <s v="TXN107075"/>
    <x v="0"/>
  </r>
  <r>
    <d v="2023-03-01T00:00:00"/>
    <x v="2"/>
    <x v="3"/>
    <x v="4"/>
    <x v="240"/>
    <x v="975"/>
    <s v="UPI"/>
    <s v="TXN107902"/>
    <x v="0"/>
  </r>
  <r>
    <d v="2023-03-01T00:00:00"/>
    <x v="2"/>
    <x v="7"/>
    <x v="2"/>
    <x v="966"/>
    <x v="976"/>
    <s v="Cash"/>
    <s v="TXN109610"/>
    <x v="0"/>
  </r>
  <r>
    <d v="2023-03-01T00:00:00"/>
    <x v="2"/>
    <x v="5"/>
    <x v="1"/>
    <x v="967"/>
    <x v="977"/>
    <s v="Bank Transfer"/>
    <s v="REV100124"/>
    <x v="1"/>
  </r>
  <r>
    <d v="2023-03-01T00:00:00"/>
    <x v="2"/>
    <x v="5"/>
    <x v="4"/>
    <x v="968"/>
    <x v="978"/>
    <s v="Bank Transfer"/>
    <s v="REV100705"/>
    <x v="1"/>
  </r>
  <r>
    <d v="2023-03-01T00:00:00"/>
    <x v="2"/>
    <x v="5"/>
    <x v="3"/>
    <x v="969"/>
    <x v="979"/>
    <s v="Bank Transfer"/>
    <s v="REV101034"/>
    <x v="1"/>
  </r>
  <r>
    <d v="2023-03-01T00:00:00"/>
    <x v="2"/>
    <x v="5"/>
    <x v="1"/>
    <x v="970"/>
    <x v="765"/>
    <s v="Bank Transfer"/>
    <s v="REV101293"/>
    <x v="1"/>
  </r>
  <r>
    <d v="2023-03-01T00:00:00"/>
    <x v="2"/>
    <x v="5"/>
    <x v="3"/>
    <x v="155"/>
    <x v="468"/>
    <s v="Bank Transfer"/>
    <s v="REV101299"/>
    <x v="1"/>
  </r>
  <r>
    <d v="2023-03-01T00:00:00"/>
    <x v="2"/>
    <x v="6"/>
    <x v="1"/>
    <x v="971"/>
    <x v="313"/>
    <s v="UPI"/>
    <s v="REV102402"/>
    <x v="1"/>
  </r>
  <r>
    <d v="2023-03-01T00:00:00"/>
    <x v="2"/>
    <x v="5"/>
    <x v="4"/>
    <x v="972"/>
    <x v="65"/>
    <s v="Bank Transfer"/>
    <s v="REV102682"/>
    <x v="1"/>
  </r>
  <r>
    <d v="2023-03-01T00:00:00"/>
    <x v="2"/>
    <x v="5"/>
    <x v="2"/>
    <x v="176"/>
    <x v="980"/>
    <s v="Bank Transfer"/>
    <s v="REV103249"/>
    <x v="1"/>
  </r>
  <r>
    <d v="2023-03-02T00:00:00"/>
    <x v="2"/>
    <x v="0"/>
    <x v="0"/>
    <x v="973"/>
    <x v="981"/>
    <s v="UPI"/>
    <s v="TXN100325"/>
    <x v="0"/>
  </r>
  <r>
    <d v="2023-03-02T00:00:00"/>
    <x v="2"/>
    <x v="1"/>
    <x v="3"/>
    <x v="974"/>
    <x v="982"/>
    <s v="Cash"/>
    <s v="TXN103026"/>
    <x v="0"/>
  </r>
  <r>
    <d v="2023-03-02T00:00:00"/>
    <x v="2"/>
    <x v="0"/>
    <x v="1"/>
    <x v="975"/>
    <x v="983"/>
    <s v="Bank Transfer"/>
    <s v="TXN103554"/>
    <x v="0"/>
  </r>
  <r>
    <d v="2023-03-02T00:00:00"/>
    <x v="2"/>
    <x v="4"/>
    <x v="2"/>
    <x v="976"/>
    <x v="984"/>
    <s v="Card"/>
    <s v="TXN104491"/>
    <x v="0"/>
  </r>
  <r>
    <d v="2023-03-02T00:00:00"/>
    <x v="2"/>
    <x v="3"/>
    <x v="1"/>
    <x v="977"/>
    <x v="985"/>
    <s v="Card"/>
    <s v="TXN104823"/>
    <x v="0"/>
  </r>
  <r>
    <d v="2023-03-02T00:00:00"/>
    <x v="2"/>
    <x v="2"/>
    <x v="4"/>
    <x v="978"/>
    <x v="986"/>
    <s v="Card"/>
    <s v="TXN105253"/>
    <x v="0"/>
  </r>
  <r>
    <d v="2023-03-02T00:00:00"/>
    <x v="2"/>
    <x v="0"/>
    <x v="4"/>
    <x v="979"/>
    <x v="987"/>
    <s v="Bank Transfer"/>
    <s v="TXN105375"/>
    <x v="0"/>
  </r>
  <r>
    <d v="2023-03-02T00:00:00"/>
    <x v="2"/>
    <x v="0"/>
    <x v="4"/>
    <x v="261"/>
    <x v="988"/>
    <s v="Bank Transfer"/>
    <s v="TXN106225"/>
    <x v="0"/>
  </r>
  <r>
    <d v="2023-03-02T00:00:00"/>
    <x v="2"/>
    <x v="1"/>
    <x v="1"/>
    <x v="980"/>
    <x v="989"/>
    <s v="UPI"/>
    <s v="TXN106235"/>
    <x v="0"/>
  </r>
  <r>
    <d v="2023-03-02T00:00:00"/>
    <x v="2"/>
    <x v="1"/>
    <x v="4"/>
    <x v="981"/>
    <x v="990"/>
    <s v="Cash"/>
    <s v="TXN106825"/>
    <x v="0"/>
  </r>
  <r>
    <d v="2023-03-02T00:00:00"/>
    <x v="2"/>
    <x v="7"/>
    <x v="2"/>
    <x v="982"/>
    <x v="634"/>
    <s v="Cash"/>
    <s v="TXN108502"/>
    <x v="0"/>
  </r>
  <r>
    <d v="2023-03-02T00:00:00"/>
    <x v="2"/>
    <x v="4"/>
    <x v="2"/>
    <x v="983"/>
    <x v="991"/>
    <s v="Bank Transfer"/>
    <s v="TXN109349"/>
    <x v="0"/>
  </r>
  <r>
    <d v="2023-03-02T00:00:00"/>
    <x v="2"/>
    <x v="6"/>
    <x v="0"/>
    <x v="984"/>
    <x v="992"/>
    <s v="Bank Transfer"/>
    <s v="REV100119"/>
    <x v="1"/>
  </r>
  <r>
    <d v="2023-03-02T00:00:00"/>
    <x v="2"/>
    <x v="6"/>
    <x v="3"/>
    <x v="788"/>
    <x v="50"/>
    <s v="UPI"/>
    <s v="REV101047"/>
    <x v="1"/>
  </r>
  <r>
    <d v="2023-03-02T00:00:00"/>
    <x v="2"/>
    <x v="5"/>
    <x v="1"/>
    <x v="985"/>
    <x v="993"/>
    <s v="Bank Transfer"/>
    <s v="REV101213"/>
    <x v="1"/>
  </r>
  <r>
    <d v="2023-03-02T00:00:00"/>
    <x v="2"/>
    <x v="5"/>
    <x v="2"/>
    <x v="986"/>
    <x v="483"/>
    <s v="Bank Transfer"/>
    <s v="REV101542"/>
    <x v="1"/>
  </r>
  <r>
    <d v="2023-03-02T00:00:00"/>
    <x v="2"/>
    <x v="5"/>
    <x v="1"/>
    <x v="987"/>
    <x v="917"/>
    <s v="Bank Transfer"/>
    <s v="REV101643"/>
    <x v="1"/>
  </r>
  <r>
    <d v="2023-03-02T00:00:00"/>
    <x v="2"/>
    <x v="6"/>
    <x v="4"/>
    <x v="988"/>
    <x v="994"/>
    <s v="Bank Transfer"/>
    <s v="REV101781"/>
    <x v="1"/>
  </r>
  <r>
    <d v="2023-03-02T00:00:00"/>
    <x v="2"/>
    <x v="5"/>
    <x v="4"/>
    <x v="989"/>
    <x v="235"/>
    <s v="Bank Transfer"/>
    <s v="REV101829"/>
    <x v="1"/>
  </r>
  <r>
    <d v="2023-03-02T00:00:00"/>
    <x v="2"/>
    <x v="6"/>
    <x v="4"/>
    <x v="990"/>
    <x v="995"/>
    <s v="Card"/>
    <s v="REV102094"/>
    <x v="1"/>
  </r>
  <r>
    <d v="2023-03-02T00:00:00"/>
    <x v="2"/>
    <x v="5"/>
    <x v="1"/>
    <x v="991"/>
    <x v="996"/>
    <s v="Card"/>
    <s v="REV102098"/>
    <x v="1"/>
  </r>
  <r>
    <d v="2023-03-02T00:00:00"/>
    <x v="2"/>
    <x v="5"/>
    <x v="4"/>
    <x v="992"/>
    <x v="997"/>
    <s v="UPI"/>
    <s v="REV102320"/>
    <x v="1"/>
  </r>
  <r>
    <d v="2023-03-02T00:00:00"/>
    <x v="2"/>
    <x v="5"/>
    <x v="2"/>
    <x v="993"/>
    <x v="998"/>
    <s v="Card"/>
    <s v="REV102879"/>
    <x v="1"/>
  </r>
  <r>
    <d v="2023-03-02T00:00:00"/>
    <x v="2"/>
    <x v="6"/>
    <x v="2"/>
    <x v="994"/>
    <x v="999"/>
    <s v="Bank Transfer"/>
    <s v="REV103161"/>
    <x v="1"/>
  </r>
  <r>
    <d v="2023-03-03T00:00:00"/>
    <x v="2"/>
    <x v="4"/>
    <x v="1"/>
    <x v="995"/>
    <x v="1000"/>
    <s v="Card"/>
    <s v="TXN100066"/>
    <x v="0"/>
  </r>
  <r>
    <d v="2023-03-03T00:00:00"/>
    <x v="2"/>
    <x v="7"/>
    <x v="2"/>
    <x v="996"/>
    <x v="1001"/>
    <s v="Cash"/>
    <s v="TXN100365"/>
    <x v="0"/>
  </r>
  <r>
    <d v="2023-03-03T00:00:00"/>
    <x v="2"/>
    <x v="0"/>
    <x v="1"/>
    <x v="997"/>
    <x v="1002"/>
    <s v="UPI"/>
    <s v="TXN101307"/>
    <x v="0"/>
  </r>
  <r>
    <d v="2023-03-03T00:00:00"/>
    <x v="2"/>
    <x v="1"/>
    <x v="2"/>
    <x v="998"/>
    <x v="1003"/>
    <s v="UPI"/>
    <s v="TXN102124"/>
    <x v="0"/>
  </r>
  <r>
    <d v="2023-03-03T00:00:00"/>
    <x v="2"/>
    <x v="7"/>
    <x v="1"/>
    <x v="999"/>
    <x v="1004"/>
    <s v="Cash"/>
    <s v="TXN104110"/>
    <x v="0"/>
  </r>
  <r>
    <d v="2023-03-03T00:00:00"/>
    <x v="2"/>
    <x v="3"/>
    <x v="4"/>
    <x v="1000"/>
    <x v="1005"/>
    <s v="Bank Transfer"/>
    <s v="TXN105415"/>
    <x v="0"/>
  </r>
  <r>
    <d v="2023-03-03T00:00:00"/>
    <x v="2"/>
    <x v="0"/>
    <x v="3"/>
    <x v="1001"/>
    <x v="1006"/>
    <s v="Cash"/>
    <s v="TXN107756"/>
    <x v="0"/>
  </r>
  <r>
    <d v="2023-03-03T00:00:00"/>
    <x v="2"/>
    <x v="5"/>
    <x v="1"/>
    <x v="1002"/>
    <x v="1007"/>
    <s v="Bank Transfer"/>
    <s v="REV100025"/>
    <x v="1"/>
  </r>
  <r>
    <d v="2023-03-03T00:00:00"/>
    <x v="2"/>
    <x v="6"/>
    <x v="2"/>
    <x v="1003"/>
    <x v="1008"/>
    <s v="Bank Transfer"/>
    <s v="REV100138"/>
    <x v="1"/>
  </r>
  <r>
    <d v="2023-03-03T00:00:00"/>
    <x v="2"/>
    <x v="5"/>
    <x v="1"/>
    <x v="649"/>
    <x v="1009"/>
    <s v="Bank Transfer"/>
    <s v="REV100483"/>
    <x v="1"/>
  </r>
  <r>
    <d v="2023-03-03T00:00:00"/>
    <x v="2"/>
    <x v="5"/>
    <x v="2"/>
    <x v="505"/>
    <x v="1010"/>
    <s v="Bank Transfer"/>
    <s v="REV100756"/>
    <x v="1"/>
  </r>
  <r>
    <d v="2023-03-03T00:00:00"/>
    <x v="2"/>
    <x v="5"/>
    <x v="1"/>
    <x v="910"/>
    <x v="1011"/>
    <s v="Bank Transfer"/>
    <s v="REV101422"/>
    <x v="1"/>
  </r>
  <r>
    <d v="2023-03-03T00:00:00"/>
    <x v="2"/>
    <x v="5"/>
    <x v="4"/>
    <x v="1004"/>
    <x v="110"/>
    <s v="Card"/>
    <s v="REV101842"/>
    <x v="1"/>
  </r>
  <r>
    <d v="2023-03-03T00:00:00"/>
    <x v="2"/>
    <x v="5"/>
    <x v="3"/>
    <x v="1005"/>
    <x v="1012"/>
    <s v="Bank Transfer"/>
    <s v="REV102639"/>
    <x v="1"/>
  </r>
  <r>
    <d v="2023-03-04T00:00:00"/>
    <x v="2"/>
    <x v="0"/>
    <x v="3"/>
    <x v="1006"/>
    <x v="1013"/>
    <s v="Cash"/>
    <s v="TXN101306"/>
    <x v="0"/>
  </r>
  <r>
    <d v="2023-03-04T00:00:00"/>
    <x v="2"/>
    <x v="2"/>
    <x v="4"/>
    <x v="1007"/>
    <x v="1014"/>
    <s v="UPI"/>
    <s v="TXN101605"/>
    <x v="0"/>
  </r>
  <r>
    <d v="2023-03-04T00:00:00"/>
    <x v="2"/>
    <x v="1"/>
    <x v="0"/>
    <x v="1008"/>
    <x v="1015"/>
    <s v="Cash"/>
    <s v="TXN101780"/>
    <x v="0"/>
  </r>
  <r>
    <d v="2023-03-04T00:00:00"/>
    <x v="2"/>
    <x v="3"/>
    <x v="1"/>
    <x v="1009"/>
    <x v="1016"/>
    <s v="Card"/>
    <s v="TXN102787"/>
    <x v="0"/>
  </r>
  <r>
    <d v="2023-03-04T00:00:00"/>
    <x v="2"/>
    <x v="2"/>
    <x v="0"/>
    <x v="1010"/>
    <x v="1017"/>
    <s v="Card"/>
    <s v="TXN106312"/>
    <x v="0"/>
  </r>
  <r>
    <d v="2023-03-04T00:00:00"/>
    <x v="2"/>
    <x v="7"/>
    <x v="4"/>
    <x v="1011"/>
    <x v="1018"/>
    <s v="Card"/>
    <s v="TXN106632"/>
    <x v="0"/>
  </r>
  <r>
    <d v="2023-03-04T00:00:00"/>
    <x v="2"/>
    <x v="0"/>
    <x v="2"/>
    <x v="1012"/>
    <x v="1019"/>
    <s v="UPI"/>
    <s v="TXN106633"/>
    <x v="0"/>
  </r>
  <r>
    <d v="2023-03-04T00:00:00"/>
    <x v="2"/>
    <x v="3"/>
    <x v="0"/>
    <x v="1013"/>
    <x v="1020"/>
    <s v="UPI"/>
    <s v="TXN107235"/>
    <x v="0"/>
  </r>
  <r>
    <d v="2023-03-04T00:00:00"/>
    <x v="2"/>
    <x v="3"/>
    <x v="3"/>
    <x v="1014"/>
    <x v="1021"/>
    <s v="Bank Transfer"/>
    <s v="TXN107732"/>
    <x v="0"/>
  </r>
  <r>
    <d v="2023-03-04T00:00:00"/>
    <x v="2"/>
    <x v="4"/>
    <x v="2"/>
    <x v="1015"/>
    <x v="1022"/>
    <s v="Cash"/>
    <s v="TXN108202"/>
    <x v="0"/>
  </r>
  <r>
    <d v="2023-03-04T00:00:00"/>
    <x v="2"/>
    <x v="7"/>
    <x v="0"/>
    <x v="1016"/>
    <x v="1023"/>
    <s v="Bank Transfer"/>
    <s v="TXN108959"/>
    <x v="0"/>
  </r>
  <r>
    <d v="2023-03-04T00:00:00"/>
    <x v="2"/>
    <x v="5"/>
    <x v="3"/>
    <x v="1017"/>
    <x v="1024"/>
    <s v="Card"/>
    <s v="REV100482"/>
    <x v="1"/>
  </r>
  <r>
    <d v="2023-03-04T00:00:00"/>
    <x v="2"/>
    <x v="5"/>
    <x v="4"/>
    <x v="886"/>
    <x v="1025"/>
    <s v="UPI"/>
    <s v="REV100593"/>
    <x v="1"/>
  </r>
  <r>
    <d v="2023-03-04T00:00:00"/>
    <x v="2"/>
    <x v="5"/>
    <x v="0"/>
    <x v="1003"/>
    <x v="1026"/>
    <s v="UPI"/>
    <s v="REV100647"/>
    <x v="1"/>
  </r>
  <r>
    <d v="2023-03-04T00:00:00"/>
    <x v="2"/>
    <x v="5"/>
    <x v="1"/>
    <x v="489"/>
    <x v="1027"/>
    <s v="UPI"/>
    <s v="REV100978"/>
    <x v="1"/>
  </r>
  <r>
    <d v="2023-03-04T00:00:00"/>
    <x v="2"/>
    <x v="5"/>
    <x v="0"/>
    <x v="531"/>
    <x v="1028"/>
    <s v="Card"/>
    <s v="REV102128"/>
    <x v="1"/>
  </r>
  <r>
    <d v="2023-03-04T00:00:00"/>
    <x v="2"/>
    <x v="6"/>
    <x v="4"/>
    <x v="1018"/>
    <x v="1029"/>
    <s v="Card"/>
    <s v="REV102254"/>
    <x v="1"/>
  </r>
  <r>
    <d v="2023-03-04T00:00:00"/>
    <x v="2"/>
    <x v="5"/>
    <x v="2"/>
    <x v="1019"/>
    <x v="1030"/>
    <s v="Card"/>
    <s v="REV102255"/>
    <x v="1"/>
  </r>
  <r>
    <d v="2023-03-04T00:00:00"/>
    <x v="2"/>
    <x v="5"/>
    <x v="0"/>
    <x v="1020"/>
    <x v="1031"/>
    <s v="Bank Transfer"/>
    <s v="REV102457"/>
    <x v="1"/>
  </r>
  <r>
    <d v="2023-03-04T00:00:00"/>
    <x v="2"/>
    <x v="5"/>
    <x v="3"/>
    <x v="1021"/>
    <x v="716"/>
    <s v="Bank Transfer"/>
    <s v="REV102631"/>
    <x v="1"/>
  </r>
  <r>
    <d v="2023-03-04T00:00:00"/>
    <x v="2"/>
    <x v="6"/>
    <x v="2"/>
    <x v="1022"/>
    <x v="1032"/>
    <s v="Card"/>
    <s v="REV102786"/>
    <x v="1"/>
  </r>
  <r>
    <d v="2023-03-04T00:00:00"/>
    <x v="2"/>
    <x v="5"/>
    <x v="0"/>
    <x v="1023"/>
    <x v="1033"/>
    <s v="Card"/>
    <s v="REV103033"/>
    <x v="1"/>
  </r>
  <r>
    <d v="2023-03-05T00:00:00"/>
    <x v="2"/>
    <x v="1"/>
    <x v="2"/>
    <x v="1024"/>
    <x v="1034"/>
    <s v="Bank Transfer"/>
    <s v="TXN100640"/>
    <x v="0"/>
  </r>
  <r>
    <d v="2023-03-05T00:00:00"/>
    <x v="2"/>
    <x v="7"/>
    <x v="4"/>
    <x v="1025"/>
    <x v="572"/>
    <s v="Bank Transfer"/>
    <s v="TXN100825"/>
    <x v="0"/>
  </r>
  <r>
    <d v="2023-03-05T00:00:00"/>
    <x v="2"/>
    <x v="4"/>
    <x v="1"/>
    <x v="1026"/>
    <x v="1035"/>
    <s v="UPI"/>
    <s v="TXN101021"/>
    <x v="0"/>
  </r>
  <r>
    <d v="2023-03-05T00:00:00"/>
    <x v="2"/>
    <x v="1"/>
    <x v="2"/>
    <x v="1027"/>
    <x v="1036"/>
    <s v="Bank Transfer"/>
    <s v="TXN101449"/>
    <x v="0"/>
  </r>
  <r>
    <d v="2023-03-05T00:00:00"/>
    <x v="2"/>
    <x v="7"/>
    <x v="3"/>
    <x v="1028"/>
    <x v="1037"/>
    <s v="Card"/>
    <s v="TXN102680"/>
    <x v="0"/>
  </r>
  <r>
    <d v="2023-03-05T00:00:00"/>
    <x v="2"/>
    <x v="2"/>
    <x v="3"/>
    <x v="1029"/>
    <x v="1038"/>
    <s v="Cash"/>
    <s v="TXN102907"/>
    <x v="0"/>
  </r>
  <r>
    <d v="2023-03-05T00:00:00"/>
    <x v="2"/>
    <x v="3"/>
    <x v="3"/>
    <x v="1030"/>
    <x v="1039"/>
    <s v="Bank Transfer"/>
    <s v="TXN103453"/>
    <x v="0"/>
  </r>
  <r>
    <d v="2023-03-05T00:00:00"/>
    <x v="2"/>
    <x v="2"/>
    <x v="1"/>
    <x v="1031"/>
    <x v="1040"/>
    <s v="Card"/>
    <s v="TXN104714"/>
    <x v="0"/>
  </r>
  <r>
    <d v="2023-03-05T00:00:00"/>
    <x v="2"/>
    <x v="3"/>
    <x v="1"/>
    <x v="1032"/>
    <x v="1041"/>
    <s v="UPI"/>
    <s v="TXN105098"/>
    <x v="0"/>
  </r>
  <r>
    <d v="2023-03-05T00:00:00"/>
    <x v="2"/>
    <x v="0"/>
    <x v="0"/>
    <x v="1033"/>
    <x v="1042"/>
    <s v="UPI"/>
    <s v="TXN107616"/>
    <x v="0"/>
  </r>
  <r>
    <d v="2023-03-05T00:00:00"/>
    <x v="2"/>
    <x v="7"/>
    <x v="3"/>
    <x v="1034"/>
    <x v="1043"/>
    <s v="Card"/>
    <s v="TXN108555"/>
    <x v="0"/>
  </r>
  <r>
    <d v="2023-03-05T00:00:00"/>
    <x v="2"/>
    <x v="2"/>
    <x v="3"/>
    <x v="1035"/>
    <x v="1044"/>
    <s v="Card"/>
    <s v="TXN109421"/>
    <x v="0"/>
  </r>
  <r>
    <d v="2023-03-05T00:00:00"/>
    <x v="2"/>
    <x v="6"/>
    <x v="2"/>
    <x v="1036"/>
    <x v="832"/>
    <s v="Card"/>
    <s v="REV100246"/>
    <x v="1"/>
  </r>
  <r>
    <d v="2023-03-05T00:00:00"/>
    <x v="2"/>
    <x v="5"/>
    <x v="4"/>
    <x v="1037"/>
    <x v="680"/>
    <s v="Card"/>
    <s v="REV100302"/>
    <x v="1"/>
  </r>
  <r>
    <d v="2023-03-05T00:00:00"/>
    <x v="2"/>
    <x v="6"/>
    <x v="1"/>
    <x v="1038"/>
    <x v="1045"/>
    <s v="Bank Transfer"/>
    <s v="REV100379"/>
    <x v="1"/>
  </r>
  <r>
    <d v="2023-03-05T00:00:00"/>
    <x v="2"/>
    <x v="6"/>
    <x v="2"/>
    <x v="1039"/>
    <x v="1046"/>
    <s v="Bank Transfer"/>
    <s v="REV100533"/>
    <x v="1"/>
  </r>
  <r>
    <d v="2023-03-05T00:00:00"/>
    <x v="2"/>
    <x v="6"/>
    <x v="3"/>
    <x v="1040"/>
    <x v="1047"/>
    <s v="UPI"/>
    <s v="REV100938"/>
    <x v="1"/>
  </r>
  <r>
    <d v="2023-03-05T00:00:00"/>
    <x v="2"/>
    <x v="5"/>
    <x v="3"/>
    <x v="1041"/>
    <x v="1048"/>
    <s v="Card"/>
    <s v="REV101015"/>
    <x v="1"/>
  </r>
  <r>
    <d v="2023-03-05T00:00:00"/>
    <x v="2"/>
    <x v="5"/>
    <x v="3"/>
    <x v="1042"/>
    <x v="1049"/>
    <s v="UPI"/>
    <s v="REV101183"/>
    <x v="1"/>
  </r>
  <r>
    <d v="2023-03-05T00:00:00"/>
    <x v="2"/>
    <x v="6"/>
    <x v="1"/>
    <x v="565"/>
    <x v="732"/>
    <s v="Bank Transfer"/>
    <s v="REV101611"/>
    <x v="1"/>
  </r>
  <r>
    <d v="2023-03-05T00:00:00"/>
    <x v="2"/>
    <x v="6"/>
    <x v="1"/>
    <x v="156"/>
    <x v="1050"/>
    <s v="Bank Transfer"/>
    <s v="REV101736"/>
    <x v="1"/>
  </r>
  <r>
    <d v="2023-03-05T00:00:00"/>
    <x v="2"/>
    <x v="5"/>
    <x v="0"/>
    <x v="1043"/>
    <x v="1051"/>
    <s v="Bank Transfer"/>
    <s v="REV102587"/>
    <x v="1"/>
  </r>
  <r>
    <d v="2023-03-05T00:00:00"/>
    <x v="2"/>
    <x v="5"/>
    <x v="3"/>
    <x v="1044"/>
    <x v="1052"/>
    <s v="UPI"/>
    <s v="REV102902"/>
    <x v="1"/>
  </r>
  <r>
    <d v="2023-03-05T00:00:00"/>
    <x v="2"/>
    <x v="6"/>
    <x v="3"/>
    <x v="1045"/>
    <x v="776"/>
    <s v="Bank Transfer"/>
    <s v="REV103186"/>
    <x v="1"/>
  </r>
  <r>
    <d v="2023-03-06T00:00:00"/>
    <x v="2"/>
    <x v="0"/>
    <x v="2"/>
    <x v="1046"/>
    <x v="1053"/>
    <s v="UPI"/>
    <s v="TXN100107"/>
    <x v="0"/>
  </r>
  <r>
    <d v="2023-03-06T00:00:00"/>
    <x v="2"/>
    <x v="0"/>
    <x v="4"/>
    <x v="1047"/>
    <x v="1054"/>
    <s v="UPI"/>
    <s v="TXN100452"/>
    <x v="0"/>
  </r>
  <r>
    <d v="2023-03-06T00:00:00"/>
    <x v="2"/>
    <x v="7"/>
    <x v="1"/>
    <x v="1048"/>
    <x v="1055"/>
    <s v="Bank Transfer"/>
    <s v="TXN100540"/>
    <x v="0"/>
  </r>
  <r>
    <d v="2023-03-06T00:00:00"/>
    <x v="2"/>
    <x v="1"/>
    <x v="3"/>
    <x v="1049"/>
    <x v="1056"/>
    <s v="UPI"/>
    <s v="TXN104323"/>
    <x v="0"/>
  </r>
  <r>
    <d v="2023-03-06T00:00:00"/>
    <x v="2"/>
    <x v="2"/>
    <x v="2"/>
    <x v="1050"/>
    <x v="1057"/>
    <s v="Bank Transfer"/>
    <s v="TXN105695"/>
    <x v="0"/>
  </r>
  <r>
    <d v="2023-03-06T00:00:00"/>
    <x v="2"/>
    <x v="2"/>
    <x v="3"/>
    <x v="1051"/>
    <x v="1058"/>
    <s v="Card"/>
    <s v="TXN107416"/>
    <x v="0"/>
  </r>
  <r>
    <d v="2023-03-06T00:00:00"/>
    <x v="2"/>
    <x v="1"/>
    <x v="3"/>
    <x v="1052"/>
    <x v="1059"/>
    <s v="Bank Transfer"/>
    <s v="TXN107640"/>
    <x v="0"/>
  </r>
  <r>
    <d v="2023-03-06T00:00:00"/>
    <x v="2"/>
    <x v="5"/>
    <x v="2"/>
    <x v="789"/>
    <x v="1060"/>
    <s v="Bank Transfer"/>
    <s v="REV100040"/>
    <x v="1"/>
  </r>
  <r>
    <d v="2023-03-06T00:00:00"/>
    <x v="2"/>
    <x v="5"/>
    <x v="4"/>
    <x v="1053"/>
    <x v="516"/>
    <s v="Bank Transfer"/>
    <s v="REV100174"/>
    <x v="1"/>
  </r>
  <r>
    <d v="2023-03-06T00:00:00"/>
    <x v="2"/>
    <x v="6"/>
    <x v="1"/>
    <x v="1054"/>
    <x v="877"/>
    <s v="Card"/>
    <s v="REV100213"/>
    <x v="1"/>
  </r>
  <r>
    <d v="2023-03-06T00:00:00"/>
    <x v="2"/>
    <x v="6"/>
    <x v="3"/>
    <x v="633"/>
    <x v="1061"/>
    <s v="Card"/>
    <s v="REV101496"/>
    <x v="1"/>
  </r>
  <r>
    <d v="2023-03-06T00:00:00"/>
    <x v="2"/>
    <x v="5"/>
    <x v="2"/>
    <x v="1055"/>
    <x v="1062"/>
    <s v="Bank Transfer"/>
    <s v="REV101936"/>
    <x v="1"/>
  </r>
  <r>
    <d v="2023-03-06T00:00:00"/>
    <x v="2"/>
    <x v="5"/>
    <x v="3"/>
    <x v="1056"/>
    <x v="378"/>
    <s v="Bank Transfer"/>
    <s v="REV102518"/>
    <x v="1"/>
  </r>
  <r>
    <d v="2023-03-06T00:00:00"/>
    <x v="2"/>
    <x v="5"/>
    <x v="3"/>
    <x v="1057"/>
    <x v="1063"/>
    <s v="Bank Transfer"/>
    <s v="REV102596"/>
    <x v="1"/>
  </r>
  <r>
    <d v="2023-03-07T00:00:00"/>
    <x v="2"/>
    <x v="7"/>
    <x v="4"/>
    <x v="1058"/>
    <x v="1064"/>
    <s v="Bank Transfer"/>
    <s v="TXN100128"/>
    <x v="0"/>
  </r>
  <r>
    <d v="2023-03-07T00:00:00"/>
    <x v="2"/>
    <x v="1"/>
    <x v="4"/>
    <x v="1059"/>
    <x v="1065"/>
    <s v="UPI"/>
    <s v="TXN101198"/>
    <x v="0"/>
  </r>
  <r>
    <d v="2023-03-07T00:00:00"/>
    <x v="2"/>
    <x v="4"/>
    <x v="1"/>
    <x v="1060"/>
    <x v="1066"/>
    <s v="UPI"/>
    <s v="TXN103306"/>
    <x v="0"/>
  </r>
  <r>
    <d v="2023-03-07T00:00:00"/>
    <x v="2"/>
    <x v="0"/>
    <x v="3"/>
    <x v="1061"/>
    <x v="1067"/>
    <s v="Bank Transfer"/>
    <s v="TXN103929"/>
    <x v="0"/>
  </r>
  <r>
    <d v="2023-03-07T00:00:00"/>
    <x v="2"/>
    <x v="2"/>
    <x v="2"/>
    <x v="1062"/>
    <x v="1068"/>
    <s v="Cash"/>
    <s v="TXN104233"/>
    <x v="0"/>
  </r>
  <r>
    <d v="2023-03-07T00:00:00"/>
    <x v="2"/>
    <x v="4"/>
    <x v="0"/>
    <x v="1063"/>
    <x v="1069"/>
    <s v="Bank Transfer"/>
    <s v="TXN108258"/>
    <x v="0"/>
  </r>
  <r>
    <d v="2023-03-07T00:00:00"/>
    <x v="2"/>
    <x v="5"/>
    <x v="4"/>
    <x v="991"/>
    <x v="1070"/>
    <s v="UPI"/>
    <s v="REV100049"/>
    <x v="1"/>
  </r>
  <r>
    <d v="2023-03-07T00:00:00"/>
    <x v="2"/>
    <x v="5"/>
    <x v="4"/>
    <x v="1064"/>
    <x v="1071"/>
    <s v="Bank Transfer"/>
    <s v="REV100443"/>
    <x v="1"/>
  </r>
  <r>
    <d v="2023-03-07T00:00:00"/>
    <x v="2"/>
    <x v="6"/>
    <x v="1"/>
    <x v="1065"/>
    <x v="1072"/>
    <s v="Bank Transfer"/>
    <s v="REV101133"/>
    <x v="1"/>
  </r>
  <r>
    <d v="2023-03-07T00:00:00"/>
    <x v="2"/>
    <x v="6"/>
    <x v="3"/>
    <x v="1066"/>
    <x v="1073"/>
    <s v="Card"/>
    <s v="REV101358"/>
    <x v="1"/>
  </r>
  <r>
    <d v="2023-03-07T00:00:00"/>
    <x v="2"/>
    <x v="6"/>
    <x v="2"/>
    <x v="1067"/>
    <x v="1074"/>
    <s v="UPI"/>
    <s v="REV101468"/>
    <x v="1"/>
  </r>
  <r>
    <d v="2023-03-07T00:00:00"/>
    <x v="2"/>
    <x v="5"/>
    <x v="0"/>
    <x v="1068"/>
    <x v="1075"/>
    <s v="Bank Transfer"/>
    <s v="REV102804"/>
    <x v="1"/>
  </r>
  <r>
    <d v="2023-03-08T00:00:00"/>
    <x v="2"/>
    <x v="2"/>
    <x v="2"/>
    <x v="1069"/>
    <x v="1076"/>
    <s v="UPI"/>
    <s v="TXN100603"/>
    <x v="0"/>
  </r>
  <r>
    <d v="2023-03-08T00:00:00"/>
    <x v="2"/>
    <x v="2"/>
    <x v="4"/>
    <x v="1070"/>
    <x v="1077"/>
    <s v="Card"/>
    <s v="TXN101291"/>
    <x v="0"/>
  </r>
  <r>
    <d v="2023-03-08T00:00:00"/>
    <x v="2"/>
    <x v="7"/>
    <x v="4"/>
    <x v="1071"/>
    <x v="1078"/>
    <s v="Card"/>
    <s v="TXN101500"/>
    <x v="0"/>
  </r>
  <r>
    <d v="2023-03-08T00:00:00"/>
    <x v="2"/>
    <x v="1"/>
    <x v="4"/>
    <x v="1072"/>
    <x v="1079"/>
    <s v="Card"/>
    <s v="TXN102579"/>
    <x v="0"/>
  </r>
  <r>
    <d v="2023-03-08T00:00:00"/>
    <x v="2"/>
    <x v="1"/>
    <x v="1"/>
    <x v="1073"/>
    <x v="1080"/>
    <s v="Card"/>
    <s v="TXN102947"/>
    <x v="0"/>
  </r>
  <r>
    <d v="2023-03-08T00:00:00"/>
    <x v="2"/>
    <x v="1"/>
    <x v="0"/>
    <x v="1074"/>
    <x v="1081"/>
    <s v="Card"/>
    <s v="TXN104240"/>
    <x v="0"/>
  </r>
  <r>
    <d v="2023-03-08T00:00:00"/>
    <x v="2"/>
    <x v="3"/>
    <x v="2"/>
    <x v="1075"/>
    <x v="1082"/>
    <s v="Bank Transfer"/>
    <s v="TXN107911"/>
    <x v="0"/>
  </r>
  <r>
    <d v="2023-03-08T00:00:00"/>
    <x v="2"/>
    <x v="3"/>
    <x v="1"/>
    <x v="1076"/>
    <x v="1083"/>
    <s v="Bank Transfer"/>
    <s v="TXN108236"/>
    <x v="0"/>
  </r>
  <r>
    <d v="2023-03-08T00:00:00"/>
    <x v="2"/>
    <x v="3"/>
    <x v="3"/>
    <x v="1077"/>
    <x v="1084"/>
    <s v="Card"/>
    <s v="TXN108467"/>
    <x v="0"/>
  </r>
  <r>
    <d v="2023-03-08T00:00:00"/>
    <x v="2"/>
    <x v="6"/>
    <x v="2"/>
    <x v="1078"/>
    <x v="1085"/>
    <s v="Bank Transfer"/>
    <s v="REV100234"/>
    <x v="1"/>
  </r>
  <r>
    <d v="2023-03-08T00:00:00"/>
    <x v="2"/>
    <x v="5"/>
    <x v="4"/>
    <x v="1079"/>
    <x v="1086"/>
    <s v="Bank Transfer"/>
    <s v="REV100472"/>
    <x v="1"/>
  </r>
  <r>
    <d v="2023-03-08T00:00:00"/>
    <x v="2"/>
    <x v="5"/>
    <x v="4"/>
    <x v="1080"/>
    <x v="1029"/>
    <s v="Bank Transfer"/>
    <s v="REV100549"/>
    <x v="1"/>
  </r>
  <r>
    <d v="2023-03-08T00:00:00"/>
    <x v="2"/>
    <x v="5"/>
    <x v="4"/>
    <x v="1081"/>
    <x v="1087"/>
    <s v="UPI"/>
    <s v="REV100902"/>
    <x v="1"/>
  </r>
  <r>
    <d v="2023-03-08T00:00:00"/>
    <x v="2"/>
    <x v="5"/>
    <x v="1"/>
    <x v="1082"/>
    <x v="797"/>
    <s v="Bank Transfer"/>
    <s v="REV101025"/>
    <x v="1"/>
  </r>
  <r>
    <d v="2023-03-08T00:00:00"/>
    <x v="2"/>
    <x v="5"/>
    <x v="0"/>
    <x v="1083"/>
    <x v="1088"/>
    <s v="Bank Transfer"/>
    <s v="REV101472"/>
    <x v="1"/>
  </r>
  <r>
    <d v="2023-03-08T00:00:00"/>
    <x v="2"/>
    <x v="5"/>
    <x v="2"/>
    <x v="130"/>
    <x v="1089"/>
    <s v="UPI"/>
    <s v="REV102686"/>
    <x v="1"/>
  </r>
  <r>
    <d v="2023-03-08T00:00:00"/>
    <x v="2"/>
    <x v="5"/>
    <x v="1"/>
    <x v="1084"/>
    <x v="1090"/>
    <s v="Bank Transfer"/>
    <s v="REV102797"/>
    <x v="1"/>
  </r>
  <r>
    <d v="2023-03-08T00:00:00"/>
    <x v="2"/>
    <x v="5"/>
    <x v="3"/>
    <x v="1085"/>
    <x v="16"/>
    <s v="UPI"/>
    <s v="REV102867"/>
    <x v="1"/>
  </r>
  <r>
    <d v="2023-03-09T00:00:00"/>
    <x v="2"/>
    <x v="1"/>
    <x v="2"/>
    <x v="1086"/>
    <x v="1091"/>
    <s v="Bank Transfer"/>
    <s v="TXN100230"/>
    <x v="0"/>
  </r>
  <r>
    <d v="2023-03-09T00:00:00"/>
    <x v="2"/>
    <x v="7"/>
    <x v="1"/>
    <x v="1087"/>
    <x v="1092"/>
    <s v="UPI"/>
    <s v="TXN100528"/>
    <x v="0"/>
  </r>
  <r>
    <d v="2023-03-09T00:00:00"/>
    <x v="2"/>
    <x v="0"/>
    <x v="1"/>
    <x v="1088"/>
    <x v="1093"/>
    <s v="Cash"/>
    <s v="TXN100591"/>
    <x v="0"/>
  </r>
  <r>
    <d v="2023-03-09T00:00:00"/>
    <x v="2"/>
    <x v="0"/>
    <x v="1"/>
    <x v="1089"/>
    <x v="1094"/>
    <s v="Card"/>
    <s v="TXN100768"/>
    <x v="0"/>
  </r>
  <r>
    <d v="2023-03-09T00:00:00"/>
    <x v="2"/>
    <x v="3"/>
    <x v="3"/>
    <x v="1090"/>
    <x v="1095"/>
    <s v="Bank Transfer"/>
    <s v="TXN104121"/>
    <x v="0"/>
  </r>
  <r>
    <d v="2023-03-09T00:00:00"/>
    <x v="2"/>
    <x v="7"/>
    <x v="4"/>
    <x v="1091"/>
    <x v="1096"/>
    <s v="Card"/>
    <s v="TXN104501"/>
    <x v="0"/>
  </r>
  <r>
    <d v="2023-03-09T00:00:00"/>
    <x v="2"/>
    <x v="2"/>
    <x v="1"/>
    <x v="1092"/>
    <x v="1097"/>
    <s v="Cash"/>
    <s v="TXN105687"/>
    <x v="0"/>
  </r>
  <r>
    <d v="2023-03-09T00:00:00"/>
    <x v="2"/>
    <x v="1"/>
    <x v="2"/>
    <x v="1093"/>
    <x v="1098"/>
    <s v="Cash"/>
    <s v="TXN106238"/>
    <x v="0"/>
  </r>
  <r>
    <d v="2023-03-09T00:00:00"/>
    <x v="2"/>
    <x v="2"/>
    <x v="1"/>
    <x v="1094"/>
    <x v="1099"/>
    <s v="Bank Transfer"/>
    <s v="TXN106724"/>
    <x v="0"/>
  </r>
  <r>
    <d v="2023-03-09T00:00:00"/>
    <x v="2"/>
    <x v="1"/>
    <x v="4"/>
    <x v="1095"/>
    <x v="1100"/>
    <s v="Card"/>
    <s v="TXN106935"/>
    <x v="0"/>
  </r>
  <r>
    <d v="2023-03-09T00:00:00"/>
    <x v="2"/>
    <x v="3"/>
    <x v="1"/>
    <x v="1096"/>
    <x v="1101"/>
    <s v="Card"/>
    <s v="TXN107144"/>
    <x v="0"/>
  </r>
  <r>
    <d v="2023-03-09T00:00:00"/>
    <x v="2"/>
    <x v="4"/>
    <x v="1"/>
    <x v="1097"/>
    <x v="1102"/>
    <s v="Bank Transfer"/>
    <s v="TXN107630"/>
    <x v="0"/>
  </r>
  <r>
    <d v="2023-03-09T00:00:00"/>
    <x v="2"/>
    <x v="1"/>
    <x v="3"/>
    <x v="1098"/>
    <x v="1103"/>
    <s v="Bank Transfer"/>
    <s v="TXN108267"/>
    <x v="0"/>
  </r>
  <r>
    <d v="2023-03-09T00:00:00"/>
    <x v="2"/>
    <x v="0"/>
    <x v="2"/>
    <x v="1099"/>
    <x v="1104"/>
    <s v="UPI"/>
    <s v="TXN108879"/>
    <x v="0"/>
  </r>
  <r>
    <d v="2023-03-09T00:00:00"/>
    <x v="2"/>
    <x v="5"/>
    <x v="2"/>
    <x v="1100"/>
    <x v="1105"/>
    <s v="Bank Transfer"/>
    <s v="REV100081"/>
    <x v="1"/>
  </r>
  <r>
    <d v="2023-03-09T00:00:00"/>
    <x v="2"/>
    <x v="5"/>
    <x v="1"/>
    <x v="1101"/>
    <x v="1106"/>
    <s v="Bank Transfer"/>
    <s v="REV100206"/>
    <x v="1"/>
  </r>
  <r>
    <d v="2023-03-09T00:00:00"/>
    <x v="2"/>
    <x v="5"/>
    <x v="1"/>
    <x v="80"/>
    <x v="1107"/>
    <s v="UPI"/>
    <s v="REV100229"/>
    <x v="1"/>
  </r>
  <r>
    <d v="2023-03-09T00:00:00"/>
    <x v="2"/>
    <x v="5"/>
    <x v="1"/>
    <x v="1102"/>
    <x v="546"/>
    <s v="Bank Transfer"/>
    <s v="REV100282"/>
    <x v="1"/>
  </r>
  <r>
    <d v="2023-03-09T00:00:00"/>
    <x v="2"/>
    <x v="5"/>
    <x v="3"/>
    <x v="1103"/>
    <x v="1108"/>
    <s v="Card"/>
    <s v="REV101427"/>
    <x v="1"/>
  </r>
  <r>
    <d v="2023-03-09T00:00:00"/>
    <x v="2"/>
    <x v="5"/>
    <x v="4"/>
    <x v="204"/>
    <x v="1109"/>
    <s v="Bank Transfer"/>
    <s v="REV101548"/>
    <x v="1"/>
  </r>
  <r>
    <d v="2023-03-09T00:00:00"/>
    <x v="2"/>
    <x v="6"/>
    <x v="1"/>
    <x v="824"/>
    <x v="1110"/>
    <s v="Bank Transfer"/>
    <s v="REV101934"/>
    <x v="1"/>
  </r>
  <r>
    <d v="2023-03-09T00:00:00"/>
    <x v="2"/>
    <x v="5"/>
    <x v="2"/>
    <x v="1104"/>
    <x v="1111"/>
    <s v="Card"/>
    <s v="REV102099"/>
    <x v="1"/>
  </r>
  <r>
    <d v="2023-03-09T00:00:00"/>
    <x v="2"/>
    <x v="5"/>
    <x v="1"/>
    <x v="1105"/>
    <x v="1112"/>
    <s v="UPI"/>
    <s v="REV102289"/>
    <x v="1"/>
  </r>
  <r>
    <d v="2023-03-09T00:00:00"/>
    <x v="2"/>
    <x v="6"/>
    <x v="4"/>
    <x v="1106"/>
    <x v="1113"/>
    <s v="UPI"/>
    <s v="REV102358"/>
    <x v="1"/>
  </r>
  <r>
    <d v="2023-03-09T00:00:00"/>
    <x v="2"/>
    <x v="6"/>
    <x v="1"/>
    <x v="714"/>
    <x v="1106"/>
    <s v="Bank Transfer"/>
    <s v="REV102422"/>
    <x v="1"/>
  </r>
  <r>
    <d v="2023-03-09T00:00:00"/>
    <x v="2"/>
    <x v="6"/>
    <x v="1"/>
    <x v="1107"/>
    <x v="1114"/>
    <s v="Bank Transfer"/>
    <s v="REV102592"/>
    <x v="1"/>
  </r>
  <r>
    <d v="2023-03-09T00:00:00"/>
    <x v="2"/>
    <x v="5"/>
    <x v="3"/>
    <x v="1108"/>
    <x v="544"/>
    <s v="Card"/>
    <s v="REV102809"/>
    <x v="1"/>
  </r>
  <r>
    <d v="2023-03-09T00:00:00"/>
    <x v="2"/>
    <x v="5"/>
    <x v="2"/>
    <x v="1109"/>
    <x v="567"/>
    <s v="Bank Transfer"/>
    <s v="REV103007"/>
    <x v="1"/>
  </r>
  <r>
    <d v="2023-03-10T00:00:00"/>
    <x v="2"/>
    <x v="2"/>
    <x v="4"/>
    <x v="1110"/>
    <x v="1115"/>
    <s v="Cash"/>
    <s v="TXN103601"/>
    <x v="0"/>
  </r>
  <r>
    <d v="2023-03-10T00:00:00"/>
    <x v="2"/>
    <x v="1"/>
    <x v="1"/>
    <x v="1111"/>
    <x v="1116"/>
    <s v="Bank Transfer"/>
    <s v="TXN104828"/>
    <x v="0"/>
  </r>
  <r>
    <d v="2023-03-10T00:00:00"/>
    <x v="2"/>
    <x v="4"/>
    <x v="2"/>
    <x v="1112"/>
    <x v="1117"/>
    <s v="Card"/>
    <s v="TXN106950"/>
    <x v="0"/>
  </r>
  <r>
    <d v="2023-03-10T00:00:00"/>
    <x v="2"/>
    <x v="4"/>
    <x v="4"/>
    <x v="1113"/>
    <x v="1118"/>
    <s v="UPI"/>
    <s v="TXN107220"/>
    <x v="0"/>
  </r>
  <r>
    <d v="2023-03-10T00:00:00"/>
    <x v="2"/>
    <x v="1"/>
    <x v="2"/>
    <x v="1114"/>
    <x v="1119"/>
    <s v="Card"/>
    <s v="TXN107280"/>
    <x v="0"/>
  </r>
  <r>
    <d v="2023-03-10T00:00:00"/>
    <x v="2"/>
    <x v="2"/>
    <x v="2"/>
    <x v="1115"/>
    <x v="1120"/>
    <s v="UPI"/>
    <s v="TXN107957"/>
    <x v="0"/>
  </r>
  <r>
    <d v="2023-03-10T00:00:00"/>
    <x v="2"/>
    <x v="4"/>
    <x v="4"/>
    <x v="1116"/>
    <x v="1121"/>
    <s v="Card"/>
    <s v="TXN109270"/>
    <x v="0"/>
  </r>
  <r>
    <d v="2023-03-10T00:00:00"/>
    <x v="2"/>
    <x v="5"/>
    <x v="4"/>
    <x v="1117"/>
    <x v="1122"/>
    <s v="Bank Transfer"/>
    <s v="REV101230"/>
    <x v="1"/>
  </r>
  <r>
    <d v="2023-03-10T00:00:00"/>
    <x v="2"/>
    <x v="5"/>
    <x v="1"/>
    <x v="1118"/>
    <x v="1123"/>
    <s v="UPI"/>
    <s v="REV101645"/>
    <x v="1"/>
  </r>
  <r>
    <d v="2023-03-10T00:00:00"/>
    <x v="2"/>
    <x v="5"/>
    <x v="2"/>
    <x v="1119"/>
    <x v="1124"/>
    <s v="Bank Transfer"/>
    <s v="REV102362"/>
    <x v="1"/>
  </r>
  <r>
    <d v="2023-03-10T00:00:00"/>
    <x v="2"/>
    <x v="6"/>
    <x v="4"/>
    <x v="1120"/>
    <x v="1125"/>
    <s v="UPI"/>
    <s v="REV102451"/>
    <x v="1"/>
  </r>
  <r>
    <d v="2023-03-10T00:00:00"/>
    <x v="2"/>
    <x v="6"/>
    <x v="2"/>
    <x v="861"/>
    <x v="340"/>
    <s v="UPI"/>
    <s v="REV102472"/>
    <x v="1"/>
  </r>
  <r>
    <d v="2023-03-10T00:00:00"/>
    <x v="2"/>
    <x v="6"/>
    <x v="2"/>
    <x v="1121"/>
    <x v="481"/>
    <s v="Bank Transfer"/>
    <s v="REV102703"/>
    <x v="1"/>
  </r>
  <r>
    <d v="2023-03-10T00:00:00"/>
    <x v="2"/>
    <x v="6"/>
    <x v="4"/>
    <x v="1081"/>
    <x v="1126"/>
    <s v="Bank Transfer"/>
    <s v="REV103131"/>
    <x v="1"/>
  </r>
  <r>
    <d v="2023-03-11T00:00:00"/>
    <x v="2"/>
    <x v="3"/>
    <x v="4"/>
    <x v="1122"/>
    <x v="1127"/>
    <s v="UPI"/>
    <s v="TXN100781"/>
    <x v="0"/>
  </r>
  <r>
    <d v="2023-03-11T00:00:00"/>
    <x v="2"/>
    <x v="0"/>
    <x v="3"/>
    <x v="1123"/>
    <x v="855"/>
    <s v="Card"/>
    <s v="TXN100925"/>
    <x v="0"/>
  </r>
  <r>
    <d v="2023-03-11T00:00:00"/>
    <x v="2"/>
    <x v="1"/>
    <x v="1"/>
    <x v="1124"/>
    <x v="1128"/>
    <s v="UPI"/>
    <s v="TXN101741"/>
    <x v="0"/>
  </r>
  <r>
    <d v="2023-03-11T00:00:00"/>
    <x v="2"/>
    <x v="3"/>
    <x v="1"/>
    <x v="1125"/>
    <x v="1129"/>
    <s v="Cash"/>
    <s v="TXN104096"/>
    <x v="0"/>
  </r>
  <r>
    <d v="2023-03-11T00:00:00"/>
    <x v="2"/>
    <x v="1"/>
    <x v="0"/>
    <x v="1126"/>
    <x v="1130"/>
    <s v="Cash"/>
    <s v="TXN104409"/>
    <x v="0"/>
  </r>
  <r>
    <d v="2023-03-11T00:00:00"/>
    <x v="2"/>
    <x v="1"/>
    <x v="0"/>
    <x v="1127"/>
    <x v="1131"/>
    <s v="UPI"/>
    <s v="TXN105083"/>
    <x v="0"/>
  </r>
  <r>
    <d v="2023-03-11T00:00:00"/>
    <x v="2"/>
    <x v="1"/>
    <x v="0"/>
    <x v="1128"/>
    <x v="1132"/>
    <s v="Card"/>
    <s v="TXN107095"/>
    <x v="0"/>
  </r>
  <r>
    <d v="2023-03-11T00:00:00"/>
    <x v="2"/>
    <x v="2"/>
    <x v="0"/>
    <x v="1129"/>
    <x v="1133"/>
    <s v="UPI"/>
    <s v="TXN107571"/>
    <x v="0"/>
  </r>
  <r>
    <d v="2023-03-11T00:00:00"/>
    <x v="2"/>
    <x v="4"/>
    <x v="1"/>
    <x v="1130"/>
    <x v="1134"/>
    <s v="Bank Transfer"/>
    <s v="TXN108200"/>
    <x v="0"/>
  </r>
  <r>
    <d v="2023-03-11T00:00:00"/>
    <x v="2"/>
    <x v="3"/>
    <x v="0"/>
    <x v="1131"/>
    <x v="1135"/>
    <s v="Cash"/>
    <s v="TXN108322"/>
    <x v="0"/>
  </r>
  <r>
    <d v="2023-03-11T00:00:00"/>
    <x v="2"/>
    <x v="4"/>
    <x v="3"/>
    <x v="1132"/>
    <x v="1136"/>
    <s v="Cash"/>
    <s v="TXN108733"/>
    <x v="0"/>
  </r>
  <r>
    <d v="2023-03-11T00:00:00"/>
    <x v="2"/>
    <x v="5"/>
    <x v="4"/>
    <x v="1133"/>
    <x v="1137"/>
    <s v="Card"/>
    <s v="REV100285"/>
    <x v="1"/>
  </r>
  <r>
    <d v="2023-03-11T00:00:00"/>
    <x v="2"/>
    <x v="6"/>
    <x v="3"/>
    <x v="297"/>
    <x v="1138"/>
    <s v="Bank Transfer"/>
    <s v="REV100341"/>
    <x v="1"/>
  </r>
  <r>
    <d v="2023-03-11T00:00:00"/>
    <x v="2"/>
    <x v="5"/>
    <x v="1"/>
    <x v="738"/>
    <x v="731"/>
    <s v="Card"/>
    <s v="REV100633"/>
    <x v="1"/>
  </r>
  <r>
    <d v="2023-03-11T00:00:00"/>
    <x v="2"/>
    <x v="5"/>
    <x v="1"/>
    <x v="842"/>
    <x v="32"/>
    <s v="Card"/>
    <s v="REV101414"/>
    <x v="1"/>
  </r>
  <r>
    <d v="2023-03-11T00:00:00"/>
    <x v="2"/>
    <x v="5"/>
    <x v="0"/>
    <x v="109"/>
    <x v="949"/>
    <s v="Bank Transfer"/>
    <s v="REV101521"/>
    <x v="1"/>
  </r>
  <r>
    <d v="2023-03-11T00:00:00"/>
    <x v="2"/>
    <x v="6"/>
    <x v="0"/>
    <x v="1134"/>
    <x v="1139"/>
    <s v="Bank Transfer"/>
    <s v="REV101730"/>
    <x v="1"/>
  </r>
  <r>
    <d v="2023-03-11T00:00:00"/>
    <x v="2"/>
    <x v="6"/>
    <x v="0"/>
    <x v="1135"/>
    <x v="1106"/>
    <s v="Bank Transfer"/>
    <s v="REV102409"/>
    <x v="1"/>
  </r>
  <r>
    <d v="2023-03-11T00:00:00"/>
    <x v="2"/>
    <x v="5"/>
    <x v="0"/>
    <x v="1136"/>
    <x v="1140"/>
    <s v="Card"/>
    <s v="REV102571"/>
    <x v="1"/>
  </r>
  <r>
    <d v="2023-03-11T00:00:00"/>
    <x v="2"/>
    <x v="6"/>
    <x v="1"/>
    <x v="1137"/>
    <x v="1141"/>
    <s v="Bank Transfer"/>
    <s v="REV102785"/>
    <x v="1"/>
  </r>
  <r>
    <d v="2023-03-11T00:00:00"/>
    <x v="2"/>
    <x v="6"/>
    <x v="0"/>
    <x v="1138"/>
    <x v="1142"/>
    <s v="Bank Transfer"/>
    <s v="REV102828"/>
    <x v="1"/>
  </r>
  <r>
    <d v="2023-03-11T00:00:00"/>
    <x v="2"/>
    <x v="5"/>
    <x v="3"/>
    <x v="1139"/>
    <x v="379"/>
    <s v="UPI"/>
    <s v="REV102964"/>
    <x v="1"/>
  </r>
  <r>
    <d v="2023-03-12T00:00:00"/>
    <x v="2"/>
    <x v="7"/>
    <x v="3"/>
    <x v="1140"/>
    <x v="1143"/>
    <s v="Bank Transfer"/>
    <s v="TXN100212"/>
    <x v="0"/>
  </r>
  <r>
    <d v="2023-03-12T00:00:00"/>
    <x v="2"/>
    <x v="3"/>
    <x v="0"/>
    <x v="1141"/>
    <x v="1144"/>
    <s v="Cash"/>
    <s v="TXN101347"/>
    <x v="0"/>
  </r>
  <r>
    <d v="2023-03-12T00:00:00"/>
    <x v="2"/>
    <x v="1"/>
    <x v="3"/>
    <x v="1142"/>
    <x v="1145"/>
    <s v="Cash"/>
    <s v="TXN101363"/>
    <x v="0"/>
  </r>
  <r>
    <d v="2023-03-12T00:00:00"/>
    <x v="2"/>
    <x v="1"/>
    <x v="4"/>
    <x v="1143"/>
    <x v="1146"/>
    <s v="Cash"/>
    <s v="TXN101542"/>
    <x v="0"/>
  </r>
  <r>
    <d v="2023-03-12T00:00:00"/>
    <x v="2"/>
    <x v="4"/>
    <x v="3"/>
    <x v="1144"/>
    <x v="1147"/>
    <s v="Card"/>
    <s v="TXN105363"/>
    <x v="0"/>
  </r>
  <r>
    <d v="2023-03-12T00:00:00"/>
    <x v="2"/>
    <x v="4"/>
    <x v="0"/>
    <x v="1145"/>
    <x v="1148"/>
    <s v="UPI"/>
    <s v="TXN106433"/>
    <x v="0"/>
  </r>
  <r>
    <d v="2023-03-12T00:00:00"/>
    <x v="2"/>
    <x v="3"/>
    <x v="0"/>
    <x v="1146"/>
    <x v="1149"/>
    <s v="Cash"/>
    <s v="TXN109443"/>
    <x v="0"/>
  </r>
  <r>
    <d v="2023-03-12T00:00:00"/>
    <x v="2"/>
    <x v="5"/>
    <x v="3"/>
    <x v="1147"/>
    <x v="950"/>
    <s v="Card"/>
    <s v="REV100075"/>
    <x v="1"/>
  </r>
  <r>
    <d v="2023-03-12T00:00:00"/>
    <x v="2"/>
    <x v="5"/>
    <x v="0"/>
    <x v="1148"/>
    <x v="1150"/>
    <s v="UPI"/>
    <s v="REV100495"/>
    <x v="1"/>
  </r>
  <r>
    <d v="2023-03-12T00:00:00"/>
    <x v="2"/>
    <x v="6"/>
    <x v="3"/>
    <x v="1149"/>
    <x v="1151"/>
    <s v="UPI"/>
    <s v="REV100500"/>
    <x v="1"/>
  </r>
  <r>
    <d v="2023-03-12T00:00:00"/>
    <x v="2"/>
    <x v="6"/>
    <x v="4"/>
    <x v="1150"/>
    <x v="1152"/>
    <s v="UPI"/>
    <s v="REV100565"/>
    <x v="1"/>
  </r>
  <r>
    <d v="2023-03-12T00:00:00"/>
    <x v="2"/>
    <x v="5"/>
    <x v="3"/>
    <x v="704"/>
    <x v="1153"/>
    <s v="Bank Transfer"/>
    <s v="REV101822"/>
    <x v="1"/>
  </r>
  <r>
    <d v="2023-03-12T00:00:00"/>
    <x v="2"/>
    <x v="5"/>
    <x v="0"/>
    <x v="1151"/>
    <x v="1154"/>
    <s v="Bank Transfer"/>
    <s v="REV102175"/>
    <x v="1"/>
  </r>
  <r>
    <d v="2023-03-12T00:00:00"/>
    <x v="2"/>
    <x v="6"/>
    <x v="0"/>
    <x v="1152"/>
    <x v="1155"/>
    <s v="Bank Transfer"/>
    <s v="REV103193"/>
    <x v="1"/>
  </r>
  <r>
    <d v="2023-03-13T00:00:00"/>
    <x v="2"/>
    <x v="3"/>
    <x v="4"/>
    <x v="1153"/>
    <x v="1156"/>
    <s v="Bank Transfer"/>
    <s v="TXN100330"/>
    <x v="0"/>
  </r>
  <r>
    <d v="2023-03-13T00:00:00"/>
    <x v="2"/>
    <x v="0"/>
    <x v="4"/>
    <x v="1154"/>
    <x v="1157"/>
    <s v="Card"/>
    <s v="TXN100358"/>
    <x v="0"/>
  </r>
  <r>
    <d v="2023-03-13T00:00:00"/>
    <x v="2"/>
    <x v="2"/>
    <x v="0"/>
    <x v="1155"/>
    <x v="1158"/>
    <s v="Cash"/>
    <s v="TXN101897"/>
    <x v="0"/>
  </r>
  <r>
    <d v="2023-03-13T00:00:00"/>
    <x v="2"/>
    <x v="0"/>
    <x v="4"/>
    <x v="1156"/>
    <x v="1159"/>
    <s v="Bank Transfer"/>
    <s v="TXN102697"/>
    <x v="0"/>
  </r>
  <r>
    <d v="2023-03-13T00:00:00"/>
    <x v="2"/>
    <x v="1"/>
    <x v="2"/>
    <x v="1157"/>
    <x v="1160"/>
    <s v="Card"/>
    <s v="TXN103219"/>
    <x v="0"/>
  </r>
  <r>
    <d v="2023-03-13T00:00:00"/>
    <x v="2"/>
    <x v="2"/>
    <x v="3"/>
    <x v="1158"/>
    <x v="1161"/>
    <s v="Bank Transfer"/>
    <s v="TXN103281"/>
    <x v="0"/>
  </r>
  <r>
    <d v="2023-03-13T00:00:00"/>
    <x v="2"/>
    <x v="3"/>
    <x v="4"/>
    <x v="1159"/>
    <x v="1162"/>
    <s v="Card"/>
    <s v="TXN103949"/>
    <x v="0"/>
  </r>
  <r>
    <d v="2023-03-13T00:00:00"/>
    <x v="2"/>
    <x v="2"/>
    <x v="0"/>
    <x v="1160"/>
    <x v="1163"/>
    <s v="UPI"/>
    <s v="TXN104986"/>
    <x v="0"/>
  </r>
  <r>
    <d v="2023-03-13T00:00:00"/>
    <x v="2"/>
    <x v="0"/>
    <x v="3"/>
    <x v="1161"/>
    <x v="1164"/>
    <s v="Bank Transfer"/>
    <s v="TXN107109"/>
    <x v="0"/>
  </r>
  <r>
    <d v="2023-03-13T00:00:00"/>
    <x v="2"/>
    <x v="4"/>
    <x v="4"/>
    <x v="1162"/>
    <x v="1165"/>
    <s v="UPI"/>
    <s v="TXN107238"/>
    <x v="0"/>
  </r>
  <r>
    <d v="2023-03-13T00:00:00"/>
    <x v="2"/>
    <x v="1"/>
    <x v="3"/>
    <x v="1163"/>
    <x v="1166"/>
    <s v="UPI"/>
    <s v="TXN109126"/>
    <x v="0"/>
  </r>
  <r>
    <d v="2023-03-13T00:00:00"/>
    <x v="2"/>
    <x v="2"/>
    <x v="2"/>
    <x v="1164"/>
    <x v="1167"/>
    <s v="Bank Transfer"/>
    <s v="TXN109234"/>
    <x v="0"/>
  </r>
  <r>
    <d v="2023-03-13T00:00:00"/>
    <x v="2"/>
    <x v="5"/>
    <x v="4"/>
    <x v="1020"/>
    <x v="1168"/>
    <s v="Bank Transfer"/>
    <s v="REV100122"/>
    <x v="1"/>
  </r>
  <r>
    <d v="2023-03-13T00:00:00"/>
    <x v="2"/>
    <x v="5"/>
    <x v="4"/>
    <x v="1165"/>
    <x v="1169"/>
    <s v="Bank Transfer"/>
    <s v="REV100133"/>
    <x v="1"/>
  </r>
  <r>
    <d v="2023-03-13T00:00:00"/>
    <x v="2"/>
    <x v="5"/>
    <x v="0"/>
    <x v="1166"/>
    <x v="1170"/>
    <s v="Bank Transfer"/>
    <s v="REV100681"/>
    <x v="1"/>
  </r>
  <r>
    <d v="2023-03-13T00:00:00"/>
    <x v="2"/>
    <x v="6"/>
    <x v="4"/>
    <x v="181"/>
    <x v="1171"/>
    <s v="UPI"/>
    <s v="REV100941"/>
    <x v="1"/>
  </r>
  <r>
    <d v="2023-03-13T00:00:00"/>
    <x v="2"/>
    <x v="6"/>
    <x v="2"/>
    <x v="1148"/>
    <x v="1172"/>
    <s v="UPI"/>
    <s v="REV101103"/>
    <x v="1"/>
  </r>
  <r>
    <d v="2023-03-13T00:00:00"/>
    <x v="2"/>
    <x v="6"/>
    <x v="3"/>
    <x v="482"/>
    <x v="94"/>
    <s v="UPI"/>
    <s v="REV101127"/>
    <x v="1"/>
  </r>
  <r>
    <d v="2023-03-13T00:00:00"/>
    <x v="2"/>
    <x v="5"/>
    <x v="4"/>
    <x v="1167"/>
    <x v="1173"/>
    <s v="Card"/>
    <s v="REV101366"/>
    <x v="1"/>
  </r>
  <r>
    <d v="2023-03-13T00:00:00"/>
    <x v="2"/>
    <x v="6"/>
    <x v="0"/>
    <x v="1168"/>
    <x v="680"/>
    <s v="Bank Transfer"/>
    <s v="REV101699"/>
    <x v="1"/>
  </r>
  <r>
    <d v="2023-03-13T00:00:00"/>
    <x v="2"/>
    <x v="5"/>
    <x v="3"/>
    <x v="725"/>
    <x v="1174"/>
    <s v="Bank Transfer"/>
    <s v="REV102413"/>
    <x v="1"/>
  </r>
  <r>
    <d v="2023-03-13T00:00:00"/>
    <x v="2"/>
    <x v="5"/>
    <x v="4"/>
    <x v="1169"/>
    <x v="1175"/>
    <s v="Card"/>
    <s v="REV102459"/>
    <x v="1"/>
  </r>
  <r>
    <d v="2023-03-13T00:00:00"/>
    <x v="2"/>
    <x v="5"/>
    <x v="3"/>
    <x v="1170"/>
    <x v="1176"/>
    <s v="Bank Transfer"/>
    <s v="REV103085"/>
    <x v="1"/>
  </r>
  <r>
    <d v="2023-03-13T00:00:00"/>
    <x v="2"/>
    <x v="6"/>
    <x v="2"/>
    <x v="85"/>
    <x v="731"/>
    <s v="Bank Transfer"/>
    <s v="REV103113"/>
    <x v="1"/>
  </r>
  <r>
    <d v="2023-03-14T00:00:00"/>
    <x v="2"/>
    <x v="1"/>
    <x v="0"/>
    <x v="1171"/>
    <x v="1177"/>
    <s v="Cash"/>
    <s v="TXN103346"/>
    <x v="0"/>
  </r>
  <r>
    <d v="2023-03-14T00:00:00"/>
    <x v="2"/>
    <x v="7"/>
    <x v="1"/>
    <x v="1172"/>
    <x v="1178"/>
    <s v="Bank Transfer"/>
    <s v="TXN103610"/>
    <x v="0"/>
  </r>
  <r>
    <d v="2023-03-14T00:00:00"/>
    <x v="2"/>
    <x v="1"/>
    <x v="2"/>
    <x v="1173"/>
    <x v="1179"/>
    <s v="Cash"/>
    <s v="TXN103618"/>
    <x v="0"/>
  </r>
  <r>
    <d v="2023-03-14T00:00:00"/>
    <x v="2"/>
    <x v="7"/>
    <x v="0"/>
    <x v="1174"/>
    <x v="1180"/>
    <s v="Cash"/>
    <s v="TXN105786"/>
    <x v="0"/>
  </r>
  <r>
    <d v="2023-03-14T00:00:00"/>
    <x v="2"/>
    <x v="0"/>
    <x v="2"/>
    <x v="1175"/>
    <x v="1181"/>
    <s v="Cash"/>
    <s v="TXN106271"/>
    <x v="0"/>
  </r>
  <r>
    <d v="2023-03-14T00:00:00"/>
    <x v="2"/>
    <x v="3"/>
    <x v="0"/>
    <x v="1176"/>
    <x v="1182"/>
    <s v="Card"/>
    <s v="TXN106453"/>
    <x v="0"/>
  </r>
  <r>
    <d v="2023-03-14T00:00:00"/>
    <x v="2"/>
    <x v="0"/>
    <x v="4"/>
    <x v="1177"/>
    <x v="1183"/>
    <s v="Card"/>
    <s v="TXN106727"/>
    <x v="0"/>
  </r>
  <r>
    <d v="2023-03-14T00:00:00"/>
    <x v="2"/>
    <x v="7"/>
    <x v="4"/>
    <x v="1178"/>
    <x v="1184"/>
    <s v="Bank Transfer"/>
    <s v="TXN107562"/>
    <x v="0"/>
  </r>
  <r>
    <d v="2023-03-14T00:00:00"/>
    <x v="2"/>
    <x v="2"/>
    <x v="2"/>
    <x v="1179"/>
    <x v="1185"/>
    <s v="Bank Transfer"/>
    <s v="TXN108746"/>
    <x v="0"/>
  </r>
  <r>
    <d v="2023-03-14T00:00:00"/>
    <x v="2"/>
    <x v="1"/>
    <x v="3"/>
    <x v="1180"/>
    <x v="1186"/>
    <s v="UPI"/>
    <s v="TXN109176"/>
    <x v="0"/>
  </r>
  <r>
    <d v="2023-03-14T00:00:00"/>
    <x v="2"/>
    <x v="0"/>
    <x v="1"/>
    <x v="1181"/>
    <x v="1187"/>
    <s v="Cash"/>
    <s v="TXN109294"/>
    <x v="0"/>
  </r>
  <r>
    <d v="2023-03-14T00:00:00"/>
    <x v="2"/>
    <x v="6"/>
    <x v="0"/>
    <x v="1182"/>
    <x v="154"/>
    <s v="Bank Transfer"/>
    <s v="REV101151"/>
    <x v="1"/>
  </r>
  <r>
    <d v="2023-03-14T00:00:00"/>
    <x v="2"/>
    <x v="6"/>
    <x v="1"/>
    <x v="1183"/>
    <x v="1188"/>
    <s v="Card"/>
    <s v="REV101233"/>
    <x v="1"/>
  </r>
  <r>
    <d v="2023-03-14T00:00:00"/>
    <x v="2"/>
    <x v="5"/>
    <x v="2"/>
    <x v="985"/>
    <x v="1189"/>
    <s v="Card"/>
    <s v="REV101237"/>
    <x v="1"/>
  </r>
  <r>
    <d v="2023-03-14T00:00:00"/>
    <x v="2"/>
    <x v="6"/>
    <x v="0"/>
    <x v="1184"/>
    <x v="1190"/>
    <s v="UPI"/>
    <s v="REV101960"/>
    <x v="1"/>
  </r>
  <r>
    <d v="2023-03-14T00:00:00"/>
    <x v="2"/>
    <x v="6"/>
    <x v="2"/>
    <x v="1185"/>
    <x v="1191"/>
    <s v="Card"/>
    <s v="REV102113"/>
    <x v="1"/>
  </r>
  <r>
    <d v="2023-03-14T00:00:00"/>
    <x v="2"/>
    <x v="5"/>
    <x v="0"/>
    <x v="1186"/>
    <x v="1192"/>
    <s v="Card"/>
    <s v="REV102184"/>
    <x v="1"/>
  </r>
  <r>
    <d v="2023-03-14T00:00:00"/>
    <x v="2"/>
    <x v="6"/>
    <x v="4"/>
    <x v="1187"/>
    <x v="1193"/>
    <s v="Bank Transfer"/>
    <s v="REV102292"/>
    <x v="1"/>
  </r>
  <r>
    <d v="2023-03-14T00:00:00"/>
    <x v="2"/>
    <x v="5"/>
    <x v="4"/>
    <x v="1188"/>
    <x v="1194"/>
    <s v="Bank Transfer"/>
    <s v="REV102567"/>
    <x v="1"/>
  </r>
  <r>
    <d v="2023-03-14T00:00:00"/>
    <x v="2"/>
    <x v="5"/>
    <x v="2"/>
    <x v="286"/>
    <x v="540"/>
    <s v="Bank Transfer"/>
    <s v="REV102970"/>
    <x v="1"/>
  </r>
  <r>
    <d v="2023-03-14T00:00:00"/>
    <x v="2"/>
    <x v="5"/>
    <x v="3"/>
    <x v="1189"/>
    <x v="625"/>
    <s v="UPI"/>
    <s v="REV103098"/>
    <x v="1"/>
  </r>
  <r>
    <d v="2023-03-14T00:00:00"/>
    <x v="2"/>
    <x v="6"/>
    <x v="1"/>
    <x v="824"/>
    <x v="460"/>
    <s v="Bank Transfer"/>
    <s v="REV103142"/>
    <x v="1"/>
  </r>
  <r>
    <d v="2023-03-15T00:00:00"/>
    <x v="2"/>
    <x v="2"/>
    <x v="0"/>
    <x v="1190"/>
    <x v="1195"/>
    <s v="Cash"/>
    <s v="TXN100652"/>
    <x v="0"/>
  </r>
  <r>
    <d v="2023-03-15T00:00:00"/>
    <x v="2"/>
    <x v="4"/>
    <x v="2"/>
    <x v="1191"/>
    <x v="1196"/>
    <s v="Bank Transfer"/>
    <s v="TXN103532"/>
    <x v="0"/>
  </r>
  <r>
    <d v="2023-03-15T00:00:00"/>
    <x v="2"/>
    <x v="3"/>
    <x v="0"/>
    <x v="1192"/>
    <x v="1197"/>
    <s v="Bank Transfer"/>
    <s v="TXN104232"/>
    <x v="0"/>
  </r>
  <r>
    <d v="2023-03-15T00:00:00"/>
    <x v="2"/>
    <x v="0"/>
    <x v="1"/>
    <x v="1193"/>
    <x v="1198"/>
    <s v="Bank Transfer"/>
    <s v="TXN104919"/>
    <x v="0"/>
  </r>
  <r>
    <d v="2023-03-15T00:00:00"/>
    <x v="2"/>
    <x v="3"/>
    <x v="3"/>
    <x v="1194"/>
    <x v="1199"/>
    <s v="Bank Transfer"/>
    <s v="TXN105335"/>
    <x v="0"/>
  </r>
  <r>
    <d v="2023-03-15T00:00:00"/>
    <x v="2"/>
    <x v="0"/>
    <x v="1"/>
    <x v="1195"/>
    <x v="1200"/>
    <s v="UPI"/>
    <s v="TXN105514"/>
    <x v="0"/>
  </r>
  <r>
    <d v="2023-03-15T00:00:00"/>
    <x v="2"/>
    <x v="7"/>
    <x v="1"/>
    <x v="1196"/>
    <x v="1201"/>
    <s v="UPI"/>
    <s v="TXN106407"/>
    <x v="0"/>
  </r>
  <r>
    <d v="2023-03-15T00:00:00"/>
    <x v="2"/>
    <x v="0"/>
    <x v="1"/>
    <x v="1197"/>
    <x v="1202"/>
    <s v="Bank Transfer"/>
    <s v="TXN107702"/>
    <x v="0"/>
  </r>
  <r>
    <d v="2023-03-15T00:00:00"/>
    <x v="2"/>
    <x v="4"/>
    <x v="2"/>
    <x v="1198"/>
    <x v="1203"/>
    <s v="UPI"/>
    <s v="TXN109783"/>
    <x v="0"/>
  </r>
  <r>
    <d v="2023-03-15T00:00:00"/>
    <x v="2"/>
    <x v="6"/>
    <x v="0"/>
    <x v="1199"/>
    <x v="1204"/>
    <s v="Bank Transfer"/>
    <s v="REV100250"/>
    <x v="1"/>
  </r>
  <r>
    <d v="2023-03-15T00:00:00"/>
    <x v="2"/>
    <x v="5"/>
    <x v="2"/>
    <x v="489"/>
    <x v="653"/>
    <s v="Card"/>
    <s v="REV101205"/>
    <x v="1"/>
  </r>
  <r>
    <d v="2023-03-15T00:00:00"/>
    <x v="2"/>
    <x v="5"/>
    <x v="0"/>
    <x v="821"/>
    <x v="220"/>
    <s v="Bank Transfer"/>
    <s v="REV101467"/>
    <x v="1"/>
  </r>
  <r>
    <d v="2023-03-15T00:00:00"/>
    <x v="2"/>
    <x v="5"/>
    <x v="1"/>
    <x v="1200"/>
    <x v="1205"/>
    <s v="Bank Transfer"/>
    <s v="REV101677"/>
    <x v="1"/>
  </r>
  <r>
    <d v="2023-03-15T00:00:00"/>
    <x v="2"/>
    <x v="6"/>
    <x v="3"/>
    <x v="1201"/>
    <x v="484"/>
    <s v="Card"/>
    <s v="REV101812"/>
    <x v="1"/>
  </r>
  <r>
    <d v="2023-03-15T00:00:00"/>
    <x v="2"/>
    <x v="6"/>
    <x v="1"/>
    <x v="1202"/>
    <x v="1206"/>
    <s v="Card"/>
    <s v="REV101875"/>
    <x v="1"/>
  </r>
  <r>
    <d v="2023-03-15T00:00:00"/>
    <x v="2"/>
    <x v="5"/>
    <x v="1"/>
    <x v="1203"/>
    <x v="1207"/>
    <s v="UPI"/>
    <s v="REV102167"/>
    <x v="1"/>
  </r>
  <r>
    <d v="2023-03-15T00:00:00"/>
    <x v="2"/>
    <x v="5"/>
    <x v="1"/>
    <x v="511"/>
    <x v="1208"/>
    <s v="Bank Transfer"/>
    <s v="REV102622"/>
    <x v="1"/>
  </r>
  <r>
    <d v="2023-03-15T00:00:00"/>
    <x v="2"/>
    <x v="6"/>
    <x v="2"/>
    <x v="1204"/>
    <x v="872"/>
    <s v="Bank Transfer"/>
    <s v="REV103310"/>
    <x v="1"/>
  </r>
  <r>
    <d v="2023-03-16T00:00:00"/>
    <x v="2"/>
    <x v="7"/>
    <x v="4"/>
    <x v="1205"/>
    <x v="1209"/>
    <s v="Bank Transfer"/>
    <s v="TXN100095"/>
    <x v="0"/>
  </r>
  <r>
    <d v="2023-03-16T00:00:00"/>
    <x v="2"/>
    <x v="1"/>
    <x v="3"/>
    <x v="1206"/>
    <x v="1210"/>
    <s v="Cash"/>
    <s v="TXN100969"/>
    <x v="0"/>
  </r>
  <r>
    <d v="2023-03-16T00:00:00"/>
    <x v="2"/>
    <x v="7"/>
    <x v="2"/>
    <x v="1207"/>
    <x v="1211"/>
    <s v="Bank Transfer"/>
    <s v="TXN100992"/>
    <x v="0"/>
  </r>
  <r>
    <d v="2023-03-16T00:00:00"/>
    <x v="2"/>
    <x v="1"/>
    <x v="0"/>
    <x v="1208"/>
    <x v="1212"/>
    <s v="Card"/>
    <s v="TXN101098"/>
    <x v="0"/>
  </r>
  <r>
    <d v="2023-03-16T00:00:00"/>
    <x v="2"/>
    <x v="0"/>
    <x v="1"/>
    <x v="1209"/>
    <x v="1213"/>
    <s v="Bank Transfer"/>
    <s v="TXN101428"/>
    <x v="0"/>
  </r>
  <r>
    <d v="2023-03-16T00:00:00"/>
    <x v="2"/>
    <x v="3"/>
    <x v="1"/>
    <x v="1210"/>
    <x v="1214"/>
    <s v="Cash"/>
    <s v="TXN101667"/>
    <x v="0"/>
  </r>
  <r>
    <d v="2023-03-16T00:00:00"/>
    <x v="2"/>
    <x v="7"/>
    <x v="0"/>
    <x v="1211"/>
    <x v="1215"/>
    <s v="UPI"/>
    <s v="TXN103685"/>
    <x v="0"/>
  </r>
  <r>
    <d v="2023-03-16T00:00:00"/>
    <x v="2"/>
    <x v="4"/>
    <x v="0"/>
    <x v="1212"/>
    <x v="1216"/>
    <s v="Cash"/>
    <s v="TXN106012"/>
    <x v="0"/>
  </r>
  <r>
    <d v="2023-03-16T00:00:00"/>
    <x v="2"/>
    <x v="7"/>
    <x v="0"/>
    <x v="1213"/>
    <x v="1217"/>
    <s v="Cash"/>
    <s v="TXN106921"/>
    <x v="0"/>
  </r>
  <r>
    <d v="2023-03-16T00:00:00"/>
    <x v="2"/>
    <x v="4"/>
    <x v="0"/>
    <x v="1214"/>
    <x v="1218"/>
    <s v="UPI"/>
    <s v="TXN107017"/>
    <x v="0"/>
  </r>
  <r>
    <d v="2023-03-16T00:00:00"/>
    <x v="2"/>
    <x v="4"/>
    <x v="4"/>
    <x v="1215"/>
    <x v="1219"/>
    <s v="Card"/>
    <s v="TXN107695"/>
    <x v="0"/>
  </r>
  <r>
    <d v="2023-03-16T00:00:00"/>
    <x v="2"/>
    <x v="4"/>
    <x v="4"/>
    <x v="1216"/>
    <x v="1220"/>
    <s v="Cash"/>
    <s v="TXN109734"/>
    <x v="0"/>
  </r>
  <r>
    <d v="2023-03-16T00:00:00"/>
    <x v="2"/>
    <x v="5"/>
    <x v="4"/>
    <x v="411"/>
    <x v="1221"/>
    <s v="Card"/>
    <s v="REV100035"/>
    <x v="1"/>
  </r>
  <r>
    <d v="2023-03-16T00:00:00"/>
    <x v="2"/>
    <x v="6"/>
    <x v="3"/>
    <x v="1217"/>
    <x v="1222"/>
    <s v="Card"/>
    <s v="REV100360"/>
    <x v="1"/>
  </r>
  <r>
    <d v="2023-03-16T00:00:00"/>
    <x v="2"/>
    <x v="6"/>
    <x v="2"/>
    <x v="1218"/>
    <x v="1223"/>
    <s v="Bank Transfer"/>
    <s v="REV100367"/>
    <x v="1"/>
  </r>
  <r>
    <d v="2023-03-16T00:00:00"/>
    <x v="2"/>
    <x v="5"/>
    <x v="0"/>
    <x v="534"/>
    <x v="965"/>
    <s v="UPI"/>
    <s v="REV100403"/>
    <x v="1"/>
  </r>
  <r>
    <d v="2023-03-16T00:00:00"/>
    <x v="2"/>
    <x v="5"/>
    <x v="1"/>
    <x v="1219"/>
    <x v="1224"/>
    <s v="Bank Transfer"/>
    <s v="REV100524"/>
    <x v="1"/>
  </r>
  <r>
    <d v="2023-03-16T00:00:00"/>
    <x v="2"/>
    <x v="6"/>
    <x v="1"/>
    <x v="849"/>
    <x v="684"/>
    <s v="Card"/>
    <s v="REV100613"/>
    <x v="1"/>
  </r>
  <r>
    <d v="2023-03-16T00:00:00"/>
    <x v="2"/>
    <x v="5"/>
    <x v="0"/>
    <x v="1067"/>
    <x v="1225"/>
    <s v="Card"/>
    <s v="REV101261"/>
    <x v="1"/>
  </r>
  <r>
    <d v="2023-03-16T00:00:00"/>
    <x v="2"/>
    <x v="5"/>
    <x v="0"/>
    <x v="882"/>
    <x v="1226"/>
    <s v="Bank Transfer"/>
    <s v="REV102031"/>
    <x v="1"/>
  </r>
  <r>
    <d v="2023-03-16T00:00:00"/>
    <x v="2"/>
    <x v="5"/>
    <x v="0"/>
    <x v="1220"/>
    <x v="833"/>
    <s v="Bank Transfer"/>
    <s v="REV102352"/>
    <x v="1"/>
  </r>
  <r>
    <d v="2023-03-16T00:00:00"/>
    <x v="2"/>
    <x v="5"/>
    <x v="0"/>
    <x v="1221"/>
    <x v="1227"/>
    <s v="Card"/>
    <s v="REV102381"/>
    <x v="1"/>
  </r>
  <r>
    <d v="2023-03-16T00:00:00"/>
    <x v="2"/>
    <x v="6"/>
    <x v="4"/>
    <x v="830"/>
    <x v="1070"/>
    <s v="Bank Transfer"/>
    <s v="REV102618"/>
    <x v="1"/>
  </r>
  <r>
    <d v="2023-03-16T00:00:00"/>
    <x v="2"/>
    <x v="5"/>
    <x v="4"/>
    <x v="1222"/>
    <x v="485"/>
    <s v="Bank Transfer"/>
    <s v="REV103294"/>
    <x v="1"/>
  </r>
  <r>
    <d v="2023-03-17T00:00:00"/>
    <x v="2"/>
    <x v="2"/>
    <x v="0"/>
    <x v="1223"/>
    <x v="1228"/>
    <s v="Bank Transfer"/>
    <s v="TXN100010"/>
    <x v="0"/>
  </r>
  <r>
    <d v="2023-03-17T00:00:00"/>
    <x v="2"/>
    <x v="0"/>
    <x v="1"/>
    <x v="1224"/>
    <x v="1229"/>
    <s v="Cash"/>
    <s v="TXN100589"/>
    <x v="0"/>
  </r>
  <r>
    <d v="2023-03-17T00:00:00"/>
    <x v="2"/>
    <x v="7"/>
    <x v="0"/>
    <x v="1225"/>
    <x v="1230"/>
    <s v="UPI"/>
    <s v="TXN100674"/>
    <x v="0"/>
  </r>
  <r>
    <d v="2023-03-17T00:00:00"/>
    <x v="2"/>
    <x v="7"/>
    <x v="2"/>
    <x v="1226"/>
    <x v="1231"/>
    <s v="UPI"/>
    <s v="TXN100812"/>
    <x v="0"/>
  </r>
  <r>
    <d v="2023-03-17T00:00:00"/>
    <x v="2"/>
    <x v="7"/>
    <x v="4"/>
    <x v="1227"/>
    <x v="1232"/>
    <s v="UPI"/>
    <s v="TXN104465"/>
    <x v="0"/>
  </r>
  <r>
    <d v="2023-03-17T00:00:00"/>
    <x v="2"/>
    <x v="0"/>
    <x v="1"/>
    <x v="1228"/>
    <x v="1233"/>
    <s v="UPI"/>
    <s v="TXN105108"/>
    <x v="0"/>
  </r>
  <r>
    <d v="2023-03-17T00:00:00"/>
    <x v="2"/>
    <x v="1"/>
    <x v="1"/>
    <x v="1229"/>
    <x v="1234"/>
    <s v="Card"/>
    <s v="TXN106315"/>
    <x v="0"/>
  </r>
  <r>
    <d v="2023-03-17T00:00:00"/>
    <x v="2"/>
    <x v="7"/>
    <x v="4"/>
    <x v="1230"/>
    <x v="1235"/>
    <s v="Bank Transfer"/>
    <s v="TXN109387"/>
    <x v="0"/>
  </r>
  <r>
    <d v="2023-03-17T00:00:00"/>
    <x v="2"/>
    <x v="4"/>
    <x v="3"/>
    <x v="1231"/>
    <x v="1236"/>
    <s v="Card"/>
    <s v="TXN109967"/>
    <x v="0"/>
  </r>
  <r>
    <d v="2023-03-17T00:00:00"/>
    <x v="2"/>
    <x v="5"/>
    <x v="0"/>
    <x v="959"/>
    <x v="1109"/>
    <s v="Card"/>
    <s v="REV100004"/>
    <x v="1"/>
  </r>
  <r>
    <d v="2023-03-17T00:00:00"/>
    <x v="2"/>
    <x v="6"/>
    <x v="1"/>
    <x v="1232"/>
    <x v="1237"/>
    <s v="Bank Transfer"/>
    <s v="REV100228"/>
    <x v="1"/>
  </r>
  <r>
    <d v="2023-03-17T00:00:00"/>
    <x v="2"/>
    <x v="6"/>
    <x v="0"/>
    <x v="1233"/>
    <x v="1238"/>
    <s v="Bank Transfer"/>
    <s v="REV100256"/>
    <x v="1"/>
  </r>
  <r>
    <d v="2023-03-17T00:00:00"/>
    <x v="2"/>
    <x v="6"/>
    <x v="2"/>
    <x v="1234"/>
    <x v="224"/>
    <s v="Bank Transfer"/>
    <s v="REV100297"/>
    <x v="1"/>
  </r>
  <r>
    <d v="2023-03-17T00:00:00"/>
    <x v="2"/>
    <x v="6"/>
    <x v="4"/>
    <x v="605"/>
    <x v="775"/>
    <s v="UPI"/>
    <s v="REV101538"/>
    <x v="1"/>
  </r>
  <r>
    <d v="2023-03-17T00:00:00"/>
    <x v="2"/>
    <x v="5"/>
    <x v="1"/>
    <x v="1235"/>
    <x v="731"/>
    <s v="Bank Transfer"/>
    <s v="REV101740"/>
    <x v="1"/>
  </r>
  <r>
    <d v="2023-03-17T00:00:00"/>
    <x v="2"/>
    <x v="6"/>
    <x v="1"/>
    <x v="1236"/>
    <x v="1239"/>
    <s v="UPI"/>
    <s v="REV102131"/>
    <x v="1"/>
  </r>
  <r>
    <d v="2023-03-17T00:00:00"/>
    <x v="2"/>
    <x v="6"/>
    <x v="4"/>
    <x v="909"/>
    <x v="1240"/>
    <s v="Card"/>
    <s v="REV103172"/>
    <x v="1"/>
  </r>
  <r>
    <d v="2023-03-17T00:00:00"/>
    <x v="2"/>
    <x v="6"/>
    <x v="3"/>
    <x v="1237"/>
    <x v="1241"/>
    <s v="Bank Transfer"/>
    <s v="REV103372"/>
    <x v="1"/>
  </r>
  <r>
    <d v="2023-03-18T00:00:00"/>
    <x v="2"/>
    <x v="3"/>
    <x v="1"/>
    <x v="1238"/>
    <x v="1242"/>
    <s v="UPI"/>
    <s v="TXN101027"/>
    <x v="0"/>
  </r>
  <r>
    <d v="2023-03-18T00:00:00"/>
    <x v="2"/>
    <x v="2"/>
    <x v="0"/>
    <x v="1239"/>
    <x v="1243"/>
    <s v="UPI"/>
    <s v="TXN101151"/>
    <x v="0"/>
  </r>
  <r>
    <d v="2023-03-18T00:00:00"/>
    <x v="2"/>
    <x v="1"/>
    <x v="4"/>
    <x v="1240"/>
    <x v="1244"/>
    <s v="UPI"/>
    <s v="TXN103362"/>
    <x v="0"/>
  </r>
  <r>
    <d v="2023-03-18T00:00:00"/>
    <x v="2"/>
    <x v="4"/>
    <x v="0"/>
    <x v="1241"/>
    <x v="1245"/>
    <s v="Card"/>
    <s v="TXN103519"/>
    <x v="0"/>
  </r>
  <r>
    <d v="2023-03-18T00:00:00"/>
    <x v="2"/>
    <x v="3"/>
    <x v="4"/>
    <x v="1242"/>
    <x v="1246"/>
    <s v="UPI"/>
    <s v="TXN106680"/>
    <x v="0"/>
  </r>
  <r>
    <d v="2023-03-18T00:00:00"/>
    <x v="2"/>
    <x v="3"/>
    <x v="3"/>
    <x v="1243"/>
    <x v="1247"/>
    <s v="Bank Transfer"/>
    <s v="TXN109630"/>
    <x v="0"/>
  </r>
  <r>
    <d v="2023-03-18T00:00:00"/>
    <x v="2"/>
    <x v="5"/>
    <x v="1"/>
    <x v="440"/>
    <x v="1248"/>
    <s v="Bank Transfer"/>
    <s v="REV100380"/>
    <x v="1"/>
  </r>
  <r>
    <d v="2023-03-18T00:00:00"/>
    <x v="2"/>
    <x v="5"/>
    <x v="0"/>
    <x v="1244"/>
    <x v="1249"/>
    <s v="Bank Transfer"/>
    <s v="REV100422"/>
    <x v="1"/>
  </r>
  <r>
    <d v="2023-03-18T00:00:00"/>
    <x v="2"/>
    <x v="5"/>
    <x v="4"/>
    <x v="344"/>
    <x v="382"/>
    <s v="Card"/>
    <s v="REV101154"/>
    <x v="1"/>
  </r>
  <r>
    <d v="2023-03-18T00:00:00"/>
    <x v="2"/>
    <x v="6"/>
    <x v="0"/>
    <x v="986"/>
    <x v="850"/>
    <s v="Card"/>
    <s v="REV101199"/>
    <x v="1"/>
  </r>
  <r>
    <d v="2023-03-18T00:00:00"/>
    <x v="2"/>
    <x v="6"/>
    <x v="4"/>
    <x v="1245"/>
    <x v="1250"/>
    <s v="UPI"/>
    <s v="REV102272"/>
    <x v="1"/>
  </r>
  <r>
    <d v="2023-03-18T00:00:00"/>
    <x v="2"/>
    <x v="5"/>
    <x v="3"/>
    <x v="1246"/>
    <x v="656"/>
    <s v="Card"/>
    <s v="REV103258"/>
    <x v="1"/>
  </r>
  <r>
    <d v="2023-03-19T00:00:00"/>
    <x v="2"/>
    <x v="7"/>
    <x v="2"/>
    <x v="1247"/>
    <x v="1251"/>
    <s v="Cash"/>
    <s v="TXN104101"/>
    <x v="0"/>
  </r>
  <r>
    <d v="2023-03-19T00:00:00"/>
    <x v="2"/>
    <x v="7"/>
    <x v="1"/>
    <x v="1248"/>
    <x v="1252"/>
    <s v="Cash"/>
    <s v="TXN104333"/>
    <x v="0"/>
  </r>
  <r>
    <d v="2023-03-19T00:00:00"/>
    <x v="2"/>
    <x v="2"/>
    <x v="3"/>
    <x v="1249"/>
    <x v="1253"/>
    <s v="Bank Transfer"/>
    <s v="TXN106998"/>
    <x v="0"/>
  </r>
  <r>
    <d v="2023-03-19T00:00:00"/>
    <x v="2"/>
    <x v="5"/>
    <x v="2"/>
    <x v="1250"/>
    <x v="1072"/>
    <s v="Bank Transfer"/>
    <s v="REV101417"/>
    <x v="1"/>
  </r>
  <r>
    <d v="2023-03-19T00:00:00"/>
    <x v="2"/>
    <x v="6"/>
    <x v="1"/>
    <x v="1251"/>
    <x v="1254"/>
    <s v="UPI"/>
    <s v="REV101500"/>
    <x v="1"/>
  </r>
  <r>
    <d v="2023-03-19T00:00:00"/>
    <x v="2"/>
    <x v="5"/>
    <x v="3"/>
    <x v="1252"/>
    <x v="952"/>
    <s v="Card"/>
    <s v="REV102375"/>
    <x v="1"/>
  </r>
  <r>
    <d v="2023-03-20T00:00:00"/>
    <x v="2"/>
    <x v="3"/>
    <x v="2"/>
    <x v="1253"/>
    <x v="1255"/>
    <s v="Card"/>
    <s v="TXN101394"/>
    <x v="0"/>
  </r>
  <r>
    <d v="2023-03-20T00:00:00"/>
    <x v="2"/>
    <x v="2"/>
    <x v="3"/>
    <x v="1254"/>
    <x v="1256"/>
    <s v="Card"/>
    <s v="TXN102126"/>
    <x v="0"/>
  </r>
  <r>
    <d v="2023-03-20T00:00:00"/>
    <x v="2"/>
    <x v="7"/>
    <x v="4"/>
    <x v="1255"/>
    <x v="1257"/>
    <s v="Bank Transfer"/>
    <s v="TXN104148"/>
    <x v="0"/>
  </r>
  <r>
    <d v="2023-03-20T00:00:00"/>
    <x v="2"/>
    <x v="4"/>
    <x v="2"/>
    <x v="1256"/>
    <x v="1258"/>
    <s v="Bank Transfer"/>
    <s v="TXN105753"/>
    <x v="0"/>
  </r>
  <r>
    <d v="2023-03-20T00:00:00"/>
    <x v="2"/>
    <x v="2"/>
    <x v="0"/>
    <x v="1257"/>
    <x v="1259"/>
    <s v="Cash"/>
    <s v="TXN106164"/>
    <x v="0"/>
  </r>
  <r>
    <d v="2023-03-20T00:00:00"/>
    <x v="2"/>
    <x v="7"/>
    <x v="3"/>
    <x v="1258"/>
    <x v="1260"/>
    <s v="UPI"/>
    <s v="TXN106457"/>
    <x v="0"/>
  </r>
  <r>
    <d v="2023-03-20T00:00:00"/>
    <x v="2"/>
    <x v="2"/>
    <x v="1"/>
    <x v="1259"/>
    <x v="1261"/>
    <s v="UPI"/>
    <s v="TXN107623"/>
    <x v="0"/>
  </r>
  <r>
    <d v="2023-03-20T00:00:00"/>
    <x v="2"/>
    <x v="5"/>
    <x v="2"/>
    <x v="941"/>
    <x v="1262"/>
    <s v="Bank Transfer"/>
    <s v="REV100508"/>
    <x v="1"/>
  </r>
  <r>
    <d v="2023-03-20T00:00:00"/>
    <x v="2"/>
    <x v="6"/>
    <x v="3"/>
    <x v="704"/>
    <x v="613"/>
    <s v="Card"/>
    <s v="REV100757"/>
    <x v="1"/>
  </r>
  <r>
    <d v="2023-03-20T00:00:00"/>
    <x v="2"/>
    <x v="5"/>
    <x v="4"/>
    <x v="1260"/>
    <x v="1263"/>
    <s v="Bank Transfer"/>
    <s v="REV101437"/>
    <x v="1"/>
  </r>
  <r>
    <d v="2023-03-20T00:00:00"/>
    <x v="2"/>
    <x v="6"/>
    <x v="2"/>
    <x v="1261"/>
    <x v="1264"/>
    <s v="UPI"/>
    <s v="REV101953"/>
    <x v="1"/>
  </r>
  <r>
    <d v="2023-03-20T00:00:00"/>
    <x v="2"/>
    <x v="5"/>
    <x v="0"/>
    <x v="362"/>
    <x v="403"/>
    <s v="Bank Transfer"/>
    <s v="REV102077"/>
    <x v="1"/>
  </r>
  <r>
    <d v="2023-03-20T00:00:00"/>
    <x v="2"/>
    <x v="6"/>
    <x v="3"/>
    <x v="1262"/>
    <x v="1265"/>
    <s v="Card"/>
    <s v="REV102186"/>
    <x v="1"/>
  </r>
  <r>
    <d v="2023-03-20T00:00:00"/>
    <x v="2"/>
    <x v="6"/>
    <x v="1"/>
    <x v="1263"/>
    <x v="1266"/>
    <s v="UPI"/>
    <s v="REV102590"/>
    <x v="1"/>
  </r>
  <r>
    <d v="2023-03-21T00:00:00"/>
    <x v="2"/>
    <x v="3"/>
    <x v="2"/>
    <x v="1264"/>
    <x v="1267"/>
    <s v="UPI"/>
    <s v="TXN102790"/>
    <x v="0"/>
  </r>
  <r>
    <d v="2023-03-21T00:00:00"/>
    <x v="2"/>
    <x v="7"/>
    <x v="2"/>
    <x v="1265"/>
    <x v="1268"/>
    <s v="Bank Transfer"/>
    <s v="TXN103722"/>
    <x v="0"/>
  </r>
  <r>
    <d v="2023-03-21T00:00:00"/>
    <x v="2"/>
    <x v="3"/>
    <x v="0"/>
    <x v="1266"/>
    <x v="1269"/>
    <s v="Cash"/>
    <s v="TXN104193"/>
    <x v="0"/>
  </r>
  <r>
    <d v="2023-03-21T00:00:00"/>
    <x v="2"/>
    <x v="2"/>
    <x v="3"/>
    <x v="1267"/>
    <x v="1270"/>
    <s v="Card"/>
    <s v="TXN105204"/>
    <x v="0"/>
  </r>
  <r>
    <d v="2023-03-21T00:00:00"/>
    <x v="2"/>
    <x v="7"/>
    <x v="2"/>
    <x v="1268"/>
    <x v="1271"/>
    <s v="Cash"/>
    <s v="TXN105741"/>
    <x v="0"/>
  </r>
  <r>
    <d v="2023-03-21T00:00:00"/>
    <x v="2"/>
    <x v="7"/>
    <x v="1"/>
    <x v="1269"/>
    <x v="1272"/>
    <s v="Card"/>
    <s v="TXN106187"/>
    <x v="0"/>
  </r>
  <r>
    <d v="2023-03-21T00:00:00"/>
    <x v="2"/>
    <x v="1"/>
    <x v="1"/>
    <x v="1270"/>
    <x v="1273"/>
    <s v="Card"/>
    <s v="TXN106786"/>
    <x v="0"/>
  </r>
  <r>
    <d v="2023-03-21T00:00:00"/>
    <x v="2"/>
    <x v="0"/>
    <x v="0"/>
    <x v="1271"/>
    <x v="1274"/>
    <s v="UPI"/>
    <s v="TXN107064"/>
    <x v="0"/>
  </r>
  <r>
    <d v="2023-03-21T00:00:00"/>
    <x v="2"/>
    <x v="2"/>
    <x v="1"/>
    <x v="1272"/>
    <x v="1275"/>
    <s v="Bank Transfer"/>
    <s v="TXN107984"/>
    <x v="0"/>
  </r>
  <r>
    <d v="2023-03-21T00:00:00"/>
    <x v="2"/>
    <x v="4"/>
    <x v="1"/>
    <x v="1273"/>
    <x v="1276"/>
    <s v="Card"/>
    <s v="TXN108205"/>
    <x v="0"/>
  </r>
  <r>
    <d v="2023-03-21T00:00:00"/>
    <x v="2"/>
    <x v="4"/>
    <x v="0"/>
    <x v="1274"/>
    <x v="1277"/>
    <s v="Card"/>
    <s v="TXN109913"/>
    <x v="0"/>
  </r>
  <r>
    <d v="2023-03-21T00:00:00"/>
    <x v="2"/>
    <x v="6"/>
    <x v="2"/>
    <x v="1275"/>
    <x v="1278"/>
    <s v="Card"/>
    <s v="REV100980"/>
    <x v="1"/>
  </r>
  <r>
    <d v="2023-03-21T00:00:00"/>
    <x v="2"/>
    <x v="5"/>
    <x v="2"/>
    <x v="174"/>
    <x v="1279"/>
    <s v="Bank Transfer"/>
    <s v="REV101281"/>
    <x v="1"/>
  </r>
  <r>
    <d v="2023-03-21T00:00:00"/>
    <x v="2"/>
    <x v="5"/>
    <x v="0"/>
    <x v="237"/>
    <x v="37"/>
    <s v="Card"/>
    <s v="REV101455"/>
    <x v="1"/>
  </r>
  <r>
    <d v="2023-03-21T00:00:00"/>
    <x v="2"/>
    <x v="5"/>
    <x v="3"/>
    <x v="1276"/>
    <x v="265"/>
    <s v="Bank Transfer"/>
    <s v="REV101762"/>
    <x v="1"/>
  </r>
  <r>
    <d v="2023-03-21T00:00:00"/>
    <x v="2"/>
    <x v="6"/>
    <x v="2"/>
    <x v="542"/>
    <x v="1280"/>
    <s v="Card"/>
    <s v="REV101950"/>
    <x v="1"/>
  </r>
  <r>
    <d v="2023-03-21T00:00:00"/>
    <x v="2"/>
    <x v="5"/>
    <x v="1"/>
    <x v="202"/>
    <x v="1281"/>
    <s v="UPI"/>
    <s v="REV102085"/>
    <x v="1"/>
  </r>
  <r>
    <d v="2023-03-21T00:00:00"/>
    <x v="2"/>
    <x v="5"/>
    <x v="1"/>
    <x v="1277"/>
    <x v="1282"/>
    <s v="Card"/>
    <s v="REV102311"/>
    <x v="1"/>
  </r>
  <r>
    <d v="2023-03-21T00:00:00"/>
    <x v="2"/>
    <x v="5"/>
    <x v="0"/>
    <x v="1278"/>
    <x v="1283"/>
    <s v="Bank Transfer"/>
    <s v="REV102399"/>
    <x v="1"/>
  </r>
  <r>
    <d v="2023-03-21T00:00:00"/>
    <x v="2"/>
    <x v="5"/>
    <x v="1"/>
    <x v="239"/>
    <x v="1284"/>
    <s v="UPI"/>
    <s v="REV102713"/>
    <x v="1"/>
  </r>
  <r>
    <d v="2023-03-21T00:00:00"/>
    <x v="2"/>
    <x v="6"/>
    <x v="1"/>
    <x v="1279"/>
    <x v="1285"/>
    <s v="Bank Transfer"/>
    <s v="REV102788"/>
    <x v="1"/>
  </r>
  <r>
    <d v="2023-03-21T00:00:00"/>
    <x v="2"/>
    <x v="5"/>
    <x v="0"/>
    <x v="1280"/>
    <x v="1286"/>
    <s v="Bank Transfer"/>
    <s v="REV103351"/>
    <x v="1"/>
  </r>
  <r>
    <d v="2023-03-22T00:00:00"/>
    <x v="2"/>
    <x v="3"/>
    <x v="2"/>
    <x v="1281"/>
    <x v="1287"/>
    <s v="Card"/>
    <s v="TXN104145"/>
    <x v="0"/>
  </r>
  <r>
    <d v="2023-03-22T00:00:00"/>
    <x v="2"/>
    <x v="7"/>
    <x v="0"/>
    <x v="1282"/>
    <x v="1288"/>
    <s v="Card"/>
    <s v="TXN105229"/>
    <x v="0"/>
  </r>
  <r>
    <d v="2023-03-22T00:00:00"/>
    <x v="2"/>
    <x v="4"/>
    <x v="0"/>
    <x v="1283"/>
    <x v="1289"/>
    <s v="Bank Transfer"/>
    <s v="TXN106184"/>
    <x v="0"/>
  </r>
  <r>
    <d v="2023-03-22T00:00:00"/>
    <x v="2"/>
    <x v="7"/>
    <x v="1"/>
    <x v="1284"/>
    <x v="1290"/>
    <s v="Bank Transfer"/>
    <s v="TXN107045"/>
    <x v="0"/>
  </r>
  <r>
    <d v="2023-03-22T00:00:00"/>
    <x v="2"/>
    <x v="0"/>
    <x v="3"/>
    <x v="1285"/>
    <x v="1291"/>
    <s v="Cash"/>
    <s v="TXN108221"/>
    <x v="0"/>
  </r>
  <r>
    <d v="2023-03-22T00:00:00"/>
    <x v="2"/>
    <x v="5"/>
    <x v="2"/>
    <x v="1286"/>
    <x v="718"/>
    <s v="UPI"/>
    <s v="REV101434"/>
    <x v="1"/>
  </r>
  <r>
    <d v="2023-03-22T00:00:00"/>
    <x v="2"/>
    <x v="6"/>
    <x v="0"/>
    <x v="1287"/>
    <x v="62"/>
    <s v="Bank Transfer"/>
    <s v="REV101773"/>
    <x v="1"/>
  </r>
  <r>
    <d v="2023-03-22T00:00:00"/>
    <x v="2"/>
    <x v="6"/>
    <x v="0"/>
    <x v="1288"/>
    <x v="54"/>
    <s v="UPI"/>
    <s v="REV102084"/>
    <x v="1"/>
  </r>
  <r>
    <d v="2023-03-22T00:00:00"/>
    <x v="2"/>
    <x v="5"/>
    <x v="1"/>
    <x v="1289"/>
    <x v="1292"/>
    <s v="Bank Transfer"/>
    <s v="REV102390"/>
    <x v="1"/>
  </r>
  <r>
    <d v="2023-03-22T00:00:00"/>
    <x v="2"/>
    <x v="6"/>
    <x v="3"/>
    <x v="1290"/>
    <x v="1293"/>
    <s v="Bank Transfer"/>
    <s v="REV102792"/>
    <x v="1"/>
  </r>
  <r>
    <d v="2023-03-23T00:00:00"/>
    <x v="2"/>
    <x v="3"/>
    <x v="2"/>
    <x v="1291"/>
    <x v="1294"/>
    <s v="UPI"/>
    <s v="TXN100683"/>
    <x v="0"/>
  </r>
  <r>
    <d v="2023-03-23T00:00:00"/>
    <x v="2"/>
    <x v="3"/>
    <x v="4"/>
    <x v="1292"/>
    <x v="1295"/>
    <s v="Bank Transfer"/>
    <s v="TXN106138"/>
    <x v="0"/>
  </r>
  <r>
    <d v="2023-03-23T00:00:00"/>
    <x v="2"/>
    <x v="0"/>
    <x v="2"/>
    <x v="1293"/>
    <x v="1296"/>
    <s v="Cash"/>
    <s v="TXN106173"/>
    <x v="0"/>
  </r>
  <r>
    <d v="2023-03-23T00:00:00"/>
    <x v="2"/>
    <x v="5"/>
    <x v="2"/>
    <x v="1294"/>
    <x v="1297"/>
    <s v="Card"/>
    <s v="REV100260"/>
    <x v="1"/>
  </r>
  <r>
    <d v="2023-03-23T00:00:00"/>
    <x v="2"/>
    <x v="5"/>
    <x v="4"/>
    <x v="1295"/>
    <x v="1063"/>
    <s v="Card"/>
    <s v="REV102071"/>
    <x v="1"/>
  </r>
  <r>
    <d v="2023-03-23T00:00:00"/>
    <x v="2"/>
    <x v="5"/>
    <x v="2"/>
    <x v="1296"/>
    <x v="765"/>
    <s v="UPI"/>
    <s v="REV102079"/>
    <x v="1"/>
  </r>
  <r>
    <d v="2023-03-24T00:00:00"/>
    <x v="2"/>
    <x v="7"/>
    <x v="0"/>
    <x v="1297"/>
    <x v="1298"/>
    <s v="Card"/>
    <s v="TXN104672"/>
    <x v="0"/>
  </r>
  <r>
    <d v="2023-03-24T00:00:00"/>
    <x v="2"/>
    <x v="2"/>
    <x v="1"/>
    <x v="1298"/>
    <x v="1299"/>
    <s v="Cash"/>
    <s v="TXN104726"/>
    <x v="0"/>
  </r>
  <r>
    <d v="2023-03-24T00:00:00"/>
    <x v="2"/>
    <x v="0"/>
    <x v="4"/>
    <x v="1299"/>
    <x v="1300"/>
    <s v="Card"/>
    <s v="TXN106102"/>
    <x v="0"/>
  </r>
  <r>
    <d v="2023-03-24T00:00:00"/>
    <x v="2"/>
    <x v="2"/>
    <x v="4"/>
    <x v="1300"/>
    <x v="4"/>
    <s v="Bank Transfer"/>
    <s v="TXN106467"/>
    <x v="0"/>
  </r>
  <r>
    <d v="2023-03-24T00:00:00"/>
    <x v="2"/>
    <x v="3"/>
    <x v="0"/>
    <x v="1301"/>
    <x v="1301"/>
    <s v="Bank Transfer"/>
    <s v="TXN109002"/>
    <x v="0"/>
  </r>
  <r>
    <d v="2023-03-24T00:00:00"/>
    <x v="2"/>
    <x v="4"/>
    <x v="4"/>
    <x v="1302"/>
    <x v="451"/>
    <s v="Card"/>
    <s v="TXN109132"/>
    <x v="0"/>
  </r>
  <r>
    <d v="2023-03-24T00:00:00"/>
    <x v="2"/>
    <x v="5"/>
    <x v="0"/>
    <x v="327"/>
    <x v="81"/>
    <s v="Bank Transfer"/>
    <s v="REV101599"/>
    <x v="1"/>
  </r>
  <r>
    <d v="2023-03-24T00:00:00"/>
    <x v="2"/>
    <x v="5"/>
    <x v="1"/>
    <x v="1303"/>
    <x v="1302"/>
    <s v="Bank Transfer"/>
    <s v="REV101615"/>
    <x v="1"/>
  </r>
  <r>
    <d v="2023-03-24T00:00:00"/>
    <x v="2"/>
    <x v="5"/>
    <x v="4"/>
    <x v="1304"/>
    <x v="262"/>
    <s v="Bank Transfer"/>
    <s v="REV102059"/>
    <x v="1"/>
  </r>
  <r>
    <d v="2023-03-24T00:00:00"/>
    <x v="2"/>
    <x v="6"/>
    <x v="4"/>
    <x v="297"/>
    <x v="1303"/>
    <s v="Bank Transfer"/>
    <s v="REV102192"/>
    <x v="1"/>
  </r>
  <r>
    <d v="2023-03-24T00:00:00"/>
    <x v="2"/>
    <x v="6"/>
    <x v="0"/>
    <x v="1305"/>
    <x v="854"/>
    <s v="Bank Transfer"/>
    <s v="REV103048"/>
    <x v="1"/>
  </r>
  <r>
    <d v="2023-03-24T00:00:00"/>
    <x v="2"/>
    <x v="5"/>
    <x v="4"/>
    <x v="1306"/>
    <x v="1304"/>
    <s v="Card"/>
    <s v="REV103087"/>
    <x v="1"/>
  </r>
  <r>
    <d v="2023-03-25T00:00:00"/>
    <x v="2"/>
    <x v="7"/>
    <x v="1"/>
    <x v="1307"/>
    <x v="1305"/>
    <s v="Cash"/>
    <s v="TXN100855"/>
    <x v="0"/>
  </r>
  <r>
    <d v="2023-03-25T00:00:00"/>
    <x v="2"/>
    <x v="7"/>
    <x v="0"/>
    <x v="1308"/>
    <x v="1306"/>
    <s v="Bank Transfer"/>
    <s v="TXN100942"/>
    <x v="0"/>
  </r>
  <r>
    <d v="2023-03-25T00:00:00"/>
    <x v="2"/>
    <x v="7"/>
    <x v="3"/>
    <x v="1309"/>
    <x v="1307"/>
    <s v="Cash"/>
    <s v="TXN101119"/>
    <x v="0"/>
  </r>
  <r>
    <d v="2023-03-25T00:00:00"/>
    <x v="2"/>
    <x v="2"/>
    <x v="2"/>
    <x v="1310"/>
    <x v="1308"/>
    <s v="Bank Transfer"/>
    <s v="TXN101541"/>
    <x v="0"/>
  </r>
  <r>
    <d v="2023-03-25T00:00:00"/>
    <x v="2"/>
    <x v="4"/>
    <x v="1"/>
    <x v="1311"/>
    <x v="1309"/>
    <s v="Card"/>
    <s v="TXN102272"/>
    <x v="0"/>
  </r>
  <r>
    <d v="2023-03-25T00:00:00"/>
    <x v="2"/>
    <x v="2"/>
    <x v="4"/>
    <x v="1312"/>
    <x v="1310"/>
    <s v="Bank Transfer"/>
    <s v="TXN104660"/>
    <x v="0"/>
  </r>
  <r>
    <d v="2023-03-25T00:00:00"/>
    <x v="2"/>
    <x v="1"/>
    <x v="3"/>
    <x v="1313"/>
    <x v="1311"/>
    <s v="Cash"/>
    <s v="TXN105069"/>
    <x v="0"/>
  </r>
  <r>
    <d v="2023-03-25T00:00:00"/>
    <x v="2"/>
    <x v="2"/>
    <x v="2"/>
    <x v="1314"/>
    <x v="1312"/>
    <s v="UPI"/>
    <s v="TXN105791"/>
    <x v="0"/>
  </r>
  <r>
    <d v="2023-03-25T00:00:00"/>
    <x v="2"/>
    <x v="1"/>
    <x v="3"/>
    <x v="1315"/>
    <x v="1313"/>
    <s v="Cash"/>
    <s v="TXN106474"/>
    <x v="0"/>
  </r>
  <r>
    <d v="2023-03-25T00:00:00"/>
    <x v="2"/>
    <x v="3"/>
    <x v="2"/>
    <x v="1316"/>
    <x v="1314"/>
    <s v="UPI"/>
    <s v="TXN107770"/>
    <x v="0"/>
  </r>
  <r>
    <d v="2023-03-25T00:00:00"/>
    <x v="2"/>
    <x v="2"/>
    <x v="1"/>
    <x v="1317"/>
    <x v="1315"/>
    <s v="Bank Transfer"/>
    <s v="TXN107787"/>
    <x v="0"/>
  </r>
  <r>
    <d v="2023-03-25T00:00:00"/>
    <x v="2"/>
    <x v="5"/>
    <x v="1"/>
    <x v="1318"/>
    <x v="1316"/>
    <s v="Bank Transfer"/>
    <s v="REV100316"/>
    <x v="1"/>
  </r>
  <r>
    <d v="2023-03-25T00:00:00"/>
    <x v="2"/>
    <x v="6"/>
    <x v="0"/>
    <x v="614"/>
    <x v="1317"/>
    <s v="Bank Transfer"/>
    <s v="REV100350"/>
    <x v="1"/>
  </r>
  <r>
    <d v="2023-03-25T00:00:00"/>
    <x v="2"/>
    <x v="6"/>
    <x v="3"/>
    <x v="1319"/>
    <x v="134"/>
    <s v="Bank Transfer"/>
    <s v="REV100413"/>
    <x v="1"/>
  </r>
  <r>
    <d v="2023-03-25T00:00:00"/>
    <x v="2"/>
    <x v="6"/>
    <x v="2"/>
    <x v="1320"/>
    <x v="1248"/>
    <s v="Card"/>
    <s v="REV100564"/>
    <x v="1"/>
  </r>
  <r>
    <d v="2023-03-25T00:00:00"/>
    <x v="2"/>
    <x v="5"/>
    <x v="1"/>
    <x v="129"/>
    <x v="359"/>
    <s v="UPI"/>
    <s v="REV100803"/>
    <x v="1"/>
  </r>
  <r>
    <d v="2023-03-25T00:00:00"/>
    <x v="2"/>
    <x v="6"/>
    <x v="4"/>
    <x v="1321"/>
    <x v="1318"/>
    <s v="UPI"/>
    <s v="REV101592"/>
    <x v="1"/>
  </r>
  <r>
    <d v="2023-03-25T00:00:00"/>
    <x v="2"/>
    <x v="5"/>
    <x v="3"/>
    <x v="1322"/>
    <x v="1319"/>
    <s v="Card"/>
    <s v="REV101726"/>
    <x v="1"/>
  </r>
  <r>
    <d v="2023-03-25T00:00:00"/>
    <x v="2"/>
    <x v="5"/>
    <x v="2"/>
    <x v="1323"/>
    <x v="1320"/>
    <s v="Bank Transfer"/>
    <s v="REV101962"/>
    <x v="1"/>
  </r>
  <r>
    <d v="2023-03-25T00:00:00"/>
    <x v="2"/>
    <x v="6"/>
    <x v="3"/>
    <x v="1324"/>
    <x v="1321"/>
    <s v="Card"/>
    <s v="REV102195"/>
    <x v="1"/>
  </r>
  <r>
    <d v="2023-03-25T00:00:00"/>
    <x v="2"/>
    <x v="5"/>
    <x v="2"/>
    <x v="1325"/>
    <x v="1322"/>
    <s v="Bank Transfer"/>
    <s v="REV102642"/>
    <x v="1"/>
  </r>
  <r>
    <d v="2023-03-25T00:00:00"/>
    <x v="2"/>
    <x v="6"/>
    <x v="1"/>
    <x v="1326"/>
    <x v="997"/>
    <s v="Bank Transfer"/>
    <s v="REV102648"/>
    <x v="1"/>
  </r>
  <r>
    <d v="2023-03-26T00:00:00"/>
    <x v="2"/>
    <x v="0"/>
    <x v="0"/>
    <x v="1327"/>
    <x v="1323"/>
    <s v="Bank Transfer"/>
    <s v="TXN100487"/>
    <x v="0"/>
  </r>
  <r>
    <d v="2023-03-26T00:00:00"/>
    <x v="2"/>
    <x v="3"/>
    <x v="2"/>
    <x v="1328"/>
    <x v="1324"/>
    <s v="Cash"/>
    <s v="TXN100813"/>
    <x v="0"/>
  </r>
  <r>
    <d v="2023-03-26T00:00:00"/>
    <x v="2"/>
    <x v="3"/>
    <x v="2"/>
    <x v="1329"/>
    <x v="1325"/>
    <s v="Cash"/>
    <s v="TXN100832"/>
    <x v="0"/>
  </r>
  <r>
    <d v="2023-03-26T00:00:00"/>
    <x v="2"/>
    <x v="4"/>
    <x v="0"/>
    <x v="1330"/>
    <x v="1326"/>
    <s v="Bank Transfer"/>
    <s v="TXN100961"/>
    <x v="0"/>
  </r>
  <r>
    <d v="2023-03-26T00:00:00"/>
    <x v="2"/>
    <x v="7"/>
    <x v="4"/>
    <x v="1331"/>
    <x v="1327"/>
    <s v="Cash"/>
    <s v="TXN106398"/>
    <x v="0"/>
  </r>
  <r>
    <d v="2023-03-26T00:00:00"/>
    <x v="2"/>
    <x v="1"/>
    <x v="1"/>
    <x v="1332"/>
    <x v="1328"/>
    <s v="Card"/>
    <s v="TXN107975"/>
    <x v="0"/>
  </r>
  <r>
    <d v="2023-03-26T00:00:00"/>
    <x v="2"/>
    <x v="7"/>
    <x v="0"/>
    <x v="1333"/>
    <x v="1329"/>
    <s v="Card"/>
    <s v="TXN108926"/>
    <x v="0"/>
  </r>
  <r>
    <d v="2023-03-26T00:00:00"/>
    <x v="2"/>
    <x v="1"/>
    <x v="0"/>
    <x v="1334"/>
    <x v="1330"/>
    <s v="Card"/>
    <s v="TXN109348"/>
    <x v="0"/>
  </r>
  <r>
    <d v="2023-03-26T00:00:00"/>
    <x v="2"/>
    <x v="6"/>
    <x v="0"/>
    <x v="883"/>
    <x v="655"/>
    <s v="UPI"/>
    <s v="REV100185"/>
    <x v="1"/>
  </r>
  <r>
    <d v="2023-03-26T00:00:00"/>
    <x v="2"/>
    <x v="6"/>
    <x v="2"/>
    <x v="1335"/>
    <x v="1331"/>
    <s v="Card"/>
    <s v="REV100298"/>
    <x v="1"/>
  </r>
  <r>
    <d v="2023-03-26T00:00:00"/>
    <x v="2"/>
    <x v="6"/>
    <x v="2"/>
    <x v="908"/>
    <x v="1332"/>
    <s v="Bank Transfer"/>
    <s v="REV100304"/>
    <x v="1"/>
  </r>
  <r>
    <d v="2023-03-26T00:00:00"/>
    <x v="2"/>
    <x v="6"/>
    <x v="0"/>
    <x v="1336"/>
    <x v="639"/>
    <s v="Bank Transfer"/>
    <s v="REV100357"/>
    <x v="1"/>
  </r>
  <r>
    <d v="2023-03-26T00:00:00"/>
    <x v="2"/>
    <x v="5"/>
    <x v="4"/>
    <x v="1337"/>
    <x v="521"/>
    <s v="Bank Transfer"/>
    <s v="REV102163"/>
    <x v="1"/>
  </r>
  <r>
    <d v="2023-03-26T00:00:00"/>
    <x v="2"/>
    <x v="5"/>
    <x v="1"/>
    <x v="1338"/>
    <x v="1333"/>
    <s v="Bank Transfer"/>
    <s v="REV102711"/>
    <x v="1"/>
  </r>
  <r>
    <d v="2023-03-26T00:00:00"/>
    <x v="2"/>
    <x v="5"/>
    <x v="0"/>
    <x v="1339"/>
    <x v="1334"/>
    <s v="Card"/>
    <s v="REV103022"/>
    <x v="1"/>
  </r>
  <r>
    <d v="2023-03-26T00:00:00"/>
    <x v="2"/>
    <x v="6"/>
    <x v="0"/>
    <x v="158"/>
    <x v="1335"/>
    <s v="Card"/>
    <s v="REV103160"/>
    <x v="1"/>
  </r>
  <r>
    <d v="2023-03-27T00:00:00"/>
    <x v="2"/>
    <x v="7"/>
    <x v="1"/>
    <x v="1340"/>
    <x v="1336"/>
    <s v="Cash"/>
    <s v="TXN100058"/>
    <x v="0"/>
  </r>
  <r>
    <d v="2023-03-27T00:00:00"/>
    <x v="2"/>
    <x v="2"/>
    <x v="1"/>
    <x v="1341"/>
    <x v="1337"/>
    <s v="Card"/>
    <s v="TXN100194"/>
    <x v="0"/>
  </r>
  <r>
    <d v="2023-03-27T00:00:00"/>
    <x v="2"/>
    <x v="0"/>
    <x v="3"/>
    <x v="1342"/>
    <x v="1338"/>
    <s v="Card"/>
    <s v="TXN100214"/>
    <x v="0"/>
  </r>
  <r>
    <d v="2023-03-27T00:00:00"/>
    <x v="2"/>
    <x v="7"/>
    <x v="1"/>
    <x v="1343"/>
    <x v="1339"/>
    <s v="Card"/>
    <s v="TXN100236"/>
    <x v="0"/>
  </r>
  <r>
    <d v="2023-03-27T00:00:00"/>
    <x v="2"/>
    <x v="4"/>
    <x v="3"/>
    <x v="1344"/>
    <x v="1340"/>
    <s v="Card"/>
    <s v="TXN101214"/>
    <x v="0"/>
  </r>
  <r>
    <d v="2023-03-27T00:00:00"/>
    <x v="2"/>
    <x v="7"/>
    <x v="2"/>
    <x v="1345"/>
    <x v="1341"/>
    <s v="Cash"/>
    <s v="TXN101583"/>
    <x v="0"/>
  </r>
  <r>
    <d v="2023-03-27T00:00:00"/>
    <x v="2"/>
    <x v="4"/>
    <x v="1"/>
    <x v="1346"/>
    <x v="1342"/>
    <s v="Cash"/>
    <s v="TXN103932"/>
    <x v="0"/>
  </r>
  <r>
    <d v="2023-03-27T00:00:00"/>
    <x v="2"/>
    <x v="2"/>
    <x v="0"/>
    <x v="1347"/>
    <x v="1343"/>
    <s v="UPI"/>
    <s v="TXN105276"/>
    <x v="0"/>
  </r>
  <r>
    <d v="2023-03-27T00:00:00"/>
    <x v="2"/>
    <x v="7"/>
    <x v="2"/>
    <x v="1348"/>
    <x v="1344"/>
    <s v="UPI"/>
    <s v="TXN105729"/>
    <x v="0"/>
  </r>
  <r>
    <d v="2023-03-27T00:00:00"/>
    <x v="2"/>
    <x v="7"/>
    <x v="1"/>
    <x v="1349"/>
    <x v="1345"/>
    <s v="Cash"/>
    <s v="TXN106629"/>
    <x v="0"/>
  </r>
  <r>
    <d v="2023-03-27T00:00:00"/>
    <x v="2"/>
    <x v="3"/>
    <x v="4"/>
    <x v="1350"/>
    <x v="1346"/>
    <s v="Cash"/>
    <s v="TXN107342"/>
    <x v="0"/>
  </r>
  <r>
    <d v="2023-03-27T00:00:00"/>
    <x v="2"/>
    <x v="7"/>
    <x v="3"/>
    <x v="1351"/>
    <x v="1347"/>
    <s v="Card"/>
    <s v="TXN108483"/>
    <x v="0"/>
  </r>
  <r>
    <d v="2023-03-27T00:00:00"/>
    <x v="2"/>
    <x v="1"/>
    <x v="2"/>
    <x v="1352"/>
    <x v="1348"/>
    <s v="Card"/>
    <s v="TXN108750"/>
    <x v="0"/>
  </r>
  <r>
    <d v="2023-03-27T00:00:00"/>
    <x v="2"/>
    <x v="1"/>
    <x v="2"/>
    <x v="1353"/>
    <x v="1349"/>
    <s v="Card"/>
    <s v="TXN108835"/>
    <x v="0"/>
  </r>
  <r>
    <d v="2023-03-27T00:00:00"/>
    <x v="2"/>
    <x v="3"/>
    <x v="2"/>
    <x v="1354"/>
    <x v="1350"/>
    <s v="Cash"/>
    <s v="TXN109619"/>
    <x v="0"/>
  </r>
  <r>
    <d v="2023-03-27T00:00:00"/>
    <x v="2"/>
    <x v="5"/>
    <x v="1"/>
    <x v="887"/>
    <x v="600"/>
    <s v="Bank Transfer"/>
    <s v="REV100021"/>
    <x v="1"/>
  </r>
  <r>
    <d v="2023-03-27T00:00:00"/>
    <x v="2"/>
    <x v="5"/>
    <x v="1"/>
    <x v="1355"/>
    <x v="1351"/>
    <s v="Card"/>
    <s v="REV100070"/>
    <x v="1"/>
  </r>
  <r>
    <d v="2023-03-27T00:00:00"/>
    <x v="2"/>
    <x v="5"/>
    <x v="3"/>
    <x v="289"/>
    <x v="873"/>
    <s v="Bank Transfer"/>
    <s v="REV100076"/>
    <x v="1"/>
  </r>
  <r>
    <d v="2023-03-27T00:00:00"/>
    <x v="2"/>
    <x v="5"/>
    <x v="1"/>
    <x v="1356"/>
    <x v="1352"/>
    <s v="Bank Transfer"/>
    <s v="REV100085"/>
    <x v="1"/>
  </r>
  <r>
    <d v="2023-03-27T00:00:00"/>
    <x v="2"/>
    <x v="6"/>
    <x v="3"/>
    <x v="1357"/>
    <x v="1353"/>
    <s v="Bank Transfer"/>
    <s v="REV100447"/>
    <x v="1"/>
  </r>
  <r>
    <d v="2023-03-27T00:00:00"/>
    <x v="2"/>
    <x v="5"/>
    <x v="2"/>
    <x v="246"/>
    <x v="1354"/>
    <s v="UPI"/>
    <s v="REV100586"/>
    <x v="1"/>
  </r>
  <r>
    <d v="2023-03-27T00:00:00"/>
    <x v="2"/>
    <x v="6"/>
    <x v="1"/>
    <x v="1358"/>
    <x v="1355"/>
    <s v="Card"/>
    <s v="REV101360"/>
    <x v="1"/>
  </r>
  <r>
    <d v="2023-03-27T00:00:00"/>
    <x v="2"/>
    <x v="6"/>
    <x v="0"/>
    <x v="509"/>
    <x v="441"/>
    <s v="Card"/>
    <s v="REV101788"/>
    <x v="1"/>
  </r>
  <r>
    <d v="2023-03-27T00:00:00"/>
    <x v="2"/>
    <x v="5"/>
    <x v="2"/>
    <x v="1324"/>
    <x v="1356"/>
    <s v="Card"/>
    <s v="REV101948"/>
    <x v="1"/>
  </r>
  <r>
    <d v="2023-03-27T00:00:00"/>
    <x v="2"/>
    <x v="5"/>
    <x v="1"/>
    <x v="347"/>
    <x v="1357"/>
    <s v="Card"/>
    <s v="REV102253"/>
    <x v="1"/>
  </r>
  <r>
    <d v="2023-03-27T00:00:00"/>
    <x v="2"/>
    <x v="6"/>
    <x v="4"/>
    <x v="202"/>
    <x v="1358"/>
    <s v="Bank Transfer"/>
    <s v="REV102490"/>
    <x v="1"/>
  </r>
  <r>
    <d v="2023-03-27T00:00:00"/>
    <x v="2"/>
    <x v="5"/>
    <x v="3"/>
    <x v="31"/>
    <x v="853"/>
    <s v="Bank Transfer"/>
    <s v="REV102871"/>
    <x v="1"/>
  </r>
  <r>
    <d v="2023-03-27T00:00:00"/>
    <x v="2"/>
    <x v="6"/>
    <x v="2"/>
    <x v="668"/>
    <x v="1359"/>
    <s v="Bank Transfer"/>
    <s v="REV102973"/>
    <x v="1"/>
  </r>
  <r>
    <d v="2023-03-27T00:00:00"/>
    <x v="2"/>
    <x v="5"/>
    <x v="2"/>
    <x v="505"/>
    <x v="1360"/>
    <s v="UPI"/>
    <s v="REV102992"/>
    <x v="1"/>
  </r>
  <r>
    <d v="2023-03-27T00:00:00"/>
    <x v="2"/>
    <x v="5"/>
    <x v="2"/>
    <x v="1359"/>
    <x v="1361"/>
    <s v="Bank Transfer"/>
    <s v="REV103252"/>
    <x v="1"/>
  </r>
  <r>
    <d v="2023-03-28T00:00:00"/>
    <x v="2"/>
    <x v="3"/>
    <x v="0"/>
    <x v="1360"/>
    <x v="1362"/>
    <s v="Card"/>
    <s v="TXN101059"/>
    <x v="0"/>
  </r>
  <r>
    <d v="2023-03-28T00:00:00"/>
    <x v="2"/>
    <x v="7"/>
    <x v="4"/>
    <x v="1361"/>
    <x v="1363"/>
    <s v="UPI"/>
    <s v="TXN101145"/>
    <x v="0"/>
  </r>
  <r>
    <d v="2023-03-28T00:00:00"/>
    <x v="2"/>
    <x v="4"/>
    <x v="2"/>
    <x v="1362"/>
    <x v="1364"/>
    <s v="UPI"/>
    <s v="TXN102466"/>
    <x v="0"/>
  </r>
  <r>
    <d v="2023-03-28T00:00:00"/>
    <x v="2"/>
    <x v="1"/>
    <x v="3"/>
    <x v="1363"/>
    <x v="1365"/>
    <s v="UPI"/>
    <s v="TXN102550"/>
    <x v="0"/>
  </r>
  <r>
    <d v="2023-03-28T00:00:00"/>
    <x v="2"/>
    <x v="1"/>
    <x v="2"/>
    <x v="1364"/>
    <x v="1366"/>
    <s v="Cash"/>
    <s v="TXN103248"/>
    <x v="0"/>
  </r>
  <r>
    <d v="2023-03-28T00:00:00"/>
    <x v="2"/>
    <x v="0"/>
    <x v="2"/>
    <x v="1365"/>
    <x v="1367"/>
    <s v="Card"/>
    <s v="TXN103445"/>
    <x v="0"/>
  </r>
  <r>
    <d v="2023-03-28T00:00:00"/>
    <x v="2"/>
    <x v="1"/>
    <x v="0"/>
    <x v="1366"/>
    <x v="1368"/>
    <s v="UPI"/>
    <s v="TXN103912"/>
    <x v="0"/>
  </r>
  <r>
    <d v="2023-03-28T00:00:00"/>
    <x v="2"/>
    <x v="1"/>
    <x v="3"/>
    <x v="1367"/>
    <x v="1369"/>
    <s v="Bank Transfer"/>
    <s v="TXN105570"/>
    <x v="0"/>
  </r>
  <r>
    <d v="2023-03-28T00:00:00"/>
    <x v="2"/>
    <x v="6"/>
    <x v="0"/>
    <x v="327"/>
    <x v="1370"/>
    <s v="Bank Transfer"/>
    <s v="REV100390"/>
    <x v="1"/>
  </r>
  <r>
    <d v="2023-03-28T00:00:00"/>
    <x v="2"/>
    <x v="6"/>
    <x v="4"/>
    <x v="1368"/>
    <x v="1371"/>
    <s v="Bank Transfer"/>
    <s v="REV100419"/>
    <x v="1"/>
  </r>
  <r>
    <d v="2023-03-28T00:00:00"/>
    <x v="2"/>
    <x v="6"/>
    <x v="2"/>
    <x v="1369"/>
    <x v="1372"/>
    <s v="Bank Transfer"/>
    <s v="REV100866"/>
    <x v="1"/>
  </r>
  <r>
    <d v="2023-03-28T00:00:00"/>
    <x v="2"/>
    <x v="5"/>
    <x v="3"/>
    <x v="1370"/>
    <x v="1373"/>
    <s v="Card"/>
    <s v="REV100892"/>
    <x v="1"/>
  </r>
  <r>
    <d v="2023-03-28T00:00:00"/>
    <x v="2"/>
    <x v="5"/>
    <x v="2"/>
    <x v="1371"/>
    <x v="1073"/>
    <s v="UPI"/>
    <s v="REV101116"/>
    <x v="1"/>
  </r>
  <r>
    <d v="2023-03-28T00:00:00"/>
    <x v="2"/>
    <x v="5"/>
    <x v="2"/>
    <x v="1372"/>
    <x v="1374"/>
    <s v="UPI"/>
    <s v="REV101181"/>
    <x v="1"/>
  </r>
  <r>
    <d v="2023-03-28T00:00:00"/>
    <x v="2"/>
    <x v="5"/>
    <x v="0"/>
    <x v="1373"/>
    <x v="1375"/>
    <s v="Bank Transfer"/>
    <s v="REV101352"/>
    <x v="1"/>
  </r>
  <r>
    <d v="2023-03-28T00:00:00"/>
    <x v="2"/>
    <x v="6"/>
    <x v="3"/>
    <x v="1374"/>
    <x v="1142"/>
    <s v="Card"/>
    <s v="REV101902"/>
    <x v="1"/>
  </r>
  <r>
    <d v="2023-03-29T00:00:00"/>
    <x v="2"/>
    <x v="3"/>
    <x v="4"/>
    <x v="1375"/>
    <x v="1376"/>
    <s v="UPI"/>
    <s v="TXN102755"/>
    <x v="0"/>
  </r>
  <r>
    <d v="2023-03-29T00:00:00"/>
    <x v="2"/>
    <x v="4"/>
    <x v="0"/>
    <x v="1376"/>
    <x v="1377"/>
    <s v="Card"/>
    <s v="TXN104318"/>
    <x v="0"/>
  </r>
  <r>
    <d v="2023-03-29T00:00:00"/>
    <x v="2"/>
    <x v="4"/>
    <x v="0"/>
    <x v="1377"/>
    <x v="1378"/>
    <s v="Cash"/>
    <s v="TXN105169"/>
    <x v="0"/>
  </r>
  <r>
    <d v="2023-03-29T00:00:00"/>
    <x v="2"/>
    <x v="0"/>
    <x v="1"/>
    <x v="1378"/>
    <x v="1379"/>
    <s v="Card"/>
    <s v="TXN106516"/>
    <x v="0"/>
  </r>
  <r>
    <d v="2023-03-29T00:00:00"/>
    <x v="2"/>
    <x v="4"/>
    <x v="3"/>
    <x v="1379"/>
    <x v="1380"/>
    <s v="Bank Transfer"/>
    <s v="TXN106537"/>
    <x v="0"/>
  </r>
  <r>
    <d v="2023-03-29T00:00:00"/>
    <x v="2"/>
    <x v="7"/>
    <x v="0"/>
    <x v="1380"/>
    <x v="1381"/>
    <s v="UPI"/>
    <s v="TXN108588"/>
    <x v="0"/>
  </r>
  <r>
    <d v="2023-03-29T00:00:00"/>
    <x v="2"/>
    <x v="2"/>
    <x v="4"/>
    <x v="1381"/>
    <x v="1382"/>
    <s v="Card"/>
    <s v="TXN109552"/>
    <x v="0"/>
  </r>
  <r>
    <d v="2023-03-29T00:00:00"/>
    <x v="2"/>
    <x v="5"/>
    <x v="4"/>
    <x v="1382"/>
    <x v="1383"/>
    <s v="Bank Transfer"/>
    <s v="REV100968"/>
    <x v="1"/>
  </r>
  <r>
    <d v="2023-03-29T00:00:00"/>
    <x v="2"/>
    <x v="6"/>
    <x v="0"/>
    <x v="1383"/>
    <x v="1384"/>
    <s v="Card"/>
    <s v="REV101495"/>
    <x v="1"/>
  </r>
  <r>
    <d v="2023-03-29T00:00:00"/>
    <x v="2"/>
    <x v="6"/>
    <x v="0"/>
    <x v="85"/>
    <x v="1385"/>
    <s v="Bank Transfer"/>
    <s v="REV101752"/>
    <x v="1"/>
  </r>
  <r>
    <d v="2023-03-29T00:00:00"/>
    <x v="2"/>
    <x v="5"/>
    <x v="1"/>
    <x v="1384"/>
    <x v="1320"/>
    <s v="Bank Transfer"/>
    <s v="REV102208"/>
    <x v="1"/>
  </r>
  <r>
    <d v="2023-03-29T00:00:00"/>
    <x v="2"/>
    <x v="6"/>
    <x v="3"/>
    <x v="1385"/>
    <x v="1386"/>
    <s v="UPI"/>
    <s v="REV102218"/>
    <x v="1"/>
  </r>
  <r>
    <d v="2023-03-29T00:00:00"/>
    <x v="2"/>
    <x v="5"/>
    <x v="0"/>
    <x v="1386"/>
    <x v="1387"/>
    <s v="Card"/>
    <s v="REV102918"/>
    <x v="1"/>
  </r>
  <r>
    <d v="2023-03-29T00:00:00"/>
    <x v="2"/>
    <x v="6"/>
    <x v="4"/>
    <x v="1219"/>
    <x v="1388"/>
    <s v="Bank Transfer"/>
    <s v="REV103225"/>
    <x v="1"/>
  </r>
  <r>
    <d v="2023-03-30T00:00:00"/>
    <x v="2"/>
    <x v="2"/>
    <x v="1"/>
    <x v="1387"/>
    <x v="1389"/>
    <s v="Card"/>
    <s v="TXN101019"/>
    <x v="0"/>
  </r>
  <r>
    <d v="2023-03-30T00:00:00"/>
    <x v="2"/>
    <x v="1"/>
    <x v="2"/>
    <x v="1388"/>
    <x v="1390"/>
    <s v="Cash"/>
    <s v="TXN102469"/>
    <x v="0"/>
  </r>
  <r>
    <d v="2023-03-30T00:00:00"/>
    <x v="2"/>
    <x v="0"/>
    <x v="4"/>
    <x v="1389"/>
    <x v="1391"/>
    <s v="Cash"/>
    <s v="TXN102767"/>
    <x v="0"/>
  </r>
  <r>
    <d v="2023-03-30T00:00:00"/>
    <x v="2"/>
    <x v="1"/>
    <x v="4"/>
    <x v="1390"/>
    <x v="1392"/>
    <s v="UPI"/>
    <s v="TXN104015"/>
    <x v="0"/>
  </r>
  <r>
    <d v="2023-03-30T00:00:00"/>
    <x v="2"/>
    <x v="2"/>
    <x v="4"/>
    <x v="1391"/>
    <x v="1393"/>
    <s v="UPI"/>
    <s v="TXN104963"/>
    <x v="0"/>
  </r>
  <r>
    <d v="2023-03-30T00:00:00"/>
    <x v="2"/>
    <x v="0"/>
    <x v="0"/>
    <x v="1392"/>
    <x v="1394"/>
    <s v="Cash"/>
    <s v="TXN106368"/>
    <x v="0"/>
  </r>
  <r>
    <d v="2023-03-30T00:00:00"/>
    <x v="2"/>
    <x v="4"/>
    <x v="4"/>
    <x v="1393"/>
    <x v="1395"/>
    <s v="Card"/>
    <s v="TXN107188"/>
    <x v="0"/>
  </r>
  <r>
    <d v="2023-03-30T00:00:00"/>
    <x v="2"/>
    <x v="7"/>
    <x v="2"/>
    <x v="1394"/>
    <x v="1396"/>
    <s v="Bank Transfer"/>
    <s v="TXN108638"/>
    <x v="0"/>
  </r>
  <r>
    <d v="2023-03-30T00:00:00"/>
    <x v="2"/>
    <x v="3"/>
    <x v="3"/>
    <x v="1395"/>
    <x v="1397"/>
    <s v="Card"/>
    <s v="TXN109274"/>
    <x v="0"/>
  </r>
  <r>
    <d v="2023-03-30T00:00:00"/>
    <x v="2"/>
    <x v="5"/>
    <x v="1"/>
    <x v="1396"/>
    <x v="218"/>
    <s v="Bank Transfer"/>
    <s v="REV100378"/>
    <x v="1"/>
  </r>
  <r>
    <d v="2023-03-30T00:00:00"/>
    <x v="2"/>
    <x v="5"/>
    <x v="2"/>
    <x v="16"/>
    <x v="1398"/>
    <s v="Bank Transfer"/>
    <s v="REV100868"/>
    <x v="1"/>
  </r>
  <r>
    <d v="2023-03-30T00:00:00"/>
    <x v="2"/>
    <x v="5"/>
    <x v="4"/>
    <x v="1397"/>
    <x v="1318"/>
    <s v="Card"/>
    <s v="REV100972"/>
    <x v="1"/>
  </r>
  <r>
    <d v="2023-03-30T00:00:00"/>
    <x v="2"/>
    <x v="6"/>
    <x v="4"/>
    <x v="12"/>
    <x v="1399"/>
    <s v="Card"/>
    <s v="REV101390"/>
    <x v="1"/>
  </r>
  <r>
    <d v="2023-03-30T00:00:00"/>
    <x v="2"/>
    <x v="6"/>
    <x v="4"/>
    <x v="784"/>
    <x v="1400"/>
    <s v="Bank Transfer"/>
    <s v="REV101694"/>
    <x v="1"/>
  </r>
  <r>
    <d v="2023-03-30T00:00:00"/>
    <x v="2"/>
    <x v="6"/>
    <x v="0"/>
    <x v="1398"/>
    <x v="1401"/>
    <s v="UPI"/>
    <s v="REV102152"/>
    <x v="1"/>
  </r>
  <r>
    <d v="2023-03-30T00:00:00"/>
    <x v="2"/>
    <x v="6"/>
    <x v="4"/>
    <x v="1399"/>
    <x v="1402"/>
    <s v="Bank Transfer"/>
    <s v="REV102439"/>
    <x v="1"/>
  </r>
  <r>
    <d v="2023-03-30T00:00:00"/>
    <x v="2"/>
    <x v="5"/>
    <x v="2"/>
    <x v="1400"/>
    <x v="1403"/>
    <s v="Bank Transfer"/>
    <s v="REV102931"/>
    <x v="1"/>
  </r>
  <r>
    <d v="2023-03-30T00:00:00"/>
    <x v="2"/>
    <x v="5"/>
    <x v="3"/>
    <x v="1401"/>
    <x v="1404"/>
    <s v="Bank Transfer"/>
    <s v="REV103133"/>
    <x v="1"/>
  </r>
  <r>
    <d v="2023-03-31T00:00:00"/>
    <x v="2"/>
    <x v="0"/>
    <x v="4"/>
    <x v="1402"/>
    <x v="1405"/>
    <s v="UPI"/>
    <s v="TXN101833"/>
    <x v="0"/>
  </r>
  <r>
    <d v="2023-03-31T00:00:00"/>
    <x v="2"/>
    <x v="0"/>
    <x v="0"/>
    <x v="1403"/>
    <x v="1406"/>
    <s v="Bank Transfer"/>
    <s v="TXN101834"/>
    <x v="0"/>
  </r>
  <r>
    <d v="2023-03-31T00:00:00"/>
    <x v="2"/>
    <x v="4"/>
    <x v="3"/>
    <x v="1404"/>
    <x v="1407"/>
    <s v="Cash"/>
    <s v="TXN102383"/>
    <x v="0"/>
  </r>
  <r>
    <d v="2023-03-31T00:00:00"/>
    <x v="2"/>
    <x v="2"/>
    <x v="3"/>
    <x v="1405"/>
    <x v="1408"/>
    <s v="UPI"/>
    <s v="TXN102420"/>
    <x v="0"/>
  </r>
  <r>
    <d v="2023-03-31T00:00:00"/>
    <x v="2"/>
    <x v="1"/>
    <x v="0"/>
    <x v="1406"/>
    <x v="1409"/>
    <s v="Cash"/>
    <s v="TXN102635"/>
    <x v="0"/>
  </r>
  <r>
    <d v="2023-03-31T00:00:00"/>
    <x v="2"/>
    <x v="4"/>
    <x v="4"/>
    <x v="1407"/>
    <x v="1410"/>
    <s v="Bank Transfer"/>
    <s v="TXN104525"/>
    <x v="0"/>
  </r>
  <r>
    <d v="2023-03-31T00:00:00"/>
    <x v="2"/>
    <x v="0"/>
    <x v="0"/>
    <x v="1408"/>
    <x v="1411"/>
    <s v="Card"/>
    <s v="TXN105049"/>
    <x v="0"/>
  </r>
  <r>
    <d v="2023-03-31T00:00:00"/>
    <x v="2"/>
    <x v="0"/>
    <x v="0"/>
    <x v="1409"/>
    <x v="1412"/>
    <s v="Card"/>
    <s v="TXN105590"/>
    <x v="0"/>
  </r>
  <r>
    <d v="2023-03-31T00:00:00"/>
    <x v="2"/>
    <x v="4"/>
    <x v="3"/>
    <x v="1410"/>
    <x v="1413"/>
    <s v="Bank Transfer"/>
    <s v="TXN105616"/>
    <x v="0"/>
  </r>
  <r>
    <d v="2023-03-31T00:00:00"/>
    <x v="2"/>
    <x v="1"/>
    <x v="4"/>
    <x v="1411"/>
    <x v="1414"/>
    <s v="Cash"/>
    <s v="TXN105799"/>
    <x v="0"/>
  </r>
  <r>
    <d v="2023-03-31T00:00:00"/>
    <x v="2"/>
    <x v="2"/>
    <x v="4"/>
    <x v="1412"/>
    <x v="1415"/>
    <s v="UPI"/>
    <s v="TXN107777"/>
    <x v="0"/>
  </r>
  <r>
    <d v="2023-03-31T00:00:00"/>
    <x v="2"/>
    <x v="7"/>
    <x v="3"/>
    <x v="1413"/>
    <x v="1416"/>
    <s v="Cash"/>
    <s v="TXN108069"/>
    <x v="0"/>
  </r>
  <r>
    <d v="2023-03-31T00:00:00"/>
    <x v="2"/>
    <x v="1"/>
    <x v="0"/>
    <x v="1414"/>
    <x v="1417"/>
    <s v="UPI"/>
    <s v="TXN108577"/>
    <x v="0"/>
  </r>
  <r>
    <d v="2023-03-31T00:00:00"/>
    <x v="2"/>
    <x v="0"/>
    <x v="1"/>
    <x v="1415"/>
    <x v="1418"/>
    <s v="Card"/>
    <s v="TXN108813"/>
    <x v="0"/>
  </r>
  <r>
    <d v="2023-03-31T00:00:00"/>
    <x v="2"/>
    <x v="3"/>
    <x v="4"/>
    <x v="1416"/>
    <x v="1419"/>
    <s v="Card"/>
    <s v="TXN109920"/>
    <x v="0"/>
  </r>
  <r>
    <d v="2023-03-31T00:00:00"/>
    <x v="2"/>
    <x v="5"/>
    <x v="4"/>
    <x v="1417"/>
    <x v="1123"/>
    <s v="Bank Transfer"/>
    <s v="REV100668"/>
    <x v="1"/>
  </r>
  <r>
    <d v="2023-03-31T00:00:00"/>
    <x v="2"/>
    <x v="5"/>
    <x v="0"/>
    <x v="1418"/>
    <x v="1420"/>
    <s v="Bank Transfer"/>
    <s v="REV100669"/>
    <x v="1"/>
  </r>
  <r>
    <d v="2023-03-31T00:00:00"/>
    <x v="2"/>
    <x v="5"/>
    <x v="3"/>
    <x v="617"/>
    <x v="1421"/>
    <s v="Bank Transfer"/>
    <s v="REV100840"/>
    <x v="1"/>
  </r>
  <r>
    <d v="2023-03-31T00:00:00"/>
    <x v="2"/>
    <x v="5"/>
    <x v="3"/>
    <x v="864"/>
    <x v="1422"/>
    <s v="UPI"/>
    <s v="REV100854"/>
    <x v="1"/>
  </r>
  <r>
    <d v="2023-03-31T00:00:00"/>
    <x v="2"/>
    <x v="6"/>
    <x v="0"/>
    <x v="596"/>
    <x v="128"/>
    <s v="Bank Transfer"/>
    <s v="REV100922"/>
    <x v="1"/>
  </r>
  <r>
    <d v="2023-03-31T00:00:00"/>
    <x v="2"/>
    <x v="5"/>
    <x v="4"/>
    <x v="1419"/>
    <x v="1423"/>
    <s v="Bank Transfer"/>
    <s v="REV101553"/>
    <x v="1"/>
  </r>
  <r>
    <d v="2023-03-31T00:00:00"/>
    <x v="2"/>
    <x v="6"/>
    <x v="0"/>
    <x v="1420"/>
    <x v="1424"/>
    <s v="UPI"/>
    <s v="REV101719"/>
    <x v="1"/>
  </r>
  <r>
    <d v="2023-03-31T00:00:00"/>
    <x v="2"/>
    <x v="5"/>
    <x v="0"/>
    <x v="1421"/>
    <x v="1425"/>
    <s v="Card"/>
    <s v="REV101907"/>
    <x v="1"/>
  </r>
  <r>
    <d v="2023-03-31T00:00:00"/>
    <x v="2"/>
    <x v="5"/>
    <x v="3"/>
    <x v="1422"/>
    <x v="344"/>
    <s v="Bank Transfer"/>
    <s v="REV101914"/>
    <x v="1"/>
  </r>
  <r>
    <d v="2023-03-31T00:00:00"/>
    <x v="2"/>
    <x v="5"/>
    <x v="4"/>
    <x v="1423"/>
    <x v="1426"/>
    <s v="Card"/>
    <s v="REV101965"/>
    <x v="1"/>
  </r>
  <r>
    <d v="2023-03-31T00:00:00"/>
    <x v="2"/>
    <x v="6"/>
    <x v="4"/>
    <x v="919"/>
    <x v="1052"/>
    <s v="Bank Transfer"/>
    <s v="REV102645"/>
    <x v="1"/>
  </r>
  <r>
    <d v="2023-03-31T00:00:00"/>
    <x v="2"/>
    <x v="6"/>
    <x v="3"/>
    <x v="1424"/>
    <x v="1171"/>
    <s v="Card"/>
    <s v="REV102743"/>
    <x v="1"/>
  </r>
  <r>
    <d v="2023-03-31T00:00:00"/>
    <x v="2"/>
    <x v="5"/>
    <x v="0"/>
    <x v="376"/>
    <x v="1029"/>
    <s v="Card"/>
    <s v="REV102911"/>
    <x v="1"/>
  </r>
  <r>
    <d v="2023-03-31T00:00:00"/>
    <x v="2"/>
    <x v="5"/>
    <x v="1"/>
    <x v="1425"/>
    <x v="1427"/>
    <s v="Bank Transfer"/>
    <s v="REV102988"/>
    <x v="1"/>
  </r>
  <r>
    <d v="2023-03-31T00:00:00"/>
    <x v="2"/>
    <x v="5"/>
    <x v="4"/>
    <x v="1426"/>
    <x v="1335"/>
    <s v="Card"/>
    <s v="REV103355"/>
    <x v="1"/>
  </r>
  <r>
    <d v="2023-04-01T00:00:00"/>
    <x v="3"/>
    <x v="4"/>
    <x v="2"/>
    <x v="1427"/>
    <x v="1428"/>
    <s v="UPI"/>
    <s v="TXN100791"/>
    <x v="0"/>
  </r>
  <r>
    <d v="2023-04-01T00:00:00"/>
    <x v="3"/>
    <x v="2"/>
    <x v="0"/>
    <x v="1428"/>
    <x v="1429"/>
    <s v="UPI"/>
    <s v="TXN101010"/>
    <x v="0"/>
  </r>
  <r>
    <d v="2023-04-01T00:00:00"/>
    <x v="3"/>
    <x v="7"/>
    <x v="2"/>
    <x v="1429"/>
    <x v="1430"/>
    <s v="Cash"/>
    <s v="TXN102385"/>
    <x v="0"/>
  </r>
  <r>
    <d v="2023-04-01T00:00:00"/>
    <x v="3"/>
    <x v="2"/>
    <x v="2"/>
    <x v="1430"/>
    <x v="1431"/>
    <s v="Card"/>
    <s v="TXN102591"/>
    <x v="0"/>
  </r>
  <r>
    <d v="2023-04-01T00:00:00"/>
    <x v="3"/>
    <x v="7"/>
    <x v="1"/>
    <x v="1431"/>
    <x v="1432"/>
    <s v="Cash"/>
    <s v="TXN103233"/>
    <x v="0"/>
  </r>
  <r>
    <d v="2023-04-01T00:00:00"/>
    <x v="3"/>
    <x v="4"/>
    <x v="0"/>
    <x v="1432"/>
    <x v="1433"/>
    <s v="Cash"/>
    <s v="TXN103446"/>
    <x v="0"/>
  </r>
  <r>
    <d v="2023-04-01T00:00:00"/>
    <x v="3"/>
    <x v="0"/>
    <x v="0"/>
    <x v="1433"/>
    <x v="1434"/>
    <s v="Bank Transfer"/>
    <s v="TXN105475"/>
    <x v="0"/>
  </r>
  <r>
    <d v="2023-04-01T00:00:00"/>
    <x v="3"/>
    <x v="0"/>
    <x v="2"/>
    <x v="1434"/>
    <x v="1435"/>
    <s v="Card"/>
    <s v="TXN106381"/>
    <x v="0"/>
  </r>
  <r>
    <d v="2023-04-01T00:00:00"/>
    <x v="3"/>
    <x v="3"/>
    <x v="1"/>
    <x v="1435"/>
    <x v="1436"/>
    <s v="UPI"/>
    <s v="TXN106957"/>
    <x v="0"/>
  </r>
  <r>
    <d v="2023-04-01T00:00:00"/>
    <x v="3"/>
    <x v="2"/>
    <x v="0"/>
    <x v="1436"/>
    <x v="1437"/>
    <s v="Card"/>
    <s v="TXN108849"/>
    <x v="0"/>
  </r>
  <r>
    <d v="2023-04-01T00:00:00"/>
    <x v="3"/>
    <x v="0"/>
    <x v="4"/>
    <x v="1437"/>
    <x v="1438"/>
    <s v="Cash"/>
    <s v="TXN109148"/>
    <x v="0"/>
  </r>
  <r>
    <d v="2023-04-01T00:00:00"/>
    <x v="3"/>
    <x v="7"/>
    <x v="3"/>
    <x v="1438"/>
    <x v="1439"/>
    <s v="Card"/>
    <s v="TXN109335"/>
    <x v="0"/>
  </r>
  <r>
    <d v="2023-04-01T00:00:00"/>
    <x v="3"/>
    <x v="0"/>
    <x v="0"/>
    <x v="1439"/>
    <x v="1440"/>
    <s v="Card"/>
    <s v="TXN109746"/>
    <x v="0"/>
  </r>
  <r>
    <d v="2023-04-01T00:00:00"/>
    <x v="3"/>
    <x v="5"/>
    <x v="2"/>
    <x v="1440"/>
    <x v="1441"/>
    <s v="Bank Transfer"/>
    <s v="REV100289"/>
    <x v="1"/>
  </r>
  <r>
    <d v="2023-04-01T00:00:00"/>
    <x v="3"/>
    <x v="5"/>
    <x v="0"/>
    <x v="1441"/>
    <x v="486"/>
    <s v="Bank Transfer"/>
    <s v="REV100373"/>
    <x v="1"/>
  </r>
  <r>
    <d v="2023-04-01T00:00:00"/>
    <x v="3"/>
    <x v="6"/>
    <x v="2"/>
    <x v="990"/>
    <x v="1442"/>
    <s v="Bank Transfer"/>
    <s v="REV100841"/>
    <x v="1"/>
  </r>
  <r>
    <d v="2023-04-01T00:00:00"/>
    <x v="3"/>
    <x v="6"/>
    <x v="2"/>
    <x v="943"/>
    <x v="953"/>
    <s v="Bank Transfer"/>
    <s v="REV100905"/>
    <x v="1"/>
  </r>
  <r>
    <d v="2023-04-01T00:00:00"/>
    <x v="3"/>
    <x v="6"/>
    <x v="1"/>
    <x v="1442"/>
    <x v="1443"/>
    <s v="Bank Transfer"/>
    <s v="REV101108"/>
    <x v="1"/>
  </r>
  <r>
    <d v="2023-04-01T00:00:00"/>
    <x v="3"/>
    <x v="5"/>
    <x v="0"/>
    <x v="1443"/>
    <x v="1444"/>
    <s v="Bank Transfer"/>
    <s v="REV101182"/>
    <x v="1"/>
  </r>
  <r>
    <d v="2023-04-01T00:00:00"/>
    <x v="3"/>
    <x v="5"/>
    <x v="0"/>
    <x v="678"/>
    <x v="590"/>
    <s v="Bank Transfer"/>
    <s v="REV101863"/>
    <x v="1"/>
  </r>
  <r>
    <d v="2023-04-01T00:00:00"/>
    <x v="3"/>
    <x v="5"/>
    <x v="2"/>
    <x v="1444"/>
    <x v="491"/>
    <s v="Bank Transfer"/>
    <s v="REV102158"/>
    <x v="1"/>
  </r>
  <r>
    <d v="2023-04-01T00:00:00"/>
    <x v="3"/>
    <x v="5"/>
    <x v="1"/>
    <x v="1445"/>
    <x v="1445"/>
    <s v="Bank Transfer"/>
    <s v="REV102366"/>
    <x v="1"/>
  </r>
  <r>
    <d v="2023-04-01T00:00:00"/>
    <x v="3"/>
    <x v="6"/>
    <x v="0"/>
    <x v="1446"/>
    <x v="1446"/>
    <s v="Card"/>
    <s v="REV102996"/>
    <x v="1"/>
  </r>
  <r>
    <d v="2023-04-01T00:00:00"/>
    <x v="3"/>
    <x v="6"/>
    <x v="4"/>
    <x v="1447"/>
    <x v="1447"/>
    <s v="Bank Transfer"/>
    <s v="REV103092"/>
    <x v="1"/>
  </r>
  <r>
    <d v="2023-04-01T00:00:00"/>
    <x v="3"/>
    <x v="5"/>
    <x v="3"/>
    <x v="264"/>
    <x v="1448"/>
    <s v="Bank Transfer"/>
    <s v="REV103155"/>
    <x v="1"/>
  </r>
  <r>
    <d v="2023-04-01T00:00:00"/>
    <x v="3"/>
    <x v="5"/>
    <x v="0"/>
    <x v="1067"/>
    <x v="1449"/>
    <s v="Bank Transfer"/>
    <s v="REV103298"/>
    <x v="1"/>
  </r>
  <r>
    <d v="2023-04-02T00:00:00"/>
    <x v="3"/>
    <x v="7"/>
    <x v="2"/>
    <x v="1448"/>
    <x v="1450"/>
    <s v="Bank Transfer"/>
    <s v="TXN100209"/>
    <x v="0"/>
  </r>
  <r>
    <d v="2023-04-02T00:00:00"/>
    <x v="3"/>
    <x v="4"/>
    <x v="2"/>
    <x v="1449"/>
    <x v="1451"/>
    <s v="Cash"/>
    <s v="TXN101561"/>
    <x v="0"/>
  </r>
  <r>
    <d v="2023-04-02T00:00:00"/>
    <x v="3"/>
    <x v="1"/>
    <x v="3"/>
    <x v="1450"/>
    <x v="1452"/>
    <s v="Card"/>
    <s v="TXN101782"/>
    <x v="0"/>
  </r>
  <r>
    <d v="2023-04-02T00:00:00"/>
    <x v="3"/>
    <x v="3"/>
    <x v="0"/>
    <x v="1451"/>
    <x v="1453"/>
    <s v="Card"/>
    <s v="TXN101787"/>
    <x v="0"/>
  </r>
  <r>
    <d v="2023-04-02T00:00:00"/>
    <x v="3"/>
    <x v="3"/>
    <x v="1"/>
    <x v="1452"/>
    <x v="1454"/>
    <s v="Card"/>
    <s v="TXN102046"/>
    <x v="0"/>
  </r>
  <r>
    <d v="2023-04-02T00:00:00"/>
    <x v="3"/>
    <x v="2"/>
    <x v="2"/>
    <x v="1453"/>
    <x v="1455"/>
    <s v="UPI"/>
    <s v="TXN102817"/>
    <x v="0"/>
  </r>
  <r>
    <d v="2023-04-02T00:00:00"/>
    <x v="3"/>
    <x v="0"/>
    <x v="4"/>
    <x v="1454"/>
    <x v="1456"/>
    <s v="UPI"/>
    <s v="TXN103326"/>
    <x v="0"/>
  </r>
  <r>
    <d v="2023-04-02T00:00:00"/>
    <x v="3"/>
    <x v="1"/>
    <x v="1"/>
    <x v="1455"/>
    <x v="1457"/>
    <s v="Cash"/>
    <s v="TXN103908"/>
    <x v="0"/>
  </r>
  <r>
    <d v="2023-04-02T00:00:00"/>
    <x v="3"/>
    <x v="2"/>
    <x v="0"/>
    <x v="1456"/>
    <x v="1458"/>
    <s v="UPI"/>
    <s v="TXN105220"/>
    <x v="0"/>
  </r>
  <r>
    <d v="2023-04-02T00:00:00"/>
    <x v="3"/>
    <x v="4"/>
    <x v="0"/>
    <x v="1457"/>
    <x v="1459"/>
    <s v="Card"/>
    <s v="TXN105711"/>
    <x v="0"/>
  </r>
  <r>
    <d v="2023-04-02T00:00:00"/>
    <x v="3"/>
    <x v="7"/>
    <x v="2"/>
    <x v="1458"/>
    <x v="1460"/>
    <s v="UPI"/>
    <s v="TXN105861"/>
    <x v="0"/>
  </r>
  <r>
    <d v="2023-04-02T00:00:00"/>
    <x v="3"/>
    <x v="3"/>
    <x v="0"/>
    <x v="1459"/>
    <x v="1461"/>
    <s v="Bank Transfer"/>
    <s v="TXN106078"/>
    <x v="0"/>
  </r>
  <r>
    <d v="2023-04-02T00:00:00"/>
    <x v="3"/>
    <x v="3"/>
    <x v="2"/>
    <x v="1460"/>
    <x v="1462"/>
    <s v="Cash"/>
    <s v="TXN106685"/>
    <x v="0"/>
  </r>
  <r>
    <d v="2023-04-02T00:00:00"/>
    <x v="3"/>
    <x v="3"/>
    <x v="3"/>
    <x v="1461"/>
    <x v="1463"/>
    <s v="Bank Transfer"/>
    <s v="TXN106772"/>
    <x v="0"/>
  </r>
  <r>
    <d v="2023-04-02T00:00:00"/>
    <x v="3"/>
    <x v="1"/>
    <x v="2"/>
    <x v="1462"/>
    <x v="1464"/>
    <s v="Card"/>
    <s v="TXN108171"/>
    <x v="0"/>
  </r>
  <r>
    <d v="2023-04-02T00:00:00"/>
    <x v="3"/>
    <x v="1"/>
    <x v="0"/>
    <x v="1463"/>
    <x v="1465"/>
    <s v="Cash"/>
    <s v="TXN109538"/>
    <x v="0"/>
  </r>
  <r>
    <d v="2023-04-02T00:00:00"/>
    <x v="3"/>
    <x v="0"/>
    <x v="4"/>
    <x v="1464"/>
    <x v="1466"/>
    <s v="Card"/>
    <s v="TXN109665"/>
    <x v="0"/>
  </r>
  <r>
    <d v="2023-04-02T00:00:00"/>
    <x v="3"/>
    <x v="5"/>
    <x v="2"/>
    <x v="1465"/>
    <x v="1467"/>
    <s v="Bank Transfer"/>
    <s v="REV100073"/>
    <x v="1"/>
  </r>
  <r>
    <d v="2023-04-02T00:00:00"/>
    <x v="3"/>
    <x v="6"/>
    <x v="2"/>
    <x v="1466"/>
    <x v="638"/>
    <s v="Bank Transfer"/>
    <s v="REV100574"/>
    <x v="1"/>
  </r>
  <r>
    <d v="2023-04-02T00:00:00"/>
    <x v="3"/>
    <x v="6"/>
    <x v="3"/>
    <x v="1467"/>
    <x v="1468"/>
    <s v="Card"/>
    <s v="REV100648"/>
    <x v="1"/>
  </r>
  <r>
    <d v="2023-04-02T00:00:00"/>
    <x v="3"/>
    <x v="5"/>
    <x v="0"/>
    <x v="1468"/>
    <x v="1469"/>
    <s v="UPI"/>
    <s v="REV100650"/>
    <x v="1"/>
  </r>
  <r>
    <d v="2023-04-02T00:00:00"/>
    <x v="3"/>
    <x v="5"/>
    <x v="1"/>
    <x v="1469"/>
    <x v="1470"/>
    <s v="Card"/>
    <s v="REV100728"/>
    <x v="1"/>
  </r>
  <r>
    <d v="2023-04-02T00:00:00"/>
    <x v="3"/>
    <x v="6"/>
    <x v="2"/>
    <x v="1470"/>
    <x v="41"/>
    <s v="Card"/>
    <s v="REV100994"/>
    <x v="1"/>
  </r>
  <r>
    <d v="2023-04-02T00:00:00"/>
    <x v="3"/>
    <x v="5"/>
    <x v="4"/>
    <x v="650"/>
    <x v="1471"/>
    <s v="Bank Transfer"/>
    <s v="REV101140"/>
    <x v="1"/>
  </r>
  <r>
    <d v="2023-04-02T00:00:00"/>
    <x v="3"/>
    <x v="6"/>
    <x v="1"/>
    <x v="1471"/>
    <x v="1472"/>
    <s v="Card"/>
    <s v="REV101350"/>
    <x v="1"/>
  </r>
  <r>
    <d v="2023-04-02T00:00:00"/>
    <x v="3"/>
    <x v="5"/>
    <x v="0"/>
    <x v="1472"/>
    <x v="1473"/>
    <s v="Card"/>
    <s v="REV101770"/>
    <x v="1"/>
  </r>
  <r>
    <d v="2023-04-02T00:00:00"/>
    <x v="3"/>
    <x v="5"/>
    <x v="0"/>
    <x v="1473"/>
    <x v="1025"/>
    <s v="Card"/>
    <s v="REV101943"/>
    <x v="1"/>
  </r>
  <r>
    <d v="2023-04-02T00:00:00"/>
    <x v="3"/>
    <x v="5"/>
    <x v="2"/>
    <x v="1474"/>
    <x v="1474"/>
    <s v="Bank Transfer"/>
    <s v="REV101981"/>
    <x v="1"/>
  </r>
  <r>
    <d v="2023-04-02T00:00:00"/>
    <x v="3"/>
    <x v="6"/>
    <x v="0"/>
    <x v="1475"/>
    <x v="346"/>
    <s v="Bank Transfer"/>
    <s v="REV102050"/>
    <x v="1"/>
  </r>
  <r>
    <d v="2023-04-02T00:00:00"/>
    <x v="3"/>
    <x v="6"/>
    <x v="2"/>
    <x v="1476"/>
    <x v="1475"/>
    <s v="Bank Transfer"/>
    <s v="REV102273"/>
    <x v="1"/>
  </r>
  <r>
    <d v="2023-04-02T00:00:00"/>
    <x v="3"/>
    <x v="5"/>
    <x v="3"/>
    <x v="1477"/>
    <x v="1279"/>
    <s v="Bank Transfer"/>
    <s v="REV102306"/>
    <x v="1"/>
  </r>
  <r>
    <d v="2023-04-02T00:00:00"/>
    <x v="3"/>
    <x v="6"/>
    <x v="2"/>
    <x v="1117"/>
    <x v="1476"/>
    <s v="Card"/>
    <s v="REV102774"/>
    <x v="1"/>
  </r>
  <r>
    <d v="2023-04-02T00:00:00"/>
    <x v="3"/>
    <x v="6"/>
    <x v="0"/>
    <x v="567"/>
    <x v="1477"/>
    <s v="Bank Transfer"/>
    <s v="REV103221"/>
    <x v="1"/>
  </r>
  <r>
    <d v="2023-04-02T00:00:00"/>
    <x v="3"/>
    <x v="5"/>
    <x v="4"/>
    <x v="1478"/>
    <x v="1478"/>
    <s v="Bank Transfer"/>
    <s v="REV103269"/>
    <x v="1"/>
  </r>
  <r>
    <d v="2023-04-03T00:00:00"/>
    <x v="3"/>
    <x v="1"/>
    <x v="3"/>
    <x v="1479"/>
    <x v="1479"/>
    <s v="Bank Transfer"/>
    <s v="TXN100313"/>
    <x v="0"/>
  </r>
  <r>
    <d v="2023-04-03T00:00:00"/>
    <x v="3"/>
    <x v="7"/>
    <x v="4"/>
    <x v="1480"/>
    <x v="1480"/>
    <s v="Cash"/>
    <s v="TXN100546"/>
    <x v="0"/>
  </r>
  <r>
    <d v="2023-04-03T00:00:00"/>
    <x v="3"/>
    <x v="7"/>
    <x v="2"/>
    <x v="1481"/>
    <x v="1481"/>
    <s v="Card"/>
    <s v="TXN100708"/>
    <x v="0"/>
  </r>
  <r>
    <d v="2023-04-03T00:00:00"/>
    <x v="3"/>
    <x v="2"/>
    <x v="1"/>
    <x v="1482"/>
    <x v="1482"/>
    <s v="UPI"/>
    <s v="TXN100950"/>
    <x v="0"/>
  </r>
  <r>
    <d v="2023-04-03T00:00:00"/>
    <x v="3"/>
    <x v="1"/>
    <x v="1"/>
    <x v="1483"/>
    <x v="1483"/>
    <s v="Cash"/>
    <s v="TXN103329"/>
    <x v="0"/>
  </r>
  <r>
    <d v="2023-04-03T00:00:00"/>
    <x v="3"/>
    <x v="2"/>
    <x v="0"/>
    <x v="1484"/>
    <x v="1484"/>
    <s v="Cash"/>
    <s v="TXN106023"/>
    <x v="0"/>
  </r>
  <r>
    <d v="2023-04-03T00:00:00"/>
    <x v="3"/>
    <x v="7"/>
    <x v="1"/>
    <x v="1485"/>
    <x v="1485"/>
    <s v="Card"/>
    <s v="TXN106888"/>
    <x v="0"/>
  </r>
  <r>
    <d v="2023-04-03T00:00:00"/>
    <x v="3"/>
    <x v="3"/>
    <x v="4"/>
    <x v="1486"/>
    <x v="1486"/>
    <s v="Card"/>
    <s v="TXN108664"/>
    <x v="0"/>
  </r>
  <r>
    <d v="2023-04-03T00:00:00"/>
    <x v="3"/>
    <x v="5"/>
    <x v="3"/>
    <x v="1068"/>
    <x v="426"/>
    <s v="UPI"/>
    <s v="REV100114"/>
    <x v="1"/>
  </r>
  <r>
    <d v="2023-04-03T00:00:00"/>
    <x v="3"/>
    <x v="6"/>
    <x v="4"/>
    <x v="1487"/>
    <x v="1487"/>
    <s v="Bank Transfer"/>
    <s v="REV100214"/>
    <x v="1"/>
  </r>
  <r>
    <d v="2023-04-03T00:00:00"/>
    <x v="3"/>
    <x v="6"/>
    <x v="2"/>
    <x v="1488"/>
    <x v="1488"/>
    <s v="Bank Transfer"/>
    <s v="REV100264"/>
    <x v="1"/>
  </r>
  <r>
    <d v="2023-04-03T00:00:00"/>
    <x v="3"/>
    <x v="5"/>
    <x v="1"/>
    <x v="1489"/>
    <x v="1489"/>
    <s v="Bank Transfer"/>
    <s v="REV100353"/>
    <x v="1"/>
  </r>
  <r>
    <d v="2023-04-03T00:00:00"/>
    <x v="3"/>
    <x v="6"/>
    <x v="1"/>
    <x v="109"/>
    <x v="1490"/>
    <s v="Bank Transfer"/>
    <s v="REV101142"/>
    <x v="1"/>
  </r>
  <r>
    <d v="2023-04-03T00:00:00"/>
    <x v="3"/>
    <x v="5"/>
    <x v="0"/>
    <x v="1490"/>
    <x v="1491"/>
    <s v="Bank Transfer"/>
    <s v="REV102034"/>
    <x v="1"/>
  </r>
  <r>
    <d v="2023-04-03T00:00:00"/>
    <x v="3"/>
    <x v="6"/>
    <x v="1"/>
    <x v="588"/>
    <x v="1492"/>
    <s v="Bank Transfer"/>
    <s v="REV102344"/>
    <x v="1"/>
  </r>
  <r>
    <d v="2023-04-03T00:00:00"/>
    <x v="3"/>
    <x v="5"/>
    <x v="4"/>
    <x v="1305"/>
    <x v="1493"/>
    <s v="Card"/>
    <s v="REV102941"/>
    <x v="1"/>
  </r>
  <r>
    <d v="2023-04-04T00:00:00"/>
    <x v="3"/>
    <x v="7"/>
    <x v="2"/>
    <x v="1491"/>
    <x v="1494"/>
    <s v="Bank Transfer"/>
    <s v="TXN100479"/>
    <x v="0"/>
  </r>
  <r>
    <d v="2023-04-04T00:00:00"/>
    <x v="3"/>
    <x v="0"/>
    <x v="2"/>
    <x v="1492"/>
    <x v="1495"/>
    <s v="Bank Transfer"/>
    <s v="TXN100527"/>
    <x v="0"/>
  </r>
  <r>
    <d v="2023-04-04T00:00:00"/>
    <x v="3"/>
    <x v="3"/>
    <x v="4"/>
    <x v="1493"/>
    <x v="1496"/>
    <s v="Bank Transfer"/>
    <s v="TXN106719"/>
    <x v="0"/>
  </r>
  <r>
    <d v="2023-04-04T00:00:00"/>
    <x v="3"/>
    <x v="2"/>
    <x v="2"/>
    <x v="1494"/>
    <x v="1497"/>
    <s v="Bank Transfer"/>
    <s v="TXN106845"/>
    <x v="0"/>
  </r>
  <r>
    <d v="2023-04-04T00:00:00"/>
    <x v="3"/>
    <x v="7"/>
    <x v="1"/>
    <x v="1495"/>
    <x v="1498"/>
    <s v="Bank Transfer"/>
    <s v="TXN108675"/>
    <x v="0"/>
  </r>
  <r>
    <d v="2023-04-04T00:00:00"/>
    <x v="3"/>
    <x v="3"/>
    <x v="3"/>
    <x v="1496"/>
    <x v="1499"/>
    <s v="Cash"/>
    <s v="TXN109451"/>
    <x v="0"/>
  </r>
  <r>
    <d v="2023-04-04T00:00:00"/>
    <x v="3"/>
    <x v="4"/>
    <x v="3"/>
    <x v="1497"/>
    <x v="1500"/>
    <s v="UPI"/>
    <s v="TXN109811"/>
    <x v="0"/>
  </r>
  <r>
    <d v="2023-04-04T00:00:00"/>
    <x v="3"/>
    <x v="4"/>
    <x v="2"/>
    <x v="1498"/>
    <x v="1501"/>
    <s v="Card"/>
    <m/>
    <x v="0"/>
  </r>
  <r>
    <d v="2023-04-04T00:00:00"/>
    <x v="3"/>
    <x v="5"/>
    <x v="2"/>
    <x v="1499"/>
    <x v="1502"/>
    <s v="Bank Transfer"/>
    <s v="REV100182"/>
    <x v="1"/>
  </r>
  <r>
    <d v="2023-04-04T00:00:00"/>
    <x v="3"/>
    <x v="5"/>
    <x v="2"/>
    <x v="1500"/>
    <x v="920"/>
    <s v="UPI"/>
    <s v="REV100205"/>
    <x v="1"/>
  </r>
  <r>
    <d v="2023-04-04T00:00:00"/>
    <x v="3"/>
    <x v="5"/>
    <x v="2"/>
    <x v="849"/>
    <x v="12"/>
    <s v="Bank Transfer"/>
    <s v="REV101045"/>
    <x v="1"/>
  </r>
  <r>
    <d v="2023-04-04T00:00:00"/>
    <x v="3"/>
    <x v="6"/>
    <x v="4"/>
    <x v="1501"/>
    <x v="1503"/>
    <s v="Bank Transfer"/>
    <s v="REV102287"/>
    <x v="1"/>
  </r>
  <r>
    <d v="2023-04-04T00:00:00"/>
    <x v="3"/>
    <x v="5"/>
    <x v="2"/>
    <x v="1502"/>
    <x v="342"/>
    <s v="Bank Transfer"/>
    <s v="REV102329"/>
    <x v="1"/>
  </r>
  <r>
    <d v="2023-04-04T00:00:00"/>
    <x v="3"/>
    <x v="5"/>
    <x v="1"/>
    <x v="1305"/>
    <x v="486"/>
    <s v="Card"/>
    <s v="REV102945"/>
    <x v="1"/>
  </r>
  <r>
    <d v="2023-04-04T00:00:00"/>
    <x v="3"/>
    <x v="5"/>
    <x v="3"/>
    <x v="239"/>
    <x v="1504"/>
    <s v="Bank Transfer"/>
    <s v="REV103195"/>
    <x v="1"/>
  </r>
  <r>
    <d v="2023-04-04T00:00:00"/>
    <x v="3"/>
    <x v="5"/>
    <x v="3"/>
    <x v="329"/>
    <x v="1505"/>
    <s v="Bank Transfer"/>
    <s v="REV103320"/>
    <x v="1"/>
  </r>
  <r>
    <d v="2023-04-05T00:00:00"/>
    <x v="3"/>
    <x v="4"/>
    <x v="1"/>
    <x v="1503"/>
    <x v="1506"/>
    <s v="UPI"/>
    <s v="TXN100858"/>
    <x v="0"/>
  </r>
  <r>
    <d v="2023-04-05T00:00:00"/>
    <x v="3"/>
    <x v="2"/>
    <x v="4"/>
    <x v="1504"/>
    <x v="1507"/>
    <s v="UPI"/>
    <s v="TXN101159"/>
    <x v="0"/>
  </r>
  <r>
    <d v="2023-04-05T00:00:00"/>
    <x v="3"/>
    <x v="1"/>
    <x v="0"/>
    <x v="1505"/>
    <x v="1508"/>
    <s v="Card"/>
    <s v="TXN103057"/>
    <x v="0"/>
  </r>
  <r>
    <d v="2023-04-05T00:00:00"/>
    <x v="3"/>
    <x v="3"/>
    <x v="1"/>
    <x v="1506"/>
    <x v="1509"/>
    <s v="Bank Transfer"/>
    <s v="TXN103382"/>
    <x v="0"/>
  </r>
  <r>
    <d v="2023-04-05T00:00:00"/>
    <x v="3"/>
    <x v="2"/>
    <x v="4"/>
    <x v="1507"/>
    <x v="1510"/>
    <s v="Bank Transfer"/>
    <s v="TXN103486"/>
    <x v="0"/>
  </r>
  <r>
    <d v="2023-04-05T00:00:00"/>
    <x v="3"/>
    <x v="0"/>
    <x v="2"/>
    <x v="1508"/>
    <x v="1511"/>
    <s v="Card"/>
    <s v="TXN103714"/>
    <x v="0"/>
  </r>
  <r>
    <d v="2023-04-05T00:00:00"/>
    <x v="3"/>
    <x v="3"/>
    <x v="4"/>
    <x v="1509"/>
    <x v="1512"/>
    <s v="Card"/>
    <s v="TXN103767"/>
    <x v="0"/>
  </r>
  <r>
    <d v="2023-04-05T00:00:00"/>
    <x v="3"/>
    <x v="4"/>
    <x v="1"/>
    <x v="1510"/>
    <x v="1513"/>
    <s v="Cash"/>
    <s v="TXN105164"/>
    <x v="0"/>
  </r>
  <r>
    <d v="2023-04-05T00:00:00"/>
    <x v="3"/>
    <x v="2"/>
    <x v="0"/>
    <x v="1511"/>
    <x v="1514"/>
    <s v="Bank Transfer"/>
    <s v="TXN105366"/>
    <x v="0"/>
  </r>
  <r>
    <d v="2023-04-05T00:00:00"/>
    <x v="3"/>
    <x v="2"/>
    <x v="4"/>
    <x v="1512"/>
    <x v="1515"/>
    <s v="Card"/>
    <s v="TXN106204"/>
    <x v="0"/>
  </r>
  <r>
    <d v="2023-04-05T00:00:00"/>
    <x v="3"/>
    <x v="7"/>
    <x v="0"/>
    <x v="1513"/>
    <x v="1516"/>
    <s v="Bank Transfer"/>
    <s v="TXN106373"/>
    <x v="0"/>
  </r>
  <r>
    <d v="2023-04-05T00:00:00"/>
    <x v="3"/>
    <x v="1"/>
    <x v="0"/>
    <x v="1514"/>
    <x v="1517"/>
    <s v="UPI"/>
    <s v="TXN106700"/>
    <x v="0"/>
  </r>
  <r>
    <d v="2023-04-05T00:00:00"/>
    <x v="3"/>
    <x v="2"/>
    <x v="2"/>
    <x v="1515"/>
    <x v="1518"/>
    <s v="Cash"/>
    <s v="TXN107400"/>
    <x v="0"/>
  </r>
  <r>
    <d v="2023-04-05T00:00:00"/>
    <x v="3"/>
    <x v="2"/>
    <x v="3"/>
    <x v="1516"/>
    <x v="1519"/>
    <s v="UPI"/>
    <s v="TXN107643"/>
    <x v="0"/>
  </r>
  <r>
    <d v="2023-04-05T00:00:00"/>
    <x v="3"/>
    <x v="5"/>
    <x v="1"/>
    <x v="1517"/>
    <x v="1520"/>
    <s v="Bank Transfer"/>
    <s v="REV100318"/>
    <x v="1"/>
  </r>
  <r>
    <d v="2023-04-05T00:00:00"/>
    <x v="3"/>
    <x v="5"/>
    <x v="4"/>
    <x v="1518"/>
    <x v="1190"/>
    <s v="Card"/>
    <s v="REV100426"/>
    <x v="1"/>
  </r>
  <r>
    <d v="2023-04-05T00:00:00"/>
    <x v="3"/>
    <x v="6"/>
    <x v="0"/>
    <x v="841"/>
    <x v="271"/>
    <s v="Bank Transfer"/>
    <s v="REV101056"/>
    <x v="1"/>
  </r>
  <r>
    <d v="2023-04-05T00:00:00"/>
    <x v="3"/>
    <x v="6"/>
    <x v="1"/>
    <x v="959"/>
    <x v="341"/>
    <s v="Bank Transfer"/>
    <s v="REV101161"/>
    <x v="1"/>
  </r>
  <r>
    <d v="2023-04-05T00:00:00"/>
    <x v="3"/>
    <x v="5"/>
    <x v="4"/>
    <x v="1519"/>
    <x v="1521"/>
    <s v="Bank Transfer"/>
    <s v="REV101190"/>
    <x v="1"/>
  </r>
  <r>
    <d v="2023-04-05T00:00:00"/>
    <x v="3"/>
    <x v="5"/>
    <x v="2"/>
    <x v="1520"/>
    <x v="1522"/>
    <s v="UPI"/>
    <s v="REV101277"/>
    <x v="1"/>
  </r>
  <r>
    <d v="2023-04-05T00:00:00"/>
    <x v="3"/>
    <x v="5"/>
    <x v="4"/>
    <x v="1521"/>
    <x v="110"/>
    <s v="Bank Transfer"/>
    <s v="REV101297"/>
    <x v="1"/>
  </r>
  <r>
    <d v="2023-04-05T00:00:00"/>
    <x v="3"/>
    <x v="5"/>
    <x v="1"/>
    <x v="1522"/>
    <x v="1523"/>
    <s v="UPI"/>
    <s v="REV101748"/>
    <x v="1"/>
  </r>
  <r>
    <d v="2023-04-05T00:00:00"/>
    <x v="3"/>
    <x v="5"/>
    <x v="0"/>
    <x v="285"/>
    <x v="1420"/>
    <s v="Bank Transfer"/>
    <s v="REV101825"/>
    <x v="1"/>
  </r>
  <r>
    <d v="2023-04-05T00:00:00"/>
    <x v="3"/>
    <x v="5"/>
    <x v="4"/>
    <x v="967"/>
    <x v="218"/>
    <s v="Bank Transfer"/>
    <s v="REV102089"/>
    <x v="1"/>
  </r>
  <r>
    <d v="2023-04-05T00:00:00"/>
    <x v="3"/>
    <x v="5"/>
    <x v="0"/>
    <x v="1523"/>
    <x v="1524"/>
    <s v="UPI"/>
    <s v="REV102156"/>
    <x v="1"/>
  </r>
  <r>
    <d v="2023-04-05T00:00:00"/>
    <x v="3"/>
    <x v="5"/>
    <x v="0"/>
    <x v="1524"/>
    <x v="1172"/>
    <s v="Card"/>
    <s v="REV102280"/>
    <x v="1"/>
  </r>
  <r>
    <d v="2023-04-05T00:00:00"/>
    <x v="3"/>
    <x v="6"/>
    <x v="2"/>
    <x v="1525"/>
    <x v="445"/>
    <s v="Bank Transfer"/>
    <s v="REV102515"/>
    <x v="1"/>
  </r>
  <r>
    <d v="2023-04-05T00:00:00"/>
    <x v="3"/>
    <x v="5"/>
    <x v="3"/>
    <x v="1526"/>
    <x v="760"/>
    <s v="UPI"/>
    <s v="REV102597"/>
    <x v="1"/>
  </r>
  <r>
    <d v="2023-04-06T00:00:00"/>
    <x v="3"/>
    <x v="4"/>
    <x v="1"/>
    <x v="1527"/>
    <x v="1525"/>
    <s v="Cash"/>
    <s v="TXN100393"/>
    <x v="0"/>
  </r>
  <r>
    <d v="2023-04-06T00:00:00"/>
    <x v="3"/>
    <x v="7"/>
    <x v="2"/>
    <x v="1528"/>
    <x v="1526"/>
    <s v="Bank Transfer"/>
    <s v="TXN101225"/>
    <x v="0"/>
  </r>
  <r>
    <d v="2023-04-06T00:00:00"/>
    <x v="3"/>
    <x v="2"/>
    <x v="2"/>
    <x v="1529"/>
    <x v="1527"/>
    <s v="UPI"/>
    <s v="TXN103130"/>
    <x v="0"/>
  </r>
  <r>
    <d v="2023-04-06T00:00:00"/>
    <x v="3"/>
    <x v="3"/>
    <x v="2"/>
    <x v="1530"/>
    <x v="1528"/>
    <s v="Card"/>
    <s v="TXN104097"/>
    <x v="0"/>
  </r>
  <r>
    <d v="2023-04-06T00:00:00"/>
    <x v="3"/>
    <x v="2"/>
    <x v="4"/>
    <x v="1531"/>
    <x v="1529"/>
    <s v="Cash"/>
    <s v="TXN105007"/>
    <x v="0"/>
  </r>
  <r>
    <d v="2023-04-06T00:00:00"/>
    <x v="3"/>
    <x v="2"/>
    <x v="3"/>
    <x v="1532"/>
    <x v="1530"/>
    <s v="Bank Transfer"/>
    <s v="TXN106007"/>
    <x v="0"/>
  </r>
  <r>
    <d v="2023-04-06T00:00:00"/>
    <x v="3"/>
    <x v="1"/>
    <x v="2"/>
    <x v="1533"/>
    <x v="1531"/>
    <s v="Cash"/>
    <s v="TXN107347"/>
    <x v="0"/>
  </r>
  <r>
    <d v="2023-04-06T00:00:00"/>
    <x v="3"/>
    <x v="0"/>
    <x v="4"/>
    <x v="1534"/>
    <x v="1532"/>
    <s v="Bank Transfer"/>
    <s v="TXN107845"/>
    <x v="0"/>
  </r>
  <r>
    <d v="2023-04-06T00:00:00"/>
    <x v="3"/>
    <x v="2"/>
    <x v="4"/>
    <x v="1535"/>
    <x v="1533"/>
    <s v="Cash"/>
    <s v="TXN109654"/>
    <x v="0"/>
  </r>
  <r>
    <d v="2023-04-06T00:00:00"/>
    <x v="3"/>
    <x v="5"/>
    <x v="1"/>
    <x v="1443"/>
    <x v="444"/>
    <s v="Card"/>
    <s v="REV100148"/>
    <x v="1"/>
  </r>
  <r>
    <d v="2023-04-06T00:00:00"/>
    <x v="3"/>
    <x v="6"/>
    <x v="2"/>
    <x v="222"/>
    <x v="1534"/>
    <s v="Card"/>
    <s v="REV100449"/>
    <x v="1"/>
  </r>
  <r>
    <d v="2023-04-06T00:00:00"/>
    <x v="3"/>
    <x v="6"/>
    <x v="2"/>
    <x v="1536"/>
    <x v="1535"/>
    <s v="Bank Transfer"/>
    <s v="REV101078"/>
    <x v="1"/>
  </r>
  <r>
    <d v="2023-04-06T00:00:00"/>
    <x v="3"/>
    <x v="6"/>
    <x v="2"/>
    <x v="1537"/>
    <x v="1398"/>
    <s v="Bank Transfer"/>
    <s v="REV101415"/>
    <x v="1"/>
  </r>
  <r>
    <d v="2023-04-06T00:00:00"/>
    <x v="3"/>
    <x v="6"/>
    <x v="4"/>
    <x v="1538"/>
    <x v="1048"/>
    <s v="Bank Transfer"/>
    <s v="REV101708"/>
    <x v="1"/>
  </r>
  <r>
    <d v="2023-04-06T00:00:00"/>
    <x v="3"/>
    <x v="5"/>
    <x v="3"/>
    <x v="1539"/>
    <x v="1372"/>
    <s v="Bank Transfer"/>
    <s v="REV102029"/>
    <x v="1"/>
  </r>
  <r>
    <d v="2023-04-06T00:00:00"/>
    <x v="3"/>
    <x v="5"/>
    <x v="2"/>
    <x v="1540"/>
    <x v="362"/>
    <s v="Bank Transfer"/>
    <s v="REV102492"/>
    <x v="1"/>
  </r>
  <r>
    <d v="2023-04-06T00:00:00"/>
    <x v="3"/>
    <x v="6"/>
    <x v="4"/>
    <x v="511"/>
    <x v="1536"/>
    <s v="UPI"/>
    <s v="REV102665"/>
    <x v="1"/>
  </r>
  <r>
    <d v="2023-04-06T00:00:00"/>
    <x v="3"/>
    <x v="5"/>
    <x v="4"/>
    <x v="1541"/>
    <x v="442"/>
    <s v="UPI"/>
    <s v="REV103264"/>
    <x v="1"/>
  </r>
  <r>
    <d v="2023-04-07T00:00:00"/>
    <x v="3"/>
    <x v="1"/>
    <x v="1"/>
    <x v="1542"/>
    <x v="1537"/>
    <s v="Bank Transfer"/>
    <s v="TXN100539"/>
    <x v="0"/>
  </r>
  <r>
    <d v="2023-04-07T00:00:00"/>
    <x v="3"/>
    <x v="7"/>
    <x v="1"/>
    <x v="1543"/>
    <x v="1538"/>
    <s v="Card"/>
    <s v="TXN101085"/>
    <x v="0"/>
  </r>
  <r>
    <d v="2023-04-07T00:00:00"/>
    <x v="3"/>
    <x v="3"/>
    <x v="4"/>
    <x v="1544"/>
    <x v="1539"/>
    <s v="Card"/>
    <s v="TXN103829"/>
    <x v="0"/>
  </r>
  <r>
    <d v="2023-04-07T00:00:00"/>
    <x v="3"/>
    <x v="7"/>
    <x v="1"/>
    <x v="1545"/>
    <x v="1540"/>
    <s v="Cash"/>
    <s v="TXN104213"/>
    <x v="0"/>
  </r>
  <r>
    <d v="2023-04-07T00:00:00"/>
    <x v="3"/>
    <x v="0"/>
    <x v="3"/>
    <x v="1546"/>
    <x v="1541"/>
    <s v="Card"/>
    <s v="TXN104881"/>
    <x v="0"/>
  </r>
  <r>
    <d v="2023-04-07T00:00:00"/>
    <x v="3"/>
    <x v="1"/>
    <x v="1"/>
    <x v="1547"/>
    <x v="1542"/>
    <s v="Bank Transfer"/>
    <s v="TXN106852"/>
    <x v="0"/>
  </r>
  <r>
    <d v="2023-04-07T00:00:00"/>
    <x v="3"/>
    <x v="4"/>
    <x v="0"/>
    <x v="1548"/>
    <x v="1543"/>
    <s v="Bank Transfer"/>
    <s v="TXN107286"/>
    <x v="0"/>
  </r>
  <r>
    <d v="2023-04-07T00:00:00"/>
    <x v="3"/>
    <x v="5"/>
    <x v="1"/>
    <x v="542"/>
    <x v="1360"/>
    <s v="UPI"/>
    <s v="REV100212"/>
    <x v="1"/>
  </r>
  <r>
    <d v="2023-04-07T00:00:00"/>
    <x v="3"/>
    <x v="5"/>
    <x v="1"/>
    <x v="1549"/>
    <x v="1544"/>
    <s v="Bank Transfer"/>
    <s v="REV100398"/>
    <x v="1"/>
  </r>
  <r>
    <d v="2023-04-07T00:00:00"/>
    <x v="3"/>
    <x v="5"/>
    <x v="4"/>
    <x v="1550"/>
    <x v="1545"/>
    <s v="Card"/>
    <s v="REV101321"/>
    <x v="1"/>
  </r>
  <r>
    <d v="2023-04-07T00:00:00"/>
    <x v="3"/>
    <x v="5"/>
    <x v="1"/>
    <x v="1551"/>
    <x v="1546"/>
    <s v="Card"/>
    <s v="REV101462"/>
    <x v="1"/>
  </r>
  <r>
    <d v="2023-04-07T00:00:00"/>
    <x v="3"/>
    <x v="5"/>
    <x v="3"/>
    <x v="1003"/>
    <x v="1547"/>
    <s v="Card"/>
    <s v="REV101667"/>
    <x v="1"/>
  </r>
  <r>
    <d v="2023-04-07T00:00:00"/>
    <x v="3"/>
    <x v="5"/>
    <x v="1"/>
    <x v="1476"/>
    <x v="1548"/>
    <s v="UPI"/>
    <s v="REV102333"/>
    <x v="1"/>
  </r>
  <r>
    <d v="2023-04-07T00:00:00"/>
    <x v="3"/>
    <x v="5"/>
    <x v="0"/>
    <x v="1552"/>
    <x v="1475"/>
    <s v="UPI"/>
    <s v="REV102473"/>
    <x v="1"/>
  </r>
  <r>
    <d v="2023-04-08T00:00:00"/>
    <x v="3"/>
    <x v="0"/>
    <x v="3"/>
    <x v="1553"/>
    <x v="1549"/>
    <s v="Bank Transfer"/>
    <s v="TXN100276"/>
    <x v="0"/>
  </r>
  <r>
    <d v="2023-04-08T00:00:00"/>
    <x v="3"/>
    <x v="1"/>
    <x v="1"/>
    <x v="1554"/>
    <x v="1550"/>
    <s v="UPI"/>
    <s v="TXN100842"/>
    <x v="0"/>
  </r>
  <r>
    <d v="2023-04-08T00:00:00"/>
    <x v="3"/>
    <x v="4"/>
    <x v="1"/>
    <x v="1555"/>
    <x v="1551"/>
    <s v="UPI"/>
    <s v="TXN101568"/>
    <x v="0"/>
  </r>
  <r>
    <d v="2023-04-08T00:00:00"/>
    <x v="3"/>
    <x v="1"/>
    <x v="0"/>
    <x v="1556"/>
    <x v="1552"/>
    <s v="Bank Transfer"/>
    <s v="TXN101697"/>
    <x v="0"/>
  </r>
  <r>
    <d v="2023-04-08T00:00:00"/>
    <x v="3"/>
    <x v="2"/>
    <x v="0"/>
    <x v="1557"/>
    <x v="1553"/>
    <s v="Cash"/>
    <s v="TXN102247"/>
    <x v="0"/>
  </r>
  <r>
    <d v="2023-04-08T00:00:00"/>
    <x v="3"/>
    <x v="7"/>
    <x v="3"/>
    <x v="1558"/>
    <x v="1554"/>
    <s v="UPI"/>
    <s v="TXN103586"/>
    <x v="0"/>
  </r>
  <r>
    <d v="2023-04-08T00:00:00"/>
    <x v="3"/>
    <x v="4"/>
    <x v="3"/>
    <x v="1559"/>
    <x v="1555"/>
    <s v="Card"/>
    <s v="TXN106302"/>
    <x v="0"/>
  </r>
  <r>
    <d v="2023-04-08T00:00:00"/>
    <x v="3"/>
    <x v="7"/>
    <x v="0"/>
    <x v="1560"/>
    <x v="1556"/>
    <s v="UPI"/>
    <s v="TXN108144"/>
    <x v="0"/>
  </r>
  <r>
    <d v="2023-04-08T00:00:00"/>
    <x v="3"/>
    <x v="3"/>
    <x v="3"/>
    <x v="1561"/>
    <x v="1557"/>
    <s v="Bank Transfer"/>
    <s v="TXN108248"/>
    <x v="0"/>
  </r>
  <r>
    <d v="2023-04-08T00:00:00"/>
    <x v="3"/>
    <x v="0"/>
    <x v="3"/>
    <x v="1562"/>
    <x v="1558"/>
    <s v="UPI"/>
    <s v="TXN108930"/>
    <x v="0"/>
  </r>
  <r>
    <d v="2023-04-08T00:00:00"/>
    <x v="3"/>
    <x v="4"/>
    <x v="4"/>
    <x v="1563"/>
    <x v="1559"/>
    <s v="Cash"/>
    <s v="TXN109167"/>
    <x v="0"/>
  </r>
  <r>
    <d v="2023-04-08T00:00:00"/>
    <x v="3"/>
    <x v="4"/>
    <x v="2"/>
    <x v="1564"/>
    <x v="1560"/>
    <s v="Bank Transfer"/>
    <s v="TXN109681"/>
    <x v="0"/>
  </r>
  <r>
    <d v="2023-04-08T00:00:00"/>
    <x v="3"/>
    <x v="5"/>
    <x v="3"/>
    <x v="1565"/>
    <x v="1561"/>
    <s v="Bank Transfer"/>
    <s v="REV100098"/>
    <x v="1"/>
  </r>
  <r>
    <d v="2023-04-08T00:00:00"/>
    <x v="3"/>
    <x v="5"/>
    <x v="1"/>
    <x v="560"/>
    <x v="491"/>
    <s v="Bank Transfer"/>
    <s v="REV100308"/>
    <x v="1"/>
  </r>
  <r>
    <d v="2023-04-08T00:00:00"/>
    <x v="3"/>
    <x v="5"/>
    <x v="1"/>
    <x v="1566"/>
    <x v="401"/>
    <s v="Bank Transfer"/>
    <s v="REV100577"/>
    <x v="1"/>
  </r>
  <r>
    <d v="2023-04-08T00:00:00"/>
    <x v="3"/>
    <x v="5"/>
    <x v="0"/>
    <x v="1567"/>
    <x v="1562"/>
    <s v="Bank Transfer"/>
    <s v="REV100623"/>
    <x v="1"/>
  </r>
  <r>
    <d v="2023-04-08T00:00:00"/>
    <x v="3"/>
    <x v="5"/>
    <x v="0"/>
    <x v="1568"/>
    <x v="1563"/>
    <s v="Bank Transfer"/>
    <s v="REV100793"/>
    <x v="1"/>
  </r>
  <r>
    <d v="2023-04-08T00:00:00"/>
    <x v="3"/>
    <x v="5"/>
    <x v="3"/>
    <x v="1569"/>
    <x v="1564"/>
    <s v="Bank Transfer"/>
    <s v="REV101226"/>
    <x v="1"/>
  </r>
  <r>
    <d v="2023-04-08T00:00:00"/>
    <x v="3"/>
    <x v="5"/>
    <x v="3"/>
    <x v="1570"/>
    <x v="1565"/>
    <s v="Bank Transfer"/>
    <s v="REV102124"/>
    <x v="1"/>
  </r>
  <r>
    <d v="2023-04-08T00:00:00"/>
    <x v="3"/>
    <x v="5"/>
    <x v="0"/>
    <x v="929"/>
    <x v="791"/>
    <s v="UPI"/>
    <s v="REV102766"/>
    <x v="1"/>
  </r>
  <r>
    <d v="2023-04-08T00:00:00"/>
    <x v="3"/>
    <x v="6"/>
    <x v="3"/>
    <x v="1571"/>
    <x v="1566"/>
    <s v="Bank Transfer"/>
    <s v="REV102799"/>
    <x v="1"/>
  </r>
  <r>
    <d v="2023-04-08T00:00:00"/>
    <x v="3"/>
    <x v="5"/>
    <x v="3"/>
    <x v="1572"/>
    <x v="1250"/>
    <s v="Bank Transfer"/>
    <s v="REV103024"/>
    <x v="1"/>
  </r>
  <r>
    <d v="2023-04-08T00:00:00"/>
    <x v="3"/>
    <x v="5"/>
    <x v="4"/>
    <x v="1573"/>
    <x v="1567"/>
    <s v="Card"/>
    <s v="REV103096"/>
    <x v="1"/>
  </r>
  <r>
    <d v="2023-04-08T00:00:00"/>
    <x v="3"/>
    <x v="6"/>
    <x v="2"/>
    <x v="1574"/>
    <x v="1568"/>
    <s v="UPI"/>
    <s v="REV103272"/>
    <x v="1"/>
  </r>
  <r>
    <d v="2023-04-09T00:00:00"/>
    <x v="3"/>
    <x v="2"/>
    <x v="2"/>
    <x v="1575"/>
    <x v="1569"/>
    <s v="Bank Transfer"/>
    <s v="TXN100472"/>
    <x v="0"/>
  </r>
  <r>
    <d v="2023-04-09T00:00:00"/>
    <x v="3"/>
    <x v="2"/>
    <x v="1"/>
    <x v="1576"/>
    <x v="1570"/>
    <s v="Bank Transfer"/>
    <s v="TXN103366"/>
    <x v="0"/>
  </r>
  <r>
    <d v="2023-04-09T00:00:00"/>
    <x v="3"/>
    <x v="0"/>
    <x v="4"/>
    <x v="1577"/>
    <x v="1571"/>
    <s v="Card"/>
    <s v="TXN106461"/>
    <x v="0"/>
  </r>
  <r>
    <d v="2023-04-09T00:00:00"/>
    <x v="3"/>
    <x v="1"/>
    <x v="1"/>
    <x v="1578"/>
    <x v="1572"/>
    <s v="Bank Transfer"/>
    <s v="TXN109391"/>
    <x v="0"/>
  </r>
  <r>
    <d v="2023-04-09T00:00:00"/>
    <x v="3"/>
    <x v="6"/>
    <x v="2"/>
    <x v="1579"/>
    <x v="1426"/>
    <s v="UPI"/>
    <s v="REV100179"/>
    <x v="1"/>
  </r>
  <r>
    <d v="2023-04-09T00:00:00"/>
    <x v="3"/>
    <x v="5"/>
    <x v="1"/>
    <x v="1580"/>
    <x v="1573"/>
    <s v="Bank Transfer"/>
    <s v="REV101157"/>
    <x v="1"/>
  </r>
  <r>
    <d v="2023-04-09T00:00:00"/>
    <x v="3"/>
    <x v="5"/>
    <x v="4"/>
    <x v="1581"/>
    <x v="1574"/>
    <s v="Card"/>
    <s v="REV102188"/>
    <x v="1"/>
  </r>
  <r>
    <d v="2023-04-09T00:00:00"/>
    <x v="3"/>
    <x v="6"/>
    <x v="1"/>
    <x v="1582"/>
    <x v="1575"/>
    <s v="Bank Transfer"/>
    <s v="REV103174"/>
    <x v="1"/>
  </r>
  <r>
    <d v="2023-04-10T00:00:00"/>
    <x v="3"/>
    <x v="3"/>
    <x v="2"/>
    <x v="1583"/>
    <x v="1576"/>
    <s v="Card"/>
    <s v="TXN103700"/>
    <x v="0"/>
  </r>
  <r>
    <d v="2023-04-10T00:00:00"/>
    <x v="3"/>
    <x v="0"/>
    <x v="3"/>
    <x v="1584"/>
    <x v="1577"/>
    <s v="Bank Transfer"/>
    <s v="TXN103800"/>
    <x v="0"/>
  </r>
  <r>
    <d v="2023-04-10T00:00:00"/>
    <x v="3"/>
    <x v="4"/>
    <x v="0"/>
    <x v="1585"/>
    <x v="1578"/>
    <s v="Cash"/>
    <s v="TXN104264"/>
    <x v="0"/>
  </r>
  <r>
    <d v="2023-04-10T00:00:00"/>
    <x v="3"/>
    <x v="2"/>
    <x v="3"/>
    <x v="1586"/>
    <x v="1579"/>
    <s v="Cash"/>
    <s v="TXN107384"/>
    <x v="0"/>
  </r>
  <r>
    <d v="2023-04-10T00:00:00"/>
    <x v="3"/>
    <x v="2"/>
    <x v="4"/>
    <x v="1587"/>
    <x v="1580"/>
    <s v="UPI"/>
    <s v="TXN108231"/>
    <x v="0"/>
  </r>
  <r>
    <d v="2023-04-10T00:00:00"/>
    <x v="3"/>
    <x v="0"/>
    <x v="1"/>
    <x v="1588"/>
    <x v="1581"/>
    <s v="Cash"/>
    <s v="TXN108354"/>
    <x v="0"/>
  </r>
  <r>
    <d v="2023-04-10T00:00:00"/>
    <x v="3"/>
    <x v="2"/>
    <x v="3"/>
    <x v="1589"/>
    <x v="1582"/>
    <s v="Card"/>
    <s v="TXN109513"/>
    <x v="0"/>
  </r>
  <r>
    <d v="2023-04-10T00:00:00"/>
    <x v="3"/>
    <x v="6"/>
    <x v="2"/>
    <x v="1590"/>
    <x v="1583"/>
    <s v="Card"/>
    <s v="REV101270"/>
    <x v="1"/>
  </r>
  <r>
    <d v="2023-04-10T00:00:00"/>
    <x v="3"/>
    <x v="6"/>
    <x v="3"/>
    <x v="1591"/>
    <x v="1584"/>
    <s v="Bank Transfer"/>
    <s v="REV101311"/>
    <x v="1"/>
  </r>
  <r>
    <d v="2023-04-10T00:00:00"/>
    <x v="3"/>
    <x v="5"/>
    <x v="0"/>
    <x v="1592"/>
    <x v="1585"/>
    <s v="Bank Transfer"/>
    <s v="REV101482"/>
    <x v="1"/>
  </r>
  <r>
    <d v="2023-04-10T00:00:00"/>
    <x v="3"/>
    <x v="6"/>
    <x v="3"/>
    <x v="437"/>
    <x v="128"/>
    <s v="Card"/>
    <s v="REV102507"/>
    <x v="1"/>
  </r>
  <r>
    <d v="2023-04-10T00:00:00"/>
    <x v="3"/>
    <x v="6"/>
    <x v="4"/>
    <x v="378"/>
    <x v="1586"/>
    <s v="Bank Transfer"/>
    <s v="REV102794"/>
    <x v="1"/>
  </r>
  <r>
    <d v="2023-04-10T00:00:00"/>
    <x v="3"/>
    <x v="5"/>
    <x v="1"/>
    <x v="1593"/>
    <x v="1052"/>
    <s v="Bank Transfer"/>
    <s v="REV102842"/>
    <x v="1"/>
  </r>
  <r>
    <d v="2023-04-10T00:00:00"/>
    <x v="3"/>
    <x v="6"/>
    <x v="3"/>
    <x v="1594"/>
    <x v="225"/>
    <s v="Bank Transfer"/>
    <s v="REV103211"/>
    <x v="1"/>
  </r>
  <r>
    <d v="2023-04-11T00:00:00"/>
    <x v="3"/>
    <x v="0"/>
    <x v="3"/>
    <x v="1595"/>
    <x v="1587"/>
    <s v="Cash"/>
    <s v="TXN100321"/>
    <x v="0"/>
  </r>
  <r>
    <d v="2023-04-11T00:00:00"/>
    <x v="3"/>
    <x v="3"/>
    <x v="0"/>
    <x v="1596"/>
    <x v="1588"/>
    <s v="Cash"/>
    <s v="TXN100648"/>
    <x v="0"/>
  </r>
  <r>
    <d v="2023-04-11T00:00:00"/>
    <x v="3"/>
    <x v="0"/>
    <x v="4"/>
    <x v="1597"/>
    <x v="1589"/>
    <s v="Bank Transfer"/>
    <s v="TXN100922"/>
    <x v="0"/>
  </r>
  <r>
    <d v="2023-04-11T00:00:00"/>
    <x v="3"/>
    <x v="2"/>
    <x v="0"/>
    <x v="1598"/>
    <x v="1590"/>
    <s v="Cash"/>
    <s v="TXN102085"/>
    <x v="0"/>
  </r>
  <r>
    <d v="2023-04-11T00:00:00"/>
    <x v="3"/>
    <x v="3"/>
    <x v="0"/>
    <x v="1599"/>
    <x v="1591"/>
    <s v="Cash"/>
    <s v="TXN103189"/>
    <x v="0"/>
  </r>
  <r>
    <d v="2023-04-11T00:00:00"/>
    <x v="3"/>
    <x v="1"/>
    <x v="4"/>
    <x v="1600"/>
    <x v="1592"/>
    <s v="UPI"/>
    <s v="TXN103779"/>
    <x v="0"/>
  </r>
  <r>
    <d v="2023-04-11T00:00:00"/>
    <x v="3"/>
    <x v="3"/>
    <x v="3"/>
    <x v="1601"/>
    <x v="1593"/>
    <s v="UPI"/>
    <s v="TXN104253"/>
    <x v="0"/>
  </r>
  <r>
    <d v="2023-04-11T00:00:00"/>
    <x v="3"/>
    <x v="2"/>
    <x v="4"/>
    <x v="1602"/>
    <x v="1594"/>
    <s v="Cash"/>
    <s v="TXN105209"/>
    <x v="0"/>
  </r>
  <r>
    <d v="2023-04-11T00:00:00"/>
    <x v="3"/>
    <x v="7"/>
    <x v="0"/>
    <x v="1603"/>
    <x v="1595"/>
    <s v="Card"/>
    <s v="TXN106408"/>
    <x v="0"/>
  </r>
  <r>
    <d v="2023-04-11T00:00:00"/>
    <x v="3"/>
    <x v="2"/>
    <x v="4"/>
    <x v="1604"/>
    <x v="1596"/>
    <s v="Cash"/>
    <s v="TXN107049"/>
    <x v="0"/>
  </r>
  <r>
    <d v="2023-04-11T00:00:00"/>
    <x v="3"/>
    <x v="2"/>
    <x v="3"/>
    <x v="1605"/>
    <x v="1597"/>
    <s v="Card"/>
    <s v="TXN108636"/>
    <x v="0"/>
  </r>
  <r>
    <d v="2023-04-11T00:00:00"/>
    <x v="3"/>
    <x v="0"/>
    <x v="4"/>
    <x v="1606"/>
    <x v="1598"/>
    <s v="Card"/>
    <s v="TXN109985"/>
    <x v="0"/>
  </r>
  <r>
    <d v="2023-04-11T00:00:00"/>
    <x v="3"/>
    <x v="6"/>
    <x v="3"/>
    <x v="1593"/>
    <x v="1599"/>
    <s v="Card"/>
    <s v="REV100116"/>
    <x v="1"/>
  </r>
  <r>
    <d v="2023-04-11T00:00:00"/>
    <x v="3"/>
    <x v="5"/>
    <x v="0"/>
    <x v="1607"/>
    <x v="1600"/>
    <s v="Card"/>
    <s v="REV100248"/>
    <x v="1"/>
  </r>
  <r>
    <d v="2023-04-11T00:00:00"/>
    <x v="3"/>
    <x v="6"/>
    <x v="4"/>
    <x v="1234"/>
    <x v="1601"/>
    <s v="UPI"/>
    <s v="REV100339"/>
    <x v="1"/>
  </r>
  <r>
    <d v="2023-04-11T00:00:00"/>
    <x v="3"/>
    <x v="6"/>
    <x v="0"/>
    <x v="1608"/>
    <x v="1318"/>
    <s v="Card"/>
    <s v="REV100742"/>
    <x v="1"/>
  </r>
  <r>
    <d v="2023-04-11T00:00:00"/>
    <x v="3"/>
    <x v="5"/>
    <x v="0"/>
    <x v="192"/>
    <x v="621"/>
    <s v="Bank Transfer"/>
    <s v="REV101099"/>
    <x v="1"/>
  </r>
  <r>
    <d v="2023-04-11T00:00:00"/>
    <x v="3"/>
    <x v="6"/>
    <x v="4"/>
    <x v="100"/>
    <x v="1602"/>
    <s v="Bank Transfer"/>
    <s v="REV101302"/>
    <x v="1"/>
  </r>
  <r>
    <d v="2023-04-11T00:00:00"/>
    <x v="3"/>
    <x v="5"/>
    <x v="3"/>
    <x v="1609"/>
    <x v="1603"/>
    <s v="Card"/>
    <s v="REV101476"/>
    <x v="1"/>
  </r>
  <r>
    <d v="2023-04-11T00:00:00"/>
    <x v="3"/>
    <x v="5"/>
    <x v="4"/>
    <x v="837"/>
    <x v="1151"/>
    <s v="Bank Transfer"/>
    <s v="REV101764"/>
    <x v="1"/>
  </r>
  <r>
    <d v="2023-04-11T00:00:00"/>
    <x v="3"/>
    <x v="5"/>
    <x v="0"/>
    <x v="1610"/>
    <x v="1604"/>
    <s v="Card"/>
    <s v="REV102168"/>
    <x v="1"/>
  </r>
  <r>
    <d v="2023-04-11T00:00:00"/>
    <x v="3"/>
    <x v="5"/>
    <x v="4"/>
    <x v="1611"/>
    <x v="1605"/>
    <s v="UPI"/>
    <s v="REV102392"/>
    <x v="1"/>
  </r>
  <r>
    <d v="2023-04-11T00:00:00"/>
    <x v="3"/>
    <x v="5"/>
    <x v="3"/>
    <x v="1612"/>
    <x v="1606"/>
    <s v="Card"/>
    <s v="REV102930"/>
    <x v="1"/>
  </r>
  <r>
    <d v="2023-04-11T00:00:00"/>
    <x v="3"/>
    <x v="6"/>
    <x v="4"/>
    <x v="1613"/>
    <x v="1607"/>
    <s v="Bank Transfer"/>
    <s v="REV103381"/>
    <x v="1"/>
  </r>
  <r>
    <d v="2023-04-12T00:00:00"/>
    <x v="3"/>
    <x v="1"/>
    <x v="3"/>
    <x v="1614"/>
    <x v="1608"/>
    <s v="Bank Transfer"/>
    <s v="TXN100029"/>
    <x v="0"/>
  </r>
  <r>
    <d v="2023-04-12T00:00:00"/>
    <x v="3"/>
    <x v="0"/>
    <x v="1"/>
    <x v="1615"/>
    <x v="1609"/>
    <s v="UPI"/>
    <s v="TXN103436"/>
    <x v="0"/>
  </r>
  <r>
    <d v="2023-04-12T00:00:00"/>
    <x v="3"/>
    <x v="7"/>
    <x v="1"/>
    <x v="1616"/>
    <x v="1610"/>
    <s v="Bank Transfer"/>
    <s v="TXN104967"/>
    <x v="0"/>
  </r>
  <r>
    <d v="2023-04-12T00:00:00"/>
    <x v="3"/>
    <x v="2"/>
    <x v="2"/>
    <x v="1617"/>
    <x v="1611"/>
    <s v="Bank Transfer"/>
    <s v="TXN105853"/>
    <x v="0"/>
  </r>
  <r>
    <d v="2023-04-12T00:00:00"/>
    <x v="3"/>
    <x v="0"/>
    <x v="3"/>
    <x v="1618"/>
    <x v="1612"/>
    <s v="Bank Transfer"/>
    <s v="TXN105958"/>
    <x v="0"/>
  </r>
  <r>
    <d v="2023-04-12T00:00:00"/>
    <x v="3"/>
    <x v="3"/>
    <x v="4"/>
    <x v="1619"/>
    <x v="1613"/>
    <s v="Bank Transfer"/>
    <s v="TXN107666"/>
    <x v="0"/>
  </r>
  <r>
    <d v="2023-04-12T00:00:00"/>
    <x v="3"/>
    <x v="4"/>
    <x v="0"/>
    <x v="1620"/>
    <x v="1614"/>
    <s v="Card"/>
    <s v="TXN107859"/>
    <x v="0"/>
  </r>
  <r>
    <d v="2023-04-12T00:00:00"/>
    <x v="3"/>
    <x v="2"/>
    <x v="1"/>
    <x v="1621"/>
    <x v="1615"/>
    <s v="Cash"/>
    <s v="TXN109299"/>
    <x v="0"/>
  </r>
  <r>
    <d v="2023-04-12T00:00:00"/>
    <x v="3"/>
    <x v="6"/>
    <x v="3"/>
    <x v="1622"/>
    <x v="1616"/>
    <s v="Bank Transfer"/>
    <s v="REV100012"/>
    <x v="1"/>
  </r>
  <r>
    <d v="2023-04-12T00:00:00"/>
    <x v="3"/>
    <x v="5"/>
    <x v="1"/>
    <x v="1623"/>
    <x v="1617"/>
    <s v="Card"/>
    <s v="REV101177"/>
    <x v="1"/>
  </r>
  <r>
    <d v="2023-04-12T00:00:00"/>
    <x v="3"/>
    <x v="5"/>
    <x v="1"/>
    <x v="1624"/>
    <x v="262"/>
    <s v="Bank Transfer"/>
    <s v="REV101695"/>
    <x v="1"/>
  </r>
  <r>
    <d v="2023-04-12T00:00:00"/>
    <x v="3"/>
    <x v="6"/>
    <x v="2"/>
    <x v="1625"/>
    <x v="1618"/>
    <s v="Bank Transfer"/>
    <s v="REV101980"/>
    <x v="1"/>
  </r>
  <r>
    <d v="2023-04-12T00:00:00"/>
    <x v="3"/>
    <x v="5"/>
    <x v="3"/>
    <x v="1626"/>
    <x v="1619"/>
    <s v="Card"/>
    <s v="REV102012"/>
    <x v="1"/>
  </r>
  <r>
    <d v="2023-04-12T00:00:00"/>
    <x v="3"/>
    <x v="6"/>
    <x v="4"/>
    <x v="1359"/>
    <x v="1620"/>
    <s v="Card"/>
    <s v="REV102610"/>
    <x v="1"/>
  </r>
  <r>
    <d v="2023-04-12T00:00:00"/>
    <x v="3"/>
    <x v="6"/>
    <x v="0"/>
    <x v="1627"/>
    <x v="1621"/>
    <s v="Bank Transfer"/>
    <s v="REV102670"/>
    <x v="1"/>
  </r>
  <r>
    <d v="2023-04-12T00:00:00"/>
    <x v="3"/>
    <x v="5"/>
    <x v="1"/>
    <x v="1628"/>
    <x v="1622"/>
    <s v="Card"/>
    <s v="REV103143"/>
    <x v="1"/>
  </r>
  <r>
    <d v="2023-04-13T00:00:00"/>
    <x v="3"/>
    <x v="2"/>
    <x v="0"/>
    <x v="1629"/>
    <x v="1623"/>
    <s v="Cash"/>
    <s v="TXN100931"/>
    <x v="0"/>
  </r>
  <r>
    <d v="2023-04-13T00:00:00"/>
    <x v="3"/>
    <x v="4"/>
    <x v="0"/>
    <x v="1630"/>
    <x v="1624"/>
    <s v="Card"/>
    <s v="TXN101785"/>
    <x v="0"/>
  </r>
  <r>
    <d v="2023-04-13T00:00:00"/>
    <x v="3"/>
    <x v="7"/>
    <x v="4"/>
    <x v="1631"/>
    <x v="1625"/>
    <s v="Card"/>
    <s v="TXN102544"/>
    <x v="0"/>
  </r>
  <r>
    <d v="2023-04-13T00:00:00"/>
    <x v="3"/>
    <x v="3"/>
    <x v="2"/>
    <x v="1632"/>
    <x v="1626"/>
    <s v="Cash"/>
    <s v="TXN102555"/>
    <x v="0"/>
  </r>
  <r>
    <d v="2023-04-13T00:00:00"/>
    <x v="3"/>
    <x v="0"/>
    <x v="1"/>
    <x v="1633"/>
    <x v="1627"/>
    <s v="UPI"/>
    <s v="TXN102959"/>
    <x v="0"/>
  </r>
  <r>
    <d v="2023-04-13T00:00:00"/>
    <x v="3"/>
    <x v="0"/>
    <x v="0"/>
    <x v="1634"/>
    <x v="1628"/>
    <s v="Cash"/>
    <s v="TXN103296"/>
    <x v="0"/>
  </r>
  <r>
    <d v="2023-04-13T00:00:00"/>
    <x v="3"/>
    <x v="7"/>
    <x v="0"/>
    <x v="1635"/>
    <x v="1629"/>
    <s v="Bank Transfer"/>
    <s v="TXN103662"/>
    <x v="0"/>
  </r>
  <r>
    <d v="2023-04-13T00:00:00"/>
    <x v="3"/>
    <x v="2"/>
    <x v="0"/>
    <x v="1636"/>
    <x v="1630"/>
    <s v="Cash"/>
    <s v="TXN105413"/>
    <x v="0"/>
  </r>
  <r>
    <d v="2023-04-13T00:00:00"/>
    <x v="3"/>
    <x v="1"/>
    <x v="3"/>
    <x v="1637"/>
    <x v="1631"/>
    <s v="UPI"/>
    <s v="TXN106313"/>
    <x v="0"/>
  </r>
  <r>
    <d v="2023-04-13T00:00:00"/>
    <x v="3"/>
    <x v="1"/>
    <x v="2"/>
    <x v="1638"/>
    <x v="1632"/>
    <s v="UPI"/>
    <s v="TXN106317"/>
    <x v="0"/>
  </r>
  <r>
    <d v="2023-04-13T00:00:00"/>
    <x v="3"/>
    <x v="2"/>
    <x v="0"/>
    <x v="1639"/>
    <x v="1633"/>
    <s v="UPI"/>
    <s v="TXN107158"/>
    <x v="0"/>
  </r>
  <r>
    <d v="2023-04-13T00:00:00"/>
    <x v="3"/>
    <x v="3"/>
    <x v="3"/>
    <x v="1640"/>
    <x v="1634"/>
    <s v="UPI"/>
    <s v="TXN107960"/>
    <x v="0"/>
  </r>
  <r>
    <d v="2023-04-13T00:00:00"/>
    <x v="3"/>
    <x v="2"/>
    <x v="3"/>
    <x v="1641"/>
    <x v="1635"/>
    <s v="Cash"/>
    <s v="TXN108051"/>
    <x v="0"/>
  </r>
  <r>
    <d v="2023-04-13T00:00:00"/>
    <x v="3"/>
    <x v="3"/>
    <x v="0"/>
    <x v="1642"/>
    <x v="1636"/>
    <s v="Cash"/>
    <s v="TXN108235"/>
    <x v="0"/>
  </r>
  <r>
    <d v="2023-04-13T00:00:00"/>
    <x v="3"/>
    <x v="7"/>
    <x v="2"/>
    <x v="1586"/>
    <x v="1637"/>
    <s v="UPI"/>
    <s v="TXN108659"/>
    <x v="0"/>
  </r>
  <r>
    <d v="2023-04-13T00:00:00"/>
    <x v="3"/>
    <x v="6"/>
    <x v="0"/>
    <x v="1643"/>
    <x v="1638"/>
    <s v="Card"/>
    <s v="REV100344"/>
    <x v="1"/>
  </r>
  <r>
    <d v="2023-04-13T00:00:00"/>
    <x v="3"/>
    <x v="5"/>
    <x v="0"/>
    <x v="614"/>
    <x v="799"/>
    <s v="Bank Transfer"/>
    <s v="REV100649"/>
    <x v="1"/>
  </r>
  <r>
    <d v="2023-04-13T00:00:00"/>
    <x v="3"/>
    <x v="6"/>
    <x v="4"/>
    <x v="1644"/>
    <x v="1639"/>
    <s v="Bank Transfer"/>
    <s v="REV100889"/>
    <x v="1"/>
  </r>
  <r>
    <d v="2023-04-13T00:00:00"/>
    <x v="3"/>
    <x v="6"/>
    <x v="2"/>
    <x v="1645"/>
    <x v="1640"/>
    <s v="Card"/>
    <s v="REV100895"/>
    <x v="1"/>
  </r>
  <r>
    <d v="2023-04-13T00:00:00"/>
    <x v="3"/>
    <x v="6"/>
    <x v="1"/>
    <x v="1646"/>
    <x v="1641"/>
    <s v="Bank Transfer"/>
    <s v="REV101028"/>
    <x v="1"/>
  </r>
  <r>
    <d v="2023-04-13T00:00:00"/>
    <x v="3"/>
    <x v="5"/>
    <x v="0"/>
    <x v="1647"/>
    <x v="14"/>
    <s v="Bank Transfer"/>
    <s v="REV101131"/>
    <x v="1"/>
  </r>
  <r>
    <d v="2023-04-13T00:00:00"/>
    <x v="3"/>
    <x v="6"/>
    <x v="0"/>
    <x v="1648"/>
    <x v="1642"/>
    <s v="Bank Transfer"/>
    <s v="REV101253"/>
    <x v="1"/>
  </r>
  <r>
    <d v="2023-04-13T00:00:00"/>
    <x v="3"/>
    <x v="5"/>
    <x v="0"/>
    <x v="1649"/>
    <x v="1643"/>
    <s v="Card"/>
    <s v="REV101841"/>
    <x v="1"/>
  </r>
  <r>
    <d v="2023-04-13T00:00:00"/>
    <x v="3"/>
    <x v="5"/>
    <x v="3"/>
    <x v="1650"/>
    <x v="1644"/>
    <s v="Bank Transfer"/>
    <s v="REV102129"/>
    <x v="1"/>
  </r>
  <r>
    <d v="2023-04-13T00:00:00"/>
    <x v="3"/>
    <x v="6"/>
    <x v="2"/>
    <x v="990"/>
    <x v="1645"/>
    <s v="Bank Transfer"/>
    <s v="REV102133"/>
    <x v="1"/>
  </r>
  <r>
    <d v="2023-04-13T00:00:00"/>
    <x v="3"/>
    <x v="5"/>
    <x v="0"/>
    <x v="1651"/>
    <x v="1646"/>
    <s v="Bank Transfer"/>
    <s v="REV102426"/>
    <x v="1"/>
  </r>
  <r>
    <d v="2023-04-13T00:00:00"/>
    <x v="3"/>
    <x v="5"/>
    <x v="3"/>
    <x v="1139"/>
    <x v="571"/>
    <s v="Card"/>
    <s v="REV102705"/>
    <x v="1"/>
  </r>
  <r>
    <d v="2023-04-13T00:00:00"/>
    <x v="3"/>
    <x v="5"/>
    <x v="3"/>
    <x v="440"/>
    <x v="1647"/>
    <s v="Bank Transfer"/>
    <s v="REV102735"/>
    <x v="1"/>
  </r>
  <r>
    <d v="2023-04-13T00:00:00"/>
    <x v="3"/>
    <x v="6"/>
    <x v="0"/>
    <x v="1652"/>
    <x v="1648"/>
    <s v="Card"/>
    <s v="REV102796"/>
    <x v="1"/>
  </r>
  <r>
    <d v="2023-04-13T00:00:00"/>
    <x v="3"/>
    <x v="5"/>
    <x v="2"/>
    <x v="182"/>
    <x v="1649"/>
    <s v="Card"/>
    <s v="REV102939"/>
    <x v="1"/>
  </r>
  <r>
    <d v="2023-04-14T00:00:00"/>
    <x v="3"/>
    <x v="3"/>
    <x v="3"/>
    <x v="1653"/>
    <x v="1650"/>
    <s v="Cash"/>
    <s v="TXN100287"/>
    <x v="0"/>
  </r>
  <r>
    <d v="2023-04-14T00:00:00"/>
    <x v="3"/>
    <x v="7"/>
    <x v="2"/>
    <x v="1654"/>
    <x v="1651"/>
    <s v="Card"/>
    <s v="TXN103490"/>
    <x v="0"/>
  </r>
  <r>
    <d v="2023-04-14T00:00:00"/>
    <x v="3"/>
    <x v="1"/>
    <x v="0"/>
    <x v="1655"/>
    <x v="1652"/>
    <s v="Bank Transfer"/>
    <s v="TXN104753"/>
    <x v="0"/>
  </r>
  <r>
    <d v="2023-04-14T00:00:00"/>
    <x v="3"/>
    <x v="4"/>
    <x v="1"/>
    <x v="1656"/>
    <x v="1653"/>
    <s v="Bank Transfer"/>
    <s v="TXN105996"/>
    <x v="0"/>
  </r>
  <r>
    <d v="2023-04-14T00:00:00"/>
    <x v="3"/>
    <x v="1"/>
    <x v="2"/>
    <x v="1657"/>
    <x v="1654"/>
    <s v="UPI"/>
    <s v="TXN106309"/>
    <x v="0"/>
  </r>
  <r>
    <d v="2023-04-14T00:00:00"/>
    <x v="3"/>
    <x v="2"/>
    <x v="3"/>
    <x v="1658"/>
    <x v="1655"/>
    <s v="UPI"/>
    <s v="TXN108119"/>
    <x v="0"/>
  </r>
  <r>
    <d v="2023-04-14T00:00:00"/>
    <x v="3"/>
    <x v="0"/>
    <x v="3"/>
    <x v="1659"/>
    <x v="1656"/>
    <s v="Cash"/>
    <s v="TXN108586"/>
    <x v="0"/>
  </r>
  <r>
    <d v="2023-04-14T00:00:00"/>
    <x v="3"/>
    <x v="2"/>
    <x v="4"/>
    <x v="1660"/>
    <x v="1657"/>
    <s v="UPI"/>
    <s v="TXN109723"/>
    <x v="0"/>
  </r>
  <r>
    <d v="2023-04-14T00:00:00"/>
    <x v="3"/>
    <x v="6"/>
    <x v="3"/>
    <x v="1661"/>
    <x v="1658"/>
    <s v="Card"/>
    <s v="REV100101"/>
    <x v="1"/>
  </r>
  <r>
    <d v="2023-04-14T00:00:00"/>
    <x v="3"/>
    <x v="6"/>
    <x v="2"/>
    <x v="1647"/>
    <x v="1194"/>
    <s v="Card"/>
    <s v="REV101192"/>
    <x v="1"/>
  </r>
  <r>
    <d v="2023-04-14T00:00:00"/>
    <x v="3"/>
    <x v="5"/>
    <x v="0"/>
    <x v="1662"/>
    <x v="319"/>
    <s v="Card"/>
    <s v="REV101621"/>
    <x v="1"/>
  </r>
  <r>
    <d v="2023-04-14T00:00:00"/>
    <x v="3"/>
    <x v="5"/>
    <x v="1"/>
    <x v="1663"/>
    <x v="1659"/>
    <s v="Bank Transfer"/>
    <s v="REV102025"/>
    <x v="1"/>
  </r>
  <r>
    <d v="2023-04-14T00:00:00"/>
    <x v="3"/>
    <x v="5"/>
    <x v="2"/>
    <x v="1664"/>
    <x v="1660"/>
    <s v="Bank Transfer"/>
    <s v="REV102127"/>
    <x v="1"/>
  </r>
  <r>
    <d v="2023-04-14T00:00:00"/>
    <x v="3"/>
    <x v="6"/>
    <x v="3"/>
    <x v="1665"/>
    <x v="1661"/>
    <s v="Bank Transfer"/>
    <s v="REV102757"/>
    <x v="1"/>
  </r>
  <r>
    <d v="2023-04-14T00:00:00"/>
    <x v="3"/>
    <x v="5"/>
    <x v="3"/>
    <x v="1666"/>
    <x v="1662"/>
    <s v="Card"/>
    <s v="REV102916"/>
    <x v="1"/>
  </r>
  <r>
    <d v="2023-04-14T00:00:00"/>
    <x v="3"/>
    <x v="5"/>
    <x v="4"/>
    <x v="505"/>
    <x v="1663"/>
    <s v="UPI"/>
    <s v="REV103289"/>
    <x v="1"/>
  </r>
  <r>
    <d v="2023-04-15T00:00:00"/>
    <x v="3"/>
    <x v="2"/>
    <x v="1"/>
    <x v="1667"/>
    <x v="1664"/>
    <s v="Cash"/>
    <s v="TXN101756"/>
    <x v="0"/>
  </r>
  <r>
    <d v="2023-04-15T00:00:00"/>
    <x v="3"/>
    <x v="4"/>
    <x v="0"/>
    <x v="1668"/>
    <x v="1665"/>
    <s v="Card"/>
    <s v="TXN104144"/>
    <x v="0"/>
  </r>
  <r>
    <d v="2023-04-15T00:00:00"/>
    <x v="3"/>
    <x v="1"/>
    <x v="2"/>
    <x v="1669"/>
    <x v="1666"/>
    <s v="Cash"/>
    <s v="TXN105804"/>
    <x v="0"/>
  </r>
  <r>
    <d v="2023-04-15T00:00:00"/>
    <x v="3"/>
    <x v="4"/>
    <x v="3"/>
    <x v="1670"/>
    <x v="1667"/>
    <s v="UPI"/>
    <s v="TXN106284"/>
    <x v="0"/>
  </r>
  <r>
    <d v="2023-04-15T00:00:00"/>
    <x v="3"/>
    <x v="4"/>
    <x v="0"/>
    <x v="1671"/>
    <x v="1668"/>
    <s v="Card"/>
    <s v="TXN106612"/>
    <x v="0"/>
  </r>
  <r>
    <d v="2023-04-15T00:00:00"/>
    <x v="3"/>
    <x v="0"/>
    <x v="3"/>
    <x v="1672"/>
    <x v="1669"/>
    <s v="Cash"/>
    <s v="TXN106619"/>
    <x v="0"/>
  </r>
  <r>
    <d v="2023-04-15T00:00:00"/>
    <x v="3"/>
    <x v="7"/>
    <x v="3"/>
    <x v="1673"/>
    <x v="1670"/>
    <s v="Cash"/>
    <s v="TXN108090"/>
    <x v="0"/>
  </r>
  <r>
    <d v="2023-04-15T00:00:00"/>
    <x v="3"/>
    <x v="6"/>
    <x v="1"/>
    <x v="1245"/>
    <x v="1671"/>
    <s v="UPI"/>
    <s v="REV100641"/>
    <x v="1"/>
  </r>
  <r>
    <d v="2023-04-15T00:00:00"/>
    <x v="3"/>
    <x v="5"/>
    <x v="0"/>
    <x v="837"/>
    <x v="1672"/>
    <s v="Card"/>
    <s v="REV101433"/>
    <x v="1"/>
  </r>
  <r>
    <d v="2023-04-15T00:00:00"/>
    <x v="3"/>
    <x v="6"/>
    <x v="2"/>
    <x v="87"/>
    <x v="1673"/>
    <s v="Bank Transfer"/>
    <s v="REV101966"/>
    <x v="1"/>
  </r>
  <r>
    <d v="2023-04-15T00:00:00"/>
    <x v="3"/>
    <x v="5"/>
    <x v="3"/>
    <x v="1674"/>
    <x v="414"/>
    <s v="Card"/>
    <s v="REV102118"/>
    <x v="1"/>
  </r>
  <r>
    <d v="2023-04-15T00:00:00"/>
    <x v="3"/>
    <x v="5"/>
    <x v="0"/>
    <x v="81"/>
    <x v="200"/>
    <s v="Card"/>
    <s v="REV102245"/>
    <x v="1"/>
  </r>
  <r>
    <d v="2023-04-15T00:00:00"/>
    <x v="3"/>
    <x v="5"/>
    <x v="3"/>
    <x v="1675"/>
    <x v="1524"/>
    <s v="Card"/>
    <s v="REV102249"/>
    <x v="1"/>
  </r>
  <r>
    <d v="2023-04-15T00:00:00"/>
    <x v="3"/>
    <x v="5"/>
    <x v="3"/>
    <x v="1371"/>
    <x v="1674"/>
    <s v="Card"/>
    <s v="REV102748"/>
    <x v="1"/>
  </r>
  <r>
    <d v="2023-04-16T00:00:00"/>
    <x v="3"/>
    <x v="2"/>
    <x v="3"/>
    <x v="1676"/>
    <x v="1675"/>
    <s v="Cash"/>
    <s v="TXN100152"/>
    <x v="0"/>
  </r>
  <r>
    <d v="2023-04-16T00:00:00"/>
    <x v="3"/>
    <x v="3"/>
    <x v="4"/>
    <x v="1677"/>
    <x v="1676"/>
    <s v="Card"/>
    <s v="TXN100733"/>
    <x v="0"/>
  </r>
  <r>
    <d v="2023-04-16T00:00:00"/>
    <x v="3"/>
    <x v="4"/>
    <x v="3"/>
    <x v="1678"/>
    <x v="1677"/>
    <s v="Cash"/>
    <s v="TXN101941"/>
    <x v="0"/>
  </r>
  <r>
    <d v="2023-04-16T00:00:00"/>
    <x v="3"/>
    <x v="0"/>
    <x v="1"/>
    <x v="1679"/>
    <x v="1678"/>
    <s v="Cash"/>
    <s v="TXN102603"/>
    <x v="0"/>
  </r>
  <r>
    <d v="2023-04-16T00:00:00"/>
    <x v="3"/>
    <x v="2"/>
    <x v="4"/>
    <x v="1680"/>
    <x v="1679"/>
    <s v="Bank Transfer"/>
    <s v="TXN103037"/>
    <x v="0"/>
  </r>
  <r>
    <d v="2023-04-16T00:00:00"/>
    <x v="3"/>
    <x v="3"/>
    <x v="3"/>
    <x v="1681"/>
    <x v="1680"/>
    <s v="UPI"/>
    <s v="TXN105167"/>
    <x v="0"/>
  </r>
  <r>
    <d v="2023-04-16T00:00:00"/>
    <x v="3"/>
    <x v="2"/>
    <x v="0"/>
    <x v="1682"/>
    <x v="1681"/>
    <s v="Bank Transfer"/>
    <s v="TXN105497"/>
    <x v="0"/>
  </r>
  <r>
    <d v="2023-04-16T00:00:00"/>
    <x v="3"/>
    <x v="1"/>
    <x v="0"/>
    <x v="1683"/>
    <x v="1682"/>
    <s v="UPI"/>
    <s v="TXN105545"/>
    <x v="0"/>
  </r>
  <r>
    <d v="2023-04-16T00:00:00"/>
    <x v="3"/>
    <x v="4"/>
    <x v="3"/>
    <x v="1684"/>
    <x v="1683"/>
    <s v="UPI"/>
    <s v="TXN107337"/>
    <x v="0"/>
  </r>
  <r>
    <d v="2023-04-16T00:00:00"/>
    <x v="3"/>
    <x v="4"/>
    <x v="0"/>
    <x v="1685"/>
    <x v="1684"/>
    <s v="UPI"/>
    <s v="TXN107533"/>
    <x v="0"/>
  </r>
  <r>
    <d v="2023-04-16T00:00:00"/>
    <x v="3"/>
    <x v="3"/>
    <x v="2"/>
    <x v="1686"/>
    <x v="1685"/>
    <s v="Bank Transfer"/>
    <s v="TXN108327"/>
    <x v="0"/>
  </r>
  <r>
    <d v="2023-04-16T00:00:00"/>
    <x v="3"/>
    <x v="0"/>
    <x v="3"/>
    <x v="1687"/>
    <x v="1686"/>
    <s v="Bank Transfer"/>
    <s v="TXN108441"/>
    <x v="0"/>
  </r>
  <r>
    <d v="2023-04-16T00:00:00"/>
    <x v="3"/>
    <x v="2"/>
    <x v="0"/>
    <x v="1688"/>
    <x v="1687"/>
    <s v="UPI"/>
    <s v="TXN108581"/>
    <x v="0"/>
  </r>
  <r>
    <d v="2023-04-16T00:00:00"/>
    <x v="3"/>
    <x v="4"/>
    <x v="2"/>
    <x v="1689"/>
    <x v="1688"/>
    <s v="UPI"/>
    <s v="TXN108596"/>
    <x v="0"/>
  </r>
  <r>
    <d v="2023-04-16T00:00:00"/>
    <x v="3"/>
    <x v="6"/>
    <x v="3"/>
    <x v="1287"/>
    <x v="1689"/>
    <s v="Bank Transfer"/>
    <s v="REV100055"/>
    <x v="1"/>
  </r>
  <r>
    <d v="2023-04-16T00:00:00"/>
    <x v="3"/>
    <x v="5"/>
    <x v="4"/>
    <x v="1666"/>
    <x v="677"/>
    <s v="Card"/>
    <s v="REV100273"/>
    <x v="1"/>
  </r>
  <r>
    <d v="2023-04-16T00:00:00"/>
    <x v="3"/>
    <x v="6"/>
    <x v="3"/>
    <x v="1690"/>
    <x v="796"/>
    <s v="Card"/>
    <s v="REV100696"/>
    <x v="1"/>
  </r>
  <r>
    <d v="2023-04-16T00:00:00"/>
    <x v="3"/>
    <x v="6"/>
    <x v="1"/>
    <x v="1691"/>
    <x v="848"/>
    <s v="Bank Transfer"/>
    <s v="REV100911"/>
    <x v="1"/>
  </r>
  <r>
    <d v="2023-04-16T00:00:00"/>
    <x v="3"/>
    <x v="5"/>
    <x v="4"/>
    <x v="1692"/>
    <x v="1238"/>
    <s v="Bank Transfer"/>
    <s v="REV101051"/>
    <x v="1"/>
  </r>
  <r>
    <d v="2023-04-16T00:00:00"/>
    <x v="3"/>
    <x v="5"/>
    <x v="3"/>
    <x v="1693"/>
    <x v="1690"/>
    <s v="Bank Transfer"/>
    <s v="REV101751"/>
    <x v="1"/>
  </r>
  <r>
    <d v="2023-04-16T00:00:00"/>
    <x v="3"/>
    <x v="5"/>
    <x v="0"/>
    <x v="819"/>
    <x v="826"/>
    <s v="Bank Transfer"/>
    <s v="REV101870"/>
    <x v="1"/>
  </r>
  <r>
    <d v="2023-04-16T00:00:00"/>
    <x v="3"/>
    <x v="5"/>
    <x v="0"/>
    <x v="1055"/>
    <x v="1691"/>
    <s v="Bank Transfer"/>
    <s v="REV101890"/>
    <x v="1"/>
  </r>
  <r>
    <d v="2023-04-16T00:00:00"/>
    <x v="3"/>
    <x v="6"/>
    <x v="3"/>
    <x v="1222"/>
    <x v="1692"/>
    <s v="Card"/>
    <s v="REV102489"/>
    <x v="1"/>
  </r>
  <r>
    <d v="2023-04-16T00:00:00"/>
    <x v="3"/>
    <x v="5"/>
    <x v="0"/>
    <x v="223"/>
    <x v="831"/>
    <s v="UPI"/>
    <s v="REV102557"/>
    <x v="1"/>
  </r>
  <r>
    <d v="2023-04-16T00:00:00"/>
    <x v="3"/>
    <x v="5"/>
    <x v="2"/>
    <x v="1694"/>
    <x v="1693"/>
    <s v="UPI"/>
    <s v="REV102830"/>
    <x v="1"/>
  </r>
  <r>
    <d v="2023-04-16T00:00:00"/>
    <x v="3"/>
    <x v="5"/>
    <x v="3"/>
    <x v="462"/>
    <x v="1694"/>
    <s v="Card"/>
    <s v="REV102863"/>
    <x v="1"/>
  </r>
  <r>
    <d v="2023-04-16T00:00:00"/>
    <x v="3"/>
    <x v="5"/>
    <x v="0"/>
    <x v="398"/>
    <x v="1695"/>
    <s v="Bank Transfer"/>
    <s v="REV102914"/>
    <x v="1"/>
  </r>
  <r>
    <d v="2023-04-16T00:00:00"/>
    <x v="3"/>
    <x v="5"/>
    <x v="2"/>
    <x v="1695"/>
    <x v="1331"/>
    <s v="Bank Transfer"/>
    <s v="REV102921"/>
    <x v="1"/>
  </r>
  <r>
    <d v="2023-04-17T00:00:00"/>
    <x v="3"/>
    <x v="7"/>
    <x v="1"/>
    <x v="1696"/>
    <x v="1696"/>
    <s v="Bank Transfer"/>
    <s v="TXN101459"/>
    <x v="0"/>
  </r>
  <r>
    <d v="2023-04-17T00:00:00"/>
    <x v="3"/>
    <x v="1"/>
    <x v="1"/>
    <x v="1697"/>
    <x v="1697"/>
    <s v="Bank Transfer"/>
    <s v="TXN101507"/>
    <x v="0"/>
  </r>
  <r>
    <d v="2023-04-17T00:00:00"/>
    <x v="3"/>
    <x v="4"/>
    <x v="2"/>
    <x v="1698"/>
    <x v="1698"/>
    <s v="Bank Transfer"/>
    <s v="TXN102102"/>
    <x v="0"/>
  </r>
  <r>
    <d v="2023-04-17T00:00:00"/>
    <x v="3"/>
    <x v="7"/>
    <x v="0"/>
    <x v="1699"/>
    <x v="1699"/>
    <s v="Card"/>
    <s v="TXN102310"/>
    <x v="0"/>
  </r>
  <r>
    <d v="2023-04-17T00:00:00"/>
    <x v="3"/>
    <x v="2"/>
    <x v="1"/>
    <x v="1700"/>
    <x v="1700"/>
    <s v="Card"/>
    <s v="TXN102557"/>
    <x v="0"/>
  </r>
  <r>
    <d v="2023-04-17T00:00:00"/>
    <x v="3"/>
    <x v="4"/>
    <x v="2"/>
    <x v="1701"/>
    <x v="1435"/>
    <s v="Card"/>
    <s v="TXN102663"/>
    <x v="0"/>
  </r>
  <r>
    <d v="2023-04-17T00:00:00"/>
    <x v="3"/>
    <x v="0"/>
    <x v="4"/>
    <x v="1702"/>
    <x v="1701"/>
    <s v="Card"/>
    <s v="TXN104414"/>
    <x v="0"/>
  </r>
  <r>
    <d v="2023-04-17T00:00:00"/>
    <x v="3"/>
    <x v="7"/>
    <x v="0"/>
    <x v="1703"/>
    <x v="1702"/>
    <s v="Card"/>
    <s v="TXN105670"/>
    <x v="0"/>
  </r>
  <r>
    <d v="2023-04-17T00:00:00"/>
    <x v="3"/>
    <x v="0"/>
    <x v="2"/>
    <x v="1704"/>
    <x v="1703"/>
    <s v="Bank Transfer"/>
    <s v="TXN107464"/>
    <x v="0"/>
  </r>
  <r>
    <d v="2023-04-17T00:00:00"/>
    <x v="3"/>
    <x v="5"/>
    <x v="1"/>
    <x v="1705"/>
    <x v="764"/>
    <s v="Bank Transfer"/>
    <s v="REV100536"/>
    <x v="1"/>
  </r>
  <r>
    <d v="2023-04-17T00:00:00"/>
    <x v="3"/>
    <x v="6"/>
    <x v="1"/>
    <x v="1295"/>
    <x v="997"/>
    <s v="Bank Transfer"/>
    <s v="REV100553"/>
    <x v="1"/>
  </r>
  <r>
    <d v="2023-04-17T00:00:00"/>
    <x v="3"/>
    <x v="6"/>
    <x v="2"/>
    <x v="862"/>
    <x v="1704"/>
    <s v="Bank Transfer"/>
    <s v="REV100748"/>
    <x v="1"/>
  </r>
  <r>
    <d v="2023-04-17T00:00:00"/>
    <x v="3"/>
    <x v="6"/>
    <x v="0"/>
    <x v="615"/>
    <x v="1705"/>
    <s v="Card"/>
    <s v="REV100816"/>
    <x v="1"/>
  </r>
  <r>
    <d v="2023-04-17T00:00:00"/>
    <x v="3"/>
    <x v="5"/>
    <x v="1"/>
    <x v="1706"/>
    <x v="734"/>
    <s v="UPI"/>
    <s v="REV100897"/>
    <x v="1"/>
  </r>
  <r>
    <d v="2023-04-17T00:00:00"/>
    <x v="3"/>
    <x v="6"/>
    <x v="2"/>
    <x v="376"/>
    <x v="1706"/>
    <s v="Card"/>
    <s v="REV100934"/>
    <x v="1"/>
  </r>
  <r>
    <d v="2023-04-17T00:00:00"/>
    <x v="3"/>
    <x v="6"/>
    <x v="4"/>
    <x v="1108"/>
    <x v="442"/>
    <s v="Card"/>
    <s v="REV101523"/>
    <x v="1"/>
  </r>
  <r>
    <d v="2023-04-17T00:00:00"/>
    <x v="3"/>
    <x v="5"/>
    <x v="0"/>
    <x v="1707"/>
    <x v="1707"/>
    <s v="Card"/>
    <s v="REV101929"/>
    <x v="1"/>
  </r>
  <r>
    <d v="2023-04-17T00:00:00"/>
    <x v="3"/>
    <x v="6"/>
    <x v="2"/>
    <x v="1708"/>
    <x v="1708"/>
    <s v="UPI"/>
    <s v="REV102532"/>
    <x v="1"/>
  </r>
  <r>
    <d v="2023-04-18T00:00:00"/>
    <x v="3"/>
    <x v="0"/>
    <x v="1"/>
    <x v="1709"/>
    <x v="1709"/>
    <s v="Bank Transfer"/>
    <s v="TXN100297"/>
    <x v="0"/>
  </r>
  <r>
    <d v="2023-04-18T00:00:00"/>
    <x v="3"/>
    <x v="2"/>
    <x v="0"/>
    <x v="1710"/>
    <x v="1710"/>
    <s v="UPI"/>
    <s v="TXN100633"/>
    <x v="0"/>
  </r>
  <r>
    <d v="2023-04-18T00:00:00"/>
    <x v="3"/>
    <x v="7"/>
    <x v="1"/>
    <x v="1711"/>
    <x v="1711"/>
    <s v="UPI"/>
    <s v="TXN100994"/>
    <x v="0"/>
  </r>
  <r>
    <d v="2023-04-18T00:00:00"/>
    <x v="3"/>
    <x v="4"/>
    <x v="3"/>
    <x v="1712"/>
    <x v="1712"/>
    <s v="Bank Transfer"/>
    <s v="TXN101468"/>
    <x v="0"/>
  </r>
  <r>
    <d v="2023-04-18T00:00:00"/>
    <x v="3"/>
    <x v="4"/>
    <x v="4"/>
    <x v="1713"/>
    <x v="1713"/>
    <s v="Bank Transfer"/>
    <s v="TXN103574"/>
    <x v="0"/>
  </r>
  <r>
    <d v="2023-04-18T00:00:00"/>
    <x v="3"/>
    <x v="1"/>
    <x v="0"/>
    <x v="1714"/>
    <x v="1714"/>
    <s v="Cash"/>
    <s v="TXN104252"/>
    <x v="0"/>
  </r>
  <r>
    <d v="2023-04-18T00:00:00"/>
    <x v="3"/>
    <x v="1"/>
    <x v="3"/>
    <x v="1715"/>
    <x v="1715"/>
    <s v="UPI"/>
    <s v="TXN105929"/>
    <x v="0"/>
  </r>
  <r>
    <d v="2023-04-18T00:00:00"/>
    <x v="3"/>
    <x v="0"/>
    <x v="0"/>
    <x v="1716"/>
    <x v="1716"/>
    <s v="Bank Transfer"/>
    <s v="TXN106276"/>
    <x v="0"/>
  </r>
  <r>
    <d v="2023-04-18T00:00:00"/>
    <x v="3"/>
    <x v="2"/>
    <x v="1"/>
    <x v="1717"/>
    <x v="1717"/>
    <s v="Card"/>
    <s v="TXN106863"/>
    <x v="0"/>
  </r>
  <r>
    <d v="2023-04-18T00:00:00"/>
    <x v="3"/>
    <x v="4"/>
    <x v="0"/>
    <x v="1718"/>
    <x v="1718"/>
    <s v="Card"/>
    <s v="TXN107552"/>
    <x v="0"/>
  </r>
  <r>
    <d v="2023-04-18T00:00:00"/>
    <x v="3"/>
    <x v="3"/>
    <x v="2"/>
    <x v="1719"/>
    <x v="1719"/>
    <s v="Card"/>
    <s v="TXN108190"/>
    <x v="0"/>
  </r>
  <r>
    <d v="2023-04-18T00:00:00"/>
    <x v="3"/>
    <x v="0"/>
    <x v="0"/>
    <x v="1720"/>
    <x v="1720"/>
    <s v="Bank Transfer"/>
    <s v="TXN108514"/>
    <x v="0"/>
  </r>
  <r>
    <d v="2023-04-18T00:00:00"/>
    <x v="3"/>
    <x v="0"/>
    <x v="0"/>
    <x v="1721"/>
    <x v="1721"/>
    <s v="UPI"/>
    <s v="TXN108681"/>
    <x v="0"/>
  </r>
  <r>
    <d v="2023-04-18T00:00:00"/>
    <x v="3"/>
    <x v="1"/>
    <x v="3"/>
    <x v="1722"/>
    <x v="1722"/>
    <s v="Bank Transfer"/>
    <s v="TXN108853"/>
    <x v="0"/>
  </r>
  <r>
    <d v="2023-04-18T00:00:00"/>
    <x v="3"/>
    <x v="2"/>
    <x v="4"/>
    <x v="1723"/>
    <x v="1723"/>
    <s v="Card"/>
    <s v="TXN109801"/>
    <x v="0"/>
  </r>
  <r>
    <d v="2023-04-18T00:00:00"/>
    <x v="3"/>
    <x v="6"/>
    <x v="1"/>
    <x v="219"/>
    <x v="512"/>
    <s v="Bank Transfer"/>
    <s v="REV100103"/>
    <x v="1"/>
  </r>
  <r>
    <d v="2023-04-18T00:00:00"/>
    <x v="3"/>
    <x v="6"/>
    <x v="0"/>
    <x v="139"/>
    <x v="1320"/>
    <s v="Card"/>
    <s v="REV100244"/>
    <x v="1"/>
  </r>
  <r>
    <d v="2023-04-18T00:00:00"/>
    <x v="3"/>
    <x v="5"/>
    <x v="1"/>
    <x v="1724"/>
    <x v="396"/>
    <s v="Bank Transfer"/>
    <s v="REV100368"/>
    <x v="1"/>
  </r>
  <r>
    <d v="2023-04-18T00:00:00"/>
    <x v="3"/>
    <x v="5"/>
    <x v="3"/>
    <x v="9"/>
    <x v="1724"/>
    <s v="Card"/>
    <s v="REV100538"/>
    <x v="1"/>
  </r>
  <r>
    <d v="2023-04-18T00:00:00"/>
    <x v="3"/>
    <x v="6"/>
    <x v="4"/>
    <x v="1725"/>
    <x v="1725"/>
    <s v="Bank Transfer"/>
    <s v="REV101222"/>
    <x v="1"/>
  </r>
  <r>
    <d v="2023-04-18T00:00:00"/>
    <x v="3"/>
    <x v="5"/>
    <x v="0"/>
    <x v="1726"/>
    <x v="813"/>
    <s v="Card"/>
    <s v="REV101475"/>
    <x v="1"/>
  </r>
  <r>
    <d v="2023-04-18T00:00:00"/>
    <x v="3"/>
    <x v="5"/>
    <x v="3"/>
    <x v="1727"/>
    <x v="1726"/>
    <s v="Bank Transfer"/>
    <s v="REV102001"/>
    <x v="1"/>
  </r>
  <r>
    <d v="2023-04-18T00:00:00"/>
    <x v="3"/>
    <x v="5"/>
    <x v="0"/>
    <x v="1446"/>
    <x v="1727"/>
    <s v="Card"/>
    <s v="REV102116"/>
    <x v="1"/>
  </r>
  <r>
    <d v="2023-04-18T00:00:00"/>
    <x v="3"/>
    <x v="6"/>
    <x v="1"/>
    <x v="821"/>
    <x v="1728"/>
    <s v="Bank Transfer"/>
    <s v="REV102336"/>
    <x v="1"/>
  </r>
  <r>
    <d v="2023-04-18T00:00:00"/>
    <x v="3"/>
    <x v="6"/>
    <x v="0"/>
    <x v="1385"/>
    <x v="936"/>
    <s v="UPI"/>
    <s v="REV102564"/>
    <x v="1"/>
  </r>
  <r>
    <d v="2023-04-18T00:00:00"/>
    <x v="3"/>
    <x v="6"/>
    <x v="2"/>
    <x v="225"/>
    <x v="200"/>
    <s v="Bank Transfer"/>
    <s v="REV102782"/>
    <x v="1"/>
  </r>
  <r>
    <d v="2023-04-18T00:00:00"/>
    <x v="3"/>
    <x v="5"/>
    <x v="0"/>
    <x v="576"/>
    <x v="1729"/>
    <s v="Card"/>
    <s v="REV102884"/>
    <x v="1"/>
  </r>
  <r>
    <d v="2023-04-18T00:00:00"/>
    <x v="3"/>
    <x v="6"/>
    <x v="0"/>
    <x v="1728"/>
    <x v="915"/>
    <s v="Bank Transfer"/>
    <s v="REV102947"/>
    <x v="1"/>
  </r>
  <r>
    <d v="2023-04-18T00:00:00"/>
    <x v="3"/>
    <x v="6"/>
    <x v="3"/>
    <x v="1729"/>
    <x v="1730"/>
    <s v="Bank Transfer"/>
    <s v="REV102998"/>
    <x v="1"/>
  </r>
  <r>
    <d v="2023-04-18T00:00:00"/>
    <x v="3"/>
    <x v="5"/>
    <x v="4"/>
    <x v="1372"/>
    <x v="1731"/>
    <s v="Bank Transfer"/>
    <s v="REV103318"/>
    <x v="1"/>
  </r>
  <r>
    <d v="2023-04-19T00:00:00"/>
    <x v="3"/>
    <x v="4"/>
    <x v="4"/>
    <x v="1730"/>
    <x v="1732"/>
    <s v="Bank Transfer"/>
    <s v="TXN103664"/>
    <x v="0"/>
  </r>
  <r>
    <d v="2023-04-19T00:00:00"/>
    <x v="3"/>
    <x v="0"/>
    <x v="4"/>
    <x v="1731"/>
    <x v="1733"/>
    <s v="UPI"/>
    <s v="TXN104634"/>
    <x v="0"/>
  </r>
  <r>
    <d v="2023-04-19T00:00:00"/>
    <x v="3"/>
    <x v="4"/>
    <x v="2"/>
    <x v="1732"/>
    <x v="1734"/>
    <s v="Bank Transfer"/>
    <s v="TXN105823"/>
    <x v="0"/>
  </r>
  <r>
    <d v="2023-04-19T00:00:00"/>
    <x v="3"/>
    <x v="2"/>
    <x v="1"/>
    <x v="1733"/>
    <x v="1735"/>
    <s v="Bank Transfer"/>
    <s v="TXN105828"/>
    <x v="0"/>
  </r>
  <r>
    <d v="2023-04-19T00:00:00"/>
    <x v="3"/>
    <x v="0"/>
    <x v="2"/>
    <x v="1734"/>
    <x v="1736"/>
    <s v="UPI"/>
    <s v="TXN105974"/>
    <x v="0"/>
  </r>
  <r>
    <d v="2023-04-19T00:00:00"/>
    <x v="3"/>
    <x v="1"/>
    <x v="3"/>
    <x v="1735"/>
    <x v="1737"/>
    <s v="Bank Transfer"/>
    <s v="TXN106776"/>
    <x v="0"/>
  </r>
  <r>
    <d v="2023-04-19T00:00:00"/>
    <x v="3"/>
    <x v="4"/>
    <x v="4"/>
    <x v="1736"/>
    <x v="1738"/>
    <s v="Cash"/>
    <s v="TXN106886"/>
    <x v="0"/>
  </r>
  <r>
    <d v="2023-04-19T00:00:00"/>
    <x v="3"/>
    <x v="2"/>
    <x v="0"/>
    <x v="1737"/>
    <x v="1739"/>
    <s v="UPI"/>
    <s v="TXN107062"/>
    <x v="0"/>
  </r>
  <r>
    <d v="2023-04-19T00:00:00"/>
    <x v="3"/>
    <x v="1"/>
    <x v="3"/>
    <x v="1738"/>
    <x v="1740"/>
    <s v="Cash"/>
    <s v="TXN107550"/>
    <x v="0"/>
  </r>
  <r>
    <d v="2023-04-19T00:00:00"/>
    <x v="3"/>
    <x v="2"/>
    <x v="0"/>
    <x v="1739"/>
    <x v="1741"/>
    <s v="Card"/>
    <s v="TXN108434"/>
    <x v="0"/>
  </r>
  <r>
    <d v="2023-04-19T00:00:00"/>
    <x v="3"/>
    <x v="2"/>
    <x v="1"/>
    <x v="1740"/>
    <x v="1742"/>
    <s v="Card"/>
    <s v="TXN108847"/>
    <x v="0"/>
  </r>
  <r>
    <d v="2023-04-19T00:00:00"/>
    <x v="3"/>
    <x v="6"/>
    <x v="4"/>
    <x v="1741"/>
    <x v="32"/>
    <s v="Bank Transfer"/>
    <s v="REV101255"/>
    <x v="1"/>
  </r>
  <r>
    <d v="2023-04-19T00:00:00"/>
    <x v="3"/>
    <x v="5"/>
    <x v="4"/>
    <x v="1742"/>
    <x v="1743"/>
    <s v="Bank Transfer"/>
    <s v="REV101582"/>
    <x v="1"/>
  </r>
  <r>
    <d v="2023-04-19T00:00:00"/>
    <x v="3"/>
    <x v="5"/>
    <x v="2"/>
    <x v="1743"/>
    <x v="1744"/>
    <s v="Bank Transfer"/>
    <s v="REV101970"/>
    <x v="1"/>
  </r>
  <r>
    <d v="2023-04-19T00:00:00"/>
    <x v="3"/>
    <x v="6"/>
    <x v="1"/>
    <x v="1744"/>
    <x v="1745"/>
    <s v="Card"/>
    <s v="REV101971"/>
    <x v="1"/>
  </r>
  <r>
    <d v="2023-04-19T00:00:00"/>
    <x v="3"/>
    <x v="6"/>
    <x v="2"/>
    <x v="222"/>
    <x v="1500"/>
    <s v="Bank Transfer"/>
    <s v="REV102018"/>
    <x v="1"/>
  </r>
  <r>
    <d v="2023-04-19T00:00:00"/>
    <x v="3"/>
    <x v="5"/>
    <x v="3"/>
    <x v="1005"/>
    <x v="1672"/>
    <s v="Bank Transfer"/>
    <s v="REV102307"/>
    <x v="1"/>
  </r>
  <r>
    <d v="2023-04-19T00:00:00"/>
    <x v="3"/>
    <x v="6"/>
    <x v="4"/>
    <x v="1745"/>
    <x v="1746"/>
    <s v="Card"/>
    <s v="REV102342"/>
    <x v="1"/>
  </r>
  <r>
    <d v="2023-04-19T00:00:00"/>
    <x v="3"/>
    <x v="5"/>
    <x v="0"/>
    <x v="1746"/>
    <x v="1747"/>
    <s v="Bank Transfer"/>
    <s v="REV102398"/>
    <x v="1"/>
  </r>
  <r>
    <d v="2023-04-19T00:00:00"/>
    <x v="3"/>
    <x v="6"/>
    <x v="3"/>
    <x v="1747"/>
    <x v="1190"/>
    <s v="Card"/>
    <s v="REV102562"/>
    <x v="1"/>
  </r>
  <r>
    <d v="2023-04-19T00:00:00"/>
    <x v="3"/>
    <x v="5"/>
    <x v="0"/>
    <x v="220"/>
    <x v="379"/>
    <s v="Bank Transfer"/>
    <s v="REV102860"/>
    <x v="1"/>
  </r>
  <r>
    <d v="2023-04-19T00:00:00"/>
    <x v="3"/>
    <x v="5"/>
    <x v="1"/>
    <x v="1748"/>
    <x v="181"/>
    <s v="Bank Transfer"/>
    <s v="REV102995"/>
    <x v="1"/>
  </r>
  <r>
    <d v="2023-04-20T00:00:00"/>
    <x v="3"/>
    <x v="3"/>
    <x v="3"/>
    <x v="1749"/>
    <x v="1748"/>
    <s v="UPI"/>
    <s v="TXN102352"/>
    <x v="0"/>
  </r>
  <r>
    <d v="2023-04-20T00:00:00"/>
    <x v="3"/>
    <x v="0"/>
    <x v="0"/>
    <x v="1750"/>
    <x v="1749"/>
    <s v="UPI"/>
    <s v="TXN102660"/>
    <x v="0"/>
  </r>
  <r>
    <d v="2023-04-20T00:00:00"/>
    <x v="3"/>
    <x v="3"/>
    <x v="1"/>
    <x v="1751"/>
    <x v="1750"/>
    <s v="Card"/>
    <s v="TXN103153"/>
    <x v="0"/>
  </r>
  <r>
    <d v="2023-04-20T00:00:00"/>
    <x v="3"/>
    <x v="1"/>
    <x v="0"/>
    <x v="1752"/>
    <x v="1751"/>
    <s v="Bank Transfer"/>
    <s v="TXN104710"/>
    <x v="0"/>
  </r>
  <r>
    <d v="2023-04-20T00:00:00"/>
    <x v="3"/>
    <x v="2"/>
    <x v="1"/>
    <x v="1753"/>
    <x v="1752"/>
    <s v="UPI"/>
    <s v="TXN105024"/>
    <x v="0"/>
  </r>
  <r>
    <d v="2023-04-20T00:00:00"/>
    <x v="3"/>
    <x v="4"/>
    <x v="1"/>
    <x v="1754"/>
    <x v="1753"/>
    <s v="Bank Transfer"/>
    <s v="TXN105290"/>
    <x v="0"/>
  </r>
  <r>
    <d v="2023-04-20T00:00:00"/>
    <x v="3"/>
    <x v="2"/>
    <x v="3"/>
    <x v="1755"/>
    <x v="1754"/>
    <s v="Cash"/>
    <s v="TXN105988"/>
    <x v="0"/>
  </r>
  <r>
    <d v="2023-04-20T00:00:00"/>
    <x v="3"/>
    <x v="2"/>
    <x v="2"/>
    <x v="1756"/>
    <x v="1755"/>
    <s v="Card"/>
    <s v="TXN109427"/>
    <x v="0"/>
  </r>
  <r>
    <d v="2023-04-20T00:00:00"/>
    <x v="3"/>
    <x v="6"/>
    <x v="3"/>
    <x v="1757"/>
    <x v="1756"/>
    <s v="Card"/>
    <s v="REV100828"/>
    <x v="1"/>
  </r>
  <r>
    <d v="2023-04-20T00:00:00"/>
    <x v="3"/>
    <x v="6"/>
    <x v="0"/>
    <x v="758"/>
    <x v="742"/>
    <s v="Card"/>
    <s v="REV100933"/>
    <x v="1"/>
  </r>
  <r>
    <d v="2023-04-20T00:00:00"/>
    <x v="3"/>
    <x v="5"/>
    <x v="1"/>
    <x v="534"/>
    <x v="1757"/>
    <s v="Card"/>
    <s v="REV101088"/>
    <x v="1"/>
  </r>
  <r>
    <d v="2023-04-20T00:00:00"/>
    <x v="3"/>
    <x v="5"/>
    <x v="0"/>
    <x v="1758"/>
    <x v="1758"/>
    <s v="Bank Transfer"/>
    <s v="REV101610"/>
    <x v="1"/>
  </r>
  <r>
    <d v="2023-04-20T00:00:00"/>
    <x v="3"/>
    <x v="6"/>
    <x v="1"/>
    <x v="1759"/>
    <x v="1759"/>
    <s v="Bank Transfer"/>
    <s v="REV101712"/>
    <x v="1"/>
  </r>
  <r>
    <d v="2023-04-20T00:00:00"/>
    <x v="3"/>
    <x v="5"/>
    <x v="1"/>
    <x v="1760"/>
    <x v="1760"/>
    <s v="Bank Transfer"/>
    <s v="REV101791"/>
    <x v="1"/>
  </r>
  <r>
    <d v="2023-04-20T00:00:00"/>
    <x v="3"/>
    <x v="5"/>
    <x v="3"/>
    <x v="1761"/>
    <x v="1761"/>
    <s v="UPI"/>
    <s v="REV102021"/>
    <x v="1"/>
  </r>
  <r>
    <d v="2023-04-20T00:00:00"/>
    <x v="3"/>
    <x v="5"/>
    <x v="2"/>
    <x v="1762"/>
    <x v="1762"/>
    <s v="Card"/>
    <s v="REV103189"/>
    <x v="1"/>
  </r>
  <r>
    <d v="2023-04-21T00:00:00"/>
    <x v="3"/>
    <x v="7"/>
    <x v="3"/>
    <x v="1763"/>
    <x v="1763"/>
    <s v="Card"/>
    <s v="TXN100032"/>
    <x v="0"/>
  </r>
  <r>
    <d v="2023-04-21T00:00:00"/>
    <x v="3"/>
    <x v="2"/>
    <x v="0"/>
    <x v="1764"/>
    <x v="1764"/>
    <s v="UPI"/>
    <s v="TXN102143"/>
    <x v="0"/>
  </r>
  <r>
    <d v="2023-04-21T00:00:00"/>
    <x v="3"/>
    <x v="4"/>
    <x v="0"/>
    <x v="1765"/>
    <x v="1765"/>
    <s v="UPI"/>
    <s v="TXN104164"/>
    <x v="0"/>
  </r>
  <r>
    <d v="2023-04-21T00:00:00"/>
    <x v="3"/>
    <x v="0"/>
    <x v="0"/>
    <x v="1766"/>
    <x v="1766"/>
    <s v="Cash"/>
    <s v="TXN104269"/>
    <x v="0"/>
  </r>
  <r>
    <d v="2023-04-21T00:00:00"/>
    <x v="3"/>
    <x v="2"/>
    <x v="0"/>
    <x v="1767"/>
    <x v="1767"/>
    <s v="Bank Transfer"/>
    <s v="TXN104770"/>
    <x v="0"/>
  </r>
  <r>
    <d v="2023-04-21T00:00:00"/>
    <x v="3"/>
    <x v="1"/>
    <x v="1"/>
    <x v="1768"/>
    <x v="1768"/>
    <s v="Bank Transfer"/>
    <s v="TXN105327"/>
    <x v="0"/>
  </r>
  <r>
    <d v="2023-04-21T00:00:00"/>
    <x v="3"/>
    <x v="0"/>
    <x v="1"/>
    <x v="1769"/>
    <x v="1769"/>
    <s v="Bank Transfer"/>
    <s v="TXN107835"/>
    <x v="0"/>
  </r>
  <r>
    <d v="2023-04-21T00:00:00"/>
    <x v="3"/>
    <x v="2"/>
    <x v="0"/>
    <x v="1770"/>
    <x v="1770"/>
    <s v="Card"/>
    <s v="TXN107961"/>
    <x v="0"/>
  </r>
  <r>
    <d v="2023-04-21T00:00:00"/>
    <x v="3"/>
    <x v="3"/>
    <x v="1"/>
    <x v="1771"/>
    <x v="1771"/>
    <s v="Card"/>
    <s v="TXN108767"/>
    <x v="0"/>
  </r>
  <r>
    <d v="2023-04-21T00:00:00"/>
    <x v="3"/>
    <x v="2"/>
    <x v="0"/>
    <x v="1772"/>
    <x v="1772"/>
    <s v="UPI"/>
    <s v="TXN109284"/>
    <x v="0"/>
  </r>
  <r>
    <d v="2023-04-21T00:00:00"/>
    <x v="3"/>
    <x v="2"/>
    <x v="4"/>
    <x v="1773"/>
    <x v="1773"/>
    <s v="UPI"/>
    <s v="TXN109957"/>
    <x v="0"/>
  </r>
  <r>
    <d v="2023-04-21T00:00:00"/>
    <x v="3"/>
    <x v="6"/>
    <x v="3"/>
    <x v="1774"/>
    <x v="1774"/>
    <s v="Bank Transfer"/>
    <s v="REV100013"/>
    <x v="1"/>
  </r>
  <r>
    <d v="2023-04-21T00:00:00"/>
    <x v="3"/>
    <x v="5"/>
    <x v="0"/>
    <x v="408"/>
    <x v="1775"/>
    <s v="Bank Transfer"/>
    <s v="REV100763"/>
    <x v="1"/>
  </r>
  <r>
    <d v="2023-04-21T00:00:00"/>
    <x v="3"/>
    <x v="5"/>
    <x v="0"/>
    <x v="690"/>
    <x v="574"/>
    <s v="UPI"/>
    <s v="REV101444"/>
    <x v="1"/>
  </r>
  <r>
    <d v="2023-04-21T00:00:00"/>
    <x v="3"/>
    <x v="6"/>
    <x v="0"/>
    <x v="1775"/>
    <x v="1776"/>
    <s v="Bank Transfer"/>
    <s v="REV101484"/>
    <x v="1"/>
  </r>
  <r>
    <d v="2023-04-21T00:00:00"/>
    <x v="3"/>
    <x v="5"/>
    <x v="0"/>
    <x v="1776"/>
    <x v="1586"/>
    <s v="Card"/>
    <s v="REV101626"/>
    <x v="1"/>
  </r>
  <r>
    <d v="2023-04-21T00:00:00"/>
    <x v="3"/>
    <x v="5"/>
    <x v="1"/>
    <x v="1370"/>
    <x v="1777"/>
    <s v="Bank Transfer"/>
    <s v="REV101808"/>
    <x v="1"/>
  </r>
  <r>
    <d v="2023-04-21T00:00:00"/>
    <x v="3"/>
    <x v="5"/>
    <x v="1"/>
    <x v="1067"/>
    <x v="1778"/>
    <s v="Bank Transfer"/>
    <s v="REV102659"/>
    <x v="1"/>
  </r>
  <r>
    <d v="2023-04-21T00:00:00"/>
    <x v="3"/>
    <x v="6"/>
    <x v="0"/>
    <x v="1777"/>
    <x v="1779"/>
    <s v="UPI"/>
    <s v="REV102706"/>
    <x v="1"/>
  </r>
  <r>
    <d v="2023-04-21T00:00:00"/>
    <x v="3"/>
    <x v="6"/>
    <x v="1"/>
    <x v="1104"/>
    <x v="1780"/>
    <s v="Card"/>
    <s v="REV102976"/>
    <x v="1"/>
  </r>
  <r>
    <d v="2023-04-21T00:00:00"/>
    <x v="3"/>
    <x v="5"/>
    <x v="0"/>
    <x v="1778"/>
    <x v="1781"/>
    <s v="Card"/>
    <s v="REV103137"/>
    <x v="1"/>
  </r>
  <r>
    <d v="2023-04-21T00:00:00"/>
    <x v="3"/>
    <x v="5"/>
    <x v="4"/>
    <x v="987"/>
    <x v="1782"/>
    <s v="Bank Transfer"/>
    <s v="REV103364"/>
    <x v="1"/>
  </r>
  <r>
    <d v="2023-04-22T00:00:00"/>
    <x v="3"/>
    <x v="1"/>
    <x v="1"/>
    <x v="1779"/>
    <x v="1783"/>
    <s v="Bank Transfer"/>
    <s v="TXN101577"/>
    <x v="0"/>
  </r>
  <r>
    <d v="2023-04-22T00:00:00"/>
    <x v="3"/>
    <x v="2"/>
    <x v="0"/>
    <x v="1780"/>
    <x v="1784"/>
    <s v="Cash"/>
    <s v="TXN102187"/>
    <x v="0"/>
  </r>
  <r>
    <d v="2023-04-22T00:00:00"/>
    <x v="3"/>
    <x v="0"/>
    <x v="0"/>
    <x v="1781"/>
    <x v="1785"/>
    <s v="Cash"/>
    <s v="TXN102192"/>
    <x v="0"/>
  </r>
  <r>
    <d v="2023-04-22T00:00:00"/>
    <x v="3"/>
    <x v="7"/>
    <x v="4"/>
    <x v="1782"/>
    <x v="1786"/>
    <s v="Card"/>
    <s v="TXN103256"/>
    <x v="0"/>
  </r>
  <r>
    <d v="2023-04-22T00:00:00"/>
    <x v="3"/>
    <x v="1"/>
    <x v="4"/>
    <x v="1783"/>
    <x v="1787"/>
    <s v="Bank Transfer"/>
    <s v="TXN105999"/>
    <x v="0"/>
  </r>
  <r>
    <d v="2023-04-22T00:00:00"/>
    <x v="3"/>
    <x v="3"/>
    <x v="4"/>
    <x v="1784"/>
    <x v="1788"/>
    <s v="UPI"/>
    <s v="TXN106250"/>
    <x v="0"/>
  </r>
  <r>
    <d v="2023-04-22T00:00:00"/>
    <x v="3"/>
    <x v="4"/>
    <x v="3"/>
    <x v="1785"/>
    <x v="1789"/>
    <s v="Bank Transfer"/>
    <s v="TXN106443"/>
    <x v="0"/>
  </r>
  <r>
    <d v="2023-04-22T00:00:00"/>
    <x v="3"/>
    <x v="2"/>
    <x v="4"/>
    <x v="1786"/>
    <x v="1790"/>
    <s v="Card"/>
    <s v="TXN107255"/>
    <x v="0"/>
  </r>
  <r>
    <d v="2023-04-22T00:00:00"/>
    <x v="3"/>
    <x v="5"/>
    <x v="1"/>
    <x v="455"/>
    <x v="1791"/>
    <s v="Bank Transfer"/>
    <s v="REV100582"/>
    <x v="1"/>
  </r>
  <r>
    <d v="2023-04-22T00:00:00"/>
    <x v="3"/>
    <x v="6"/>
    <x v="0"/>
    <x v="1787"/>
    <x v="1320"/>
    <s v="UPI"/>
    <s v="REV100775"/>
    <x v="1"/>
  </r>
  <r>
    <d v="2023-04-22T00:00:00"/>
    <x v="3"/>
    <x v="6"/>
    <x v="0"/>
    <x v="1788"/>
    <x v="1114"/>
    <s v="Bank Transfer"/>
    <s v="REV100779"/>
    <x v="1"/>
  </r>
  <r>
    <d v="2023-04-22T00:00:00"/>
    <x v="3"/>
    <x v="5"/>
    <x v="4"/>
    <x v="991"/>
    <x v="271"/>
    <s v="Card"/>
    <s v="REV101118"/>
    <x v="1"/>
  </r>
  <r>
    <d v="2023-04-22T00:00:00"/>
    <x v="3"/>
    <x v="5"/>
    <x v="4"/>
    <x v="707"/>
    <x v="1792"/>
    <s v="Card"/>
    <s v="REV102027"/>
    <x v="1"/>
  </r>
  <r>
    <d v="2023-04-22T00:00:00"/>
    <x v="3"/>
    <x v="6"/>
    <x v="4"/>
    <x v="859"/>
    <x v="897"/>
    <s v="Card"/>
    <s v="REV102103"/>
    <x v="1"/>
  </r>
  <r>
    <d v="2023-04-22T00:00:00"/>
    <x v="3"/>
    <x v="6"/>
    <x v="3"/>
    <x v="1789"/>
    <x v="1793"/>
    <s v="Bank Transfer"/>
    <s v="REV102180"/>
    <x v="1"/>
  </r>
  <r>
    <d v="2023-04-22T00:00:00"/>
    <x v="3"/>
    <x v="6"/>
    <x v="4"/>
    <x v="1790"/>
    <x v="1794"/>
    <s v="Bank Transfer"/>
    <s v="REV102465"/>
    <x v="1"/>
  </r>
  <r>
    <d v="2023-04-23T00:00:00"/>
    <x v="3"/>
    <x v="3"/>
    <x v="2"/>
    <x v="1791"/>
    <x v="1795"/>
    <s v="Card"/>
    <s v="TXN100706"/>
    <x v="0"/>
  </r>
  <r>
    <d v="2023-04-23T00:00:00"/>
    <x v="3"/>
    <x v="4"/>
    <x v="0"/>
    <x v="1792"/>
    <x v="1796"/>
    <s v="UPI"/>
    <s v="TXN103505"/>
    <x v="0"/>
  </r>
  <r>
    <d v="2023-04-23T00:00:00"/>
    <x v="3"/>
    <x v="4"/>
    <x v="1"/>
    <x v="1793"/>
    <x v="1797"/>
    <s v="Card"/>
    <s v="TXN104898"/>
    <x v="0"/>
  </r>
  <r>
    <d v="2023-04-23T00:00:00"/>
    <x v="3"/>
    <x v="1"/>
    <x v="2"/>
    <x v="1794"/>
    <x v="1798"/>
    <s v="Bank Transfer"/>
    <s v="TXN105374"/>
    <x v="0"/>
  </r>
  <r>
    <d v="2023-04-23T00:00:00"/>
    <x v="3"/>
    <x v="7"/>
    <x v="3"/>
    <x v="1795"/>
    <x v="1799"/>
    <s v="Card"/>
    <s v="TXN106208"/>
    <x v="0"/>
  </r>
  <r>
    <d v="2023-04-23T00:00:00"/>
    <x v="3"/>
    <x v="0"/>
    <x v="4"/>
    <x v="1796"/>
    <x v="1800"/>
    <s v="Card"/>
    <s v="TXN106519"/>
    <x v="0"/>
  </r>
  <r>
    <d v="2023-04-23T00:00:00"/>
    <x v="3"/>
    <x v="2"/>
    <x v="2"/>
    <x v="1797"/>
    <x v="1801"/>
    <s v="Cash"/>
    <s v="TXN106732"/>
    <x v="0"/>
  </r>
  <r>
    <d v="2023-04-23T00:00:00"/>
    <x v="3"/>
    <x v="2"/>
    <x v="3"/>
    <x v="1798"/>
    <x v="1802"/>
    <s v="Cash"/>
    <s v="TXN107298"/>
    <x v="0"/>
  </r>
  <r>
    <d v="2023-04-23T00:00:00"/>
    <x v="3"/>
    <x v="5"/>
    <x v="2"/>
    <x v="1799"/>
    <x v="1803"/>
    <s v="Card"/>
    <s v="REV100263"/>
    <x v="1"/>
  </r>
  <r>
    <d v="2023-04-23T00:00:00"/>
    <x v="3"/>
    <x v="6"/>
    <x v="0"/>
    <x v="1800"/>
    <x v="237"/>
    <s v="Bank Transfer"/>
    <s v="REV101194"/>
    <x v="1"/>
  </r>
  <r>
    <d v="2023-04-23T00:00:00"/>
    <x v="3"/>
    <x v="6"/>
    <x v="1"/>
    <x v="1801"/>
    <x v="1804"/>
    <s v="UPI"/>
    <s v="REV101672"/>
    <x v="1"/>
  </r>
  <r>
    <d v="2023-04-23T00:00:00"/>
    <x v="3"/>
    <x v="6"/>
    <x v="2"/>
    <x v="1802"/>
    <x v="1805"/>
    <s v="Bank Transfer"/>
    <s v="REV101828"/>
    <x v="1"/>
  </r>
  <r>
    <d v="2023-04-23T00:00:00"/>
    <x v="3"/>
    <x v="5"/>
    <x v="3"/>
    <x v="1803"/>
    <x v="1806"/>
    <s v="UPI"/>
    <s v="REV102092"/>
    <x v="1"/>
  </r>
  <r>
    <d v="2023-04-23T00:00:00"/>
    <x v="3"/>
    <x v="6"/>
    <x v="4"/>
    <x v="62"/>
    <x v="1807"/>
    <s v="Bank Transfer"/>
    <s v="REV102210"/>
    <x v="1"/>
  </r>
  <r>
    <d v="2023-04-23T00:00:00"/>
    <x v="3"/>
    <x v="5"/>
    <x v="2"/>
    <x v="364"/>
    <x v="1808"/>
    <s v="Bank Transfer"/>
    <s v="REV102295"/>
    <x v="1"/>
  </r>
  <r>
    <d v="2023-04-23T00:00:00"/>
    <x v="3"/>
    <x v="5"/>
    <x v="3"/>
    <x v="1804"/>
    <x v="1809"/>
    <s v="Bank Transfer"/>
    <s v="REV102476"/>
    <x v="1"/>
  </r>
  <r>
    <d v="2023-04-24T00:00:00"/>
    <x v="3"/>
    <x v="4"/>
    <x v="0"/>
    <x v="1805"/>
    <x v="1810"/>
    <s v="UPI"/>
    <s v="TXN100820"/>
    <x v="0"/>
  </r>
  <r>
    <d v="2023-04-24T00:00:00"/>
    <x v="3"/>
    <x v="7"/>
    <x v="2"/>
    <x v="1806"/>
    <x v="1811"/>
    <s v="UPI"/>
    <s v="TXN101481"/>
    <x v="0"/>
  </r>
  <r>
    <d v="2023-04-24T00:00:00"/>
    <x v="3"/>
    <x v="0"/>
    <x v="4"/>
    <x v="1807"/>
    <x v="1812"/>
    <s v="Card"/>
    <s v="TXN103065"/>
    <x v="0"/>
  </r>
  <r>
    <d v="2023-04-24T00:00:00"/>
    <x v="3"/>
    <x v="3"/>
    <x v="2"/>
    <x v="1808"/>
    <x v="1813"/>
    <s v="Cash"/>
    <s v="TXN103535"/>
    <x v="0"/>
  </r>
  <r>
    <d v="2023-04-24T00:00:00"/>
    <x v="3"/>
    <x v="0"/>
    <x v="4"/>
    <x v="1809"/>
    <x v="1814"/>
    <s v="Bank Transfer"/>
    <s v="TXN104018"/>
    <x v="0"/>
  </r>
  <r>
    <d v="2023-04-24T00:00:00"/>
    <x v="3"/>
    <x v="2"/>
    <x v="0"/>
    <x v="1810"/>
    <x v="1815"/>
    <s v="Cash"/>
    <s v="TXN104191"/>
    <x v="0"/>
  </r>
  <r>
    <d v="2023-04-24T00:00:00"/>
    <x v="3"/>
    <x v="3"/>
    <x v="0"/>
    <x v="1811"/>
    <x v="1816"/>
    <s v="UPI"/>
    <s v="TXN104576"/>
    <x v="0"/>
  </r>
  <r>
    <d v="2023-04-24T00:00:00"/>
    <x v="3"/>
    <x v="2"/>
    <x v="3"/>
    <x v="1812"/>
    <x v="1817"/>
    <s v="Cash"/>
    <s v="TXN106578"/>
    <x v="0"/>
  </r>
  <r>
    <d v="2023-04-24T00:00:00"/>
    <x v="3"/>
    <x v="7"/>
    <x v="2"/>
    <x v="1813"/>
    <x v="1818"/>
    <s v="Card"/>
    <s v="TXN106821"/>
    <x v="0"/>
  </r>
  <r>
    <d v="2023-04-24T00:00:00"/>
    <x v="3"/>
    <x v="1"/>
    <x v="1"/>
    <x v="1814"/>
    <x v="1819"/>
    <s v="Cash"/>
    <s v="TXN107743"/>
    <x v="0"/>
  </r>
  <r>
    <d v="2023-04-24T00:00:00"/>
    <x v="3"/>
    <x v="1"/>
    <x v="1"/>
    <x v="1815"/>
    <x v="1820"/>
    <s v="Bank Transfer"/>
    <s v="TXN109050"/>
    <x v="0"/>
  </r>
  <r>
    <d v="2023-04-24T00:00:00"/>
    <x v="3"/>
    <x v="0"/>
    <x v="3"/>
    <x v="1816"/>
    <x v="1821"/>
    <s v="Cash"/>
    <s v="TXN109558"/>
    <x v="0"/>
  </r>
  <r>
    <d v="2023-04-24T00:00:00"/>
    <x v="3"/>
    <x v="6"/>
    <x v="0"/>
    <x v="1817"/>
    <x v="1640"/>
    <s v="UPI"/>
    <s v="REV100300"/>
    <x v="1"/>
  </r>
  <r>
    <d v="2023-04-24T00:00:00"/>
    <x v="3"/>
    <x v="6"/>
    <x v="2"/>
    <x v="1818"/>
    <x v="1822"/>
    <s v="Bank Transfer"/>
    <s v="REV100542"/>
    <x v="1"/>
  </r>
  <r>
    <d v="2023-04-24T00:00:00"/>
    <x v="3"/>
    <x v="5"/>
    <x v="4"/>
    <x v="1426"/>
    <x v="1823"/>
    <s v="Bank Transfer"/>
    <s v="REV101057"/>
    <x v="1"/>
  </r>
  <r>
    <d v="2023-04-24T00:00:00"/>
    <x v="3"/>
    <x v="5"/>
    <x v="2"/>
    <x v="1819"/>
    <x v="1824"/>
    <s v="Bank Transfer"/>
    <s v="REV101207"/>
    <x v="1"/>
  </r>
  <r>
    <d v="2023-04-24T00:00:00"/>
    <x v="3"/>
    <x v="6"/>
    <x v="4"/>
    <x v="1101"/>
    <x v="415"/>
    <s v="Card"/>
    <s v="REV101391"/>
    <x v="1"/>
  </r>
  <r>
    <d v="2023-04-24T00:00:00"/>
    <x v="3"/>
    <x v="5"/>
    <x v="0"/>
    <x v="1820"/>
    <x v="1825"/>
    <s v="Bank Transfer"/>
    <s v="REV101454"/>
    <x v="1"/>
  </r>
  <r>
    <d v="2023-04-24T00:00:00"/>
    <x v="3"/>
    <x v="5"/>
    <x v="0"/>
    <x v="1821"/>
    <x v="403"/>
    <s v="Card"/>
    <s v="REV101566"/>
    <x v="1"/>
  </r>
  <r>
    <d v="2023-04-24T00:00:00"/>
    <x v="3"/>
    <x v="6"/>
    <x v="3"/>
    <x v="1822"/>
    <x v="1826"/>
    <s v="Bank Transfer"/>
    <s v="REV102235"/>
    <x v="1"/>
  </r>
  <r>
    <d v="2023-04-24T00:00:00"/>
    <x v="3"/>
    <x v="6"/>
    <x v="2"/>
    <x v="1082"/>
    <x v="1827"/>
    <s v="Card"/>
    <s v="REV102319"/>
    <x v="1"/>
  </r>
  <r>
    <d v="2023-04-24T00:00:00"/>
    <x v="3"/>
    <x v="5"/>
    <x v="1"/>
    <x v="1823"/>
    <x v="1139"/>
    <s v="Card"/>
    <s v="REV102634"/>
    <x v="1"/>
  </r>
  <r>
    <d v="2023-04-24T00:00:00"/>
    <x v="3"/>
    <x v="6"/>
    <x v="1"/>
    <x v="1824"/>
    <x v="1828"/>
    <s v="UPI"/>
    <s v="REV103063"/>
    <x v="1"/>
  </r>
  <r>
    <d v="2023-04-24T00:00:00"/>
    <x v="3"/>
    <x v="5"/>
    <x v="3"/>
    <x v="1018"/>
    <x v="1829"/>
    <s v="Card"/>
    <s v="REV103229"/>
    <x v="1"/>
  </r>
  <r>
    <d v="2023-04-25T00:00:00"/>
    <x v="3"/>
    <x v="1"/>
    <x v="1"/>
    <x v="1825"/>
    <x v="1830"/>
    <s v="Card"/>
    <s v="TXN100745"/>
    <x v="0"/>
  </r>
  <r>
    <d v="2023-04-25T00:00:00"/>
    <x v="3"/>
    <x v="0"/>
    <x v="2"/>
    <x v="1826"/>
    <x v="1831"/>
    <s v="Card"/>
    <s v="TXN101912"/>
    <x v="0"/>
  </r>
  <r>
    <d v="2023-04-25T00:00:00"/>
    <x v="3"/>
    <x v="7"/>
    <x v="3"/>
    <x v="1827"/>
    <x v="1832"/>
    <s v="Bank Transfer"/>
    <s v="TXN102341"/>
    <x v="0"/>
  </r>
  <r>
    <d v="2023-04-25T00:00:00"/>
    <x v="3"/>
    <x v="4"/>
    <x v="1"/>
    <x v="1828"/>
    <x v="1833"/>
    <s v="Bank Transfer"/>
    <s v="TXN103787"/>
    <x v="0"/>
  </r>
  <r>
    <d v="2023-04-25T00:00:00"/>
    <x v="3"/>
    <x v="7"/>
    <x v="0"/>
    <x v="1829"/>
    <x v="1834"/>
    <s v="Bank Transfer"/>
    <s v="TXN103809"/>
    <x v="0"/>
  </r>
  <r>
    <d v="2023-04-25T00:00:00"/>
    <x v="3"/>
    <x v="2"/>
    <x v="4"/>
    <x v="1830"/>
    <x v="1835"/>
    <s v="UPI"/>
    <s v="TXN104334"/>
    <x v="0"/>
  </r>
  <r>
    <d v="2023-04-25T00:00:00"/>
    <x v="3"/>
    <x v="4"/>
    <x v="2"/>
    <x v="1831"/>
    <x v="1836"/>
    <s v="Card"/>
    <s v="TXN105445"/>
    <x v="0"/>
  </r>
  <r>
    <d v="2023-04-25T00:00:00"/>
    <x v="3"/>
    <x v="2"/>
    <x v="4"/>
    <x v="1832"/>
    <x v="1837"/>
    <s v="Card"/>
    <s v="TXN106026"/>
    <x v="0"/>
  </r>
  <r>
    <d v="2023-04-25T00:00:00"/>
    <x v="3"/>
    <x v="7"/>
    <x v="4"/>
    <x v="1833"/>
    <x v="1838"/>
    <s v="Bank Transfer"/>
    <s v="TXN106728"/>
    <x v="0"/>
  </r>
  <r>
    <d v="2023-04-25T00:00:00"/>
    <x v="3"/>
    <x v="2"/>
    <x v="2"/>
    <x v="1834"/>
    <x v="1839"/>
    <s v="Card"/>
    <s v="TXN108265"/>
    <x v="0"/>
  </r>
  <r>
    <d v="2023-04-25T00:00:00"/>
    <x v="3"/>
    <x v="0"/>
    <x v="2"/>
    <x v="1835"/>
    <x v="1840"/>
    <s v="UPI"/>
    <s v="TXN108312"/>
    <x v="0"/>
  </r>
  <r>
    <d v="2023-04-25T00:00:00"/>
    <x v="3"/>
    <x v="6"/>
    <x v="1"/>
    <x v="183"/>
    <x v="1743"/>
    <s v="Bank Transfer"/>
    <s v="REV100274"/>
    <x v="1"/>
  </r>
  <r>
    <d v="2023-04-25T00:00:00"/>
    <x v="3"/>
    <x v="6"/>
    <x v="2"/>
    <x v="1836"/>
    <x v="849"/>
    <s v="Bank Transfer"/>
    <s v="REV100688"/>
    <x v="1"/>
  </r>
  <r>
    <d v="2023-04-25T00:00:00"/>
    <x v="3"/>
    <x v="5"/>
    <x v="3"/>
    <x v="1837"/>
    <x v="1841"/>
    <s v="Bank Transfer"/>
    <s v="REV100826"/>
    <x v="1"/>
  </r>
  <r>
    <d v="2023-04-25T00:00:00"/>
    <x v="3"/>
    <x v="5"/>
    <x v="1"/>
    <x v="1221"/>
    <x v="1842"/>
    <s v="Card"/>
    <s v="REV101306"/>
    <x v="1"/>
  </r>
  <r>
    <d v="2023-04-25T00:00:00"/>
    <x v="3"/>
    <x v="5"/>
    <x v="0"/>
    <x v="1324"/>
    <x v="1822"/>
    <s v="Card"/>
    <s v="REV101316"/>
    <x v="1"/>
  </r>
  <r>
    <d v="2023-04-25T00:00:00"/>
    <x v="3"/>
    <x v="6"/>
    <x v="4"/>
    <x v="226"/>
    <x v="925"/>
    <s v="Bank Transfer"/>
    <s v="REV101501"/>
    <x v="1"/>
  </r>
  <r>
    <d v="2023-04-25T00:00:00"/>
    <x v="3"/>
    <x v="6"/>
    <x v="2"/>
    <x v="1418"/>
    <x v="1843"/>
    <s v="Card"/>
    <s v="REV101855"/>
    <x v="1"/>
  </r>
  <r>
    <d v="2023-04-25T00:00:00"/>
    <x v="3"/>
    <x v="5"/>
    <x v="4"/>
    <x v="967"/>
    <x v="795"/>
    <s v="Bank Transfer"/>
    <s v="REV102037"/>
    <x v="1"/>
  </r>
  <r>
    <d v="2023-04-25T00:00:00"/>
    <x v="3"/>
    <x v="5"/>
    <x v="4"/>
    <x v="1838"/>
    <x v="894"/>
    <s v="Card"/>
    <s v="REV102293"/>
    <x v="1"/>
  </r>
  <r>
    <d v="2023-04-25T00:00:00"/>
    <x v="3"/>
    <x v="5"/>
    <x v="2"/>
    <x v="1609"/>
    <x v="1843"/>
    <s v="Card"/>
    <s v="REV102808"/>
    <x v="1"/>
  </r>
  <r>
    <d v="2023-04-25T00:00:00"/>
    <x v="3"/>
    <x v="6"/>
    <x v="2"/>
    <x v="1839"/>
    <x v="495"/>
    <s v="Bank Transfer"/>
    <s v="REV102824"/>
    <x v="1"/>
  </r>
  <r>
    <d v="2023-04-26T00:00:00"/>
    <x v="3"/>
    <x v="1"/>
    <x v="0"/>
    <x v="1840"/>
    <x v="1844"/>
    <s v="Cash"/>
    <s v="TXN101803"/>
    <x v="0"/>
  </r>
  <r>
    <d v="2023-04-26T00:00:00"/>
    <x v="3"/>
    <x v="2"/>
    <x v="4"/>
    <x v="1841"/>
    <x v="1845"/>
    <s v="Cash"/>
    <s v="TXN101964"/>
    <x v="0"/>
  </r>
  <r>
    <d v="2023-04-26T00:00:00"/>
    <x v="3"/>
    <x v="2"/>
    <x v="0"/>
    <x v="1842"/>
    <x v="1846"/>
    <s v="Cash"/>
    <s v="TXN103168"/>
    <x v="0"/>
  </r>
  <r>
    <d v="2023-04-26T00:00:00"/>
    <x v="3"/>
    <x v="0"/>
    <x v="1"/>
    <x v="1843"/>
    <x v="1847"/>
    <s v="Bank Transfer"/>
    <s v="TXN104365"/>
    <x v="0"/>
  </r>
  <r>
    <d v="2023-04-26T00:00:00"/>
    <x v="3"/>
    <x v="0"/>
    <x v="3"/>
    <x v="1844"/>
    <x v="1848"/>
    <s v="Card"/>
    <s v="TXN105792"/>
    <x v="0"/>
  </r>
  <r>
    <d v="2023-04-26T00:00:00"/>
    <x v="3"/>
    <x v="0"/>
    <x v="3"/>
    <x v="1845"/>
    <x v="1849"/>
    <s v="Card"/>
    <s v="TXN106539"/>
    <x v="0"/>
  </r>
  <r>
    <d v="2023-04-26T00:00:00"/>
    <x v="3"/>
    <x v="2"/>
    <x v="1"/>
    <x v="1846"/>
    <x v="1850"/>
    <s v="UPI"/>
    <s v="TXN107966"/>
    <x v="0"/>
  </r>
  <r>
    <d v="2023-04-26T00:00:00"/>
    <x v="3"/>
    <x v="4"/>
    <x v="4"/>
    <x v="1847"/>
    <x v="1851"/>
    <s v="Cash"/>
    <s v="TXN109462"/>
    <x v="0"/>
  </r>
  <r>
    <d v="2023-04-26T00:00:00"/>
    <x v="3"/>
    <x v="0"/>
    <x v="0"/>
    <x v="1848"/>
    <x v="1852"/>
    <s v="Card"/>
    <s v="TXN109867"/>
    <x v="0"/>
  </r>
  <r>
    <d v="2023-04-26T00:00:00"/>
    <x v="3"/>
    <x v="5"/>
    <x v="0"/>
    <x v="1849"/>
    <x v="1853"/>
    <s v="Card"/>
    <s v="REV100658"/>
    <x v="1"/>
  </r>
  <r>
    <d v="2023-04-26T00:00:00"/>
    <x v="3"/>
    <x v="6"/>
    <x v="4"/>
    <x v="1850"/>
    <x v="1854"/>
    <s v="Bank Transfer"/>
    <s v="REV100703"/>
    <x v="1"/>
  </r>
  <r>
    <d v="2023-04-26T00:00:00"/>
    <x v="3"/>
    <x v="5"/>
    <x v="0"/>
    <x v="1851"/>
    <x v="937"/>
    <s v="Card"/>
    <s v="REV101092"/>
    <x v="1"/>
  </r>
  <r>
    <d v="2023-04-26T00:00:00"/>
    <x v="3"/>
    <x v="6"/>
    <x v="1"/>
    <x v="1396"/>
    <x v="1855"/>
    <s v="Bank Transfer"/>
    <s v="REV101509"/>
    <x v="1"/>
  </r>
  <r>
    <d v="2023-04-26T00:00:00"/>
    <x v="3"/>
    <x v="5"/>
    <x v="3"/>
    <x v="1852"/>
    <x v="1856"/>
    <s v="Card"/>
    <s v="REV101963"/>
    <x v="1"/>
  </r>
  <r>
    <d v="2023-04-26T00:00:00"/>
    <x v="3"/>
    <x v="5"/>
    <x v="3"/>
    <x v="1853"/>
    <x v="1857"/>
    <s v="Card"/>
    <s v="REV102220"/>
    <x v="1"/>
  </r>
  <r>
    <d v="2023-04-26T00:00:00"/>
    <x v="3"/>
    <x v="5"/>
    <x v="1"/>
    <x v="725"/>
    <x v="798"/>
    <s v="Bank Transfer"/>
    <s v="REV102707"/>
    <x v="1"/>
  </r>
  <r>
    <d v="2023-04-26T00:00:00"/>
    <x v="3"/>
    <x v="5"/>
    <x v="4"/>
    <x v="1854"/>
    <x v="1858"/>
    <s v="Bank Transfer"/>
    <s v="REV103197"/>
    <x v="1"/>
  </r>
  <r>
    <d v="2023-04-26T00:00:00"/>
    <x v="3"/>
    <x v="5"/>
    <x v="0"/>
    <x v="1855"/>
    <x v="1859"/>
    <s v="Bank Transfer"/>
    <s v="REV103339"/>
    <x v="1"/>
  </r>
  <r>
    <d v="2023-04-27T00:00:00"/>
    <x v="3"/>
    <x v="7"/>
    <x v="2"/>
    <x v="1856"/>
    <x v="1860"/>
    <s v="Cash"/>
    <s v="TXN100728"/>
    <x v="0"/>
  </r>
  <r>
    <d v="2023-04-27T00:00:00"/>
    <x v="3"/>
    <x v="1"/>
    <x v="3"/>
    <x v="1857"/>
    <x v="1861"/>
    <s v="Cash"/>
    <s v="TXN102532"/>
    <x v="0"/>
  </r>
  <r>
    <d v="2023-04-27T00:00:00"/>
    <x v="3"/>
    <x v="1"/>
    <x v="1"/>
    <x v="1858"/>
    <x v="1862"/>
    <s v="UPI"/>
    <s v="TXN102740"/>
    <x v="0"/>
  </r>
  <r>
    <d v="2023-04-27T00:00:00"/>
    <x v="3"/>
    <x v="1"/>
    <x v="3"/>
    <x v="1859"/>
    <x v="1863"/>
    <s v="UPI"/>
    <s v="TXN104402"/>
    <x v="0"/>
  </r>
  <r>
    <d v="2023-04-27T00:00:00"/>
    <x v="3"/>
    <x v="0"/>
    <x v="4"/>
    <x v="1860"/>
    <x v="1864"/>
    <s v="UPI"/>
    <s v="TXN108558"/>
    <x v="0"/>
  </r>
  <r>
    <d v="2023-04-27T00:00:00"/>
    <x v="3"/>
    <x v="0"/>
    <x v="3"/>
    <x v="1861"/>
    <x v="1865"/>
    <s v="Bank Transfer"/>
    <s v="TXN109887"/>
    <x v="0"/>
  </r>
  <r>
    <d v="2023-04-27T00:00:00"/>
    <x v="3"/>
    <x v="5"/>
    <x v="2"/>
    <x v="1862"/>
    <x v="1866"/>
    <s v="UPI"/>
    <s v="REV100271"/>
    <x v="1"/>
  </r>
  <r>
    <d v="2023-04-27T00:00:00"/>
    <x v="3"/>
    <x v="5"/>
    <x v="3"/>
    <x v="1863"/>
    <x v="1867"/>
    <s v="Card"/>
    <s v="REV100885"/>
    <x v="1"/>
  </r>
  <r>
    <d v="2023-04-27T00:00:00"/>
    <x v="3"/>
    <x v="5"/>
    <x v="1"/>
    <x v="377"/>
    <x v="603"/>
    <s v="Bank Transfer"/>
    <s v="REV100958"/>
    <x v="1"/>
  </r>
  <r>
    <d v="2023-04-27T00:00:00"/>
    <x v="3"/>
    <x v="5"/>
    <x v="3"/>
    <x v="1864"/>
    <x v="1868"/>
    <s v="Bank Transfer"/>
    <s v="REV101518"/>
    <x v="1"/>
  </r>
  <r>
    <d v="2023-04-27T00:00:00"/>
    <x v="3"/>
    <x v="6"/>
    <x v="4"/>
    <x v="1865"/>
    <x v="1855"/>
    <s v="Bank Transfer"/>
    <s v="REV102903"/>
    <x v="1"/>
  </r>
  <r>
    <d v="2023-04-27T00:00:00"/>
    <x v="3"/>
    <x v="6"/>
    <x v="3"/>
    <x v="1866"/>
    <x v="1303"/>
    <s v="Card"/>
    <s v="REV103345"/>
    <x v="1"/>
  </r>
  <r>
    <d v="2023-04-28T00:00:00"/>
    <x v="3"/>
    <x v="4"/>
    <x v="4"/>
    <x v="1867"/>
    <x v="1869"/>
    <s v="Card"/>
    <s v="TXN100617"/>
    <x v="0"/>
  </r>
  <r>
    <d v="2023-04-28T00:00:00"/>
    <x v="3"/>
    <x v="2"/>
    <x v="4"/>
    <x v="1868"/>
    <x v="1870"/>
    <s v="Cash"/>
    <s v="TXN102251"/>
    <x v="0"/>
  </r>
  <r>
    <d v="2023-04-28T00:00:00"/>
    <x v="3"/>
    <x v="7"/>
    <x v="0"/>
    <x v="1869"/>
    <x v="1871"/>
    <s v="UPI"/>
    <s v="TXN102951"/>
    <x v="0"/>
  </r>
  <r>
    <d v="2023-04-28T00:00:00"/>
    <x v="3"/>
    <x v="0"/>
    <x v="4"/>
    <x v="1870"/>
    <x v="1872"/>
    <s v="Card"/>
    <s v="TXN103363"/>
    <x v="0"/>
  </r>
  <r>
    <d v="2023-04-28T00:00:00"/>
    <x v="3"/>
    <x v="0"/>
    <x v="4"/>
    <x v="1871"/>
    <x v="1873"/>
    <s v="Card"/>
    <s v="TXN104373"/>
    <x v="0"/>
  </r>
  <r>
    <d v="2023-04-28T00:00:00"/>
    <x v="3"/>
    <x v="2"/>
    <x v="3"/>
    <x v="1872"/>
    <x v="1874"/>
    <s v="UPI"/>
    <s v="TXN104952"/>
    <x v="0"/>
  </r>
  <r>
    <d v="2023-04-28T00:00:00"/>
    <x v="3"/>
    <x v="3"/>
    <x v="0"/>
    <x v="1873"/>
    <x v="1875"/>
    <s v="Card"/>
    <s v="TXN105061"/>
    <x v="0"/>
  </r>
  <r>
    <d v="2023-04-28T00:00:00"/>
    <x v="3"/>
    <x v="0"/>
    <x v="4"/>
    <x v="1874"/>
    <x v="1876"/>
    <s v="Cash"/>
    <s v="TXN105106"/>
    <x v="0"/>
  </r>
  <r>
    <d v="2023-04-28T00:00:00"/>
    <x v="3"/>
    <x v="2"/>
    <x v="1"/>
    <x v="1875"/>
    <x v="1877"/>
    <s v="Bank Transfer"/>
    <s v="TXN105513"/>
    <x v="0"/>
  </r>
  <r>
    <d v="2023-04-28T00:00:00"/>
    <x v="3"/>
    <x v="2"/>
    <x v="1"/>
    <x v="1876"/>
    <x v="1878"/>
    <s v="Cash"/>
    <s v="TXN105975"/>
    <x v="0"/>
  </r>
  <r>
    <d v="2023-04-28T00:00:00"/>
    <x v="3"/>
    <x v="2"/>
    <x v="0"/>
    <x v="1877"/>
    <x v="1879"/>
    <s v="Bank Transfer"/>
    <s v="TXN107752"/>
    <x v="0"/>
  </r>
  <r>
    <d v="2023-04-28T00:00:00"/>
    <x v="3"/>
    <x v="3"/>
    <x v="0"/>
    <x v="1878"/>
    <x v="1880"/>
    <s v="UPI"/>
    <s v="TXN108986"/>
    <x v="0"/>
  </r>
  <r>
    <d v="2023-04-28T00:00:00"/>
    <x v="3"/>
    <x v="7"/>
    <x v="1"/>
    <x v="1879"/>
    <x v="1881"/>
    <s v="Bank Transfer"/>
    <s v="TXN109389"/>
    <x v="0"/>
  </r>
  <r>
    <d v="2023-04-28T00:00:00"/>
    <x v="3"/>
    <x v="5"/>
    <x v="4"/>
    <x v="1880"/>
    <x v="1882"/>
    <s v="Card"/>
    <s v="REV100239"/>
    <x v="1"/>
  </r>
  <r>
    <d v="2023-04-28T00:00:00"/>
    <x v="3"/>
    <x v="5"/>
    <x v="4"/>
    <x v="129"/>
    <x v="1883"/>
    <s v="Bank Transfer"/>
    <s v="REV100795"/>
    <x v="1"/>
  </r>
  <r>
    <d v="2023-04-28T00:00:00"/>
    <x v="3"/>
    <x v="6"/>
    <x v="0"/>
    <x v="1337"/>
    <x v="808"/>
    <s v="Card"/>
    <s v="REV101026"/>
    <x v="1"/>
  </r>
  <r>
    <d v="2023-04-28T00:00:00"/>
    <x v="3"/>
    <x v="5"/>
    <x v="4"/>
    <x v="1881"/>
    <x v="980"/>
    <s v="Bank Transfer"/>
    <s v="REV101155"/>
    <x v="1"/>
  </r>
  <r>
    <d v="2023-04-28T00:00:00"/>
    <x v="3"/>
    <x v="5"/>
    <x v="4"/>
    <x v="1882"/>
    <x v="1319"/>
    <s v="Bank Transfer"/>
    <s v="REV101511"/>
    <x v="1"/>
  </r>
  <r>
    <d v="2023-04-28T00:00:00"/>
    <x v="3"/>
    <x v="6"/>
    <x v="3"/>
    <x v="678"/>
    <x v="1884"/>
    <s v="Bank Transfer"/>
    <s v="REV101690"/>
    <x v="1"/>
  </r>
  <r>
    <d v="2023-04-28T00:00:00"/>
    <x v="3"/>
    <x v="5"/>
    <x v="0"/>
    <x v="1883"/>
    <x v="1885"/>
    <s v="Card"/>
    <s v="REV101724"/>
    <x v="1"/>
  </r>
  <r>
    <d v="2023-04-28T00:00:00"/>
    <x v="3"/>
    <x v="6"/>
    <x v="4"/>
    <x v="1884"/>
    <x v="1886"/>
    <s v="Bank Transfer"/>
    <s v="REV101739"/>
    <x v="1"/>
  </r>
  <r>
    <d v="2023-04-28T00:00:00"/>
    <x v="3"/>
    <x v="6"/>
    <x v="1"/>
    <x v="941"/>
    <x v="496"/>
    <s v="Bank Transfer"/>
    <s v="REV101874"/>
    <x v="1"/>
  </r>
  <r>
    <d v="2023-04-28T00:00:00"/>
    <x v="3"/>
    <x v="5"/>
    <x v="1"/>
    <x v="1275"/>
    <x v="153"/>
    <s v="Bank Transfer"/>
    <s v="REV102019"/>
    <x v="1"/>
  </r>
  <r>
    <d v="2023-04-28T00:00:00"/>
    <x v="3"/>
    <x v="6"/>
    <x v="0"/>
    <x v="1885"/>
    <x v="795"/>
    <s v="Bank Transfer"/>
    <s v="REV102638"/>
    <x v="1"/>
  </r>
  <r>
    <d v="2023-04-28T00:00:00"/>
    <x v="3"/>
    <x v="6"/>
    <x v="0"/>
    <x v="1886"/>
    <x v="1237"/>
    <s v="Card"/>
    <s v="REV103041"/>
    <x v="1"/>
  </r>
  <r>
    <d v="2023-04-28T00:00:00"/>
    <x v="3"/>
    <x v="6"/>
    <x v="1"/>
    <x v="1705"/>
    <x v="1887"/>
    <s v="Bank Transfer"/>
    <s v="REV103173"/>
    <x v="1"/>
  </r>
  <r>
    <d v="2023-04-29T00:00:00"/>
    <x v="3"/>
    <x v="1"/>
    <x v="0"/>
    <x v="1887"/>
    <x v="1888"/>
    <s v="Cash"/>
    <s v="TXN100384"/>
    <x v="0"/>
  </r>
  <r>
    <d v="2023-04-29T00:00:00"/>
    <x v="3"/>
    <x v="0"/>
    <x v="2"/>
    <x v="1888"/>
    <x v="1889"/>
    <s v="Card"/>
    <s v="TXN100894"/>
    <x v="0"/>
  </r>
  <r>
    <d v="2023-04-29T00:00:00"/>
    <x v="3"/>
    <x v="2"/>
    <x v="2"/>
    <x v="1889"/>
    <x v="1890"/>
    <s v="Cash"/>
    <s v="TXN101296"/>
    <x v="0"/>
  </r>
  <r>
    <d v="2023-04-29T00:00:00"/>
    <x v="3"/>
    <x v="4"/>
    <x v="0"/>
    <x v="1890"/>
    <x v="1891"/>
    <s v="Card"/>
    <s v="TXN103781"/>
    <x v="0"/>
  </r>
  <r>
    <d v="2023-04-29T00:00:00"/>
    <x v="3"/>
    <x v="7"/>
    <x v="0"/>
    <x v="1891"/>
    <x v="1892"/>
    <s v="Bank Transfer"/>
    <s v="TXN103803"/>
    <x v="0"/>
  </r>
  <r>
    <d v="2023-04-29T00:00:00"/>
    <x v="3"/>
    <x v="0"/>
    <x v="4"/>
    <x v="1892"/>
    <x v="1893"/>
    <s v="Bank Transfer"/>
    <s v="TXN103868"/>
    <x v="0"/>
  </r>
  <r>
    <d v="2023-04-29T00:00:00"/>
    <x v="3"/>
    <x v="1"/>
    <x v="2"/>
    <x v="1893"/>
    <x v="1894"/>
    <s v="Bank Transfer"/>
    <s v="TXN104048"/>
    <x v="0"/>
  </r>
  <r>
    <d v="2023-04-29T00:00:00"/>
    <x v="3"/>
    <x v="0"/>
    <x v="2"/>
    <x v="1894"/>
    <x v="1895"/>
    <s v="Bank Transfer"/>
    <s v="TXN104147"/>
    <x v="0"/>
  </r>
  <r>
    <d v="2023-04-29T00:00:00"/>
    <x v="3"/>
    <x v="3"/>
    <x v="3"/>
    <x v="1895"/>
    <x v="1896"/>
    <s v="Card"/>
    <s v="TXN105652"/>
    <x v="0"/>
  </r>
  <r>
    <d v="2023-04-29T00:00:00"/>
    <x v="3"/>
    <x v="1"/>
    <x v="2"/>
    <x v="1896"/>
    <x v="1897"/>
    <s v="Bank Transfer"/>
    <s v="TXN106548"/>
    <x v="0"/>
  </r>
  <r>
    <d v="2023-04-29T00:00:00"/>
    <x v="3"/>
    <x v="3"/>
    <x v="0"/>
    <x v="1897"/>
    <x v="1898"/>
    <s v="Cash"/>
    <s v="TXN106971"/>
    <x v="0"/>
  </r>
  <r>
    <d v="2023-04-29T00:00:00"/>
    <x v="3"/>
    <x v="3"/>
    <x v="4"/>
    <x v="1898"/>
    <x v="1899"/>
    <s v="Cash"/>
    <s v="TXN107087"/>
    <x v="0"/>
  </r>
  <r>
    <d v="2023-04-29T00:00:00"/>
    <x v="3"/>
    <x v="0"/>
    <x v="4"/>
    <x v="1899"/>
    <x v="1900"/>
    <s v="Bank Transfer"/>
    <s v="TXN107102"/>
    <x v="0"/>
  </r>
  <r>
    <d v="2023-04-29T00:00:00"/>
    <x v="3"/>
    <x v="7"/>
    <x v="0"/>
    <x v="1900"/>
    <x v="1901"/>
    <s v="Bank Transfer"/>
    <s v="TXN107711"/>
    <x v="0"/>
  </r>
  <r>
    <d v="2023-04-29T00:00:00"/>
    <x v="3"/>
    <x v="1"/>
    <x v="2"/>
    <x v="1901"/>
    <x v="501"/>
    <s v="Cash"/>
    <s v="TXN107836"/>
    <x v="0"/>
  </r>
  <r>
    <d v="2023-04-29T00:00:00"/>
    <x v="3"/>
    <x v="4"/>
    <x v="1"/>
    <x v="1902"/>
    <x v="1902"/>
    <s v="Cash"/>
    <s v="TXN108873"/>
    <x v="0"/>
  </r>
  <r>
    <d v="2023-04-29T00:00:00"/>
    <x v="3"/>
    <x v="1"/>
    <x v="1"/>
    <x v="1903"/>
    <x v="1903"/>
    <s v="Card"/>
    <s v="TXN109267"/>
    <x v="0"/>
  </r>
  <r>
    <d v="2023-04-29T00:00:00"/>
    <x v="3"/>
    <x v="5"/>
    <x v="0"/>
    <x v="705"/>
    <x v="1827"/>
    <s v="Bank Transfer"/>
    <s v="REV100144"/>
    <x v="1"/>
  </r>
  <r>
    <d v="2023-04-29T00:00:00"/>
    <x v="3"/>
    <x v="6"/>
    <x v="2"/>
    <x v="1219"/>
    <x v="241"/>
    <s v="Bank Transfer"/>
    <s v="REV100330"/>
    <x v="1"/>
  </r>
  <r>
    <d v="2023-04-29T00:00:00"/>
    <x v="3"/>
    <x v="5"/>
    <x v="2"/>
    <x v="1904"/>
    <x v="1027"/>
    <s v="Bank Transfer"/>
    <s v="REV100476"/>
    <x v="1"/>
  </r>
  <r>
    <d v="2023-04-29T00:00:00"/>
    <x v="3"/>
    <x v="5"/>
    <x v="0"/>
    <x v="1905"/>
    <x v="1226"/>
    <s v="Bank Transfer"/>
    <s v="REV101303"/>
    <x v="1"/>
  </r>
  <r>
    <d v="2023-04-29T00:00:00"/>
    <x v="3"/>
    <x v="5"/>
    <x v="0"/>
    <x v="1906"/>
    <x v="30"/>
    <s v="UPI"/>
    <s v="REV101313"/>
    <x v="1"/>
  </r>
  <r>
    <d v="2023-04-29T00:00:00"/>
    <x v="3"/>
    <x v="6"/>
    <x v="4"/>
    <x v="1907"/>
    <x v="340"/>
    <s v="Bank Transfer"/>
    <s v="REV101335"/>
    <x v="1"/>
  </r>
  <r>
    <d v="2023-04-29T00:00:00"/>
    <x v="3"/>
    <x v="5"/>
    <x v="2"/>
    <x v="1908"/>
    <x v="655"/>
    <s v="Bank Transfer"/>
    <s v="REV101399"/>
    <x v="1"/>
  </r>
  <r>
    <d v="2023-04-29T00:00:00"/>
    <x v="3"/>
    <x v="5"/>
    <x v="2"/>
    <x v="80"/>
    <x v="1660"/>
    <s v="Bank Transfer"/>
    <s v="REV101436"/>
    <x v="1"/>
  </r>
  <r>
    <d v="2023-04-29T00:00:00"/>
    <x v="3"/>
    <x v="5"/>
    <x v="3"/>
    <x v="1909"/>
    <x v="1904"/>
    <s v="Bank Transfer"/>
    <s v="REV101924"/>
    <x v="1"/>
  </r>
  <r>
    <d v="2023-04-29T00:00:00"/>
    <x v="3"/>
    <x v="5"/>
    <x v="2"/>
    <x v="1910"/>
    <x v="1477"/>
    <s v="Card"/>
    <s v="REV102223"/>
    <x v="1"/>
  </r>
  <r>
    <d v="2023-04-29T00:00:00"/>
    <x v="3"/>
    <x v="5"/>
    <x v="0"/>
    <x v="1252"/>
    <x v="1905"/>
    <s v="Bank Transfer"/>
    <s v="REV102369"/>
    <x v="1"/>
  </r>
  <r>
    <d v="2023-04-29T00:00:00"/>
    <x v="3"/>
    <x v="5"/>
    <x v="4"/>
    <x v="1911"/>
    <x v="1341"/>
    <s v="UPI"/>
    <s v="REV102406"/>
    <x v="1"/>
  </r>
  <r>
    <d v="2023-04-29T00:00:00"/>
    <x v="3"/>
    <x v="6"/>
    <x v="4"/>
    <x v="541"/>
    <x v="378"/>
    <s v="UPI"/>
    <s v="REV102410"/>
    <x v="1"/>
  </r>
  <r>
    <d v="2023-04-29T00:00:00"/>
    <x v="3"/>
    <x v="5"/>
    <x v="0"/>
    <x v="1525"/>
    <x v="1906"/>
    <s v="Card"/>
    <s v="REV102626"/>
    <x v="1"/>
  </r>
  <r>
    <d v="2023-04-29T00:00:00"/>
    <x v="3"/>
    <x v="6"/>
    <x v="2"/>
    <x v="1912"/>
    <x v="603"/>
    <s v="Bank Transfer"/>
    <s v="REV102660"/>
    <x v="1"/>
  </r>
  <r>
    <d v="2023-04-29T00:00:00"/>
    <x v="3"/>
    <x v="6"/>
    <x v="1"/>
    <x v="1913"/>
    <x v="1907"/>
    <s v="Bank Transfer"/>
    <s v="REV103005"/>
    <x v="1"/>
  </r>
  <r>
    <d v="2023-04-29T00:00:00"/>
    <x v="3"/>
    <x v="6"/>
    <x v="1"/>
    <x v="1914"/>
    <x v="1908"/>
    <s v="Bank Transfer"/>
    <s v="REV103128"/>
    <x v="1"/>
  </r>
  <r>
    <d v="2023-04-30T00:00:00"/>
    <x v="3"/>
    <x v="2"/>
    <x v="4"/>
    <x v="1915"/>
    <x v="1909"/>
    <s v="UPI"/>
    <s v="TXN101172"/>
    <x v="0"/>
  </r>
  <r>
    <d v="2023-04-30T00:00:00"/>
    <x v="3"/>
    <x v="7"/>
    <x v="0"/>
    <x v="1916"/>
    <x v="1910"/>
    <s v="UPI"/>
    <s v="TXN102491"/>
    <x v="0"/>
  </r>
  <r>
    <d v="2023-04-30T00:00:00"/>
    <x v="3"/>
    <x v="0"/>
    <x v="3"/>
    <x v="1917"/>
    <x v="1911"/>
    <s v="Card"/>
    <s v="TXN102748"/>
    <x v="0"/>
  </r>
  <r>
    <d v="2023-04-30T00:00:00"/>
    <x v="3"/>
    <x v="0"/>
    <x v="1"/>
    <x v="1918"/>
    <x v="1912"/>
    <s v="Cash"/>
    <s v="TXN104668"/>
    <x v="0"/>
  </r>
  <r>
    <d v="2023-04-30T00:00:00"/>
    <x v="3"/>
    <x v="2"/>
    <x v="0"/>
    <x v="1919"/>
    <x v="1913"/>
    <s v="Bank Transfer"/>
    <s v="TXN104670"/>
    <x v="0"/>
  </r>
  <r>
    <d v="2023-04-30T00:00:00"/>
    <x v="3"/>
    <x v="1"/>
    <x v="2"/>
    <x v="1920"/>
    <x v="1914"/>
    <s v="UPI"/>
    <s v="TXN105314"/>
    <x v="0"/>
  </r>
  <r>
    <d v="2023-04-30T00:00:00"/>
    <x v="3"/>
    <x v="0"/>
    <x v="3"/>
    <x v="1921"/>
    <x v="1915"/>
    <s v="Card"/>
    <s v="TXN106567"/>
    <x v="0"/>
  </r>
  <r>
    <d v="2023-04-30T00:00:00"/>
    <x v="3"/>
    <x v="0"/>
    <x v="4"/>
    <x v="1922"/>
    <x v="1916"/>
    <s v="UPI"/>
    <s v="TXN107193"/>
    <x v="0"/>
  </r>
  <r>
    <d v="2023-04-30T00:00:00"/>
    <x v="3"/>
    <x v="0"/>
    <x v="4"/>
    <x v="1923"/>
    <x v="1917"/>
    <s v="Cash"/>
    <s v="TXN107253"/>
    <x v="0"/>
  </r>
  <r>
    <d v="2023-04-30T00:00:00"/>
    <x v="3"/>
    <x v="2"/>
    <x v="2"/>
    <x v="1924"/>
    <x v="1918"/>
    <s v="Cash"/>
    <s v="TXN107381"/>
    <x v="0"/>
  </r>
  <r>
    <d v="2023-04-30T00:00:00"/>
    <x v="3"/>
    <x v="2"/>
    <x v="1"/>
    <x v="1925"/>
    <x v="1919"/>
    <s v="Bank Transfer"/>
    <s v="TXN108050"/>
    <x v="0"/>
  </r>
  <r>
    <d v="2023-04-30T00:00:00"/>
    <x v="3"/>
    <x v="0"/>
    <x v="4"/>
    <x v="1926"/>
    <x v="1920"/>
    <s v="Cash"/>
    <s v="TXN108141"/>
    <x v="0"/>
  </r>
  <r>
    <d v="2023-04-30T00:00:00"/>
    <x v="3"/>
    <x v="4"/>
    <x v="1"/>
    <x v="1927"/>
    <x v="1921"/>
    <s v="UPI"/>
    <s v="TXN109045"/>
    <x v="0"/>
  </r>
  <r>
    <d v="2023-04-30T00:00:00"/>
    <x v="3"/>
    <x v="6"/>
    <x v="4"/>
    <x v="11"/>
    <x v="1922"/>
    <s v="Bank Transfer"/>
    <s v="REV100431"/>
    <x v="1"/>
  </r>
  <r>
    <d v="2023-04-30T00:00:00"/>
    <x v="3"/>
    <x v="5"/>
    <x v="0"/>
    <x v="1804"/>
    <x v="1923"/>
    <s v="Card"/>
    <s v="REV100876"/>
    <x v="1"/>
  </r>
  <r>
    <d v="2023-04-30T00:00:00"/>
    <x v="3"/>
    <x v="6"/>
    <x v="3"/>
    <x v="1056"/>
    <x v="1924"/>
    <s v="Bank Transfer"/>
    <s v="REV100964"/>
    <x v="1"/>
  </r>
  <r>
    <d v="2023-04-30T00:00:00"/>
    <x v="3"/>
    <x v="5"/>
    <x v="1"/>
    <x v="651"/>
    <x v="1925"/>
    <s v="Bank Transfer"/>
    <s v="REV101596"/>
    <x v="1"/>
  </r>
  <r>
    <d v="2023-04-30T00:00:00"/>
    <x v="3"/>
    <x v="5"/>
    <x v="0"/>
    <x v="1324"/>
    <x v="1926"/>
    <s v="Bank Transfer"/>
    <s v="REV101597"/>
    <x v="1"/>
  </r>
  <r>
    <d v="2023-04-30T00:00:00"/>
    <x v="3"/>
    <x v="6"/>
    <x v="2"/>
    <x v="1775"/>
    <x v="315"/>
    <s v="Bank Transfer"/>
    <s v="REV101803"/>
    <x v="1"/>
  </r>
  <r>
    <d v="2023-04-30T00:00:00"/>
    <x v="3"/>
    <x v="6"/>
    <x v="3"/>
    <x v="154"/>
    <x v="1927"/>
    <s v="UPI"/>
    <s v="REV102229"/>
    <x v="1"/>
  </r>
  <r>
    <d v="2023-04-30T00:00:00"/>
    <x v="3"/>
    <x v="5"/>
    <x v="4"/>
    <x v="861"/>
    <x v="1928"/>
    <s v="Bank Transfer"/>
    <s v="REV102441"/>
    <x v="1"/>
  </r>
  <r>
    <d v="2023-04-30T00:00:00"/>
    <x v="3"/>
    <x v="5"/>
    <x v="4"/>
    <x v="1928"/>
    <x v="1535"/>
    <s v="Bank Transfer"/>
    <s v="REV102464"/>
    <x v="1"/>
  </r>
  <r>
    <d v="2023-04-30T00:00:00"/>
    <x v="3"/>
    <x v="6"/>
    <x v="2"/>
    <x v="574"/>
    <x v="1929"/>
    <s v="Bank Transfer"/>
    <s v="REV102506"/>
    <x v="1"/>
  </r>
  <r>
    <d v="2023-04-30T00:00:00"/>
    <x v="3"/>
    <x v="5"/>
    <x v="1"/>
    <x v="1705"/>
    <x v="1930"/>
    <s v="UPI"/>
    <s v="REV102734"/>
    <x v="1"/>
  </r>
  <r>
    <d v="2023-04-30T00:00:00"/>
    <x v="3"/>
    <x v="6"/>
    <x v="4"/>
    <x v="945"/>
    <x v="1386"/>
    <s v="Bank Transfer"/>
    <s v="REV102765"/>
    <x v="1"/>
  </r>
  <r>
    <d v="2023-04-30T00:00:00"/>
    <x v="3"/>
    <x v="5"/>
    <x v="1"/>
    <x v="1929"/>
    <x v="1931"/>
    <s v="Bank Transfer"/>
    <s v="REV103061"/>
    <x v="1"/>
  </r>
  <r>
    <d v="2023-05-01T00:00:00"/>
    <x v="4"/>
    <x v="1"/>
    <x v="4"/>
    <x v="1930"/>
    <x v="1932"/>
    <s v="Card"/>
    <s v="TXN100426"/>
    <x v="0"/>
  </r>
  <r>
    <d v="2023-05-01T00:00:00"/>
    <x v="4"/>
    <x v="3"/>
    <x v="4"/>
    <x v="1931"/>
    <x v="1933"/>
    <s v="Cash"/>
    <s v="TXN100771"/>
    <x v="0"/>
  </r>
  <r>
    <d v="2023-05-01T00:00:00"/>
    <x v="4"/>
    <x v="0"/>
    <x v="3"/>
    <x v="1932"/>
    <x v="1934"/>
    <s v="UPI"/>
    <s v="TXN101560"/>
    <x v="0"/>
  </r>
  <r>
    <d v="2023-05-01T00:00:00"/>
    <x v="4"/>
    <x v="3"/>
    <x v="4"/>
    <x v="1933"/>
    <x v="1935"/>
    <s v="Card"/>
    <s v="TXN103126"/>
    <x v="0"/>
  </r>
  <r>
    <d v="2023-05-01T00:00:00"/>
    <x v="4"/>
    <x v="3"/>
    <x v="4"/>
    <x v="1934"/>
    <x v="1936"/>
    <s v="UPI"/>
    <s v="TXN109179"/>
    <x v="0"/>
  </r>
  <r>
    <d v="2023-05-01T00:00:00"/>
    <x v="4"/>
    <x v="1"/>
    <x v="4"/>
    <x v="1935"/>
    <x v="1937"/>
    <s v="Bank Transfer"/>
    <s v="TXN109305"/>
    <x v="0"/>
  </r>
  <r>
    <d v="2023-05-01T00:00:00"/>
    <x v="4"/>
    <x v="2"/>
    <x v="2"/>
    <x v="1936"/>
    <x v="1938"/>
    <s v="UPI"/>
    <s v="TXN109800"/>
    <x v="0"/>
  </r>
  <r>
    <d v="2023-05-01T00:00:00"/>
    <x v="4"/>
    <x v="6"/>
    <x v="4"/>
    <x v="633"/>
    <x v="1939"/>
    <s v="Card"/>
    <s v="REV100159"/>
    <x v="1"/>
  </r>
  <r>
    <d v="2023-05-01T00:00:00"/>
    <x v="4"/>
    <x v="5"/>
    <x v="4"/>
    <x v="631"/>
    <x v="1940"/>
    <s v="Card"/>
    <s v="REV100283"/>
    <x v="1"/>
  </r>
  <r>
    <d v="2023-05-01T00:00:00"/>
    <x v="4"/>
    <x v="6"/>
    <x v="3"/>
    <x v="341"/>
    <x v="465"/>
    <s v="Bank Transfer"/>
    <s v="REV100573"/>
    <x v="1"/>
  </r>
  <r>
    <d v="2023-05-01T00:00:00"/>
    <x v="4"/>
    <x v="5"/>
    <x v="4"/>
    <x v="1465"/>
    <x v="1941"/>
    <s v="Bank Transfer"/>
    <s v="REV101077"/>
    <x v="1"/>
  </r>
  <r>
    <d v="2023-05-01T00:00:00"/>
    <x v="4"/>
    <x v="5"/>
    <x v="4"/>
    <x v="1220"/>
    <x v="1940"/>
    <s v="Card"/>
    <s v="REV103099"/>
    <x v="1"/>
  </r>
  <r>
    <d v="2023-05-01T00:00:00"/>
    <x v="4"/>
    <x v="6"/>
    <x v="4"/>
    <x v="1937"/>
    <x v="1942"/>
    <s v="Card"/>
    <s v="REV103146"/>
    <x v="1"/>
  </r>
  <r>
    <d v="2023-05-01T00:00:00"/>
    <x v="4"/>
    <x v="5"/>
    <x v="2"/>
    <x v="1938"/>
    <x v="1943"/>
    <s v="Bank Transfer"/>
    <s v="REV103317"/>
    <x v="1"/>
  </r>
  <r>
    <d v="2023-05-02T00:00:00"/>
    <x v="4"/>
    <x v="1"/>
    <x v="4"/>
    <x v="1939"/>
    <x v="1944"/>
    <s v="Cash"/>
    <s v="TXN100371"/>
    <x v="0"/>
  </r>
  <r>
    <d v="2023-05-02T00:00:00"/>
    <x v="4"/>
    <x v="4"/>
    <x v="3"/>
    <x v="1940"/>
    <x v="1945"/>
    <s v="UPI"/>
    <s v="TXN103965"/>
    <x v="0"/>
  </r>
  <r>
    <d v="2023-05-02T00:00:00"/>
    <x v="4"/>
    <x v="2"/>
    <x v="1"/>
    <x v="1941"/>
    <x v="1946"/>
    <s v="Bank Transfer"/>
    <s v="TXN103974"/>
    <x v="0"/>
  </r>
  <r>
    <d v="2023-05-02T00:00:00"/>
    <x v="4"/>
    <x v="7"/>
    <x v="1"/>
    <x v="1942"/>
    <x v="1947"/>
    <s v="Bank Transfer"/>
    <s v="TXN104429"/>
    <x v="0"/>
  </r>
  <r>
    <d v="2023-05-02T00:00:00"/>
    <x v="4"/>
    <x v="2"/>
    <x v="1"/>
    <x v="1943"/>
    <x v="1948"/>
    <s v="Card"/>
    <s v="TXN104840"/>
    <x v="0"/>
  </r>
  <r>
    <d v="2023-05-02T00:00:00"/>
    <x v="4"/>
    <x v="1"/>
    <x v="4"/>
    <x v="1944"/>
    <x v="1949"/>
    <s v="Bank Transfer"/>
    <s v="TXN106853"/>
    <x v="0"/>
  </r>
  <r>
    <d v="2023-05-02T00:00:00"/>
    <x v="4"/>
    <x v="2"/>
    <x v="3"/>
    <x v="1945"/>
    <x v="1950"/>
    <s v="Card"/>
    <s v="TXN107335"/>
    <x v="0"/>
  </r>
  <r>
    <d v="2023-05-02T00:00:00"/>
    <x v="4"/>
    <x v="3"/>
    <x v="3"/>
    <x v="1946"/>
    <x v="1951"/>
    <s v="Bank Transfer"/>
    <s v="TXN108510"/>
    <x v="0"/>
  </r>
  <r>
    <d v="2023-05-02T00:00:00"/>
    <x v="4"/>
    <x v="5"/>
    <x v="4"/>
    <x v="1947"/>
    <x v="218"/>
    <s v="Bank Transfer"/>
    <s v="REV100140"/>
    <x v="1"/>
  </r>
  <r>
    <d v="2023-05-02T00:00:00"/>
    <x v="4"/>
    <x v="5"/>
    <x v="3"/>
    <x v="1948"/>
    <x v="94"/>
    <s v="Bank Transfer"/>
    <s v="REV101372"/>
    <x v="1"/>
  </r>
  <r>
    <d v="2023-05-02T00:00:00"/>
    <x v="4"/>
    <x v="6"/>
    <x v="1"/>
    <x v="990"/>
    <x v="1026"/>
    <s v="Bank Transfer"/>
    <s v="REV101374"/>
    <x v="1"/>
  </r>
  <r>
    <d v="2023-05-02T00:00:00"/>
    <x v="4"/>
    <x v="5"/>
    <x v="1"/>
    <x v="514"/>
    <x v="1952"/>
    <s v="Bank Transfer"/>
    <s v="REV101526"/>
    <x v="1"/>
  </r>
  <r>
    <d v="2023-05-02T00:00:00"/>
    <x v="4"/>
    <x v="5"/>
    <x v="1"/>
    <x v="1134"/>
    <x v="1284"/>
    <s v="Bank Transfer"/>
    <s v="REV101652"/>
    <x v="1"/>
  </r>
  <r>
    <d v="2023-05-02T00:00:00"/>
    <x v="4"/>
    <x v="5"/>
    <x v="4"/>
    <x v="1949"/>
    <x v="1953"/>
    <s v="Bank Transfer"/>
    <s v="REV102334"/>
    <x v="1"/>
  </r>
  <r>
    <d v="2023-05-02T00:00:00"/>
    <x v="4"/>
    <x v="5"/>
    <x v="3"/>
    <x v="1950"/>
    <x v="247"/>
    <s v="Card"/>
    <s v="REV102488"/>
    <x v="1"/>
  </r>
  <r>
    <d v="2023-05-02T00:00:00"/>
    <x v="4"/>
    <x v="5"/>
    <x v="3"/>
    <x v="1951"/>
    <x v="1954"/>
    <s v="Bank Transfer"/>
    <s v="REV102882"/>
    <x v="1"/>
  </r>
  <r>
    <d v="2023-05-03T00:00:00"/>
    <x v="4"/>
    <x v="7"/>
    <x v="4"/>
    <x v="1952"/>
    <x v="1955"/>
    <s v="Bank Transfer"/>
    <s v="TXN100537"/>
    <x v="0"/>
  </r>
  <r>
    <d v="2023-05-03T00:00:00"/>
    <x v="4"/>
    <x v="2"/>
    <x v="3"/>
    <x v="1953"/>
    <x v="1956"/>
    <s v="Bank Transfer"/>
    <s v="TXN100582"/>
    <x v="0"/>
  </r>
  <r>
    <d v="2023-05-03T00:00:00"/>
    <x v="4"/>
    <x v="3"/>
    <x v="3"/>
    <x v="1954"/>
    <x v="1957"/>
    <s v="UPI"/>
    <s v="TXN102163"/>
    <x v="0"/>
  </r>
  <r>
    <d v="2023-05-03T00:00:00"/>
    <x v="4"/>
    <x v="1"/>
    <x v="2"/>
    <x v="1955"/>
    <x v="1958"/>
    <s v="Card"/>
    <s v="TXN102188"/>
    <x v="0"/>
  </r>
  <r>
    <d v="2023-05-03T00:00:00"/>
    <x v="4"/>
    <x v="1"/>
    <x v="1"/>
    <x v="1956"/>
    <x v="1959"/>
    <s v="Cash"/>
    <s v="TXN103311"/>
    <x v="0"/>
  </r>
  <r>
    <d v="2023-05-03T00:00:00"/>
    <x v="4"/>
    <x v="0"/>
    <x v="1"/>
    <x v="1957"/>
    <x v="1960"/>
    <s v="Card"/>
    <s v="TXN105050"/>
    <x v="0"/>
  </r>
  <r>
    <d v="2023-05-03T00:00:00"/>
    <x v="4"/>
    <x v="3"/>
    <x v="1"/>
    <x v="1958"/>
    <x v="1961"/>
    <s v="UPI"/>
    <s v="TXN105964"/>
    <x v="0"/>
  </r>
  <r>
    <d v="2023-05-03T00:00:00"/>
    <x v="4"/>
    <x v="1"/>
    <x v="0"/>
    <x v="1959"/>
    <x v="1962"/>
    <s v="UPI"/>
    <s v="TXN106696"/>
    <x v="0"/>
  </r>
  <r>
    <d v="2023-05-03T00:00:00"/>
    <x v="4"/>
    <x v="0"/>
    <x v="0"/>
    <x v="1960"/>
    <x v="1963"/>
    <s v="Card"/>
    <s v="TXN107891"/>
    <x v="0"/>
  </r>
  <r>
    <d v="2023-05-03T00:00:00"/>
    <x v="4"/>
    <x v="5"/>
    <x v="4"/>
    <x v="1961"/>
    <x v="996"/>
    <s v="Bank Transfer"/>
    <s v="REV100211"/>
    <x v="1"/>
  </r>
  <r>
    <d v="2023-05-03T00:00:00"/>
    <x v="4"/>
    <x v="6"/>
    <x v="3"/>
    <x v="1962"/>
    <x v="1964"/>
    <s v="Card"/>
    <s v="REV100225"/>
    <x v="1"/>
  </r>
  <r>
    <d v="2023-05-03T00:00:00"/>
    <x v="4"/>
    <x v="6"/>
    <x v="3"/>
    <x v="1963"/>
    <x v="1965"/>
    <s v="Bank Transfer"/>
    <s v="REV100769"/>
    <x v="1"/>
  </r>
  <r>
    <d v="2023-05-03T00:00:00"/>
    <x v="4"/>
    <x v="6"/>
    <x v="2"/>
    <x v="1964"/>
    <x v="1966"/>
    <s v="Bank Transfer"/>
    <s v="REV100776"/>
    <x v="1"/>
  </r>
  <r>
    <d v="2023-05-03T00:00:00"/>
    <x v="4"/>
    <x v="5"/>
    <x v="1"/>
    <x v="1965"/>
    <x v="1967"/>
    <s v="Bank Transfer"/>
    <s v="REV101135"/>
    <x v="1"/>
  </r>
  <r>
    <d v="2023-05-03T00:00:00"/>
    <x v="4"/>
    <x v="5"/>
    <x v="1"/>
    <x v="303"/>
    <x v="1155"/>
    <s v="Card"/>
    <s v="REV101720"/>
    <x v="1"/>
  </r>
  <r>
    <d v="2023-05-03T00:00:00"/>
    <x v="4"/>
    <x v="5"/>
    <x v="1"/>
    <x v="727"/>
    <x v="219"/>
    <s v="Bank Transfer"/>
    <s v="REV102014"/>
    <x v="1"/>
  </r>
  <r>
    <d v="2023-05-03T00:00:00"/>
    <x v="4"/>
    <x v="6"/>
    <x v="0"/>
    <x v="1288"/>
    <x v="1968"/>
    <s v="Bank Transfer"/>
    <s v="REV102278"/>
    <x v="1"/>
  </r>
  <r>
    <d v="2023-05-03T00:00:00"/>
    <x v="4"/>
    <x v="6"/>
    <x v="0"/>
    <x v="1651"/>
    <x v="1969"/>
    <s v="Bank Transfer"/>
    <s v="REV102680"/>
    <x v="1"/>
  </r>
  <r>
    <d v="2023-05-04T00:00:00"/>
    <x v="4"/>
    <x v="4"/>
    <x v="0"/>
    <x v="1966"/>
    <x v="1970"/>
    <s v="Card"/>
    <s v="TXN100264"/>
    <x v="0"/>
  </r>
  <r>
    <d v="2023-05-04T00:00:00"/>
    <x v="4"/>
    <x v="1"/>
    <x v="3"/>
    <x v="1967"/>
    <x v="1971"/>
    <s v="Card"/>
    <s v="TXN100289"/>
    <x v="0"/>
  </r>
  <r>
    <d v="2023-05-04T00:00:00"/>
    <x v="4"/>
    <x v="4"/>
    <x v="0"/>
    <x v="1968"/>
    <x v="1972"/>
    <s v="UPI"/>
    <s v="TXN100974"/>
    <x v="0"/>
  </r>
  <r>
    <d v="2023-05-04T00:00:00"/>
    <x v="4"/>
    <x v="1"/>
    <x v="4"/>
    <x v="1969"/>
    <x v="1973"/>
    <s v="Card"/>
    <s v="TXN102433"/>
    <x v="0"/>
  </r>
  <r>
    <d v="2023-05-04T00:00:00"/>
    <x v="4"/>
    <x v="7"/>
    <x v="3"/>
    <x v="1970"/>
    <x v="1974"/>
    <s v="Cash"/>
    <s v="TXN105342"/>
    <x v="0"/>
  </r>
  <r>
    <d v="2023-05-04T00:00:00"/>
    <x v="4"/>
    <x v="7"/>
    <x v="4"/>
    <x v="1971"/>
    <x v="1975"/>
    <s v="Card"/>
    <s v="TXN105566"/>
    <x v="0"/>
  </r>
  <r>
    <d v="2023-05-04T00:00:00"/>
    <x v="4"/>
    <x v="4"/>
    <x v="3"/>
    <x v="1972"/>
    <x v="1976"/>
    <s v="Cash"/>
    <s v="TXN105705"/>
    <x v="0"/>
  </r>
  <r>
    <d v="2023-05-04T00:00:00"/>
    <x v="4"/>
    <x v="7"/>
    <x v="4"/>
    <x v="1973"/>
    <x v="1977"/>
    <s v="Cash"/>
    <s v="TXN107314"/>
    <x v="0"/>
  </r>
  <r>
    <d v="2023-05-04T00:00:00"/>
    <x v="4"/>
    <x v="2"/>
    <x v="1"/>
    <x v="1974"/>
    <x v="1978"/>
    <s v="Cash"/>
    <s v="TXN108013"/>
    <x v="0"/>
  </r>
  <r>
    <d v="2023-05-04T00:00:00"/>
    <x v="4"/>
    <x v="5"/>
    <x v="0"/>
    <x v="613"/>
    <x v="1583"/>
    <s v="Card"/>
    <s v="REV100092"/>
    <x v="1"/>
  </r>
  <r>
    <d v="2023-05-04T00:00:00"/>
    <x v="4"/>
    <x v="5"/>
    <x v="3"/>
    <x v="730"/>
    <x v="1979"/>
    <s v="UPI"/>
    <s v="REV100102"/>
    <x v="1"/>
  </r>
  <r>
    <d v="2023-05-04T00:00:00"/>
    <x v="4"/>
    <x v="5"/>
    <x v="0"/>
    <x v="485"/>
    <x v="1980"/>
    <s v="Bank Transfer"/>
    <s v="REV100365"/>
    <x v="1"/>
  </r>
  <r>
    <d v="2023-05-04T00:00:00"/>
    <x v="4"/>
    <x v="6"/>
    <x v="4"/>
    <x v="1862"/>
    <x v="1981"/>
    <s v="Card"/>
    <s v="REV100856"/>
    <x v="1"/>
  </r>
  <r>
    <d v="2023-05-04T00:00:00"/>
    <x v="4"/>
    <x v="6"/>
    <x v="3"/>
    <x v="1645"/>
    <x v="396"/>
    <s v="Bank Transfer"/>
    <s v="REV101816"/>
    <x v="1"/>
  </r>
  <r>
    <d v="2023-05-04T00:00:00"/>
    <x v="4"/>
    <x v="5"/>
    <x v="4"/>
    <x v="1975"/>
    <x v="1828"/>
    <s v="Bank Transfer"/>
    <s v="REV101899"/>
    <x v="1"/>
  </r>
  <r>
    <d v="2023-05-04T00:00:00"/>
    <x v="4"/>
    <x v="5"/>
    <x v="3"/>
    <x v="479"/>
    <x v="638"/>
    <s v="Card"/>
    <s v="REV101940"/>
    <x v="1"/>
  </r>
  <r>
    <d v="2023-05-04T00:00:00"/>
    <x v="4"/>
    <x v="6"/>
    <x v="4"/>
    <x v="904"/>
    <x v="1982"/>
    <s v="Card"/>
    <s v="REV102479"/>
    <x v="1"/>
  </r>
  <r>
    <d v="2023-05-04T00:00:00"/>
    <x v="4"/>
    <x v="5"/>
    <x v="1"/>
    <x v="788"/>
    <x v="1967"/>
    <s v="Bank Transfer"/>
    <s v="REV102722"/>
    <x v="1"/>
  </r>
  <r>
    <d v="2023-05-05T00:00:00"/>
    <x v="4"/>
    <x v="1"/>
    <x v="4"/>
    <x v="1976"/>
    <x v="1983"/>
    <s v="UPI"/>
    <s v="TXN100147"/>
    <x v="0"/>
  </r>
  <r>
    <d v="2023-05-05T00:00:00"/>
    <x v="4"/>
    <x v="2"/>
    <x v="1"/>
    <x v="1977"/>
    <x v="1984"/>
    <s v="UPI"/>
    <s v="TXN102329"/>
    <x v="0"/>
  </r>
  <r>
    <d v="2023-05-05T00:00:00"/>
    <x v="4"/>
    <x v="2"/>
    <x v="1"/>
    <x v="1978"/>
    <x v="1985"/>
    <s v="Card"/>
    <s v="TXN103640"/>
    <x v="0"/>
  </r>
  <r>
    <d v="2023-05-05T00:00:00"/>
    <x v="4"/>
    <x v="1"/>
    <x v="4"/>
    <x v="1979"/>
    <x v="1986"/>
    <s v="UPI"/>
    <s v="TXN104398"/>
    <x v="0"/>
  </r>
  <r>
    <d v="2023-05-05T00:00:00"/>
    <x v="4"/>
    <x v="3"/>
    <x v="4"/>
    <x v="1980"/>
    <x v="1987"/>
    <s v="Bank Transfer"/>
    <s v="TXN105348"/>
    <x v="0"/>
  </r>
  <r>
    <d v="2023-05-05T00:00:00"/>
    <x v="4"/>
    <x v="7"/>
    <x v="1"/>
    <x v="1981"/>
    <x v="1988"/>
    <s v="Card"/>
    <s v="TXN106729"/>
    <x v="0"/>
  </r>
  <r>
    <d v="2023-05-05T00:00:00"/>
    <x v="4"/>
    <x v="3"/>
    <x v="1"/>
    <x v="1982"/>
    <x v="1989"/>
    <s v="UPI"/>
    <s v="TXN108475"/>
    <x v="0"/>
  </r>
  <r>
    <d v="2023-05-05T00:00:00"/>
    <x v="4"/>
    <x v="3"/>
    <x v="0"/>
    <x v="1983"/>
    <x v="1990"/>
    <s v="UPI"/>
    <s v="TXN109431"/>
    <x v="0"/>
  </r>
  <r>
    <d v="2023-05-05T00:00:00"/>
    <x v="4"/>
    <x v="3"/>
    <x v="2"/>
    <x v="1984"/>
    <x v="1991"/>
    <s v="Cash"/>
    <s v="TXN109523"/>
    <x v="0"/>
  </r>
  <r>
    <d v="2023-05-05T00:00:00"/>
    <x v="4"/>
    <x v="4"/>
    <x v="1"/>
    <x v="1985"/>
    <x v="1992"/>
    <s v="Bank Transfer"/>
    <s v="TXN109555"/>
    <x v="0"/>
  </r>
  <r>
    <d v="2023-05-05T00:00:00"/>
    <x v="4"/>
    <x v="1"/>
    <x v="3"/>
    <x v="1986"/>
    <x v="1993"/>
    <s v="Card"/>
    <s v="TXN109650"/>
    <x v="0"/>
  </r>
  <r>
    <d v="2023-05-05T00:00:00"/>
    <x v="4"/>
    <x v="6"/>
    <x v="4"/>
    <x v="1987"/>
    <x v="1994"/>
    <s v="Bank Transfer"/>
    <s v="REV100053"/>
    <x v="1"/>
  </r>
  <r>
    <d v="2023-05-05T00:00:00"/>
    <x v="4"/>
    <x v="6"/>
    <x v="1"/>
    <x v="96"/>
    <x v="1995"/>
    <s v="Bank Transfer"/>
    <s v="REV100824"/>
    <x v="1"/>
  </r>
  <r>
    <d v="2023-05-05T00:00:00"/>
    <x v="4"/>
    <x v="5"/>
    <x v="1"/>
    <x v="1988"/>
    <x v="689"/>
    <s v="Bank Transfer"/>
    <s v="REV101242"/>
    <x v="1"/>
  </r>
  <r>
    <d v="2023-05-05T00:00:00"/>
    <x v="4"/>
    <x v="5"/>
    <x v="4"/>
    <x v="1989"/>
    <x v="1996"/>
    <s v="Bank Transfer"/>
    <s v="REV101516"/>
    <x v="1"/>
  </r>
  <r>
    <d v="2023-05-05T00:00:00"/>
    <x v="4"/>
    <x v="5"/>
    <x v="4"/>
    <x v="1990"/>
    <x v="1174"/>
    <s v="Card"/>
    <s v="REV101818"/>
    <x v="1"/>
  </r>
  <r>
    <d v="2023-05-05T00:00:00"/>
    <x v="4"/>
    <x v="5"/>
    <x v="1"/>
    <x v="866"/>
    <x v="1997"/>
    <s v="Bank Transfer"/>
    <s v="REV102294"/>
    <x v="1"/>
  </r>
  <r>
    <d v="2023-05-05T00:00:00"/>
    <x v="4"/>
    <x v="6"/>
    <x v="1"/>
    <x v="1991"/>
    <x v="1998"/>
    <s v="Bank Transfer"/>
    <s v="REV102870"/>
    <x v="1"/>
  </r>
  <r>
    <d v="2023-05-05T00:00:00"/>
    <x v="4"/>
    <x v="5"/>
    <x v="0"/>
    <x v="1992"/>
    <x v="1941"/>
    <s v="UPI"/>
    <s v="REV103191"/>
    <x v="1"/>
  </r>
  <r>
    <d v="2023-05-05T00:00:00"/>
    <x v="4"/>
    <x v="6"/>
    <x v="2"/>
    <x v="1993"/>
    <x v="1999"/>
    <s v="Card"/>
    <s v="REV103215"/>
    <x v="1"/>
  </r>
  <r>
    <d v="2023-05-05T00:00:00"/>
    <x v="4"/>
    <x v="5"/>
    <x v="1"/>
    <x v="1994"/>
    <x v="464"/>
    <s v="Card"/>
    <s v="REV103227"/>
    <x v="1"/>
  </r>
  <r>
    <d v="2023-05-05T00:00:00"/>
    <x v="4"/>
    <x v="5"/>
    <x v="3"/>
    <x v="1692"/>
    <x v="2000"/>
    <s v="Card"/>
    <s v="REV103263"/>
    <x v="1"/>
  </r>
  <r>
    <d v="2023-05-06T00:00:00"/>
    <x v="4"/>
    <x v="2"/>
    <x v="4"/>
    <x v="1995"/>
    <x v="2001"/>
    <s v="Bank Transfer"/>
    <s v="TXN101242"/>
    <x v="0"/>
  </r>
  <r>
    <d v="2023-05-06T00:00:00"/>
    <x v="4"/>
    <x v="7"/>
    <x v="2"/>
    <x v="1996"/>
    <x v="2002"/>
    <s v="Card"/>
    <s v="TXN101904"/>
    <x v="0"/>
  </r>
  <r>
    <d v="2023-05-06T00:00:00"/>
    <x v="4"/>
    <x v="3"/>
    <x v="2"/>
    <x v="1997"/>
    <x v="2003"/>
    <s v="Cash"/>
    <s v="TXN102357"/>
    <x v="0"/>
  </r>
  <r>
    <d v="2023-05-06T00:00:00"/>
    <x v="4"/>
    <x v="7"/>
    <x v="3"/>
    <x v="1998"/>
    <x v="2004"/>
    <s v="Bank Transfer"/>
    <s v="TXN102468"/>
    <x v="0"/>
  </r>
  <r>
    <d v="2023-05-06T00:00:00"/>
    <x v="4"/>
    <x v="7"/>
    <x v="2"/>
    <x v="1999"/>
    <x v="2005"/>
    <s v="Cash"/>
    <s v="TXN103440"/>
    <x v="0"/>
  </r>
  <r>
    <d v="2023-05-06T00:00:00"/>
    <x v="4"/>
    <x v="2"/>
    <x v="1"/>
    <x v="2000"/>
    <x v="2006"/>
    <s v="Bank Transfer"/>
    <s v="TXN103911"/>
    <x v="0"/>
  </r>
  <r>
    <d v="2023-05-06T00:00:00"/>
    <x v="4"/>
    <x v="7"/>
    <x v="4"/>
    <x v="2001"/>
    <x v="2007"/>
    <s v="UPI"/>
    <s v="TXN105538"/>
    <x v="0"/>
  </r>
  <r>
    <d v="2023-05-06T00:00:00"/>
    <x v="4"/>
    <x v="7"/>
    <x v="4"/>
    <x v="2002"/>
    <x v="2008"/>
    <s v="Bank Transfer"/>
    <s v="TXN106568"/>
    <x v="0"/>
  </r>
  <r>
    <d v="2023-05-06T00:00:00"/>
    <x v="4"/>
    <x v="2"/>
    <x v="1"/>
    <x v="2003"/>
    <x v="2009"/>
    <s v="UPI"/>
    <s v="TXN108523"/>
    <x v="0"/>
  </r>
  <r>
    <d v="2023-05-06T00:00:00"/>
    <x v="4"/>
    <x v="3"/>
    <x v="3"/>
    <x v="2004"/>
    <x v="2010"/>
    <s v="Card"/>
    <s v="TXN108724"/>
    <x v="0"/>
  </r>
  <r>
    <d v="2023-05-06T00:00:00"/>
    <x v="4"/>
    <x v="0"/>
    <x v="3"/>
    <x v="2005"/>
    <x v="2011"/>
    <s v="Card"/>
    <s v="TXN108970"/>
    <x v="0"/>
  </r>
  <r>
    <d v="2023-05-06T00:00:00"/>
    <x v="4"/>
    <x v="0"/>
    <x v="3"/>
    <x v="2006"/>
    <x v="2012"/>
    <s v="UPI"/>
    <s v="TXN109689"/>
    <x v="0"/>
  </r>
  <r>
    <d v="2023-05-06T00:00:00"/>
    <x v="4"/>
    <x v="5"/>
    <x v="4"/>
    <x v="2007"/>
    <x v="2013"/>
    <s v="Card"/>
    <s v="REV100454"/>
    <x v="1"/>
  </r>
  <r>
    <d v="2023-05-06T00:00:00"/>
    <x v="4"/>
    <x v="5"/>
    <x v="2"/>
    <x v="2008"/>
    <x v="342"/>
    <s v="Bank Transfer"/>
    <s v="REV100685"/>
    <x v="1"/>
  </r>
  <r>
    <d v="2023-05-06T00:00:00"/>
    <x v="4"/>
    <x v="5"/>
    <x v="2"/>
    <x v="224"/>
    <x v="2014"/>
    <s v="Bank Transfer"/>
    <s v="REV100829"/>
    <x v="1"/>
  </r>
  <r>
    <d v="2023-05-06T00:00:00"/>
    <x v="4"/>
    <x v="6"/>
    <x v="3"/>
    <x v="1475"/>
    <x v="1111"/>
    <s v="Bank Transfer"/>
    <s v="REV100867"/>
    <x v="1"/>
  </r>
  <r>
    <d v="2023-05-06T00:00:00"/>
    <x v="4"/>
    <x v="5"/>
    <x v="2"/>
    <x v="2009"/>
    <x v="1939"/>
    <s v="Card"/>
    <s v="REV101179"/>
    <x v="1"/>
  </r>
  <r>
    <d v="2023-05-06T00:00:00"/>
    <x v="4"/>
    <x v="6"/>
    <x v="1"/>
    <x v="240"/>
    <x v="1356"/>
    <s v="UPI"/>
    <s v="REV101351"/>
    <x v="1"/>
  </r>
  <r>
    <d v="2023-05-06T00:00:00"/>
    <x v="4"/>
    <x v="5"/>
    <x v="4"/>
    <x v="2010"/>
    <x v="2015"/>
    <s v="Card"/>
    <s v="REV101887"/>
    <x v="1"/>
  </r>
  <r>
    <d v="2023-05-06T00:00:00"/>
    <x v="4"/>
    <x v="5"/>
    <x v="4"/>
    <x v="2011"/>
    <x v="348"/>
    <s v="Card"/>
    <s v="REV102230"/>
    <x v="1"/>
  </r>
  <r>
    <d v="2023-05-06T00:00:00"/>
    <x v="4"/>
    <x v="6"/>
    <x v="1"/>
    <x v="2012"/>
    <x v="82"/>
    <s v="Bank Transfer"/>
    <s v="REV102887"/>
    <x v="1"/>
  </r>
  <r>
    <d v="2023-05-06T00:00:00"/>
    <x v="4"/>
    <x v="6"/>
    <x v="3"/>
    <x v="1475"/>
    <x v="2016"/>
    <s v="Card"/>
    <s v="REV102960"/>
    <x v="1"/>
  </r>
  <r>
    <d v="2023-05-06T00:00:00"/>
    <x v="4"/>
    <x v="5"/>
    <x v="3"/>
    <x v="819"/>
    <x v="1007"/>
    <s v="Card"/>
    <s v="REV103038"/>
    <x v="1"/>
  </r>
  <r>
    <d v="2023-05-06T00:00:00"/>
    <x v="4"/>
    <x v="6"/>
    <x v="3"/>
    <x v="2013"/>
    <x v="2017"/>
    <s v="Bank Transfer"/>
    <s v="REV103275"/>
    <x v="1"/>
  </r>
  <r>
    <d v="2023-05-07T00:00:00"/>
    <x v="4"/>
    <x v="3"/>
    <x v="3"/>
    <x v="2014"/>
    <x v="2018"/>
    <s v="Bank Transfer"/>
    <s v="TXN100018"/>
    <x v="0"/>
  </r>
  <r>
    <d v="2023-05-07T00:00:00"/>
    <x v="4"/>
    <x v="4"/>
    <x v="3"/>
    <x v="2015"/>
    <x v="2019"/>
    <s v="Card"/>
    <s v="TXN101655"/>
    <x v="0"/>
  </r>
  <r>
    <d v="2023-05-07T00:00:00"/>
    <x v="4"/>
    <x v="1"/>
    <x v="1"/>
    <x v="2016"/>
    <x v="2020"/>
    <s v="Card"/>
    <s v="TXN103658"/>
    <x v="0"/>
  </r>
  <r>
    <d v="2023-05-07T00:00:00"/>
    <x v="4"/>
    <x v="0"/>
    <x v="3"/>
    <x v="2017"/>
    <x v="806"/>
    <s v="Card"/>
    <s v="TXN104030"/>
    <x v="0"/>
  </r>
  <r>
    <d v="2023-05-07T00:00:00"/>
    <x v="4"/>
    <x v="1"/>
    <x v="3"/>
    <x v="2018"/>
    <x v="2021"/>
    <s v="Bank Transfer"/>
    <s v="TXN108860"/>
    <x v="0"/>
  </r>
  <r>
    <d v="2023-05-07T00:00:00"/>
    <x v="4"/>
    <x v="6"/>
    <x v="3"/>
    <x v="1149"/>
    <x v="2022"/>
    <s v="Card"/>
    <s v="REV100007"/>
    <x v="1"/>
  </r>
  <r>
    <d v="2023-05-07T00:00:00"/>
    <x v="4"/>
    <x v="5"/>
    <x v="3"/>
    <x v="2019"/>
    <x v="1620"/>
    <s v="Card"/>
    <s v="REV100610"/>
    <x v="1"/>
  </r>
  <r>
    <d v="2023-05-07T00:00:00"/>
    <x v="4"/>
    <x v="5"/>
    <x v="1"/>
    <x v="283"/>
    <x v="1109"/>
    <s v="Bank Transfer"/>
    <s v="REV101250"/>
    <x v="1"/>
  </r>
  <r>
    <d v="2023-05-07T00:00:00"/>
    <x v="4"/>
    <x v="5"/>
    <x v="3"/>
    <x v="941"/>
    <x v="718"/>
    <s v="Bank Transfer"/>
    <s v="REV101396"/>
    <x v="1"/>
  </r>
  <r>
    <d v="2023-05-07T00:00:00"/>
    <x v="4"/>
    <x v="6"/>
    <x v="3"/>
    <x v="1913"/>
    <x v="2023"/>
    <s v="Bank Transfer"/>
    <s v="REV103000"/>
    <x v="1"/>
  </r>
  <r>
    <d v="2023-05-08T00:00:00"/>
    <x v="4"/>
    <x v="1"/>
    <x v="3"/>
    <x v="2020"/>
    <x v="2024"/>
    <s v="UPI"/>
    <s v="TXN102841"/>
    <x v="0"/>
  </r>
  <r>
    <d v="2023-05-08T00:00:00"/>
    <x v="4"/>
    <x v="2"/>
    <x v="1"/>
    <x v="2021"/>
    <x v="2025"/>
    <s v="Card"/>
    <s v="TXN103531"/>
    <x v="0"/>
  </r>
  <r>
    <d v="2023-05-08T00:00:00"/>
    <x v="4"/>
    <x v="3"/>
    <x v="4"/>
    <x v="2022"/>
    <x v="2026"/>
    <s v="Card"/>
    <s v="TXN103553"/>
    <x v="0"/>
  </r>
  <r>
    <d v="2023-05-08T00:00:00"/>
    <x v="4"/>
    <x v="7"/>
    <x v="2"/>
    <x v="2023"/>
    <x v="2027"/>
    <s v="UPI"/>
    <s v="TXN104105"/>
    <x v="0"/>
  </r>
  <r>
    <d v="2023-05-08T00:00:00"/>
    <x v="4"/>
    <x v="4"/>
    <x v="4"/>
    <x v="2024"/>
    <x v="2028"/>
    <s v="Bank Transfer"/>
    <s v="TXN104449"/>
    <x v="0"/>
  </r>
  <r>
    <d v="2023-05-08T00:00:00"/>
    <x v="4"/>
    <x v="1"/>
    <x v="0"/>
    <x v="2025"/>
    <x v="2029"/>
    <s v="Card"/>
    <s v="TXN105197"/>
    <x v="0"/>
  </r>
  <r>
    <d v="2023-05-08T00:00:00"/>
    <x v="4"/>
    <x v="3"/>
    <x v="2"/>
    <x v="2026"/>
    <x v="2030"/>
    <s v="Bank Transfer"/>
    <s v="TXN106314"/>
    <x v="0"/>
  </r>
  <r>
    <d v="2023-05-08T00:00:00"/>
    <x v="4"/>
    <x v="0"/>
    <x v="2"/>
    <x v="2027"/>
    <x v="2031"/>
    <s v="Cash"/>
    <s v="TXN107024"/>
    <x v="0"/>
  </r>
  <r>
    <d v="2023-05-08T00:00:00"/>
    <x v="4"/>
    <x v="4"/>
    <x v="4"/>
    <x v="2028"/>
    <x v="2032"/>
    <s v="Card"/>
    <s v="TXN107475"/>
    <x v="0"/>
  </r>
  <r>
    <d v="2023-05-08T00:00:00"/>
    <x v="4"/>
    <x v="7"/>
    <x v="0"/>
    <x v="2029"/>
    <x v="2033"/>
    <s v="Cash"/>
    <s v="TXN108587"/>
    <x v="0"/>
  </r>
  <r>
    <d v="2023-05-08T00:00:00"/>
    <x v="4"/>
    <x v="1"/>
    <x v="3"/>
    <x v="2030"/>
    <x v="2034"/>
    <s v="Bank Transfer"/>
    <s v="TXN109336"/>
    <x v="0"/>
  </r>
  <r>
    <d v="2023-05-08T00:00:00"/>
    <x v="4"/>
    <x v="0"/>
    <x v="0"/>
    <x v="2031"/>
    <x v="2035"/>
    <s v="Bank Transfer"/>
    <s v="TXN109699"/>
    <x v="0"/>
  </r>
  <r>
    <d v="2023-05-08T00:00:00"/>
    <x v="4"/>
    <x v="5"/>
    <x v="3"/>
    <x v="2032"/>
    <x v="2036"/>
    <s v="Bank Transfer"/>
    <s v="REV101000"/>
    <x v="1"/>
  </r>
  <r>
    <d v="2023-05-08T00:00:00"/>
    <x v="4"/>
    <x v="5"/>
    <x v="1"/>
    <x v="482"/>
    <x v="2037"/>
    <s v="Bank Transfer"/>
    <s v="REV101204"/>
    <x v="1"/>
  </r>
  <r>
    <d v="2023-05-08T00:00:00"/>
    <x v="4"/>
    <x v="5"/>
    <x v="4"/>
    <x v="2033"/>
    <x v="1442"/>
    <s v="Bank Transfer"/>
    <s v="REV101212"/>
    <x v="1"/>
  </r>
  <r>
    <d v="2023-05-08T00:00:00"/>
    <x v="4"/>
    <x v="6"/>
    <x v="2"/>
    <x v="2034"/>
    <x v="2038"/>
    <s v="Card"/>
    <s v="REV101419"/>
    <x v="1"/>
  </r>
  <r>
    <d v="2023-05-08T00:00:00"/>
    <x v="4"/>
    <x v="5"/>
    <x v="4"/>
    <x v="2035"/>
    <x v="2039"/>
    <s v="Card"/>
    <s v="REV101531"/>
    <x v="1"/>
  </r>
  <r>
    <d v="2023-05-08T00:00:00"/>
    <x v="4"/>
    <x v="5"/>
    <x v="0"/>
    <x v="482"/>
    <x v="2040"/>
    <s v="Bank Transfer"/>
    <s v="REV101761"/>
    <x v="1"/>
  </r>
  <r>
    <d v="2023-05-08T00:00:00"/>
    <x v="4"/>
    <x v="5"/>
    <x v="2"/>
    <x v="1056"/>
    <x v="2041"/>
    <s v="UPI"/>
    <s v="REV102130"/>
    <x v="1"/>
  </r>
  <r>
    <d v="2023-05-08T00:00:00"/>
    <x v="4"/>
    <x v="5"/>
    <x v="2"/>
    <x v="202"/>
    <x v="2042"/>
    <s v="UPI"/>
    <s v="REV102384"/>
    <x v="1"/>
  </r>
  <r>
    <d v="2023-05-08T00:00:00"/>
    <x v="4"/>
    <x v="5"/>
    <x v="4"/>
    <x v="2036"/>
    <x v="2043"/>
    <s v="Bank Transfer"/>
    <s v="REV102533"/>
    <x v="1"/>
  </r>
  <r>
    <d v="2023-05-08T00:00:00"/>
    <x v="4"/>
    <x v="6"/>
    <x v="0"/>
    <x v="2037"/>
    <x v="2044"/>
    <s v="Bank Transfer"/>
    <s v="REV102917"/>
    <x v="1"/>
  </r>
  <r>
    <d v="2023-05-08T00:00:00"/>
    <x v="4"/>
    <x v="5"/>
    <x v="3"/>
    <x v="2038"/>
    <x v="2045"/>
    <s v="Bank Transfer"/>
    <s v="REV103156"/>
    <x v="1"/>
  </r>
  <r>
    <d v="2023-05-08T00:00:00"/>
    <x v="4"/>
    <x v="5"/>
    <x v="0"/>
    <x v="222"/>
    <x v="2046"/>
    <s v="Bank Transfer"/>
    <s v="REV103278"/>
    <x v="1"/>
  </r>
  <r>
    <d v="2023-05-09T00:00:00"/>
    <x v="4"/>
    <x v="3"/>
    <x v="2"/>
    <x v="2039"/>
    <x v="2047"/>
    <s v="Cash"/>
    <s v="TXN100592"/>
    <x v="0"/>
  </r>
  <r>
    <d v="2023-05-09T00:00:00"/>
    <x v="4"/>
    <x v="0"/>
    <x v="1"/>
    <x v="2040"/>
    <x v="2048"/>
    <s v="Cash"/>
    <s v="TXN101650"/>
    <x v="0"/>
  </r>
  <r>
    <d v="2023-05-09T00:00:00"/>
    <x v="4"/>
    <x v="4"/>
    <x v="0"/>
    <x v="2041"/>
    <x v="2049"/>
    <s v="Bank Transfer"/>
    <s v="TXN101776"/>
    <x v="0"/>
  </r>
  <r>
    <d v="2023-05-09T00:00:00"/>
    <x v="4"/>
    <x v="7"/>
    <x v="1"/>
    <x v="2042"/>
    <x v="2050"/>
    <s v="Card"/>
    <s v="TXN102486"/>
    <x v="0"/>
  </r>
  <r>
    <d v="2023-05-09T00:00:00"/>
    <x v="4"/>
    <x v="7"/>
    <x v="0"/>
    <x v="2043"/>
    <x v="2051"/>
    <s v="UPI"/>
    <s v="TXN103606"/>
    <x v="0"/>
  </r>
  <r>
    <d v="2023-05-09T00:00:00"/>
    <x v="4"/>
    <x v="1"/>
    <x v="3"/>
    <x v="2044"/>
    <x v="2052"/>
    <s v="UPI"/>
    <s v="TXN105537"/>
    <x v="0"/>
  </r>
  <r>
    <d v="2023-05-09T00:00:00"/>
    <x v="4"/>
    <x v="0"/>
    <x v="1"/>
    <x v="2045"/>
    <x v="1375"/>
    <s v="Cash"/>
    <s v="TXN106445"/>
    <x v="0"/>
  </r>
  <r>
    <d v="2023-05-09T00:00:00"/>
    <x v="4"/>
    <x v="1"/>
    <x v="2"/>
    <x v="2046"/>
    <x v="2053"/>
    <s v="Bank Transfer"/>
    <s v="TXN106764"/>
    <x v="0"/>
  </r>
  <r>
    <d v="2023-05-09T00:00:00"/>
    <x v="4"/>
    <x v="1"/>
    <x v="2"/>
    <x v="2047"/>
    <x v="2054"/>
    <s v="Cash"/>
    <s v="TXN107696"/>
    <x v="0"/>
  </r>
  <r>
    <d v="2023-05-09T00:00:00"/>
    <x v="4"/>
    <x v="5"/>
    <x v="2"/>
    <x v="2048"/>
    <x v="2055"/>
    <s v="Bank Transfer"/>
    <s v="REV100230"/>
    <x v="1"/>
  </r>
  <r>
    <d v="2023-05-09T00:00:00"/>
    <x v="4"/>
    <x v="6"/>
    <x v="1"/>
    <x v="95"/>
    <x v="235"/>
    <s v="Bank Transfer"/>
    <s v="REV100608"/>
    <x v="1"/>
  </r>
  <r>
    <d v="2023-05-09T00:00:00"/>
    <x v="4"/>
    <x v="6"/>
    <x v="0"/>
    <x v="1382"/>
    <x v="2056"/>
    <s v="Card"/>
    <s v="REV100645"/>
    <x v="1"/>
  </r>
  <r>
    <d v="2023-05-09T00:00:00"/>
    <x v="4"/>
    <x v="6"/>
    <x v="1"/>
    <x v="2049"/>
    <x v="1999"/>
    <s v="Bank Transfer"/>
    <s v="REV100874"/>
    <x v="1"/>
  </r>
  <r>
    <d v="2023-05-09T00:00:00"/>
    <x v="4"/>
    <x v="5"/>
    <x v="0"/>
    <x v="1836"/>
    <x v="2057"/>
    <s v="Card"/>
    <s v="REV101231"/>
    <x v="1"/>
  </r>
  <r>
    <d v="2023-05-09T00:00:00"/>
    <x v="4"/>
    <x v="5"/>
    <x v="3"/>
    <x v="154"/>
    <x v="734"/>
    <s v="Bank Transfer"/>
    <s v="REV101886"/>
    <x v="1"/>
  </r>
  <r>
    <d v="2023-05-09T00:00:00"/>
    <x v="4"/>
    <x v="6"/>
    <x v="1"/>
    <x v="648"/>
    <x v="1227"/>
    <s v="UPI"/>
    <s v="REV102181"/>
    <x v="1"/>
  </r>
  <r>
    <d v="2023-05-09T00:00:00"/>
    <x v="4"/>
    <x v="5"/>
    <x v="2"/>
    <x v="1042"/>
    <x v="2058"/>
    <s v="Bank Transfer"/>
    <s v="REV102303"/>
    <x v="1"/>
  </r>
  <r>
    <d v="2023-05-09T00:00:00"/>
    <x v="4"/>
    <x v="6"/>
    <x v="2"/>
    <x v="2050"/>
    <x v="2059"/>
    <s v="Card"/>
    <s v="REV102619"/>
    <x v="1"/>
  </r>
  <r>
    <d v="2023-05-10T00:00:00"/>
    <x v="4"/>
    <x v="0"/>
    <x v="2"/>
    <x v="2051"/>
    <x v="2060"/>
    <s v="Cash"/>
    <s v="TXN101991"/>
    <x v="0"/>
  </r>
  <r>
    <d v="2023-05-10T00:00:00"/>
    <x v="4"/>
    <x v="3"/>
    <x v="2"/>
    <x v="2052"/>
    <x v="2061"/>
    <s v="Cash"/>
    <s v="TXN103265"/>
    <x v="0"/>
  </r>
  <r>
    <d v="2023-05-10T00:00:00"/>
    <x v="4"/>
    <x v="2"/>
    <x v="2"/>
    <x v="2053"/>
    <x v="2062"/>
    <s v="Card"/>
    <s v="TXN103339"/>
    <x v="0"/>
  </r>
  <r>
    <d v="2023-05-10T00:00:00"/>
    <x v="4"/>
    <x v="0"/>
    <x v="3"/>
    <x v="2054"/>
    <x v="2063"/>
    <s v="Card"/>
    <s v="TXN105226"/>
    <x v="0"/>
  </r>
  <r>
    <d v="2023-05-10T00:00:00"/>
    <x v="4"/>
    <x v="0"/>
    <x v="0"/>
    <x v="2055"/>
    <x v="2064"/>
    <s v="Cash"/>
    <s v="TXN106497"/>
    <x v="0"/>
  </r>
  <r>
    <d v="2023-05-10T00:00:00"/>
    <x v="4"/>
    <x v="2"/>
    <x v="2"/>
    <x v="2056"/>
    <x v="2065"/>
    <s v="Cash"/>
    <s v="TXN107593"/>
    <x v="0"/>
  </r>
  <r>
    <d v="2023-05-10T00:00:00"/>
    <x v="4"/>
    <x v="6"/>
    <x v="2"/>
    <x v="236"/>
    <x v="2066"/>
    <s v="Card"/>
    <s v="REV100710"/>
    <x v="1"/>
  </r>
  <r>
    <d v="2023-05-10T00:00:00"/>
    <x v="4"/>
    <x v="6"/>
    <x v="2"/>
    <x v="2057"/>
    <x v="1126"/>
    <s v="Bank Transfer"/>
    <s v="REV101120"/>
    <x v="1"/>
  </r>
  <r>
    <d v="2023-05-10T00:00:00"/>
    <x v="4"/>
    <x v="6"/>
    <x v="2"/>
    <x v="2058"/>
    <x v="540"/>
    <s v="Card"/>
    <s v="REV101149"/>
    <x v="1"/>
  </r>
  <r>
    <d v="2023-05-10T00:00:00"/>
    <x v="4"/>
    <x v="6"/>
    <x v="3"/>
    <x v="2059"/>
    <x v="2067"/>
    <s v="Bank Transfer"/>
    <s v="REV101771"/>
    <x v="1"/>
  </r>
  <r>
    <d v="2023-05-10T00:00:00"/>
    <x v="4"/>
    <x v="5"/>
    <x v="0"/>
    <x v="2060"/>
    <x v="2068"/>
    <s v="UPI"/>
    <s v="REV102203"/>
    <x v="1"/>
  </r>
  <r>
    <d v="2023-05-10T00:00:00"/>
    <x v="4"/>
    <x v="6"/>
    <x v="2"/>
    <x v="2061"/>
    <x v="1827"/>
    <s v="Bank Transfer"/>
    <s v="REV102579"/>
    <x v="1"/>
  </r>
  <r>
    <d v="2023-05-11T00:00:00"/>
    <x v="4"/>
    <x v="0"/>
    <x v="3"/>
    <x v="2062"/>
    <x v="2069"/>
    <s v="Card"/>
    <s v="TXN100000"/>
    <x v="0"/>
  </r>
  <r>
    <d v="2023-05-11T00:00:00"/>
    <x v="4"/>
    <x v="0"/>
    <x v="2"/>
    <x v="2063"/>
    <x v="2070"/>
    <s v="Card"/>
    <s v="TXN100337"/>
    <x v="0"/>
  </r>
  <r>
    <d v="2023-05-11T00:00:00"/>
    <x v="4"/>
    <x v="1"/>
    <x v="2"/>
    <x v="2064"/>
    <x v="2071"/>
    <s v="Card"/>
    <s v="TXN102996"/>
    <x v="0"/>
  </r>
  <r>
    <d v="2023-05-11T00:00:00"/>
    <x v="4"/>
    <x v="0"/>
    <x v="1"/>
    <x v="2065"/>
    <x v="2072"/>
    <s v="Cash"/>
    <s v="TXN106360"/>
    <x v="0"/>
  </r>
  <r>
    <d v="2023-05-11T00:00:00"/>
    <x v="4"/>
    <x v="0"/>
    <x v="2"/>
    <x v="2066"/>
    <x v="2073"/>
    <s v="Bank Transfer"/>
    <s v="TXN106795"/>
    <x v="0"/>
  </r>
  <r>
    <d v="2023-05-11T00:00:00"/>
    <x v="4"/>
    <x v="7"/>
    <x v="2"/>
    <x v="2067"/>
    <x v="2074"/>
    <s v="UPI"/>
    <s v="TXN109514"/>
    <x v="0"/>
  </r>
  <r>
    <d v="2023-05-11T00:00:00"/>
    <x v="4"/>
    <x v="6"/>
    <x v="3"/>
    <x v="1356"/>
    <x v="1137"/>
    <s v="Bank Transfer"/>
    <s v="REV100000"/>
    <x v="1"/>
  </r>
  <r>
    <d v="2023-05-11T00:00:00"/>
    <x v="4"/>
    <x v="5"/>
    <x v="2"/>
    <x v="287"/>
    <x v="1297"/>
    <s v="Bank Transfer"/>
    <s v="REV100125"/>
    <x v="1"/>
  </r>
  <r>
    <d v="2023-05-11T00:00:00"/>
    <x v="4"/>
    <x v="5"/>
    <x v="2"/>
    <x v="2068"/>
    <x v="2075"/>
    <s v="Bank Transfer"/>
    <s v="REV101039"/>
    <x v="1"/>
  </r>
  <r>
    <d v="2023-05-11T00:00:00"/>
    <x v="4"/>
    <x v="6"/>
    <x v="1"/>
    <x v="2069"/>
    <x v="283"/>
    <s v="UPI"/>
    <s v="REV102147"/>
    <x v="1"/>
  </r>
  <r>
    <d v="2023-05-11T00:00:00"/>
    <x v="4"/>
    <x v="5"/>
    <x v="2"/>
    <x v="363"/>
    <x v="2076"/>
    <s v="Card"/>
    <s v="REV102314"/>
    <x v="1"/>
  </r>
  <r>
    <d v="2023-05-11T00:00:00"/>
    <x v="4"/>
    <x v="6"/>
    <x v="2"/>
    <x v="616"/>
    <x v="263"/>
    <s v="Bank Transfer"/>
    <s v="REV103212"/>
    <x v="1"/>
  </r>
  <r>
    <d v="2023-05-12T00:00:00"/>
    <x v="4"/>
    <x v="1"/>
    <x v="1"/>
    <x v="2070"/>
    <x v="2077"/>
    <s v="Card"/>
    <s v="TXN101423"/>
    <x v="0"/>
  </r>
  <r>
    <d v="2023-05-12T00:00:00"/>
    <x v="4"/>
    <x v="0"/>
    <x v="3"/>
    <x v="2071"/>
    <x v="2078"/>
    <s v="Cash"/>
    <s v="TXN101482"/>
    <x v="0"/>
  </r>
  <r>
    <d v="2023-05-12T00:00:00"/>
    <x v="4"/>
    <x v="1"/>
    <x v="2"/>
    <x v="797"/>
    <x v="2079"/>
    <s v="Card"/>
    <s v="TXN102312"/>
    <x v="0"/>
  </r>
  <r>
    <d v="2023-05-12T00:00:00"/>
    <x v="4"/>
    <x v="2"/>
    <x v="4"/>
    <x v="2072"/>
    <x v="2080"/>
    <s v="UPI"/>
    <s v="TXN103744"/>
    <x v="0"/>
  </r>
  <r>
    <d v="2023-05-12T00:00:00"/>
    <x v="4"/>
    <x v="3"/>
    <x v="3"/>
    <x v="2073"/>
    <x v="2081"/>
    <s v="Cash"/>
    <s v="TXN104572"/>
    <x v="0"/>
  </r>
  <r>
    <d v="2023-05-12T00:00:00"/>
    <x v="4"/>
    <x v="0"/>
    <x v="3"/>
    <x v="2074"/>
    <x v="2082"/>
    <s v="Cash"/>
    <s v="TXN104957"/>
    <x v="0"/>
  </r>
  <r>
    <d v="2023-05-12T00:00:00"/>
    <x v="4"/>
    <x v="0"/>
    <x v="0"/>
    <x v="2075"/>
    <x v="2083"/>
    <s v="UPI"/>
    <s v="TXN105411"/>
    <x v="0"/>
  </r>
  <r>
    <d v="2023-05-12T00:00:00"/>
    <x v="4"/>
    <x v="4"/>
    <x v="1"/>
    <x v="2076"/>
    <x v="2084"/>
    <s v="Cash"/>
    <s v="TXN107240"/>
    <x v="0"/>
  </r>
  <r>
    <d v="2023-05-12T00:00:00"/>
    <x v="4"/>
    <x v="5"/>
    <x v="1"/>
    <x v="759"/>
    <x v="50"/>
    <s v="Bank Transfer"/>
    <s v="REV100522"/>
    <x v="1"/>
  </r>
  <r>
    <d v="2023-05-12T00:00:00"/>
    <x v="4"/>
    <x v="6"/>
    <x v="3"/>
    <x v="30"/>
    <x v="846"/>
    <s v="Card"/>
    <s v="REV100543"/>
    <x v="1"/>
  </r>
  <r>
    <d v="2023-05-12T00:00:00"/>
    <x v="4"/>
    <x v="5"/>
    <x v="2"/>
    <x v="2077"/>
    <x v="2085"/>
    <s v="UPI"/>
    <s v="REV100817"/>
    <x v="1"/>
  </r>
  <r>
    <d v="2023-05-12T00:00:00"/>
    <x v="4"/>
    <x v="5"/>
    <x v="4"/>
    <x v="2078"/>
    <x v="846"/>
    <s v="Card"/>
    <s v="REV101289"/>
    <x v="1"/>
  </r>
  <r>
    <d v="2023-05-12T00:00:00"/>
    <x v="4"/>
    <x v="6"/>
    <x v="3"/>
    <x v="2079"/>
    <x v="2086"/>
    <s v="Card"/>
    <s v="REV101564"/>
    <x v="1"/>
  </r>
  <r>
    <d v="2023-05-12T00:00:00"/>
    <x v="4"/>
    <x v="6"/>
    <x v="3"/>
    <x v="616"/>
    <x v="2087"/>
    <s v="UPI"/>
    <s v="REV101691"/>
    <x v="1"/>
  </r>
  <r>
    <d v="2023-05-12T00:00:00"/>
    <x v="4"/>
    <x v="6"/>
    <x v="0"/>
    <x v="2080"/>
    <x v="1605"/>
    <s v="Card"/>
    <s v="REV101839"/>
    <x v="1"/>
  </r>
  <r>
    <d v="2023-05-12T00:00:00"/>
    <x v="4"/>
    <x v="6"/>
    <x v="1"/>
    <x v="86"/>
    <x v="2088"/>
    <s v="Card"/>
    <s v="REV102460"/>
    <x v="1"/>
  </r>
  <r>
    <d v="2023-05-13T00:00:00"/>
    <x v="4"/>
    <x v="2"/>
    <x v="0"/>
    <x v="2081"/>
    <x v="2089"/>
    <s v="Card"/>
    <s v="TXN102898"/>
    <x v="0"/>
  </r>
  <r>
    <d v="2023-05-13T00:00:00"/>
    <x v="4"/>
    <x v="3"/>
    <x v="3"/>
    <x v="2082"/>
    <x v="2090"/>
    <s v="Card"/>
    <s v="TXN102931"/>
    <x v="0"/>
  </r>
  <r>
    <d v="2023-05-13T00:00:00"/>
    <x v="4"/>
    <x v="4"/>
    <x v="3"/>
    <x v="2083"/>
    <x v="2091"/>
    <s v="UPI"/>
    <s v="TXN103053"/>
    <x v="0"/>
  </r>
  <r>
    <d v="2023-05-13T00:00:00"/>
    <x v="4"/>
    <x v="7"/>
    <x v="4"/>
    <x v="2084"/>
    <x v="2092"/>
    <s v="Bank Transfer"/>
    <s v="TXN103895"/>
    <x v="0"/>
  </r>
  <r>
    <d v="2023-05-13T00:00:00"/>
    <x v="4"/>
    <x v="3"/>
    <x v="0"/>
    <x v="2085"/>
    <x v="2093"/>
    <s v="UPI"/>
    <s v="TXN105512"/>
    <x v="0"/>
  </r>
  <r>
    <d v="2023-05-13T00:00:00"/>
    <x v="4"/>
    <x v="7"/>
    <x v="1"/>
    <x v="2086"/>
    <x v="2094"/>
    <s v="Cash"/>
    <s v="TXN105946"/>
    <x v="0"/>
  </r>
  <r>
    <d v="2023-05-13T00:00:00"/>
    <x v="4"/>
    <x v="0"/>
    <x v="3"/>
    <x v="2087"/>
    <x v="2095"/>
    <s v="Bank Transfer"/>
    <s v="TXN108656"/>
    <x v="0"/>
  </r>
  <r>
    <d v="2023-05-13T00:00:00"/>
    <x v="4"/>
    <x v="6"/>
    <x v="0"/>
    <x v="1085"/>
    <x v="1250"/>
    <s v="UPI"/>
    <s v="REV101013"/>
    <x v="1"/>
  </r>
  <r>
    <d v="2023-05-13T00:00:00"/>
    <x v="4"/>
    <x v="5"/>
    <x v="3"/>
    <x v="1627"/>
    <x v="1520"/>
    <s v="Bank Transfer"/>
    <s v="REV101019"/>
    <x v="1"/>
  </r>
  <r>
    <d v="2023-05-13T00:00:00"/>
    <x v="4"/>
    <x v="6"/>
    <x v="3"/>
    <x v="821"/>
    <x v="2096"/>
    <s v="Card"/>
    <s v="REV101055"/>
    <x v="1"/>
  </r>
  <r>
    <d v="2023-05-13T00:00:00"/>
    <x v="4"/>
    <x v="5"/>
    <x v="4"/>
    <x v="86"/>
    <x v="1049"/>
    <s v="UPI"/>
    <s v="REV101347"/>
    <x v="1"/>
  </r>
  <r>
    <d v="2023-05-13T00:00:00"/>
    <x v="4"/>
    <x v="6"/>
    <x v="0"/>
    <x v="479"/>
    <x v="734"/>
    <s v="Bank Transfer"/>
    <s v="REV101873"/>
    <x v="1"/>
  </r>
  <r>
    <d v="2023-05-13T00:00:00"/>
    <x v="4"/>
    <x v="5"/>
    <x v="1"/>
    <x v="2088"/>
    <x v="1010"/>
    <s v="Bank Transfer"/>
    <s v="REV102008"/>
    <x v="1"/>
  </r>
  <r>
    <d v="2023-05-13T00:00:00"/>
    <x v="4"/>
    <x v="5"/>
    <x v="3"/>
    <x v="2089"/>
    <x v="2097"/>
    <s v="Bank Transfer"/>
    <s v="REV102938"/>
    <x v="1"/>
  </r>
  <r>
    <d v="2023-05-14T00:00:00"/>
    <x v="4"/>
    <x v="3"/>
    <x v="2"/>
    <x v="2090"/>
    <x v="2098"/>
    <s v="Card"/>
    <s v="TXN100112"/>
    <x v="0"/>
  </r>
  <r>
    <d v="2023-05-14T00:00:00"/>
    <x v="4"/>
    <x v="0"/>
    <x v="4"/>
    <x v="2091"/>
    <x v="2099"/>
    <s v="Bank Transfer"/>
    <s v="TXN100172"/>
    <x v="0"/>
  </r>
  <r>
    <d v="2023-05-14T00:00:00"/>
    <x v="4"/>
    <x v="7"/>
    <x v="0"/>
    <x v="2092"/>
    <x v="2100"/>
    <s v="Cash"/>
    <s v="TXN102636"/>
    <x v="0"/>
  </r>
  <r>
    <d v="2023-05-14T00:00:00"/>
    <x v="4"/>
    <x v="7"/>
    <x v="1"/>
    <x v="2093"/>
    <x v="2101"/>
    <s v="Bank Transfer"/>
    <s v="TXN103124"/>
    <x v="0"/>
  </r>
  <r>
    <d v="2023-05-14T00:00:00"/>
    <x v="4"/>
    <x v="0"/>
    <x v="1"/>
    <x v="2094"/>
    <x v="2102"/>
    <s v="Card"/>
    <s v="TXN105534"/>
    <x v="0"/>
  </r>
  <r>
    <d v="2023-05-14T00:00:00"/>
    <x v="4"/>
    <x v="3"/>
    <x v="0"/>
    <x v="2095"/>
    <x v="2103"/>
    <s v="Bank Transfer"/>
    <s v="TXN108732"/>
    <x v="0"/>
  </r>
  <r>
    <d v="2023-05-14T00:00:00"/>
    <x v="4"/>
    <x v="1"/>
    <x v="3"/>
    <x v="2096"/>
    <x v="2104"/>
    <s v="Card"/>
    <s v="TXN109353"/>
    <x v="0"/>
  </r>
  <r>
    <d v="2023-05-14T00:00:00"/>
    <x v="4"/>
    <x v="3"/>
    <x v="2"/>
    <x v="2097"/>
    <x v="2105"/>
    <s v="Card"/>
    <s v="TXN109831"/>
    <x v="0"/>
  </r>
  <r>
    <d v="2023-05-14T00:00:00"/>
    <x v="4"/>
    <x v="5"/>
    <x v="2"/>
    <x v="538"/>
    <x v="2106"/>
    <s v="Card"/>
    <s v="REV100043"/>
    <x v="1"/>
  </r>
  <r>
    <d v="2023-05-14T00:00:00"/>
    <x v="4"/>
    <x v="5"/>
    <x v="4"/>
    <x v="62"/>
    <x v="2107"/>
    <s v="Bank Transfer"/>
    <s v="REV100062"/>
    <x v="1"/>
  </r>
  <r>
    <d v="2023-05-14T00:00:00"/>
    <x v="4"/>
    <x v="5"/>
    <x v="0"/>
    <x v="887"/>
    <x v="2108"/>
    <s v="Bank Transfer"/>
    <s v="REV100923"/>
    <x v="1"/>
  </r>
  <r>
    <d v="2023-05-14T00:00:00"/>
    <x v="4"/>
    <x v="5"/>
    <x v="1"/>
    <x v="266"/>
    <x v="1616"/>
    <s v="Card"/>
    <s v="REV101076"/>
    <x v="1"/>
  </r>
  <r>
    <d v="2023-05-14T00:00:00"/>
    <x v="4"/>
    <x v="5"/>
    <x v="1"/>
    <x v="2098"/>
    <x v="1490"/>
    <s v="Bank Transfer"/>
    <s v="REV101885"/>
    <x v="1"/>
  </r>
  <r>
    <d v="2023-05-14T00:00:00"/>
    <x v="4"/>
    <x v="5"/>
    <x v="0"/>
    <x v="675"/>
    <x v="2109"/>
    <s v="UPI"/>
    <s v="REV102963"/>
    <x v="1"/>
  </r>
  <r>
    <d v="2023-05-14T00:00:00"/>
    <x v="4"/>
    <x v="5"/>
    <x v="3"/>
    <x v="2099"/>
    <x v="2110"/>
    <s v="Card"/>
    <s v="REV103162"/>
    <x v="1"/>
  </r>
  <r>
    <d v="2023-05-14T00:00:00"/>
    <x v="4"/>
    <x v="5"/>
    <x v="2"/>
    <x v="2100"/>
    <x v="2111"/>
    <s v="UPI"/>
    <s v="REV103329"/>
    <x v="1"/>
  </r>
  <r>
    <d v="2023-05-15T00:00:00"/>
    <x v="4"/>
    <x v="0"/>
    <x v="3"/>
    <x v="2101"/>
    <x v="2112"/>
    <s v="Bank Transfer"/>
    <s v="TXN100811"/>
    <x v="0"/>
  </r>
  <r>
    <d v="2023-05-15T00:00:00"/>
    <x v="4"/>
    <x v="7"/>
    <x v="1"/>
    <x v="2102"/>
    <x v="2113"/>
    <s v="Bank Transfer"/>
    <s v="TXN102458"/>
    <x v="0"/>
  </r>
  <r>
    <d v="2023-05-15T00:00:00"/>
    <x v="4"/>
    <x v="2"/>
    <x v="0"/>
    <x v="2103"/>
    <x v="2114"/>
    <s v="Card"/>
    <s v="TXN103307"/>
    <x v="0"/>
  </r>
  <r>
    <d v="2023-05-15T00:00:00"/>
    <x v="4"/>
    <x v="1"/>
    <x v="4"/>
    <x v="2104"/>
    <x v="2115"/>
    <s v="Cash"/>
    <s v="TXN104404"/>
    <x v="0"/>
  </r>
  <r>
    <d v="2023-05-15T00:00:00"/>
    <x v="4"/>
    <x v="7"/>
    <x v="1"/>
    <x v="2105"/>
    <x v="2116"/>
    <s v="Cash"/>
    <s v="TXN104498"/>
    <x v="0"/>
  </r>
  <r>
    <d v="2023-05-15T00:00:00"/>
    <x v="4"/>
    <x v="4"/>
    <x v="0"/>
    <x v="2106"/>
    <x v="2117"/>
    <s v="UPI"/>
    <s v="TXN107076"/>
    <x v="0"/>
  </r>
  <r>
    <d v="2023-05-15T00:00:00"/>
    <x v="4"/>
    <x v="1"/>
    <x v="0"/>
    <x v="2107"/>
    <x v="2118"/>
    <s v="Cash"/>
    <s v="TXN107917"/>
    <x v="0"/>
  </r>
  <r>
    <d v="2023-05-15T00:00:00"/>
    <x v="4"/>
    <x v="3"/>
    <x v="0"/>
    <x v="2108"/>
    <x v="2119"/>
    <s v="Cash"/>
    <s v="TXN109074"/>
    <x v="0"/>
  </r>
  <r>
    <d v="2023-05-15T00:00:00"/>
    <x v="4"/>
    <x v="7"/>
    <x v="0"/>
    <x v="2109"/>
    <x v="2120"/>
    <s v="Cash"/>
    <s v="TXN109579"/>
    <x v="0"/>
  </r>
  <r>
    <d v="2023-05-15T00:00:00"/>
    <x v="4"/>
    <x v="6"/>
    <x v="3"/>
    <x v="66"/>
    <x v="191"/>
    <s v="Bank Transfer"/>
    <s v="REV100296"/>
    <x v="1"/>
  </r>
  <r>
    <d v="2023-05-15T00:00:00"/>
    <x v="4"/>
    <x v="6"/>
    <x v="1"/>
    <x v="885"/>
    <x v="731"/>
    <s v="Bank Transfer"/>
    <s v="REV100865"/>
    <x v="1"/>
  </r>
  <r>
    <d v="2023-05-15T00:00:00"/>
    <x v="4"/>
    <x v="6"/>
    <x v="0"/>
    <x v="2110"/>
    <x v="2121"/>
    <s v="Bank Transfer"/>
    <s v="REV101134"/>
    <x v="1"/>
  </r>
  <r>
    <d v="2023-05-15T00:00:00"/>
    <x v="4"/>
    <x v="5"/>
    <x v="4"/>
    <x v="2111"/>
    <x v="2122"/>
    <s v="Bank Transfer"/>
    <s v="REV101519"/>
    <x v="1"/>
  </r>
  <r>
    <d v="2023-05-15T00:00:00"/>
    <x v="4"/>
    <x v="5"/>
    <x v="1"/>
    <x v="2112"/>
    <x v="807"/>
    <s v="Bank Transfer"/>
    <s v="REV101546"/>
    <x v="1"/>
  </r>
  <r>
    <d v="2023-05-15T00:00:00"/>
    <x v="4"/>
    <x v="6"/>
    <x v="0"/>
    <x v="2113"/>
    <x v="269"/>
    <s v="Card"/>
    <s v="REV102403"/>
    <x v="1"/>
  </r>
  <r>
    <d v="2023-05-15T00:00:00"/>
    <x v="4"/>
    <x v="5"/>
    <x v="0"/>
    <x v="864"/>
    <x v="1280"/>
    <s v="Bank Transfer"/>
    <s v="REV102689"/>
    <x v="1"/>
  </r>
  <r>
    <d v="2023-05-15T00:00:00"/>
    <x v="4"/>
    <x v="6"/>
    <x v="0"/>
    <x v="311"/>
    <x v="301"/>
    <s v="UPI"/>
    <s v="REV103068"/>
    <x v="1"/>
  </r>
  <r>
    <d v="2023-05-15T00:00:00"/>
    <x v="4"/>
    <x v="6"/>
    <x v="0"/>
    <x v="343"/>
    <x v="2123"/>
    <s v="UPI"/>
    <s v="REV103236"/>
    <x v="1"/>
  </r>
  <r>
    <d v="2023-05-16T00:00:00"/>
    <x v="4"/>
    <x v="3"/>
    <x v="1"/>
    <x v="2114"/>
    <x v="2124"/>
    <s v="Cash"/>
    <s v="TXN101055"/>
    <x v="0"/>
  </r>
  <r>
    <d v="2023-05-16T00:00:00"/>
    <x v="4"/>
    <x v="7"/>
    <x v="1"/>
    <x v="2115"/>
    <x v="2125"/>
    <s v="Card"/>
    <s v="TXN101239"/>
    <x v="0"/>
  </r>
  <r>
    <d v="2023-05-16T00:00:00"/>
    <x v="4"/>
    <x v="3"/>
    <x v="2"/>
    <x v="2116"/>
    <x v="2126"/>
    <s v="UPI"/>
    <s v="TXN101437"/>
    <x v="0"/>
  </r>
  <r>
    <d v="2023-05-16T00:00:00"/>
    <x v="4"/>
    <x v="1"/>
    <x v="1"/>
    <x v="2117"/>
    <x v="2127"/>
    <s v="Card"/>
    <s v="TXN102606"/>
    <x v="0"/>
  </r>
  <r>
    <d v="2023-05-16T00:00:00"/>
    <x v="4"/>
    <x v="4"/>
    <x v="3"/>
    <x v="2118"/>
    <x v="2128"/>
    <s v="Bank Transfer"/>
    <s v="TXN105006"/>
    <x v="0"/>
  </r>
  <r>
    <d v="2023-05-16T00:00:00"/>
    <x v="4"/>
    <x v="1"/>
    <x v="0"/>
    <x v="2119"/>
    <x v="2129"/>
    <s v="UPI"/>
    <s v="TXN105311"/>
    <x v="0"/>
  </r>
  <r>
    <d v="2023-05-16T00:00:00"/>
    <x v="4"/>
    <x v="1"/>
    <x v="1"/>
    <x v="2120"/>
    <x v="2130"/>
    <s v="Cash"/>
    <s v="TXN105320"/>
    <x v="0"/>
  </r>
  <r>
    <d v="2023-05-16T00:00:00"/>
    <x v="4"/>
    <x v="3"/>
    <x v="0"/>
    <x v="2121"/>
    <x v="2131"/>
    <s v="Card"/>
    <s v="TXN105532"/>
    <x v="0"/>
  </r>
  <r>
    <d v="2023-05-16T00:00:00"/>
    <x v="4"/>
    <x v="1"/>
    <x v="4"/>
    <x v="2122"/>
    <x v="2132"/>
    <s v="UPI"/>
    <s v="TXN107589"/>
    <x v="0"/>
  </r>
  <r>
    <d v="2023-05-16T00:00:00"/>
    <x v="4"/>
    <x v="4"/>
    <x v="0"/>
    <x v="2123"/>
    <x v="2133"/>
    <s v="Bank Transfer"/>
    <s v="TXN109516"/>
    <x v="0"/>
  </r>
  <r>
    <d v="2023-05-16T00:00:00"/>
    <x v="4"/>
    <x v="5"/>
    <x v="1"/>
    <x v="225"/>
    <x v="271"/>
    <s v="Bank Transfer"/>
    <s v="REV100388"/>
    <x v="1"/>
  </r>
  <r>
    <d v="2023-05-16T00:00:00"/>
    <x v="4"/>
    <x v="5"/>
    <x v="1"/>
    <x v="109"/>
    <x v="2134"/>
    <s v="Bank Transfer"/>
    <s v="REV100453"/>
    <x v="1"/>
  </r>
  <r>
    <d v="2023-05-16T00:00:00"/>
    <x v="4"/>
    <x v="6"/>
    <x v="2"/>
    <x v="49"/>
    <x v="860"/>
    <s v="Bank Transfer"/>
    <s v="REV100528"/>
    <x v="1"/>
  </r>
  <r>
    <d v="2023-05-16T00:00:00"/>
    <x v="4"/>
    <x v="6"/>
    <x v="1"/>
    <x v="2124"/>
    <x v="1757"/>
    <s v="Card"/>
    <s v="REV100913"/>
    <x v="1"/>
  </r>
  <r>
    <d v="2023-05-16T00:00:00"/>
    <x v="4"/>
    <x v="5"/>
    <x v="3"/>
    <x v="1852"/>
    <x v="2135"/>
    <s v="Bank Transfer"/>
    <s v="REV101707"/>
    <x v="1"/>
  </r>
  <r>
    <d v="2023-05-16T00:00:00"/>
    <x v="4"/>
    <x v="5"/>
    <x v="0"/>
    <x v="313"/>
    <x v="2136"/>
    <s v="Bank Transfer"/>
    <s v="REV101802"/>
    <x v="1"/>
  </r>
  <r>
    <d v="2023-05-16T00:00:00"/>
    <x v="4"/>
    <x v="6"/>
    <x v="1"/>
    <x v="2125"/>
    <x v="1009"/>
    <s v="UPI"/>
    <s v="REV101805"/>
    <x v="1"/>
  </r>
  <r>
    <d v="2023-05-16T00:00:00"/>
    <x v="4"/>
    <x v="6"/>
    <x v="0"/>
    <x v="2126"/>
    <x v="2137"/>
    <s v="Bank Transfer"/>
    <s v="REV101883"/>
    <x v="1"/>
  </r>
  <r>
    <d v="2023-05-16T00:00:00"/>
    <x v="4"/>
    <x v="6"/>
    <x v="4"/>
    <x v="912"/>
    <x v="344"/>
    <s v="Bank Transfer"/>
    <s v="REV102576"/>
    <x v="1"/>
  </r>
  <r>
    <d v="2023-05-16T00:00:00"/>
    <x v="4"/>
    <x v="5"/>
    <x v="0"/>
    <x v="265"/>
    <x v="2138"/>
    <s v="Bank Transfer"/>
    <s v="REV103213"/>
    <x v="1"/>
  </r>
  <r>
    <d v="2023-05-17T00:00:00"/>
    <x v="4"/>
    <x v="2"/>
    <x v="3"/>
    <x v="2127"/>
    <x v="2139"/>
    <s v="Card"/>
    <s v="TXN100312"/>
    <x v="0"/>
  </r>
  <r>
    <d v="2023-05-17T00:00:00"/>
    <x v="4"/>
    <x v="1"/>
    <x v="4"/>
    <x v="522"/>
    <x v="2140"/>
    <s v="UPI"/>
    <s v="TXN100410"/>
    <x v="0"/>
  </r>
  <r>
    <d v="2023-05-17T00:00:00"/>
    <x v="4"/>
    <x v="0"/>
    <x v="2"/>
    <x v="2128"/>
    <x v="2141"/>
    <s v="Bank Transfer"/>
    <s v="TXN101448"/>
    <x v="0"/>
  </r>
  <r>
    <d v="2023-05-17T00:00:00"/>
    <x v="4"/>
    <x v="4"/>
    <x v="4"/>
    <x v="2129"/>
    <x v="2142"/>
    <s v="Card"/>
    <s v="TXN101574"/>
    <x v="0"/>
  </r>
  <r>
    <d v="2023-05-17T00:00:00"/>
    <x v="4"/>
    <x v="2"/>
    <x v="3"/>
    <x v="2130"/>
    <x v="2143"/>
    <s v="Bank Transfer"/>
    <s v="TXN102447"/>
    <x v="0"/>
  </r>
  <r>
    <d v="2023-05-17T00:00:00"/>
    <x v="4"/>
    <x v="4"/>
    <x v="4"/>
    <x v="2131"/>
    <x v="2144"/>
    <s v="Cash"/>
    <s v="TXN106498"/>
    <x v="0"/>
  </r>
  <r>
    <d v="2023-05-17T00:00:00"/>
    <x v="4"/>
    <x v="7"/>
    <x v="0"/>
    <x v="2132"/>
    <x v="2145"/>
    <s v="UPI"/>
    <s v="TXN108271"/>
    <x v="0"/>
  </r>
  <r>
    <d v="2023-05-17T00:00:00"/>
    <x v="4"/>
    <x v="7"/>
    <x v="0"/>
    <x v="2133"/>
    <x v="2146"/>
    <s v="Bank Transfer"/>
    <s v="TXN108790"/>
    <x v="0"/>
  </r>
  <r>
    <d v="2023-05-17T00:00:00"/>
    <x v="4"/>
    <x v="0"/>
    <x v="3"/>
    <x v="2134"/>
    <x v="2147"/>
    <s v="Cash"/>
    <s v="TXN109740"/>
    <x v="0"/>
  </r>
  <r>
    <d v="2023-05-17T00:00:00"/>
    <x v="4"/>
    <x v="5"/>
    <x v="3"/>
    <x v="2135"/>
    <x v="2023"/>
    <s v="UPI"/>
    <s v="REV100113"/>
    <x v="1"/>
  </r>
  <r>
    <d v="2023-05-17T00:00:00"/>
    <x v="4"/>
    <x v="6"/>
    <x v="4"/>
    <x v="2136"/>
    <x v="2148"/>
    <s v="Bank Transfer"/>
    <s v="REV100155"/>
    <x v="1"/>
  </r>
  <r>
    <d v="2023-05-17T00:00:00"/>
    <x v="4"/>
    <x v="5"/>
    <x v="2"/>
    <x v="2137"/>
    <x v="267"/>
    <s v="Bank Transfer"/>
    <s v="REV100532"/>
    <x v="1"/>
  </r>
  <r>
    <d v="2023-05-17T00:00:00"/>
    <x v="4"/>
    <x v="5"/>
    <x v="4"/>
    <x v="2138"/>
    <x v="1782"/>
    <s v="Card"/>
    <s v="REV100579"/>
    <x v="1"/>
  </r>
  <r>
    <d v="2023-05-17T00:00:00"/>
    <x v="4"/>
    <x v="6"/>
    <x v="3"/>
    <x v="2139"/>
    <x v="2149"/>
    <s v="Bank Transfer"/>
    <s v="REV100860"/>
    <x v="1"/>
  </r>
  <r>
    <d v="2023-05-17T00:00:00"/>
    <x v="4"/>
    <x v="5"/>
    <x v="4"/>
    <x v="2140"/>
    <x v="2150"/>
    <s v="Card"/>
    <s v="REV102204"/>
    <x v="1"/>
  </r>
  <r>
    <d v="2023-05-17T00:00:00"/>
    <x v="4"/>
    <x v="5"/>
    <x v="0"/>
    <x v="2138"/>
    <x v="2151"/>
    <s v="Bank Transfer"/>
    <s v="REV102810"/>
    <x v="1"/>
  </r>
  <r>
    <d v="2023-05-17T00:00:00"/>
    <x v="4"/>
    <x v="5"/>
    <x v="0"/>
    <x v="1318"/>
    <x v="1240"/>
    <s v="Card"/>
    <s v="REV102985"/>
    <x v="1"/>
  </r>
  <r>
    <d v="2023-05-17T00:00:00"/>
    <x v="4"/>
    <x v="6"/>
    <x v="3"/>
    <x v="1287"/>
    <x v="2152"/>
    <s v="UPI"/>
    <s v="REV103296"/>
    <x v="1"/>
  </r>
  <r>
    <d v="2023-05-18T00:00:00"/>
    <x v="4"/>
    <x v="0"/>
    <x v="0"/>
    <x v="2141"/>
    <x v="2153"/>
    <s v="Cash"/>
    <s v="TXN102078"/>
    <x v="0"/>
  </r>
  <r>
    <d v="2023-05-18T00:00:00"/>
    <x v="4"/>
    <x v="1"/>
    <x v="3"/>
    <x v="2142"/>
    <x v="2154"/>
    <s v="Bank Transfer"/>
    <s v="TXN102829"/>
    <x v="0"/>
  </r>
  <r>
    <d v="2023-05-18T00:00:00"/>
    <x v="4"/>
    <x v="7"/>
    <x v="1"/>
    <x v="2143"/>
    <x v="2155"/>
    <s v="Bank Transfer"/>
    <s v="TXN103239"/>
    <x v="0"/>
  </r>
  <r>
    <d v="2023-05-18T00:00:00"/>
    <x v="4"/>
    <x v="2"/>
    <x v="0"/>
    <x v="2144"/>
    <x v="2156"/>
    <s v="Card"/>
    <s v="TXN103568"/>
    <x v="0"/>
  </r>
  <r>
    <d v="2023-05-18T00:00:00"/>
    <x v="4"/>
    <x v="1"/>
    <x v="4"/>
    <x v="2145"/>
    <x v="2157"/>
    <s v="Cash"/>
    <s v="TXN105214"/>
    <x v="0"/>
  </r>
  <r>
    <d v="2023-05-18T00:00:00"/>
    <x v="4"/>
    <x v="7"/>
    <x v="3"/>
    <x v="2146"/>
    <x v="2158"/>
    <s v="UPI"/>
    <s v="TXN105217"/>
    <x v="0"/>
  </r>
  <r>
    <d v="2023-05-18T00:00:00"/>
    <x v="4"/>
    <x v="4"/>
    <x v="3"/>
    <x v="2147"/>
    <x v="2159"/>
    <s v="UPI"/>
    <s v="TXN105589"/>
    <x v="0"/>
  </r>
  <r>
    <d v="2023-05-18T00:00:00"/>
    <x v="4"/>
    <x v="1"/>
    <x v="0"/>
    <x v="2148"/>
    <x v="2160"/>
    <s v="UPI"/>
    <s v="TXN107801"/>
    <x v="0"/>
  </r>
  <r>
    <d v="2023-05-18T00:00:00"/>
    <x v="4"/>
    <x v="2"/>
    <x v="1"/>
    <x v="2149"/>
    <x v="2161"/>
    <s v="Cash"/>
    <s v="TXN108768"/>
    <x v="0"/>
  </r>
  <r>
    <d v="2023-05-18T00:00:00"/>
    <x v="4"/>
    <x v="5"/>
    <x v="0"/>
    <x v="2150"/>
    <x v="2162"/>
    <s v="Card"/>
    <s v="REV100740"/>
    <x v="1"/>
  </r>
  <r>
    <d v="2023-05-18T00:00:00"/>
    <x v="4"/>
    <x v="5"/>
    <x v="3"/>
    <x v="2151"/>
    <x v="2163"/>
    <s v="Bank Transfer"/>
    <s v="REV100997"/>
    <x v="1"/>
  </r>
  <r>
    <d v="2023-05-18T00:00:00"/>
    <x v="4"/>
    <x v="6"/>
    <x v="1"/>
    <x v="2152"/>
    <x v="1500"/>
    <s v="Bank Transfer"/>
    <s v="REV101112"/>
    <x v="1"/>
  </r>
  <r>
    <d v="2023-05-18T00:00:00"/>
    <x v="4"/>
    <x v="5"/>
    <x v="0"/>
    <x v="1422"/>
    <x v="2164"/>
    <s v="Bank Transfer"/>
    <s v="REV101217"/>
    <x v="1"/>
  </r>
  <r>
    <d v="2023-05-18T00:00:00"/>
    <x v="4"/>
    <x v="6"/>
    <x v="4"/>
    <x v="987"/>
    <x v="833"/>
    <s v="UPI"/>
    <s v="REV101766"/>
    <x v="1"/>
  </r>
  <r>
    <d v="2023-05-18T00:00:00"/>
    <x v="4"/>
    <x v="5"/>
    <x v="3"/>
    <x v="2153"/>
    <x v="2165"/>
    <s v="Bank Transfer"/>
    <s v="REV101768"/>
    <x v="1"/>
  </r>
  <r>
    <d v="2023-05-18T00:00:00"/>
    <x v="4"/>
    <x v="5"/>
    <x v="3"/>
    <x v="2154"/>
    <x v="2166"/>
    <s v="Bank Transfer"/>
    <s v="REV101906"/>
    <x v="1"/>
  </r>
  <r>
    <d v="2023-05-18T00:00:00"/>
    <x v="4"/>
    <x v="6"/>
    <x v="0"/>
    <x v="2155"/>
    <x v="1858"/>
    <s v="Bank Transfer"/>
    <s v="REV102650"/>
    <x v="1"/>
  </r>
  <r>
    <d v="2023-05-18T00:00:00"/>
    <x v="4"/>
    <x v="6"/>
    <x v="1"/>
    <x v="692"/>
    <x v="1928"/>
    <s v="Bank Transfer"/>
    <s v="REV102977"/>
    <x v="1"/>
  </r>
  <r>
    <d v="2023-05-19T00:00:00"/>
    <x v="4"/>
    <x v="4"/>
    <x v="2"/>
    <x v="2156"/>
    <x v="2167"/>
    <s v="UPI"/>
    <s v="TXN100510"/>
    <x v="0"/>
  </r>
  <r>
    <d v="2023-05-19T00:00:00"/>
    <x v="4"/>
    <x v="7"/>
    <x v="4"/>
    <x v="2157"/>
    <x v="2168"/>
    <s v="Card"/>
    <s v="TXN101301"/>
    <x v="0"/>
  </r>
  <r>
    <d v="2023-05-19T00:00:00"/>
    <x v="4"/>
    <x v="0"/>
    <x v="1"/>
    <x v="2158"/>
    <x v="2169"/>
    <s v="Card"/>
    <s v="TXN103071"/>
    <x v="0"/>
  </r>
  <r>
    <d v="2023-05-19T00:00:00"/>
    <x v="4"/>
    <x v="7"/>
    <x v="3"/>
    <x v="2159"/>
    <x v="2170"/>
    <s v="Bank Transfer"/>
    <s v="TXN103098"/>
    <x v="0"/>
  </r>
  <r>
    <d v="2023-05-19T00:00:00"/>
    <x v="4"/>
    <x v="1"/>
    <x v="4"/>
    <x v="2160"/>
    <x v="2171"/>
    <s v="UPI"/>
    <s v="TXN105783"/>
    <x v="0"/>
  </r>
  <r>
    <d v="2023-05-19T00:00:00"/>
    <x v="4"/>
    <x v="7"/>
    <x v="0"/>
    <x v="2161"/>
    <x v="2172"/>
    <s v="UPI"/>
    <s v="TXN106945"/>
    <x v="0"/>
  </r>
  <r>
    <d v="2023-05-19T00:00:00"/>
    <x v="4"/>
    <x v="3"/>
    <x v="0"/>
    <x v="2162"/>
    <x v="2173"/>
    <s v="Cash"/>
    <s v="TXN107425"/>
    <x v="0"/>
  </r>
  <r>
    <d v="2023-05-19T00:00:00"/>
    <x v="4"/>
    <x v="7"/>
    <x v="4"/>
    <x v="2163"/>
    <x v="2174"/>
    <s v="Cash"/>
    <s v="TXN107587"/>
    <x v="0"/>
  </r>
  <r>
    <d v="2023-05-19T00:00:00"/>
    <x v="4"/>
    <x v="3"/>
    <x v="2"/>
    <x v="2164"/>
    <x v="2175"/>
    <s v="Card"/>
    <s v="TXN108509"/>
    <x v="0"/>
  </r>
  <r>
    <d v="2023-05-19T00:00:00"/>
    <x v="4"/>
    <x v="0"/>
    <x v="4"/>
    <x v="2165"/>
    <x v="2176"/>
    <s v="UPI"/>
    <s v="TXN109868"/>
    <x v="0"/>
  </r>
  <r>
    <d v="2023-05-19T00:00:00"/>
    <x v="4"/>
    <x v="5"/>
    <x v="2"/>
    <x v="2166"/>
    <x v="2177"/>
    <s v="Bank Transfer"/>
    <s v="REV100196"/>
    <x v="1"/>
  </r>
  <r>
    <d v="2023-05-19T00:00:00"/>
    <x v="4"/>
    <x v="5"/>
    <x v="4"/>
    <x v="1278"/>
    <x v="2178"/>
    <s v="Bank Transfer"/>
    <s v="REV100479"/>
    <x v="1"/>
  </r>
  <r>
    <d v="2023-05-19T00:00:00"/>
    <x v="4"/>
    <x v="6"/>
    <x v="1"/>
    <x v="2154"/>
    <x v="1087"/>
    <s v="Bank Transfer"/>
    <s v="REV101060"/>
    <x v="1"/>
  </r>
  <r>
    <d v="2023-05-19T00:00:00"/>
    <x v="4"/>
    <x v="5"/>
    <x v="3"/>
    <x v="541"/>
    <x v="340"/>
    <s v="Card"/>
    <s v="REV101069"/>
    <x v="1"/>
  </r>
  <r>
    <d v="2023-05-19T00:00:00"/>
    <x v="4"/>
    <x v="6"/>
    <x v="4"/>
    <x v="2167"/>
    <x v="537"/>
    <s v="Card"/>
    <s v="REV101959"/>
    <x v="1"/>
  </r>
  <r>
    <d v="2023-05-19T00:00:00"/>
    <x v="4"/>
    <x v="6"/>
    <x v="0"/>
    <x v="2168"/>
    <x v="364"/>
    <s v="Card"/>
    <s v="REV102360"/>
    <x v="1"/>
  </r>
  <r>
    <d v="2023-05-19T00:00:00"/>
    <x v="4"/>
    <x v="5"/>
    <x v="0"/>
    <x v="100"/>
    <x v="2177"/>
    <s v="UPI"/>
    <s v="REV102520"/>
    <x v="1"/>
  </r>
  <r>
    <d v="2023-05-19T00:00:00"/>
    <x v="4"/>
    <x v="6"/>
    <x v="4"/>
    <x v="1913"/>
    <x v="2179"/>
    <s v="Bank Transfer"/>
    <s v="REV102575"/>
    <x v="1"/>
  </r>
  <r>
    <d v="2023-05-19T00:00:00"/>
    <x v="4"/>
    <x v="5"/>
    <x v="2"/>
    <x v="138"/>
    <x v="2180"/>
    <s v="Card"/>
    <s v="REV102881"/>
    <x v="1"/>
  </r>
  <r>
    <d v="2023-05-19T00:00:00"/>
    <x v="4"/>
    <x v="5"/>
    <x v="4"/>
    <x v="2169"/>
    <x v="1708"/>
    <s v="UPI"/>
    <s v="REV103340"/>
    <x v="1"/>
  </r>
  <r>
    <d v="2023-05-20T00:00:00"/>
    <x v="4"/>
    <x v="3"/>
    <x v="4"/>
    <x v="2170"/>
    <x v="2181"/>
    <s v="Bank Transfer"/>
    <s v="TXN102942"/>
    <x v="0"/>
  </r>
  <r>
    <d v="2023-05-20T00:00:00"/>
    <x v="4"/>
    <x v="4"/>
    <x v="0"/>
    <x v="2171"/>
    <x v="2182"/>
    <s v="Card"/>
    <s v="TXN103295"/>
    <x v="0"/>
  </r>
  <r>
    <d v="2023-05-20T00:00:00"/>
    <x v="4"/>
    <x v="3"/>
    <x v="0"/>
    <x v="2172"/>
    <x v="2183"/>
    <s v="Cash"/>
    <s v="TXN104011"/>
    <x v="0"/>
  </r>
  <r>
    <d v="2023-05-20T00:00:00"/>
    <x v="4"/>
    <x v="0"/>
    <x v="1"/>
    <x v="2173"/>
    <x v="2184"/>
    <s v="Cash"/>
    <s v="TXN104855"/>
    <x v="0"/>
  </r>
  <r>
    <d v="2023-05-20T00:00:00"/>
    <x v="4"/>
    <x v="2"/>
    <x v="2"/>
    <x v="2174"/>
    <x v="2185"/>
    <s v="Bank Transfer"/>
    <s v="TXN106862"/>
    <x v="0"/>
  </r>
  <r>
    <d v="2023-05-20T00:00:00"/>
    <x v="4"/>
    <x v="7"/>
    <x v="1"/>
    <x v="2175"/>
    <x v="2186"/>
    <s v="Card"/>
    <s v="TXN107027"/>
    <x v="0"/>
  </r>
  <r>
    <d v="2023-05-20T00:00:00"/>
    <x v="4"/>
    <x v="3"/>
    <x v="1"/>
    <x v="2176"/>
    <x v="1548"/>
    <s v="UPI"/>
    <s v="TXN107328"/>
    <x v="0"/>
  </r>
  <r>
    <d v="2023-05-20T00:00:00"/>
    <x v="4"/>
    <x v="7"/>
    <x v="1"/>
    <x v="2177"/>
    <x v="2187"/>
    <s v="UPI"/>
    <s v="TXN107910"/>
    <x v="0"/>
  </r>
  <r>
    <d v="2023-05-20T00:00:00"/>
    <x v="4"/>
    <x v="3"/>
    <x v="1"/>
    <x v="2178"/>
    <x v="2188"/>
    <s v="UPI"/>
    <s v="TXN108360"/>
    <x v="0"/>
  </r>
  <r>
    <d v="2023-05-20T00:00:00"/>
    <x v="4"/>
    <x v="0"/>
    <x v="3"/>
    <x v="2179"/>
    <x v="2189"/>
    <s v="Cash"/>
    <s v="TXN108908"/>
    <x v="0"/>
  </r>
  <r>
    <d v="2023-05-20T00:00:00"/>
    <x v="4"/>
    <x v="4"/>
    <x v="2"/>
    <x v="2180"/>
    <x v="2190"/>
    <s v="Cash"/>
    <s v="TXN109357"/>
    <x v="0"/>
  </r>
  <r>
    <d v="2023-05-20T00:00:00"/>
    <x v="4"/>
    <x v="3"/>
    <x v="0"/>
    <x v="2181"/>
    <x v="2191"/>
    <s v="Cash"/>
    <s v="TXN109627"/>
    <x v="0"/>
  </r>
  <r>
    <d v="2023-05-20T00:00:00"/>
    <x v="4"/>
    <x v="6"/>
    <x v="4"/>
    <x v="2182"/>
    <x v="414"/>
    <s v="Bank Transfer"/>
    <s v="REV101022"/>
    <x v="1"/>
  </r>
  <r>
    <d v="2023-05-20T00:00:00"/>
    <x v="4"/>
    <x v="6"/>
    <x v="0"/>
    <x v="2183"/>
    <x v="2134"/>
    <s v="Bank Transfer"/>
    <s v="REV101130"/>
    <x v="1"/>
  </r>
  <r>
    <d v="2023-05-20T00:00:00"/>
    <x v="4"/>
    <x v="6"/>
    <x v="0"/>
    <x v="2184"/>
    <x v="2192"/>
    <s v="UPI"/>
    <s v="REV101388"/>
    <x v="1"/>
  </r>
  <r>
    <d v="2023-05-20T00:00:00"/>
    <x v="4"/>
    <x v="5"/>
    <x v="1"/>
    <x v="2185"/>
    <x v="2193"/>
    <s v="Card"/>
    <s v="REV101659"/>
    <x v="1"/>
  </r>
  <r>
    <d v="2023-05-20T00:00:00"/>
    <x v="4"/>
    <x v="6"/>
    <x v="2"/>
    <x v="2186"/>
    <x v="1725"/>
    <s v="Bank Transfer"/>
    <s v="REV102335"/>
    <x v="1"/>
  </r>
  <r>
    <d v="2023-05-20T00:00:00"/>
    <x v="4"/>
    <x v="6"/>
    <x v="1"/>
    <x v="2187"/>
    <x v="2194"/>
    <s v="Bank Transfer"/>
    <s v="REV102385"/>
    <x v="1"/>
  </r>
  <r>
    <d v="2023-05-20T00:00:00"/>
    <x v="4"/>
    <x v="5"/>
    <x v="1"/>
    <x v="539"/>
    <x v="2195"/>
    <s v="UPI"/>
    <s v="REV102485"/>
    <x v="1"/>
  </r>
  <r>
    <d v="2023-05-20T00:00:00"/>
    <x v="4"/>
    <x v="6"/>
    <x v="1"/>
    <x v="422"/>
    <x v="1286"/>
    <s v="Bank Transfer"/>
    <s v="REV102685"/>
    <x v="1"/>
  </r>
  <r>
    <d v="2023-05-20T00:00:00"/>
    <x v="4"/>
    <x v="5"/>
    <x v="1"/>
    <x v="2188"/>
    <x v="2196"/>
    <s v="Card"/>
    <s v="REV102844"/>
    <x v="1"/>
  </r>
  <r>
    <d v="2023-05-20T00:00:00"/>
    <x v="4"/>
    <x v="6"/>
    <x v="3"/>
    <x v="1287"/>
    <x v="2197"/>
    <s v="Bank Transfer"/>
    <s v="REV103016"/>
    <x v="1"/>
  </r>
  <r>
    <d v="2023-05-20T00:00:00"/>
    <x v="4"/>
    <x v="6"/>
    <x v="2"/>
    <x v="2189"/>
    <x v="2196"/>
    <s v="UPI"/>
    <s v="REV103163"/>
    <x v="1"/>
  </r>
  <r>
    <d v="2023-05-20T00:00:00"/>
    <x v="4"/>
    <x v="5"/>
    <x v="0"/>
    <x v="2190"/>
    <x v="2198"/>
    <s v="UPI"/>
    <s v="REV103256"/>
    <x v="1"/>
  </r>
  <r>
    <d v="2023-05-21T00:00:00"/>
    <x v="4"/>
    <x v="3"/>
    <x v="1"/>
    <x v="2191"/>
    <x v="2199"/>
    <s v="UPI"/>
    <s v="TXN100106"/>
    <x v="0"/>
  </r>
  <r>
    <d v="2023-05-21T00:00:00"/>
    <x v="4"/>
    <x v="7"/>
    <x v="1"/>
    <x v="2192"/>
    <x v="2200"/>
    <s v="Card"/>
    <s v="TXN101368"/>
    <x v="0"/>
  </r>
  <r>
    <d v="2023-05-21T00:00:00"/>
    <x v="4"/>
    <x v="3"/>
    <x v="3"/>
    <x v="2193"/>
    <x v="2201"/>
    <s v="Cash"/>
    <s v="TXN102047"/>
    <x v="0"/>
  </r>
  <r>
    <d v="2023-05-21T00:00:00"/>
    <x v="4"/>
    <x v="4"/>
    <x v="2"/>
    <x v="2194"/>
    <x v="2202"/>
    <s v="Card"/>
    <s v="TXN102792"/>
    <x v="0"/>
  </r>
  <r>
    <d v="2023-05-21T00:00:00"/>
    <x v="4"/>
    <x v="7"/>
    <x v="2"/>
    <x v="2195"/>
    <x v="2203"/>
    <s v="Card"/>
    <s v="TXN103860"/>
    <x v="0"/>
  </r>
  <r>
    <d v="2023-05-21T00:00:00"/>
    <x v="4"/>
    <x v="7"/>
    <x v="4"/>
    <x v="2196"/>
    <x v="2204"/>
    <s v="Cash"/>
    <s v="TXN103915"/>
    <x v="0"/>
  </r>
  <r>
    <d v="2023-05-21T00:00:00"/>
    <x v="4"/>
    <x v="3"/>
    <x v="1"/>
    <x v="2197"/>
    <x v="2205"/>
    <s v="Bank Transfer"/>
    <s v="TXN104361"/>
    <x v="0"/>
  </r>
  <r>
    <d v="2023-05-21T00:00:00"/>
    <x v="4"/>
    <x v="3"/>
    <x v="3"/>
    <x v="2198"/>
    <x v="2206"/>
    <s v="UPI"/>
    <s v="TXN104835"/>
    <x v="0"/>
  </r>
  <r>
    <d v="2023-05-21T00:00:00"/>
    <x v="4"/>
    <x v="1"/>
    <x v="1"/>
    <x v="2199"/>
    <x v="2207"/>
    <s v="Card"/>
    <s v="TXN105308"/>
    <x v="0"/>
  </r>
  <r>
    <d v="2023-05-21T00:00:00"/>
    <x v="4"/>
    <x v="4"/>
    <x v="0"/>
    <x v="2200"/>
    <x v="2208"/>
    <s v="UPI"/>
    <s v="TXN106090"/>
    <x v="0"/>
  </r>
  <r>
    <d v="2023-05-21T00:00:00"/>
    <x v="4"/>
    <x v="1"/>
    <x v="3"/>
    <x v="2201"/>
    <x v="2209"/>
    <s v="Card"/>
    <s v="TXN106354"/>
    <x v="0"/>
  </r>
  <r>
    <d v="2023-05-21T00:00:00"/>
    <x v="4"/>
    <x v="3"/>
    <x v="0"/>
    <x v="2202"/>
    <x v="2210"/>
    <s v="Cash"/>
    <s v="TXN107621"/>
    <x v="0"/>
  </r>
  <r>
    <d v="2023-05-21T00:00:00"/>
    <x v="4"/>
    <x v="6"/>
    <x v="1"/>
    <x v="479"/>
    <x v="2211"/>
    <s v="UPI"/>
    <s v="REV100039"/>
    <x v="1"/>
  </r>
  <r>
    <d v="2023-05-21T00:00:00"/>
    <x v="4"/>
    <x v="6"/>
    <x v="1"/>
    <x v="2203"/>
    <x v="997"/>
    <s v="Bank Transfer"/>
    <s v="REV100502"/>
    <x v="1"/>
  </r>
  <r>
    <d v="2023-05-21T00:00:00"/>
    <x v="4"/>
    <x v="5"/>
    <x v="3"/>
    <x v="16"/>
    <x v="2212"/>
    <s v="Bank Transfer"/>
    <s v="REV100729"/>
    <x v="1"/>
  </r>
  <r>
    <d v="2023-05-21T00:00:00"/>
    <x v="4"/>
    <x v="6"/>
    <x v="2"/>
    <x v="993"/>
    <x v="1621"/>
    <s v="UPI"/>
    <s v="REV100982"/>
    <x v="1"/>
  </r>
  <r>
    <d v="2023-05-21T00:00:00"/>
    <x v="4"/>
    <x v="6"/>
    <x v="2"/>
    <x v="635"/>
    <x v="798"/>
    <s v="Bank Transfer"/>
    <s v="REV101333"/>
    <x v="1"/>
  </r>
  <r>
    <d v="2023-05-21T00:00:00"/>
    <x v="4"/>
    <x v="6"/>
    <x v="4"/>
    <x v="2204"/>
    <x v="2213"/>
    <s v="UPI"/>
    <s v="REV101354"/>
    <x v="1"/>
  </r>
  <r>
    <d v="2023-05-21T00:00:00"/>
    <x v="4"/>
    <x v="5"/>
    <x v="1"/>
    <x v="1057"/>
    <x v="854"/>
    <s v="Bank Transfer"/>
    <s v="REV101507"/>
    <x v="1"/>
  </r>
  <r>
    <d v="2023-05-21T00:00:00"/>
    <x v="4"/>
    <x v="6"/>
    <x v="3"/>
    <x v="882"/>
    <x v="486"/>
    <s v="Bank Transfer"/>
    <s v="REV101649"/>
    <x v="1"/>
  </r>
  <r>
    <d v="2023-05-21T00:00:00"/>
    <x v="4"/>
    <x v="6"/>
    <x v="1"/>
    <x v="2205"/>
    <x v="2214"/>
    <s v="Card"/>
    <s v="REV101800"/>
    <x v="1"/>
  </r>
  <r>
    <d v="2023-05-21T00:00:00"/>
    <x v="4"/>
    <x v="5"/>
    <x v="0"/>
    <x v="2206"/>
    <x v="742"/>
    <s v="UPI"/>
    <s v="REV102054"/>
    <x v="1"/>
  </r>
  <r>
    <d v="2023-05-21T00:00:00"/>
    <x v="4"/>
    <x v="5"/>
    <x v="3"/>
    <x v="2207"/>
    <x v="2215"/>
    <s v="Bank Transfer"/>
    <s v="REV102144"/>
    <x v="1"/>
  </r>
  <r>
    <d v="2023-05-21T00:00:00"/>
    <x v="4"/>
    <x v="5"/>
    <x v="0"/>
    <x v="2208"/>
    <x v="594"/>
    <s v="Bank Transfer"/>
    <s v="REV102588"/>
    <x v="1"/>
  </r>
  <r>
    <d v="2023-05-22T00:00:00"/>
    <x v="4"/>
    <x v="4"/>
    <x v="4"/>
    <x v="2209"/>
    <x v="2216"/>
    <s v="UPI"/>
    <s v="TXN100006"/>
    <x v="0"/>
  </r>
  <r>
    <d v="2023-05-22T00:00:00"/>
    <x v="4"/>
    <x v="0"/>
    <x v="3"/>
    <x v="2210"/>
    <x v="2217"/>
    <s v="UPI"/>
    <s v="TXN100177"/>
    <x v="0"/>
  </r>
  <r>
    <d v="2023-05-22T00:00:00"/>
    <x v="4"/>
    <x v="4"/>
    <x v="2"/>
    <x v="2211"/>
    <x v="2218"/>
    <s v="Cash"/>
    <s v="TXN100828"/>
    <x v="0"/>
  </r>
  <r>
    <d v="2023-05-22T00:00:00"/>
    <x v="4"/>
    <x v="7"/>
    <x v="3"/>
    <x v="2212"/>
    <x v="2219"/>
    <s v="Cash"/>
    <s v="TXN102972"/>
    <x v="0"/>
  </r>
  <r>
    <d v="2023-05-22T00:00:00"/>
    <x v="4"/>
    <x v="2"/>
    <x v="3"/>
    <x v="2213"/>
    <x v="2220"/>
    <s v="Card"/>
    <s v="TXN103997"/>
    <x v="0"/>
  </r>
  <r>
    <d v="2023-05-22T00:00:00"/>
    <x v="4"/>
    <x v="7"/>
    <x v="4"/>
    <x v="2214"/>
    <x v="2221"/>
    <s v="Bank Transfer"/>
    <s v="TXN104774"/>
    <x v="0"/>
  </r>
  <r>
    <d v="2023-05-22T00:00:00"/>
    <x v="4"/>
    <x v="0"/>
    <x v="0"/>
    <x v="2215"/>
    <x v="2222"/>
    <s v="Cash"/>
    <s v="TXN106618"/>
    <x v="0"/>
  </r>
  <r>
    <d v="2023-05-22T00:00:00"/>
    <x v="4"/>
    <x v="1"/>
    <x v="1"/>
    <x v="2216"/>
    <x v="2223"/>
    <s v="Cash"/>
    <s v="TXN106869"/>
    <x v="0"/>
  </r>
  <r>
    <d v="2023-05-22T00:00:00"/>
    <x v="4"/>
    <x v="2"/>
    <x v="4"/>
    <x v="1957"/>
    <x v="2224"/>
    <s v="Cash"/>
    <s v="TXN108641"/>
    <x v="0"/>
  </r>
  <r>
    <d v="2023-05-22T00:00:00"/>
    <x v="4"/>
    <x v="6"/>
    <x v="4"/>
    <x v="2217"/>
    <x v="810"/>
    <s v="Bank Transfer"/>
    <s v="REV100002"/>
    <x v="1"/>
  </r>
  <r>
    <d v="2023-05-22T00:00:00"/>
    <x v="4"/>
    <x v="6"/>
    <x v="3"/>
    <x v="1275"/>
    <x v="2225"/>
    <s v="Bank Transfer"/>
    <s v="REV100064"/>
    <x v="1"/>
  </r>
  <r>
    <d v="2023-05-22T00:00:00"/>
    <x v="4"/>
    <x v="5"/>
    <x v="2"/>
    <x v="2218"/>
    <x v="2226"/>
    <s v="UPI"/>
    <s v="REV100303"/>
    <x v="1"/>
  </r>
  <r>
    <d v="2023-05-22T00:00:00"/>
    <x v="4"/>
    <x v="5"/>
    <x v="3"/>
    <x v="1372"/>
    <x v="543"/>
    <s v="Card"/>
    <s v="REV101032"/>
    <x v="1"/>
  </r>
  <r>
    <d v="2023-05-22T00:00:00"/>
    <x v="4"/>
    <x v="6"/>
    <x v="3"/>
    <x v="1490"/>
    <x v="2227"/>
    <s v="Card"/>
    <s v="REV101386"/>
    <x v="1"/>
  </r>
  <r>
    <d v="2023-05-22T00:00:00"/>
    <x v="4"/>
    <x v="5"/>
    <x v="4"/>
    <x v="362"/>
    <x v="239"/>
    <s v="Card"/>
    <s v="REV101629"/>
    <x v="1"/>
  </r>
  <r>
    <d v="2023-05-22T00:00:00"/>
    <x v="4"/>
    <x v="5"/>
    <x v="0"/>
    <x v="2219"/>
    <x v="153"/>
    <s v="UPI"/>
    <s v="REV102248"/>
    <x v="1"/>
  </r>
  <r>
    <d v="2023-05-22T00:00:00"/>
    <x v="4"/>
    <x v="5"/>
    <x v="1"/>
    <x v="2220"/>
    <x v="2228"/>
    <s v="Card"/>
    <s v="REV102338"/>
    <x v="1"/>
  </r>
  <r>
    <d v="2023-05-22T00:00:00"/>
    <x v="4"/>
    <x v="6"/>
    <x v="4"/>
    <x v="541"/>
    <x v="2229"/>
    <s v="Bank Transfer"/>
    <s v="REV102933"/>
    <x v="1"/>
  </r>
  <r>
    <d v="2023-05-23T00:00:00"/>
    <x v="4"/>
    <x v="4"/>
    <x v="4"/>
    <x v="2221"/>
    <x v="2230"/>
    <s v="UPI"/>
    <s v="TXN100411"/>
    <x v="0"/>
  </r>
  <r>
    <d v="2023-05-23T00:00:00"/>
    <x v="4"/>
    <x v="1"/>
    <x v="0"/>
    <x v="2222"/>
    <x v="2231"/>
    <s v="Bank Transfer"/>
    <s v="TXN100766"/>
    <x v="0"/>
  </r>
  <r>
    <d v="2023-05-23T00:00:00"/>
    <x v="4"/>
    <x v="2"/>
    <x v="3"/>
    <x v="2223"/>
    <x v="2232"/>
    <s v="UPI"/>
    <s v="TXN101414"/>
    <x v="0"/>
  </r>
  <r>
    <d v="2023-05-23T00:00:00"/>
    <x v="4"/>
    <x v="3"/>
    <x v="2"/>
    <x v="2224"/>
    <x v="2233"/>
    <s v="Cash"/>
    <s v="TXN102750"/>
    <x v="0"/>
  </r>
  <r>
    <d v="2023-05-23T00:00:00"/>
    <x v="4"/>
    <x v="0"/>
    <x v="0"/>
    <x v="2225"/>
    <x v="2234"/>
    <s v="UPI"/>
    <s v="TXN102796"/>
    <x v="0"/>
  </r>
  <r>
    <d v="2023-05-23T00:00:00"/>
    <x v="4"/>
    <x v="2"/>
    <x v="4"/>
    <x v="2226"/>
    <x v="2235"/>
    <s v="UPI"/>
    <s v="TXN104779"/>
    <x v="0"/>
  </r>
  <r>
    <d v="2023-05-23T00:00:00"/>
    <x v="4"/>
    <x v="2"/>
    <x v="2"/>
    <x v="2227"/>
    <x v="2236"/>
    <s v="Card"/>
    <s v="TXN105084"/>
    <x v="0"/>
  </r>
  <r>
    <d v="2023-05-23T00:00:00"/>
    <x v="4"/>
    <x v="2"/>
    <x v="1"/>
    <x v="2228"/>
    <x v="2237"/>
    <s v="UPI"/>
    <s v="TXN105993"/>
    <x v="0"/>
  </r>
  <r>
    <d v="2023-05-23T00:00:00"/>
    <x v="4"/>
    <x v="0"/>
    <x v="0"/>
    <x v="2229"/>
    <x v="2238"/>
    <s v="Cash"/>
    <s v="TXN107023"/>
    <x v="0"/>
  </r>
  <r>
    <d v="2023-05-23T00:00:00"/>
    <x v="4"/>
    <x v="3"/>
    <x v="4"/>
    <x v="2230"/>
    <x v="2239"/>
    <s v="Card"/>
    <s v="TXN109721"/>
    <x v="0"/>
  </r>
  <r>
    <d v="2023-05-23T00:00:00"/>
    <x v="4"/>
    <x v="4"/>
    <x v="2"/>
    <x v="2231"/>
    <x v="2240"/>
    <s v="Card"/>
    <s v="TXN109760"/>
    <x v="0"/>
  </r>
  <r>
    <d v="2023-05-23T00:00:00"/>
    <x v="4"/>
    <x v="5"/>
    <x v="4"/>
    <x v="1372"/>
    <x v="1032"/>
    <s v="Bank Transfer"/>
    <s v="REV100156"/>
    <x v="1"/>
  </r>
  <r>
    <d v="2023-05-23T00:00:00"/>
    <x v="4"/>
    <x v="5"/>
    <x v="0"/>
    <x v="2232"/>
    <x v="2241"/>
    <s v="Card"/>
    <s v="REV100281"/>
    <x v="1"/>
  </r>
  <r>
    <d v="2023-05-23T00:00:00"/>
    <x v="4"/>
    <x v="6"/>
    <x v="3"/>
    <x v="1304"/>
    <x v="1693"/>
    <s v="Bank Transfer"/>
    <s v="REV100517"/>
    <x v="1"/>
  </r>
  <r>
    <d v="2023-05-23T00:00:00"/>
    <x v="4"/>
    <x v="5"/>
    <x v="2"/>
    <x v="691"/>
    <x v="574"/>
    <s v="Bank Transfer"/>
    <s v="REV100965"/>
    <x v="1"/>
  </r>
  <r>
    <d v="2023-05-23T00:00:00"/>
    <x v="4"/>
    <x v="5"/>
    <x v="0"/>
    <x v="2233"/>
    <x v="1580"/>
    <s v="Bank Transfer"/>
    <s v="REV100984"/>
    <x v="1"/>
  </r>
  <r>
    <d v="2023-05-23T00:00:00"/>
    <x v="4"/>
    <x v="6"/>
    <x v="4"/>
    <x v="2234"/>
    <x v="543"/>
    <s v="UPI"/>
    <s v="REV101631"/>
    <x v="1"/>
  </r>
  <r>
    <d v="2023-05-23T00:00:00"/>
    <x v="4"/>
    <x v="5"/>
    <x v="2"/>
    <x v="2235"/>
    <x v="2242"/>
    <s v="UPI"/>
    <s v="REV101731"/>
    <x v="1"/>
  </r>
  <r>
    <d v="2023-05-23T00:00:00"/>
    <x v="4"/>
    <x v="5"/>
    <x v="1"/>
    <x v="2236"/>
    <x v="2243"/>
    <s v="Bank Transfer"/>
    <s v="REV102023"/>
    <x v="1"/>
  </r>
  <r>
    <d v="2023-05-23T00:00:00"/>
    <x v="4"/>
    <x v="5"/>
    <x v="0"/>
    <x v="2237"/>
    <x v="2244"/>
    <s v="Bank Transfer"/>
    <s v="REV102383"/>
    <x v="1"/>
  </r>
  <r>
    <d v="2023-05-23T00:00:00"/>
    <x v="4"/>
    <x v="5"/>
    <x v="4"/>
    <x v="2238"/>
    <x v="2245"/>
    <s v="Bank Transfer"/>
    <s v="REV103287"/>
    <x v="1"/>
  </r>
  <r>
    <d v="2023-05-23T00:00:00"/>
    <x v="4"/>
    <x v="6"/>
    <x v="2"/>
    <x v="2239"/>
    <x v="1070"/>
    <s v="Bank Transfer"/>
    <s v="REV103303"/>
    <x v="1"/>
  </r>
  <r>
    <d v="2023-05-24T00:00:00"/>
    <x v="4"/>
    <x v="4"/>
    <x v="3"/>
    <x v="2240"/>
    <x v="2246"/>
    <s v="Card"/>
    <s v="TXN101395"/>
    <x v="0"/>
  </r>
  <r>
    <d v="2023-05-24T00:00:00"/>
    <x v="4"/>
    <x v="1"/>
    <x v="3"/>
    <x v="2241"/>
    <x v="2247"/>
    <s v="Cash"/>
    <s v="TXN102016"/>
    <x v="0"/>
  </r>
  <r>
    <d v="2023-05-24T00:00:00"/>
    <x v="4"/>
    <x v="7"/>
    <x v="0"/>
    <x v="2242"/>
    <x v="2248"/>
    <s v="Bank Transfer"/>
    <s v="TXN103027"/>
    <x v="0"/>
  </r>
  <r>
    <d v="2023-05-24T00:00:00"/>
    <x v="4"/>
    <x v="0"/>
    <x v="0"/>
    <x v="2243"/>
    <x v="2249"/>
    <s v="UPI"/>
    <s v="TXN104987"/>
    <x v="0"/>
  </r>
  <r>
    <d v="2023-05-24T00:00:00"/>
    <x v="4"/>
    <x v="1"/>
    <x v="1"/>
    <x v="2244"/>
    <x v="2250"/>
    <s v="Cash"/>
    <s v="TXN105337"/>
    <x v="0"/>
  </r>
  <r>
    <d v="2023-05-24T00:00:00"/>
    <x v="4"/>
    <x v="1"/>
    <x v="4"/>
    <x v="2245"/>
    <x v="2251"/>
    <s v="UPI"/>
    <s v="TXN105476"/>
    <x v="0"/>
  </r>
  <r>
    <d v="2023-05-24T00:00:00"/>
    <x v="4"/>
    <x v="7"/>
    <x v="1"/>
    <x v="2246"/>
    <x v="2252"/>
    <s v="Bank Transfer"/>
    <s v="TXN106123"/>
    <x v="0"/>
  </r>
  <r>
    <d v="2023-05-24T00:00:00"/>
    <x v="4"/>
    <x v="2"/>
    <x v="2"/>
    <x v="2247"/>
    <x v="2253"/>
    <s v="UPI"/>
    <s v="TXN106126"/>
    <x v="0"/>
  </r>
  <r>
    <d v="2023-05-24T00:00:00"/>
    <x v="4"/>
    <x v="2"/>
    <x v="1"/>
    <x v="2248"/>
    <x v="2254"/>
    <s v="Bank Transfer"/>
    <s v="TXN106741"/>
    <x v="0"/>
  </r>
  <r>
    <d v="2023-05-24T00:00:00"/>
    <x v="4"/>
    <x v="0"/>
    <x v="4"/>
    <x v="2249"/>
    <x v="2255"/>
    <s v="Bank Transfer"/>
    <s v="TXN107122"/>
    <x v="0"/>
  </r>
  <r>
    <d v="2023-05-24T00:00:00"/>
    <x v="4"/>
    <x v="0"/>
    <x v="1"/>
    <x v="2250"/>
    <x v="2256"/>
    <s v="Cash"/>
    <s v="TXN107535"/>
    <x v="0"/>
  </r>
  <r>
    <d v="2023-05-24T00:00:00"/>
    <x v="4"/>
    <x v="3"/>
    <x v="2"/>
    <x v="2251"/>
    <x v="2257"/>
    <s v="Cash"/>
    <s v="TXN108283"/>
    <x v="0"/>
  </r>
  <r>
    <d v="2023-05-24T00:00:00"/>
    <x v="4"/>
    <x v="7"/>
    <x v="1"/>
    <x v="2252"/>
    <x v="2258"/>
    <s v="UPI"/>
    <s v="TXN109261"/>
    <x v="0"/>
  </r>
  <r>
    <d v="2023-05-24T00:00:00"/>
    <x v="4"/>
    <x v="3"/>
    <x v="3"/>
    <x v="2253"/>
    <x v="2259"/>
    <s v="UPI"/>
    <s v="TXN109342"/>
    <x v="0"/>
  </r>
  <r>
    <d v="2023-05-24T00:00:00"/>
    <x v="4"/>
    <x v="0"/>
    <x v="2"/>
    <x v="2254"/>
    <x v="2260"/>
    <s v="Cash"/>
    <s v="TXN109715"/>
    <x v="0"/>
  </r>
  <r>
    <d v="2023-05-24T00:00:00"/>
    <x v="4"/>
    <x v="5"/>
    <x v="3"/>
    <x v="1019"/>
    <x v="398"/>
    <s v="UPI"/>
    <s v="REV100509"/>
    <x v="1"/>
  </r>
  <r>
    <d v="2023-05-24T00:00:00"/>
    <x v="4"/>
    <x v="6"/>
    <x v="3"/>
    <x v="2255"/>
    <x v="2261"/>
    <s v="Card"/>
    <s v="REV100714"/>
    <x v="1"/>
  </r>
  <r>
    <d v="2023-05-24T00:00:00"/>
    <x v="4"/>
    <x v="6"/>
    <x v="0"/>
    <x v="989"/>
    <x v="717"/>
    <s v="Card"/>
    <s v="REV101048"/>
    <x v="1"/>
  </r>
  <r>
    <d v="2023-05-24T00:00:00"/>
    <x v="4"/>
    <x v="6"/>
    <x v="0"/>
    <x v="282"/>
    <x v="1491"/>
    <s v="Bank Transfer"/>
    <s v="REV101700"/>
    <x v="1"/>
  </r>
  <r>
    <d v="2023-05-24T00:00:00"/>
    <x v="4"/>
    <x v="5"/>
    <x v="1"/>
    <x v="631"/>
    <x v="491"/>
    <s v="Bank Transfer"/>
    <s v="REV101813"/>
    <x v="1"/>
  </r>
  <r>
    <d v="2023-05-24T00:00:00"/>
    <x v="4"/>
    <x v="6"/>
    <x v="4"/>
    <x v="2256"/>
    <x v="852"/>
    <s v="UPI"/>
    <s v="REV101864"/>
    <x v="1"/>
  </r>
  <r>
    <d v="2023-05-24T00:00:00"/>
    <x v="4"/>
    <x v="5"/>
    <x v="1"/>
    <x v="2257"/>
    <x v="1725"/>
    <s v="Bank Transfer"/>
    <s v="REV102064"/>
    <x v="1"/>
  </r>
  <r>
    <d v="2023-05-24T00:00:00"/>
    <x v="4"/>
    <x v="6"/>
    <x v="2"/>
    <x v="1401"/>
    <x v="224"/>
    <s v="Card"/>
    <s v="REV102065"/>
    <x v="1"/>
  </r>
  <r>
    <d v="2023-05-24T00:00:00"/>
    <x v="4"/>
    <x v="6"/>
    <x v="1"/>
    <x v="2258"/>
    <x v="2262"/>
    <s v="Card"/>
    <s v="REV102299"/>
    <x v="1"/>
  </r>
  <r>
    <d v="2023-05-24T00:00:00"/>
    <x v="4"/>
    <x v="5"/>
    <x v="4"/>
    <x v="2259"/>
    <x v="2263"/>
    <s v="Bank Transfer"/>
    <s v="REV102416"/>
    <x v="1"/>
  </r>
  <r>
    <d v="2023-05-24T00:00:00"/>
    <x v="4"/>
    <x v="5"/>
    <x v="1"/>
    <x v="2260"/>
    <x v="537"/>
    <s v="Bank Transfer"/>
    <s v="REV102558"/>
    <x v="1"/>
  </r>
  <r>
    <d v="2023-05-24T00:00:00"/>
    <x v="4"/>
    <x v="5"/>
    <x v="2"/>
    <x v="2261"/>
    <x v="2264"/>
    <s v="Bank Transfer"/>
    <s v="REV102817"/>
    <x v="1"/>
  </r>
  <r>
    <d v="2023-05-24T00:00:00"/>
    <x v="4"/>
    <x v="5"/>
    <x v="1"/>
    <x v="2262"/>
    <x v="1500"/>
    <s v="Card"/>
    <s v="REV103124"/>
    <x v="1"/>
  </r>
  <r>
    <d v="2023-05-24T00:00:00"/>
    <x v="4"/>
    <x v="6"/>
    <x v="3"/>
    <x v="436"/>
    <x v="2265"/>
    <s v="Bank Transfer"/>
    <s v="REV103158"/>
    <x v="1"/>
  </r>
  <r>
    <d v="2023-05-24T00:00:00"/>
    <x v="4"/>
    <x v="6"/>
    <x v="2"/>
    <x v="585"/>
    <x v="794"/>
    <s v="Card"/>
    <s v="REV103285"/>
    <x v="1"/>
  </r>
  <r>
    <d v="2023-05-25T00:00:00"/>
    <x v="4"/>
    <x v="4"/>
    <x v="2"/>
    <x v="2263"/>
    <x v="2266"/>
    <s v="Bank Transfer"/>
    <s v="TXN102146"/>
    <x v="0"/>
  </r>
  <r>
    <d v="2023-05-25T00:00:00"/>
    <x v="4"/>
    <x v="2"/>
    <x v="2"/>
    <x v="2264"/>
    <x v="2267"/>
    <s v="Bank Transfer"/>
    <s v="TXN103325"/>
    <x v="0"/>
  </r>
  <r>
    <d v="2023-05-25T00:00:00"/>
    <x v="4"/>
    <x v="2"/>
    <x v="1"/>
    <x v="2265"/>
    <x v="2268"/>
    <s v="Cash"/>
    <s v="TXN103990"/>
    <x v="0"/>
  </r>
  <r>
    <d v="2023-05-25T00:00:00"/>
    <x v="4"/>
    <x v="0"/>
    <x v="2"/>
    <x v="2266"/>
    <x v="2269"/>
    <s v="Cash"/>
    <s v="TXN106931"/>
    <x v="0"/>
  </r>
  <r>
    <d v="2023-05-25T00:00:00"/>
    <x v="4"/>
    <x v="1"/>
    <x v="1"/>
    <x v="2267"/>
    <x v="2270"/>
    <s v="Bank Transfer"/>
    <s v="TXN107548"/>
    <x v="0"/>
  </r>
  <r>
    <d v="2023-05-25T00:00:00"/>
    <x v="4"/>
    <x v="3"/>
    <x v="1"/>
    <x v="2268"/>
    <x v="2271"/>
    <s v="Bank Transfer"/>
    <s v="TXN108934"/>
    <x v="0"/>
  </r>
  <r>
    <d v="2023-05-25T00:00:00"/>
    <x v="4"/>
    <x v="0"/>
    <x v="4"/>
    <x v="2269"/>
    <x v="2272"/>
    <s v="UPI"/>
    <s v="TXN109100"/>
    <x v="0"/>
  </r>
  <r>
    <d v="2023-05-25T00:00:00"/>
    <x v="4"/>
    <x v="7"/>
    <x v="0"/>
    <x v="2270"/>
    <x v="2273"/>
    <s v="Bank Transfer"/>
    <s v="TXN109256"/>
    <x v="0"/>
  </r>
  <r>
    <d v="2023-05-25T00:00:00"/>
    <x v="4"/>
    <x v="3"/>
    <x v="3"/>
    <x v="2271"/>
    <x v="2274"/>
    <s v="Bank Transfer"/>
    <s v="TXN109533"/>
    <x v="0"/>
  </r>
  <r>
    <d v="2023-05-25T00:00:00"/>
    <x v="4"/>
    <x v="0"/>
    <x v="2"/>
    <x v="2272"/>
    <x v="2275"/>
    <s v="UPI"/>
    <s v="TXN109544"/>
    <x v="0"/>
  </r>
  <r>
    <d v="2023-05-25T00:00:00"/>
    <x v="4"/>
    <x v="7"/>
    <x v="2"/>
    <x v="2273"/>
    <x v="2276"/>
    <s v="Card"/>
    <s v="TXN109620"/>
    <x v="0"/>
  </r>
  <r>
    <d v="2023-05-25T00:00:00"/>
    <x v="4"/>
    <x v="6"/>
    <x v="2"/>
    <x v="2137"/>
    <x v="79"/>
    <s v="Bank Transfer"/>
    <s v="REV100764"/>
    <x v="1"/>
  </r>
  <r>
    <d v="2023-05-25T00:00:00"/>
    <x v="4"/>
    <x v="6"/>
    <x v="2"/>
    <x v="1356"/>
    <x v="2277"/>
    <s v="Bank Transfer"/>
    <s v="REV101139"/>
    <x v="1"/>
  </r>
  <r>
    <d v="2023-05-25T00:00:00"/>
    <x v="4"/>
    <x v="6"/>
    <x v="1"/>
    <x v="2274"/>
    <x v="2278"/>
    <s v="Card"/>
    <s v="REV101384"/>
    <x v="1"/>
  </r>
  <r>
    <d v="2023-05-25T00:00:00"/>
    <x v="4"/>
    <x v="5"/>
    <x v="2"/>
    <x v="2275"/>
    <x v="2279"/>
    <s v="Bank Transfer"/>
    <s v="REV102357"/>
    <x v="1"/>
  </r>
  <r>
    <d v="2023-05-25T00:00:00"/>
    <x v="4"/>
    <x v="6"/>
    <x v="1"/>
    <x v="2276"/>
    <x v="1045"/>
    <s v="Card"/>
    <s v="REV102561"/>
    <x v="1"/>
  </r>
  <r>
    <d v="2023-05-25T00:00:00"/>
    <x v="4"/>
    <x v="6"/>
    <x v="1"/>
    <x v="2277"/>
    <x v="2280"/>
    <s v="Bank Transfer"/>
    <s v="REV103027"/>
    <x v="1"/>
  </r>
  <r>
    <d v="2023-05-25T00:00:00"/>
    <x v="4"/>
    <x v="6"/>
    <x v="4"/>
    <x v="1119"/>
    <x v="639"/>
    <s v="Card"/>
    <s v="REV103078"/>
    <x v="1"/>
  </r>
  <r>
    <d v="2023-05-25T00:00:00"/>
    <x v="4"/>
    <x v="5"/>
    <x v="0"/>
    <x v="2278"/>
    <x v="590"/>
    <s v="Bank Transfer"/>
    <s v="REV103123"/>
    <x v="1"/>
  </r>
  <r>
    <d v="2023-05-25T00:00:00"/>
    <x v="4"/>
    <x v="5"/>
    <x v="3"/>
    <x v="680"/>
    <x v="642"/>
    <s v="UPI"/>
    <s v="REV103219"/>
    <x v="1"/>
  </r>
  <r>
    <d v="2023-05-25T00:00:00"/>
    <x v="4"/>
    <x v="6"/>
    <x v="2"/>
    <x v="2279"/>
    <x v="2281"/>
    <s v="Bank Transfer"/>
    <s v="REV103222"/>
    <x v="1"/>
  </r>
  <r>
    <d v="2023-05-25T00:00:00"/>
    <x v="4"/>
    <x v="5"/>
    <x v="2"/>
    <x v="2280"/>
    <x v="2282"/>
    <s v="UPI"/>
    <s v="REV103253"/>
    <x v="1"/>
  </r>
  <r>
    <d v="2023-05-26T00:00:00"/>
    <x v="4"/>
    <x v="3"/>
    <x v="1"/>
    <x v="2281"/>
    <x v="2283"/>
    <s v="Card"/>
    <s v="TXN100461"/>
    <x v="0"/>
  </r>
  <r>
    <d v="2023-05-26T00:00:00"/>
    <x v="4"/>
    <x v="1"/>
    <x v="4"/>
    <x v="2282"/>
    <x v="2284"/>
    <s v="Bank Transfer"/>
    <s v="TXN100880"/>
    <x v="0"/>
  </r>
  <r>
    <d v="2023-05-26T00:00:00"/>
    <x v="4"/>
    <x v="3"/>
    <x v="1"/>
    <x v="2283"/>
    <x v="2285"/>
    <s v="UPI"/>
    <s v="TXN102133"/>
    <x v="0"/>
  </r>
  <r>
    <d v="2023-05-26T00:00:00"/>
    <x v="4"/>
    <x v="2"/>
    <x v="4"/>
    <x v="2284"/>
    <x v="2286"/>
    <s v="Cash"/>
    <s v="TXN103688"/>
    <x v="0"/>
  </r>
  <r>
    <d v="2023-05-26T00:00:00"/>
    <x v="4"/>
    <x v="0"/>
    <x v="0"/>
    <x v="2285"/>
    <x v="2287"/>
    <s v="Card"/>
    <s v="TXN104116"/>
    <x v="0"/>
  </r>
  <r>
    <d v="2023-05-26T00:00:00"/>
    <x v="4"/>
    <x v="1"/>
    <x v="3"/>
    <x v="2286"/>
    <x v="2288"/>
    <s v="Card"/>
    <s v="TXN106528"/>
    <x v="0"/>
  </r>
  <r>
    <d v="2023-05-26T00:00:00"/>
    <x v="4"/>
    <x v="4"/>
    <x v="3"/>
    <x v="2287"/>
    <x v="2289"/>
    <s v="Bank Transfer"/>
    <s v="TXN106613"/>
    <x v="0"/>
  </r>
  <r>
    <d v="2023-05-26T00:00:00"/>
    <x v="4"/>
    <x v="4"/>
    <x v="1"/>
    <x v="2288"/>
    <x v="2290"/>
    <s v="Bank Transfer"/>
    <s v="TXN106850"/>
    <x v="0"/>
  </r>
  <r>
    <d v="2023-05-26T00:00:00"/>
    <x v="4"/>
    <x v="3"/>
    <x v="1"/>
    <x v="2289"/>
    <x v="2291"/>
    <s v="Cash"/>
    <s v="TXN109271"/>
    <x v="0"/>
  </r>
  <r>
    <d v="2023-05-26T00:00:00"/>
    <x v="4"/>
    <x v="4"/>
    <x v="1"/>
    <x v="2290"/>
    <x v="2292"/>
    <s v="Bank Transfer"/>
    <s v="TXN109960"/>
    <x v="0"/>
  </r>
  <r>
    <d v="2023-05-26T00:00:00"/>
    <x v="4"/>
    <x v="5"/>
    <x v="1"/>
    <x v="2291"/>
    <x v="129"/>
    <s v="Bank Transfer"/>
    <s v="REV100176"/>
    <x v="1"/>
  </r>
  <r>
    <d v="2023-05-26T00:00:00"/>
    <x v="4"/>
    <x v="6"/>
    <x v="4"/>
    <x v="2206"/>
    <x v="2293"/>
    <s v="Bank Transfer"/>
    <s v="REV100325"/>
    <x v="1"/>
  </r>
  <r>
    <d v="2023-05-26T00:00:00"/>
    <x v="4"/>
    <x v="6"/>
    <x v="1"/>
    <x v="2292"/>
    <x v="2294"/>
    <s v="Bank Transfer"/>
    <s v="REV100760"/>
    <x v="1"/>
  </r>
  <r>
    <d v="2023-05-26T00:00:00"/>
    <x v="4"/>
    <x v="5"/>
    <x v="4"/>
    <x v="2183"/>
    <x v="97"/>
    <s v="Card"/>
    <s v="REV101264"/>
    <x v="1"/>
  </r>
  <r>
    <d v="2023-05-26T00:00:00"/>
    <x v="4"/>
    <x v="5"/>
    <x v="0"/>
    <x v="1573"/>
    <x v="2263"/>
    <s v="Bank Transfer"/>
    <s v="REV101424"/>
    <x v="1"/>
  </r>
  <r>
    <d v="2023-05-26T00:00:00"/>
    <x v="4"/>
    <x v="6"/>
    <x v="3"/>
    <x v="673"/>
    <x v="877"/>
    <s v="Card"/>
    <s v="REV102214"/>
    <x v="1"/>
  </r>
  <r>
    <d v="2023-05-26T00:00:00"/>
    <x v="4"/>
    <x v="5"/>
    <x v="3"/>
    <x v="2293"/>
    <x v="1169"/>
    <s v="Bank Transfer"/>
    <s v="REV102246"/>
    <x v="1"/>
  </r>
  <r>
    <d v="2023-05-26T00:00:00"/>
    <x v="4"/>
    <x v="6"/>
    <x v="1"/>
    <x v="2294"/>
    <x v="2295"/>
    <s v="Bank Transfer"/>
    <s v="REV102332"/>
    <x v="1"/>
  </r>
  <r>
    <d v="2023-05-26T00:00:00"/>
    <x v="4"/>
    <x v="5"/>
    <x v="1"/>
    <x v="2295"/>
    <x v="2296"/>
    <s v="UPI"/>
    <s v="REV103132"/>
    <x v="1"/>
  </r>
  <r>
    <d v="2023-05-26T00:00:00"/>
    <x v="4"/>
    <x v="6"/>
    <x v="1"/>
    <x v="409"/>
    <x v="2297"/>
    <s v="Bank Transfer"/>
    <s v="REV103366"/>
    <x v="1"/>
  </r>
  <r>
    <d v="2023-05-27T00:00:00"/>
    <x v="4"/>
    <x v="7"/>
    <x v="0"/>
    <x v="2296"/>
    <x v="2298"/>
    <s v="Bank Transfer"/>
    <s v="TXN100308"/>
    <x v="0"/>
  </r>
  <r>
    <d v="2023-05-27T00:00:00"/>
    <x v="4"/>
    <x v="1"/>
    <x v="0"/>
    <x v="2297"/>
    <x v="2299"/>
    <s v="Card"/>
    <s v="TXN100529"/>
    <x v="0"/>
  </r>
  <r>
    <d v="2023-05-27T00:00:00"/>
    <x v="4"/>
    <x v="1"/>
    <x v="2"/>
    <x v="2298"/>
    <x v="2300"/>
    <s v="Bank Transfer"/>
    <s v="TXN100701"/>
    <x v="0"/>
  </r>
  <r>
    <d v="2023-05-27T00:00:00"/>
    <x v="4"/>
    <x v="1"/>
    <x v="1"/>
    <x v="2299"/>
    <x v="2301"/>
    <s v="Card"/>
    <s v="TXN102253"/>
    <x v="0"/>
  </r>
  <r>
    <d v="2023-05-27T00:00:00"/>
    <x v="4"/>
    <x v="3"/>
    <x v="2"/>
    <x v="2300"/>
    <x v="2302"/>
    <s v="Bank Transfer"/>
    <s v="TXN103051"/>
    <x v="0"/>
  </r>
  <r>
    <d v="2023-05-27T00:00:00"/>
    <x v="4"/>
    <x v="2"/>
    <x v="2"/>
    <x v="2301"/>
    <x v="2303"/>
    <s v="Cash"/>
    <s v="TXN103802"/>
    <x v="0"/>
  </r>
  <r>
    <d v="2023-05-27T00:00:00"/>
    <x v="4"/>
    <x v="1"/>
    <x v="2"/>
    <x v="2302"/>
    <x v="2304"/>
    <s v="Cash"/>
    <s v="TXN104446"/>
    <x v="0"/>
  </r>
  <r>
    <d v="2023-05-27T00:00:00"/>
    <x v="4"/>
    <x v="2"/>
    <x v="0"/>
    <x v="2303"/>
    <x v="2305"/>
    <s v="UPI"/>
    <s v="TXN108902"/>
    <x v="0"/>
  </r>
  <r>
    <d v="2023-05-27T00:00:00"/>
    <x v="4"/>
    <x v="5"/>
    <x v="0"/>
    <x v="2304"/>
    <x v="2306"/>
    <s v="Card"/>
    <s v="REV100110"/>
    <x v="1"/>
  </r>
  <r>
    <d v="2023-05-27T00:00:00"/>
    <x v="4"/>
    <x v="6"/>
    <x v="0"/>
    <x v="716"/>
    <x v="2307"/>
    <s v="UPI"/>
    <s v="REV100207"/>
    <x v="1"/>
  </r>
  <r>
    <d v="2023-05-27T00:00:00"/>
    <x v="4"/>
    <x v="5"/>
    <x v="2"/>
    <x v="2305"/>
    <x v="2308"/>
    <s v="Card"/>
    <s v="REV100262"/>
    <x v="1"/>
  </r>
  <r>
    <d v="2023-05-27T00:00:00"/>
    <x v="4"/>
    <x v="5"/>
    <x v="1"/>
    <x v="2306"/>
    <x v="2309"/>
    <s v="UPI"/>
    <s v="REV100796"/>
    <x v="1"/>
  </r>
  <r>
    <d v="2023-05-27T00:00:00"/>
    <x v="4"/>
    <x v="5"/>
    <x v="2"/>
    <x v="2307"/>
    <x v="2310"/>
    <s v="Bank Transfer"/>
    <s v="REV101054"/>
    <x v="1"/>
  </r>
  <r>
    <d v="2023-05-27T00:00:00"/>
    <x v="4"/>
    <x v="5"/>
    <x v="2"/>
    <x v="2308"/>
    <x v="832"/>
    <s v="Bank Transfer"/>
    <s v="REV101312"/>
    <x v="1"/>
  </r>
  <r>
    <d v="2023-05-27T00:00:00"/>
    <x v="4"/>
    <x v="5"/>
    <x v="2"/>
    <x v="1471"/>
    <x v="2311"/>
    <s v="Card"/>
    <s v="REV101529"/>
    <x v="1"/>
  </r>
  <r>
    <d v="2023-05-27T00:00:00"/>
    <x v="4"/>
    <x v="6"/>
    <x v="0"/>
    <x v="2309"/>
    <x v="2057"/>
    <s v="Bank Transfer"/>
    <s v="REV103012"/>
    <x v="1"/>
  </r>
  <r>
    <d v="2023-05-28T00:00:00"/>
    <x v="4"/>
    <x v="3"/>
    <x v="1"/>
    <x v="2310"/>
    <x v="2312"/>
    <s v="Card"/>
    <s v="TXN100207"/>
    <x v="0"/>
  </r>
  <r>
    <d v="2023-05-28T00:00:00"/>
    <x v="4"/>
    <x v="3"/>
    <x v="2"/>
    <x v="2311"/>
    <x v="2313"/>
    <s v="Bank Transfer"/>
    <s v="TXN103980"/>
    <x v="0"/>
  </r>
  <r>
    <d v="2023-05-28T00:00:00"/>
    <x v="4"/>
    <x v="4"/>
    <x v="3"/>
    <x v="2312"/>
    <x v="2314"/>
    <s v="Cash"/>
    <s v="TXN104971"/>
    <x v="0"/>
  </r>
  <r>
    <d v="2023-05-28T00:00:00"/>
    <x v="4"/>
    <x v="2"/>
    <x v="4"/>
    <x v="2313"/>
    <x v="2315"/>
    <s v="Cash"/>
    <s v="TXN105489"/>
    <x v="0"/>
  </r>
  <r>
    <d v="2023-05-28T00:00:00"/>
    <x v="4"/>
    <x v="2"/>
    <x v="4"/>
    <x v="2314"/>
    <x v="2316"/>
    <s v="Card"/>
    <s v="TXN106887"/>
    <x v="0"/>
  </r>
  <r>
    <d v="2023-05-28T00:00:00"/>
    <x v="4"/>
    <x v="4"/>
    <x v="0"/>
    <x v="2315"/>
    <x v="2317"/>
    <s v="Bank Transfer"/>
    <s v="TXN107256"/>
    <x v="0"/>
  </r>
  <r>
    <d v="2023-05-28T00:00:00"/>
    <x v="4"/>
    <x v="6"/>
    <x v="1"/>
    <x v="2316"/>
    <x v="264"/>
    <s v="Card"/>
    <s v="REV100072"/>
    <x v="1"/>
  </r>
  <r>
    <d v="2023-05-28T00:00:00"/>
    <x v="4"/>
    <x v="6"/>
    <x v="2"/>
    <x v="2168"/>
    <x v="1762"/>
    <s v="Card"/>
    <s v="REV101376"/>
    <x v="1"/>
  </r>
  <r>
    <d v="2023-05-28T00:00:00"/>
    <x v="4"/>
    <x v="5"/>
    <x v="3"/>
    <x v="2317"/>
    <x v="954"/>
    <s v="Card"/>
    <s v="REV101696"/>
    <x v="1"/>
  </r>
  <r>
    <d v="2023-05-28T00:00:00"/>
    <x v="4"/>
    <x v="5"/>
    <x v="4"/>
    <x v="1788"/>
    <x v="364"/>
    <s v="Bank Transfer"/>
    <s v="REV101868"/>
    <x v="1"/>
  </r>
  <r>
    <d v="2023-05-28T00:00:00"/>
    <x v="4"/>
    <x v="5"/>
    <x v="4"/>
    <x v="2318"/>
    <x v="2296"/>
    <s v="Card"/>
    <s v="REV102343"/>
    <x v="1"/>
  </r>
  <r>
    <d v="2023-05-28T00:00:00"/>
    <x v="4"/>
    <x v="6"/>
    <x v="0"/>
    <x v="206"/>
    <x v="2318"/>
    <s v="Bank Transfer"/>
    <s v="REV102466"/>
    <x v="1"/>
  </r>
  <r>
    <d v="2023-05-29T00:00:00"/>
    <x v="4"/>
    <x v="1"/>
    <x v="0"/>
    <x v="2319"/>
    <x v="2319"/>
    <s v="Card"/>
    <s v="TXN100064"/>
    <x v="0"/>
  </r>
  <r>
    <d v="2023-05-29T00:00:00"/>
    <x v="4"/>
    <x v="4"/>
    <x v="0"/>
    <x v="2320"/>
    <x v="2320"/>
    <s v="Card"/>
    <s v="TXN100232"/>
    <x v="0"/>
  </r>
  <r>
    <d v="2023-05-29T00:00:00"/>
    <x v="4"/>
    <x v="7"/>
    <x v="1"/>
    <x v="2321"/>
    <x v="2321"/>
    <s v="Bank Transfer"/>
    <s v="TXN101281"/>
    <x v="0"/>
  </r>
  <r>
    <d v="2023-05-29T00:00:00"/>
    <x v="4"/>
    <x v="7"/>
    <x v="0"/>
    <x v="2322"/>
    <x v="2322"/>
    <s v="Bank Transfer"/>
    <s v="TXN106205"/>
    <x v="0"/>
  </r>
  <r>
    <d v="2023-05-29T00:00:00"/>
    <x v="4"/>
    <x v="0"/>
    <x v="4"/>
    <x v="2323"/>
    <x v="2323"/>
    <s v="UPI"/>
    <s v="TXN108351"/>
    <x v="0"/>
  </r>
  <r>
    <d v="2023-05-29T00:00:00"/>
    <x v="4"/>
    <x v="2"/>
    <x v="1"/>
    <x v="2324"/>
    <x v="2324"/>
    <s v="Card"/>
    <s v="TXN108524"/>
    <x v="0"/>
  </r>
  <r>
    <d v="2023-05-29T00:00:00"/>
    <x v="4"/>
    <x v="7"/>
    <x v="4"/>
    <x v="2325"/>
    <x v="2325"/>
    <s v="Cash"/>
    <s v="TXN109380"/>
    <x v="0"/>
  </r>
  <r>
    <d v="2023-05-29T00:00:00"/>
    <x v="4"/>
    <x v="0"/>
    <x v="0"/>
    <x v="2326"/>
    <x v="2326"/>
    <s v="Bank Transfer"/>
    <s v="TXN109971"/>
    <x v="0"/>
  </r>
  <r>
    <d v="2023-05-29T00:00:00"/>
    <x v="4"/>
    <x v="6"/>
    <x v="0"/>
    <x v="1023"/>
    <x v="849"/>
    <s v="Card"/>
    <s v="REV100023"/>
    <x v="1"/>
  </r>
  <r>
    <d v="2023-05-29T00:00:00"/>
    <x v="4"/>
    <x v="6"/>
    <x v="0"/>
    <x v="2327"/>
    <x v="723"/>
    <s v="Card"/>
    <s v="REV100082"/>
    <x v="1"/>
  </r>
  <r>
    <d v="2023-05-29T00:00:00"/>
    <x v="4"/>
    <x v="5"/>
    <x v="1"/>
    <x v="2328"/>
    <x v="2327"/>
    <s v="Bank Transfer"/>
    <s v="REV100468"/>
    <x v="1"/>
  </r>
  <r>
    <d v="2023-05-29T00:00:00"/>
    <x v="4"/>
    <x v="5"/>
    <x v="0"/>
    <x v="39"/>
    <x v="2328"/>
    <s v="Card"/>
    <s v="REV102090"/>
    <x v="1"/>
  </r>
  <r>
    <d v="2023-05-29T00:00:00"/>
    <x v="4"/>
    <x v="6"/>
    <x v="4"/>
    <x v="226"/>
    <x v="1155"/>
    <s v="Bank Transfer"/>
    <s v="REV102840"/>
    <x v="1"/>
  </r>
  <r>
    <d v="2023-05-29T00:00:00"/>
    <x v="4"/>
    <x v="5"/>
    <x v="1"/>
    <x v="2327"/>
    <x v="1999"/>
    <s v="Bank Transfer"/>
    <s v="REV102888"/>
    <x v="1"/>
  </r>
  <r>
    <d v="2023-05-29T00:00:00"/>
    <x v="4"/>
    <x v="6"/>
    <x v="4"/>
    <x v="803"/>
    <x v="2329"/>
    <s v="Bank Transfer"/>
    <s v="REV103170"/>
    <x v="1"/>
  </r>
  <r>
    <d v="2023-05-29T00:00:00"/>
    <x v="4"/>
    <x v="5"/>
    <x v="0"/>
    <x v="329"/>
    <x v="2330"/>
    <s v="Bank Transfer"/>
    <s v="REV103375"/>
    <x v="1"/>
  </r>
  <r>
    <d v="2023-05-30T00:00:00"/>
    <x v="4"/>
    <x v="1"/>
    <x v="3"/>
    <x v="2329"/>
    <x v="2331"/>
    <s v="Bank Transfer"/>
    <s v="TXN104099"/>
    <x v="0"/>
  </r>
  <r>
    <d v="2023-05-30T00:00:00"/>
    <x v="4"/>
    <x v="4"/>
    <x v="2"/>
    <x v="2330"/>
    <x v="2332"/>
    <s v="Card"/>
    <s v="TXN106397"/>
    <x v="0"/>
  </r>
  <r>
    <d v="2023-05-30T00:00:00"/>
    <x v="4"/>
    <x v="0"/>
    <x v="1"/>
    <x v="2331"/>
    <x v="2333"/>
    <s v="UPI"/>
    <s v="TXN107785"/>
    <x v="0"/>
  </r>
  <r>
    <d v="2023-05-30T00:00:00"/>
    <x v="4"/>
    <x v="0"/>
    <x v="3"/>
    <x v="2332"/>
    <x v="2334"/>
    <s v="Card"/>
    <s v="TXN108353"/>
    <x v="0"/>
  </r>
  <r>
    <d v="2023-05-30T00:00:00"/>
    <x v="4"/>
    <x v="5"/>
    <x v="3"/>
    <x v="2333"/>
    <x v="1441"/>
    <s v="Card"/>
    <s v="REV101416"/>
    <x v="1"/>
  </r>
  <r>
    <d v="2023-05-30T00:00:00"/>
    <x v="4"/>
    <x v="5"/>
    <x v="2"/>
    <x v="1466"/>
    <x v="603"/>
    <s v="UPI"/>
    <s v="REV102162"/>
    <x v="1"/>
  </r>
  <r>
    <d v="2023-05-30T00:00:00"/>
    <x v="4"/>
    <x v="6"/>
    <x v="1"/>
    <x v="2334"/>
    <x v="267"/>
    <s v="Card"/>
    <s v="REV102647"/>
    <x v="1"/>
  </r>
  <r>
    <d v="2023-05-30T00:00:00"/>
    <x v="4"/>
    <x v="5"/>
    <x v="3"/>
    <x v="2335"/>
    <x v="38"/>
    <s v="Bank Transfer"/>
    <s v="REV102841"/>
    <x v="1"/>
  </r>
  <r>
    <d v="2023-05-31T00:00:00"/>
    <x v="4"/>
    <x v="2"/>
    <x v="1"/>
    <x v="2336"/>
    <x v="2335"/>
    <s v="Card"/>
    <s v="TXN100186"/>
    <x v="0"/>
  </r>
  <r>
    <d v="2023-05-31T00:00:00"/>
    <x v="4"/>
    <x v="2"/>
    <x v="2"/>
    <x v="2337"/>
    <x v="2336"/>
    <s v="Cash"/>
    <s v="TXN100562"/>
    <x v="0"/>
  </r>
  <r>
    <d v="2023-05-31T00:00:00"/>
    <x v="4"/>
    <x v="2"/>
    <x v="1"/>
    <x v="2338"/>
    <x v="2337"/>
    <s v="UPI"/>
    <s v="TXN100723"/>
    <x v="0"/>
  </r>
  <r>
    <d v="2023-05-31T00:00:00"/>
    <x v="4"/>
    <x v="0"/>
    <x v="4"/>
    <x v="2339"/>
    <x v="2338"/>
    <s v="Card"/>
    <s v="TXN102222"/>
    <x v="0"/>
  </r>
  <r>
    <d v="2023-05-31T00:00:00"/>
    <x v="4"/>
    <x v="4"/>
    <x v="1"/>
    <x v="2340"/>
    <x v="2339"/>
    <s v="Cash"/>
    <s v="TXN102397"/>
    <x v="0"/>
  </r>
  <r>
    <d v="2023-05-31T00:00:00"/>
    <x v="4"/>
    <x v="3"/>
    <x v="4"/>
    <x v="2341"/>
    <x v="2340"/>
    <s v="UPI"/>
    <s v="TXN102454"/>
    <x v="0"/>
  </r>
  <r>
    <d v="2023-05-31T00:00:00"/>
    <x v="4"/>
    <x v="0"/>
    <x v="2"/>
    <x v="2342"/>
    <x v="2341"/>
    <s v="Cash"/>
    <s v="TXN102551"/>
    <x v="0"/>
  </r>
  <r>
    <d v="2023-05-31T00:00:00"/>
    <x v="4"/>
    <x v="0"/>
    <x v="1"/>
    <x v="2343"/>
    <x v="2342"/>
    <s v="Bank Transfer"/>
    <s v="TXN102658"/>
    <x v="0"/>
  </r>
  <r>
    <d v="2023-05-31T00:00:00"/>
    <x v="4"/>
    <x v="0"/>
    <x v="0"/>
    <x v="2344"/>
    <x v="2343"/>
    <s v="Cash"/>
    <s v="TXN103244"/>
    <x v="0"/>
  </r>
  <r>
    <d v="2023-05-31T00:00:00"/>
    <x v="4"/>
    <x v="2"/>
    <x v="4"/>
    <x v="2345"/>
    <x v="2344"/>
    <s v="Bank Transfer"/>
    <s v="TXN103365"/>
    <x v="0"/>
  </r>
  <r>
    <d v="2023-05-31T00:00:00"/>
    <x v="4"/>
    <x v="2"/>
    <x v="0"/>
    <x v="2346"/>
    <x v="2345"/>
    <s v="Card"/>
    <s v="TXN104324"/>
    <x v="0"/>
  </r>
  <r>
    <d v="2023-05-31T00:00:00"/>
    <x v="4"/>
    <x v="0"/>
    <x v="4"/>
    <x v="2347"/>
    <x v="2346"/>
    <s v="Bank Transfer"/>
    <s v="TXN104589"/>
    <x v="0"/>
  </r>
  <r>
    <d v="2023-05-31T00:00:00"/>
    <x v="4"/>
    <x v="3"/>
    <x v="3"/>
    <x v="2348"/>
    <x v="2347"/>
    <s v="Card"/>
    <s v="TXN105608"/>
    <x v="0"/>
  </r>
  <r>
    <d v="2023-05-31T00:00:00"/>
    <x v="4"/>
    <x v="7"/>
    <x v="3"/>
    <x v="2349"/>
    <x v="2348"/>
    <s v="Card"/>
    <s v="TXN106788"/>
    <x v="0"/>
  </r>
  <r>
    <d v="2023-05-31T00:00:00"/>
    <x v="4"/>
    <x v="3"/>
    <x v="1"/>
    <x v="2350"/>
    <x v="2349"/>
    <s v="Card"/>
    <s v="TXN107349"/>
    <x v="0"/>
  </r>
  <r>
    <d v="2023-05-31T00:00:00"/>
    <x v="4"/>
    <x v="0"/>
    <x v="4"/>
    <x v="2351"/>
    <x v="2350"/>
    <s v="UPI"/>
    <s v="TXN108652"/>
    <x v="0"/>
  </r>
  <r>
    <d v="2023-05-31T00:00:00"/>
    <x v="4"/>
    <x v="5"/>
    <x v="1"/>
    <x v="2352"/>
    <x v="1206"/>
    <s v="Bank Transfer"/>
    <s v="REV100066"/>
    <x v="1"/>
  </r>
  <r>
    <d v="2023-05-31T00:00:00"/>
    <x v="4"/>
    <x v="6"/>
    <x v="2"/>
    <x v="1246"/>
    <x v="1471"/>
    <s v="Bank Transfer"/>
    <s v="REV100218"/>
    <x v="1"/>
  </r>
  <r>
    <d v="2023-05-31T00:00:00"/>
    <x v="4"/>
    <x v="5"/>
    <x v="1"/>
    <x v="2353"/>
    <x v="1791"/>
    <s v="Bank Transfer"/>
    <s v="REV100269"/>
    <x v="1"/>
  </r>
  <r>
    <d v="2023-05-31T00:00:00"/>
    <x v="4"/>
    <x v="5"/>
    <x v="4"/>
    <x v="127"/>
    <x v="2351"/>
    <s v="Bank Transfer"/>
    <s v="REV100787"/>
    <x v="1"/>
  </r>
  <r>
    <d v="2023-05-31T00:00:00"/>
    <x v="4"/>
    <x v="5"/>
    <x v="1"/>
    <x v="2079"/>
    <x v="1192"/>
    <s v="Card"/>
    <s v="REV100846"/>
    <x v="1"/>
  </r>
  <r>
    <d v="2023-05-31T00:00:00"/>
    <x v="4"/>
    <x v="5"/>
    <x v="4"/>
    <x v="2354"/>
    <x v="1208"/>
    <s v="UPI"/>
    <s v="REV100863"/>
    <x v="1"/>
  </r>
  <r>
    <d v="2023-05-31T00:00:00"/>
    <x v="4"/>
    <x v="5"/>
    <x v="2"/>
    <x v="2355"/>
    <x v="1649"/>
    <s v="Card"/>
    <s v="REV100893"/>
    <x v="1"/>
  </r>
  <r>
    <d v="2023-05-31T00:00:00"/>
    <x v="4"/>
    <x v="5"/>
    <x v="1"/>
    <x v="1609"/>
    <x v="2352"/>
    <s v="Bank Transfer"/>
    <s v="REV100931"/>
    <x v="1"/>
  </r>
  <r>
    <d v="2023-05-31T00:00:00"/>
    <x v="4"/>
    <x v="6"/>
    <x v="0"/>
    <x v="1572"/>
    <x v="2353"/>
    <s v="Bank Transfer"/>
    <s v="REV101113"/>
    <x v="1"/>
  </r>
  <r>
    <d v="2023-05-31T00:00:00"/>
    <x v="4"/>
    <x v="5"/>
    <x v="4"/>
    <x v="1398"/>
    <x v="2354"/>
    <s v="Bank Transfer"/>
    <s v="REV101156"/>
    <x v="1"/>
  </r>
  <r>
    <d v="2023-05-31T00:00:00"/>
    <x v="4"/>
    <x v="6"/>
    <x v="0"/>
    <x v="1203"/>
    <x v="2355"/>
    <s v="Bank Transfer"/>
    <s v="REV101497"/>
    <x v="1"/>
  </r>
  <r>
    <d v="2023-05-31T00:00:00"/>
    <x v="4"/>
    <x v="5"/>
    <x v="4"/>
    <x v="1609"/>
    <x v="1358"/>
    <s v="Card"/>
    <s v="REV101570"/>
    <x v="1"/>
  </r>
  <r>
    <d v="2023-05-31T00:00:00"/>
    <x v="4"/>
    <x v="5"/>
    <x v="3"/>
    <x v="1400"/>
    <x v="81"/>
    <s v="Bank Transfer"/>
    <s v="REV101911"/>
    <x v="1"/>
  </r>
  <r>
    <d v="2023-05-31T00:00:00"/>
    <x v="4"/>
    <x v="5"/>
    <x v="3"/>
    <x v="2356"/>
    <x v="1564"/>
    <s v="Bank Transfer"/>
    <s v="REV102313"/>
    <x v="1"/>
  </r>
  <r>
    <d v="2023-05-31T00:00:00"/>
    <x v="4"/>
    <x v="6"/>
    <x v="1"/>
    <x v="263"/>
    <x v="2356"/>
    <s v="Bank Transfer"/>
    <s v="REV102493"/>
    <x v="1"/>
  </r>
  <r>
    <d v="2023-05-31T00:00:00"/>
    <x v="4"/>
    <x v="5"/>
    <x v="4"/>
    <x v="2357"/>
    <x v="2357"/>
    <s v="Card"/>
    <s v="REV102937"/>
    <x v="1"/>
  </r>
  <r>
    <d v="2023-06-01T00:00:00"/>
    <x v="5"/>
    <x v="1"/>
    <x v="2"/>
    <x v="2358"/>
    <x v="2358"/>
    <s v="Bank Transfer"/>
    <s v="TXN104123"/>
    <x v="0"/>
  </r>
  <r>
    <d v="2023-06-01T00:00:00"/>
    <x v="5"/>
    <x v="4"/>
    <x v="4"/>
    <x v="2359"/>
    <x v="2359"/>
    <s v="Card"/>
    <s v="TXN105017"/>
    <x v="0"/>
  </r>
  <r>
    <d v="2023-06-01T00:00:00"/>
    <x v="5"/>
    <x v="1"/>
    <x v="2"/>
    <x v="2360"/>
    <x v="2360"/>
    <s v="Cash"/>
    <s v="TXN105392"/>
    <x v="0"/>
  </r>
  <r>
    <d v="2023-06-01T00:00:00"/>
    <x v="5"/>
    <x v="1"/>
    <x v="1"/>
    <x v="2361"/>
    <x v="2361"/>
    <s v="UPI"/>
    <s v="TXN107697"/>
    <x v="0"/>
  </r>
  <r>
    <d v="2023-06-01T00:00:00"/>
    <x v="5"/>
    <x v="2"/>
    <x v="3"/>
    <x v="2362"/>
    <x v="2362"/>
    <s v="Card"/>
    <s v="TXN108325"/>
    <x v="0"/>
  </r>
  <r>
    <d v="2023-06-01T00:00:00"/>
    <x v="5"/>
    <x v="0"/>
    <x v="3"/>
    <x v="2363"/>
    <x v="2363"/>
    <s v="Bank Transfer"/>
    <s v="TXN108396"/>
    <x v="0"/>
  </r>
  <r>
    <d v="2023-06-01T00:00:00"/>
    <x v="5"/>
    <x v="7"/>
    <x v="4"/>
    <x v="2364"/>
    <x v="2364"/>
    <s v="Cash"/>
    <s v="TXN109834"/>
    <x v="0"/>
  </r>
  <r>
    <d v="2023-06-01T00:00:00"/>
    <x v="5"/>
    <x v="6"/>
    <x v="2"/>
    <x v="2088"/>
    <x v="2365"/>
    <s v="Card"/>
    <s v="REV101428"/>
    <x v="1"/>
  </r>
  <r>
    <d v="2023-06-01T00:00:00"/>
    <x v="5"/>
    <x v="6"/>
    <x v="4"/>
    <x v="2365"/>
    <x v="2366"/>
    <s v="Card"/>
    <s v="REV101710"/>
    <x v="1"/>
  </r>
  <r>
    <d v="2023-06-01T00:00:00"/>
    <x v="5"/>
    <x v="5"/>
    <x v="2"/>
    <x v="2366"/>
    <x v="204"/>
    <s v="UPI"/>
    <s v="REV101832"/>
    <x v="1"/>
  </r>
  <r>
    <d v="2023-06-01T00:00:00"/>
    <x v="5"/>
    <x v="6"/>
    <x v="1"/>
    <x v="2367"/>
    <x v="358"/>
    <s v="Card"/>
    <s v="REV102620"/>
    <x v="1"/>
  </r>
  <r>
    <d v="2023-06-01T00:00:00"/>
    <x v="5"/>
    <x v="6"/>
    <x v="3"/>
    <x v="1804"/>
    <x v="127"/>
    <s v="Bank Transfer"/>
    <s v="REV102829"/>
    <x v="1"/>
  </r>
  <r>
    <d v="2023-06-01T00:00:00"/>
    <x v="5"/>
    <x v="6"/>
    <x v="3"/>
    <x v="1400"/>
    <x v="484"/>
    <s v="Bank Transfer"/>
    <s v="REV102852"/>
    <x v="1"/>
  </r>
  <r>
    <d v="2023-06-01T00:00:00"/>
    <x v="5"/>
    <x v="6"/>
    <x v="4"/>
    <x v="240"/>
    <x v="2367"/>
    <s v="Bank Transfer"/>
    <s v="REV103330"/>
    <x v="1"/>
  </r>
  <r>
    <d v="2023-06-02T00:00:00"/>
    <x v="5"/>
    <x v="1"/>
    <x v="0"/>
    <x v="2368"/>
    <x v="2368"/>
    <s v="Card"/>
    <s v="TXN100522"/>
    <x v="0"/>
  </r>
  <r>
    <d v="2023-06-02T00:00:00"/>
    <x v="5"/>
    <x v="1"/>
    <x v="3"/>
    <x v="2369"/>
    <x v="2369"/>
    <s v="Bank Transfer"/>
    <s v="TXN100668"/>
    <x v="0"/>
  </r>
  <r>
    <d v="2023-06-02T00:00:00"/>
    <x v="5"/>
    <x v="3"/>
    <x v="0"/>
    <x v="2370"/>
    <x v="2370"/>
    <s v="Cash"/>
    <s v="TXN101083"/>
    <x v="0"/>
  </r>
  <r>
    <d v="2023-06-02T00:00:00"/>
    <x v="5"/>
    <x v="2"/>
    <x v="2"/>
    <x v="2371"/>
    <x v="2371"/>
    <s v="Card"/>
    <s v="TXN101826"/>
    <x v="0"/>
  </r>
  <r>
    <d v="2023-06-02T00:00:00"/>
    <x v="5"/>
    <x v="3"/>
    <x v="1"/>
    <x v="2372"/>
    <x v="2372"/>
    <s v="UPI"/>
    <s v="TXN102631"/>
    <x v="0"/>
  </r>
  <r>
    <d v="2023-06-02T00:00:00"/>
    <x v="5"/>
    <x v="3"/>
    <x v="3"/>
    <x v="2373"/>
    <x v="2373"/>
    <s v="UPI"/>
    <s v="TXN102946"/>
    <x v="0"/>
  </r>
  <r>
    <d v="2023-06-02T00:00:00"/>
    <x v="5"/>
    <x v="1"/>
    <x v="1"/>
    <x v="2374"/>
    <x v="2374"/>
    <s v="Card"/>
    <s v="TXN103151"/>
    <x v="0"/>
  </r>
  <r>
    <d v="2023-06-02T00:00:00"/>
    <x v="5"/>
    <x v="2"/>
    <x v="4"/>
    <x v="2375"/>
    <x v="2375"/>
    <s v="Card"/>
    <s v="TXN103892"/>
    <x v="0"/>
  </r>
  <r>
    <d v="2023-06-02T00:00:00"/>
    <x v="5"/>
    <x v="1"/>
    <x v="4"/>
    <x v="2376"/>
    <x v="2376"/>
    <s v="Cash"/>
    <s v="TXN105306"/>
    <x v="0"/>
  </r>
  <r>
    <d v="2023-06-02T00:00:00"/>
    <x v="5"/>
    <x v="0"/>
    <x v="1"/>
    <x v="2377"/>
    <x v="2377"/>
    <s v="Cash"/>
    <s v="TXN106518"/>
    <x v="0"/>
  </r>
  <r>
    <d v="2023-06-02T00:00:00"/>
    <x v="5"/>
    <x v="5"/>
    <x v="0"/>
    <x v="714"/>
    <x v="444"/>
    <s v="Bank Transfer"/>
    <s v="REV100204"/>
    <x v="1"/>
  </r>
  <r>
    <d v="2023-06-02T00:00:00"/>
    <x v="5"/>
    <x v="6"/>
    <x v="3"/>
    <x v="1881"/>
    <x v="518"/>
    <s v="Card"/>
    <s v="REV100251"/>
    <x v="1"/>
  </r>
  <r>
    <d v="2023-06-02T00:00:00"/>
    <x v="5"/>
    <x v="5"/>
    <x v="0"/>
    <x v="2378"/>
    <x v="1122"/>
    <s v="UPI"/>
    <s v="REV100397"/>
    <x v="1"/>
  </r>
  <r>
    <d v="2023-06-02T00:00:00"/>
    <x v="5"/>
    <x v="6"/>
    <x v="2"/>
    <x v="1593"/>
    <x v="745"/>
    <s v="UPI"/>
    <s v="REV100665"/>
    <x v="1"/>
  </r>
  <r>
    <d v="2023-06-02T00:00:00"/>
    <x v="5"/>
    <x v="6"/>
    <x v="1"/>
    <x v="2379"/>
    <x v="2378"/>
    <s v="Card"/>
    <s v="REV100921"/>
    <x v="1"/>
  </r>
  <r>
    <d v="2023-06-02T00:00:00"/>
    <x v="5"/>
    <x v="6"/>
    <x v="3"/>
    <x v="1018"/>
    <x v="2379"/>
    <s v="Bank Transfer"/>
    <s v="REV101024"/>
    <x v="1"/>
  </r>
  <r>
    <d v="2023-06-02T00:00:00"/>
    <x v="5"/>
    <x v="6"/>
    <x v="1"/>
    <x v="2037"/>
    <x v="2380"/>
    <s v="Bank Transfer"/>
    <s v="REV101087"/>
    <x v="1"/>
  </r>
  <r>
    <d v="2023-06-02T00:00:00"/>
    <x v="5"/>
    <x v="5"/>
    <x v="4"/>
    <x v="758"/>
    <x v="1331"/>
    <s v="Card"/>
    <s v="REV101346"/>
    <x v="1"/>
  </r>
  <r>
    <d v="2023-06-02T00:00:00"/>
    <x v="5"/>
    <x v="5"/>
    <x v="4"/>
    <x v="2380"/>
    <x v="2381"/>
    <s v="Card"/>
    <s v="REV101798"/>
    <x v="1"/>
  </r>
  <r>
    <d v="2023-06-02T00:00:00"/>
    <x v="5"/>
    <x v="5"/>
    <x v="1"/>
    <x v="348"/>
    <x v="1774"/>
    <s v="Card"/>
    <s v="REV102209"/>
    <x v="1"/>
  </r>
  <r>
    <d v="2023-06-03T00:00:00"/>
    <x v="5"/>
    <x v="0"/>
    <x v="2"/>
    <x v="2381"/>
    <x v="2382"/>
    <s v="Bank Transfer"/>
    <s v="TXN100159"/>
    <x v="0"/>
  </r>
  <r>
    <d v="2023-06-03T00:00:00"/>
    <x v="5"/>
    <x v="1"/>
    <x v="3"/>
    <x v="2382"/>
    <x v="2383"/>
    <s v="Card"/>
    <s v="TXN100310"/>
    <x v="0"/>
  </r>
  <r>
    <d v="2023-06-03T00:00:00"/>
    <x v="5"/>
    <x v="4"/>
    <x v="1"/>
    <x v="2383"/>
    <x v="2384"/>
    <s v="Card"/>
    <s v="TXN101293"/>
    <x v="0"/>
  </r>
  <r>
    <d v="2023-06-03T00:00:00"/>
    <x v="5"/>
    <x v="2"/>
    <x v="0"/>
    <x v="2384"/>
    <x v="2385"/>
    <s v="UPI"/>
    <s v="TXN102209"/>
    <x v="0"/>
  </r>
  <r>
    <d v="2023-06-03T00:00:00"/>
    <x v="5"/>
    <x v="1"/>
    <x v="1"/>
    <x v="2385"/>
    <x v="2386"/>
    <s v="Card"/>
    <s v="TXN102836"/>
    <x v="0"/>
  </r>
  <r>
    <d v="2023-06-03T00:00:00"/>
    <x v="5"/>
    <x v="1"/>
    <x v="4"/>
    <x v="2386"/>
    <x v="2387"/>
    <s v="Cash"/>
    <s v="TXN103977"/>
    <x v="0"/>
  </r>
  <r>
    <d v="2023-06-03T00:00:00"/>
    <x v="5"/>
    <x v="1"/>
    <x v="1"/>
    <x v="2387"/>
    <x v="2388"/>
    <s v="UPI"/>
    <s v="TXN104169"/>
    <x v="0"/>
  </r>
  <r>
    <d v="2023-06-03T00:00:00"/>
    <x v="5"/>
    <x v="4"/>
    <x v="2"/>
    <x v="2388"/>
    <x v="2389"/>
    <s v="Bank Transfer"/>
    <s v="TXN106389"/>
    <x v="0"/>
  </r>
  <r>
    <d v="2023-06-03T00:00:00"/>
    <x v="5"/>
    <x v="1"/>
    <x v="3"/>
    <x v="2389"/>
    <x v="2390"/>
    <s v="UPI"/>
    <s v="TXN108203"/>
    <x v="0"/>
  </r>
  <r>
    <d v="2023-06-03T00:00:00"/>
    <x v="5"/>
    <x v="1"/>
    <x v="4"/>
    <x v="2390"/>
    <x v="2391"/>
    <s v="Cash"/>
    <s v="TXN109459"/>
    <x v="0"/>
  </r>
  <r>
    <d v="2023-06-03T00:00:00"/>
    <x v="5"/>
    <x v="5"/>
    <x v="2"/>
    <x v="1950"/>
    <x v="2392"/>
    <s v="Card"/>
    <s v="REV100057"/>
    <x v="1"/>
  </r>
  <r>
    <d v="2023-06-03T00:00:00"/>
    <x v="5"/>
    <x v="5"/>
    <x v="3"/>
    <x v="2391"/>
    <x v="2393"/>
    <s v="Card"/>
    <s v="REV100112"/>
    <x v="1"/>
  </r>
  <r>
    <d v="2023-06-03T00:00:00"/>
    <x v="5"/>
    <x v="5"/>
    <x v="1"/>
    <x v="1626"/>
    <x v="2394"/>
    <s v="Bank Transfer"/>
    <s v="REV100473"/>
    <x v="1"/>
  </r>
  <r>
    <d v="2023-06-03T00:00:00"/>
    <x v="5"/>
    <x v="5"/>
    <x v="0"/>
    <x v="280"/>
    <x v="2225"/>
    <s v="Bank Transfer"/>
    <s v="REV100782"/>
    <x v="1"/>
  </r>
  <r>
    <d v="2023-06-03T00:00:00"/>
    <x v="5"/>
    <x v="6"/>
    <x v="1"/>
    <x v="987"/>
    <x v="592"/>
    <s v="Bank Transfer"/>
    <s v="REV100998"/>
    <x v="1"/>
  </r>
  <r>
    <d v="2023-06-03T00:00:00"/>
    <x v="5"/>
    <x v="5"/>
    <x v="4"/>
    <x v="2392"/>
    <x v="2395"/>
    <s v="Bank Transfer"/>
    <s v="REV101375"/>
    <x v="1"/>
  </r>
  <r>
    <d v="2023-06-03T00:00:00"/>
    <x v="5"/>
    <x v="5"/>
    <x v="1"/>
    <x v="2393"/>
    <x v="2396"/>
    <s v="Card"/>
    <s v="REV101447"/>
    <x v="1"/>
  </r>
  <r>
    <d v="2023-06-03T00:00:00"/>
    <x v="5"/>
    <x v="5"/>
    <x v="2"/>
    <x v="180"/>
    <x v="317"/>
    <s v="Bank Transfer"/>
    <s v="REV102159"/>
    <x v="1"/>
  </r>
  <r>
    <d v="2023-06-03T00:00:00"/>
    <x v="5"/>
    <x v="5"/>
    <x v="3"/>
    <x v="180"/>
    <x v="52"/>
    <s v="Bank Transfer"/>
    <s v="REV102787"/>
    <x v="1"/>
  </r>
  <r>
    <d v="2023-06-03T00:00:00"/>
    <x v="5"/>
    <x v="5"/>
    <x v="4"/>
    <x v="1232"/>
    <x v="846"/>
    <s v="UPI"/>
    <s v="REV103196"/>
    <x v="1"/>
  </r>
  <r>
    <d v="2023-06-04T00:00:00"/>
    <x v="5"/>
    <x v="1"/>
    <x v="0"/>
    <x v="2394"/>
    <x v="2397"/>
    <s v="Bank Transfer"/>
    <s v="TXN100428"/>
    <x v="0"/>
  </r>
  <r>
    <d v="2023-06-04T00:00:00"/>
    <x v="5"/>
    <x v="0"/>
    <x v="1"/>
    <x v="2395"/>
    <x v="2398"/>
    <s v="Card"/>
    <s v="TXN101157"/>
    <x v="0"/>
  </r>
  <r>
    <d v="2023-06-04T00:00:00"/>
    <x v="5"/>
    <x v="7"/>
    <x v="2"/>
    <x v="2396"/>
    <x v="2399"/>
    <s v="Cash"/>
    <s v="TXN103716"/>
    <x v="0"/>
  </r>
  <r>
    <d v="2023-06-04T00:00:00"/>
    <x v="5"/>
    <x v="4"/>
    <x v="3"/>
    <x v="2397"/>
    <x v="2400"/>
    <s v="UPI"/>
    <s v="TXN108058"/>
    <x v="0"/>
  </r>
  <r>
    <d v="2023-06-04T00:00:00"/>
    <x v="5"/>
    <x v="5"/>
    <x v="0"/>
    <x v="2398"/>
    <x v="2401"/>
    <s v="Card"/>
    <s v="REV100160"/>
    <x v="1"/>
  </r>
  <r>
    <d v="2023-06-04T00:00:00"/>
    <x v="5"/>
    <x v="6"/>
    <x v="1"/>
    <x v="219"/>
    <x v="2402"/>
    <s v="Card"/>
    <s v="REV100425"/>
    <x v="1"/>
  </r>
  <r>
    <d v="2023-06-04T00:00:00"/>
    <x v="5"/>
    <x v="6"/>
    <x v="2"/>
    <x v="1961"/>
    <x v="1726"/>
    <s v="Card"/>
    <s v="REV101278"/>
    <x v="1"/>
  </r>
  <r>
    <d v="2023-06-04T00:00:00"/>
    <x v="5"/>
    <x v="5"/>
    <x v="3"/>
    <x v="710"/>
    <x v="2403"/>
    <s v="Bank Transfer"/>
    <s v="REV102737"/>
    <x v="1"/>
  </r>
  <r>
    <d v="2023-06-05T00:00:00"/>
    <x v="5"/>
    <x v="4"/>
    <x v="1"/>
    <x v="2399"/>
    <x v="2404"/>
    <s v="Cash"/>
    <s v="TXN100489"/>
    <x v="0"/>
  </r>
  <r>
    <d v="2023-06-05T00:00:00"/>
    <x v="5"/>
    <x v="0"/>
    <x v="0"/>
    <x v="2400"/>
    <x v="2405"/>
    <s v="Cash"/>
    <s v="TXN101263"/>
    <x v="0"/>
  </r>
  <r>
    <d v="2023-06-05T00:00:00"/>
    <x v="5"/>
    <x v="7"/>
    <x v="3"/>
    <x v="2401"/>
    <x v="2406"/>
    <s v="Cash"/>
    <s v="TXN101488"/>
    <x v="0"/>
  </r>
  <r>
    <d v="2023-06-05T00:00:00"/>
    <x v="5"/>
    <x v="4"/>
    <x v="4"/>
    <x v="2402"/>
    <x v="2407"/>
    <s v="Bank Transfer"/>
    <s v="TXN102943"/>
    <x v="0"/>
  </r>
  <r>
    <d v="2023-06-05T00:00:00"/>
    <x v="5"/>
    <x v="1"/>
    <x v="1"/>
    <x v="2403"/>
    <x v="2408"/>
    <s v="Bank Transfer"/>
    <s v="TXN104839"/>
    <x v="0"/>
  </r>
  <r>
    <d v="2023-06-05T00:00:00"/>
    <x v="5"/>
    <x v="1"/>
    <x v="0"/>
    <x v="2404"/>
    <x v="2409"/>
    <s v="Bank Transfer"/>
    <s v="TXN105972"/>
    <x v="0"/>
  </r>
  <r>
    <d v="2023-06-05T00:00:00"/>
    <x v="5"/>
    <x v="0"/>
    <x v="4"/>
    <x v="2405"/>
    <x v="2410"/>
    <s v="Cash"/>
    <s v="TXN106179"/>
    <x v="0"/>
  </r>
  <r>
    <d v="2023-06-05T00:00:00"/>
    <x v="5"/>
    <x v="7"/>
    <x v="4"/>
    <x v="2406"/>
    <x v="2411"/>
    <s v="UPI"/>
    <s v="TXN107661"/>
    <x v="0"/>
  </r>
  <r>
    <d v="2023-06-05T00:00:00"/>
    <x v="5"/>
    <x v="7"/>
    <x v="4"/>
    <x v="2407"/>
    <x v="2412"/>
    <s v="UPI"/>
    <s v="TXN108102"/>
    <x v="0"/>
  </r>
  <r>
    <d v="2023-06-05T00:00:00"/>
    <x v="5"/>
    <x v="1"/>
    <x v="3"/>
    <x v="2408"/>
    <x v="2413"/>
    <s v="UPI"/>
    <s v="TXN108683"/>
    <x v="0"/>
  </r>
  <r>
    <d v="2023-06-05T00:00:00"/>
    <x v="5"/>
    <x v="5"/>
    <x v="1"/>
    <x v="2409"/>
    <x v="2414"/>
    <s v="Bank Transfer"/>
    <s v="REV100186"/>
    <x v="1"/>
  </r>
  <r>
    <d v="2023-06-05T00:00:00"/>
    <x v="5"/>
    <x v="6"/>
    <x v="0"/>
    <x v="2058"/>
    <x v="2415"/>
    <s v="Card"/>
    <s v="REV100462"/>
    <x v="1"/>
  </r>
  <r>
    <d v="2023-06-05T00:00:00"/>
    <x v="5"/>
    <x v="5"/>
    <x v="3"/>
    <x v="2410"/>
    <x v="2416"/>
    <s v="Card"/>
    <s v="REV100545"/>
    <x v="1"/>
  </r>
  <r>
    <d v="2023-06-05T00:00:00"/>
    <x v="5"/>
    <x v="5"/>
    <x v="4"/>
    <x v="2411"/>
    <x v="1566"/>
    <s v="Card"/>
    <s v="REV101023"/>
    <x v="1"/>
  </r>
  <r>
    <d v="2023-06-05T00:00:00"/>
    <x v="5"/>
    <x v="5"/>
    <x v="1"/>
    <x v="1117"/>
    <x v="341"/>
    <s v="Card"/>
    <s v="REV101651"/>
    <x v="1"/>
  </r>
  <r>
    <d v="2023-06-05T00:00:00"/>
    <x v="5"/>
    <x v="5"/>
    <x v="0"/>
    <x v="297"/>
    <x v="992"/>
    <s v="UPI"/>
    <s v="REV102017"/>
    <x v="1"/>
  </r>
  <r>
    <d v="2023-06-05T00:00:00"/>
    <x v="5"/>
    <x v="5"/>
    <x v="4"/>
    <x v="1043"/>
    <x v="2417"/>
    <s v="Card"/>
    <s v="REV102083"/>
    <x v="1"/>
  </r>
  <r>
    <d v="2023-06-05T00:00:00"/>
    <x v="5"/>
    <x v="6"/>
    <x v="4"/>
    <x v="155"/>
    <x v="1447"/>
    <s v="UPI"/>
    <s v="REV102606"/>
    <x v="1"/>
  </r>
  <r>
    <d v="2023-06-05T00:00:00"/>
    <x v="5"/>
    <x v="6"/>
    <x v="4"/>
    <x v="2412"/>
    <x v="2418"/>
    <s v="UPI"/>
    <s v="REV102754"/>
    <x v="1"/>
  </r>
  <r>
    <d v="2023-06-05T00:00:00"/>
    <x v="5"/>
    <x v="6"/>
    <x v="3"/>
    <x v="1622"/>
    <x v="2419"/>
    <s v="Bank Transfer"/>
    <s v="REV102949"/>
    <x v="1"/>
  </r>
  <r>
    <d v="2023-06-06T00:00:00"/>
    <x v="5"/>
    <x v="1"/>
    <x v="1"/>
    <x v="2413"/>
    <x v="2420"/>
    <s v="Bank Transfer"/>
    <s v="TXN101290"/>
    <x v="0"/>
  </r>
  <r>
    <d v="2023-06-06T00:00:00"/>
    <x v="5"/>
    <x v="1"/>
    <x v="3"/>
    <x v="2414"/>
    <x v="2421"/>
    <s v="Cash"/>
    <s v="TXN101374"/>
    <x v="0"/>
  </r>
  <r>
    <d v="2023-06-06T00:00:00"/>
    <x v="5"/>
    <x v="1"/>
    <x v="2"/>
    <x v="2415"/>
    <x v="2422"/>
    <s v="Bank Transfer"/>
    <s v="TXN101638"/>
    <x v="0"/>
  </r>
  <r>
    <d v="2023-06-06T00:00:00"/>
    <x v="5"/>
    <x v="2"/>
    <x v="4"/>
    <x v="2416"/>
    <x v="2423"/>
    <s v="Card"/>
    <s v="TXN103573"/>
    <x v="0"/>
  </r>
  <r>
    <d v="2023-06-06T00:00:00"/>
    <x v="5"/>
    <x v="7"/>
    <x v="1"/>
    <x v="2417"/>
    <x v="2424"/>
    <s v="UPI"/>
    <s v="TXN103855"/>
    <x v="0"/>
  </r>
  <r>
    <d v="2023-06-06T00:00:00"/>
    <x v="5"/>
    <x v="3"/>
    <x v="4"/>
    <x v="2418"/>
    <x v="2425"/>
    <s v="Card"/>
    <s v="TXN104080"/>
    <x v="0"/>
  </r>
  <r>
    <d v="2023-06-06T00:00:00"/>
    <x v="5"/>
    <x v="7"/>
    <x v="3"/>
    <x v="2419"/>
    <x v="2426"/>
    <s v="Cash"/>
    <s v="TXN104305"/>
    <x v="0"/>
  </r>
  <r>
    <d v="2023-06-06T00:00:00"/>
    <x v="5"/>
    <x v="0"/>
    <x v="3"/>
    <x v="2420"/>
    <x v="2427"/>
    <s v="Bank Transfer"/>
    <s v="TXN104688"/>
    <x v="0"/>
  </r>
  <r>
    <d v="2023-06-06T00:00:00"/>
    <x v="5"/>
    <x v="1"/>
    <x v="3"/>
    <x v="2421"/>
    <x v="2428"/>
    <s v="Cash"/>
    <s v="TXN106135"/>
    <x v="0"/>
  </r>
  <r>
    <d v="2023-06-06T00:00:00"/>
    <x v="5"/>
    <x v="0"/>
    <x v="2"/>
    <x v="2422"/>
    <x v="2429"/>
    <s v="Card"/>
    <s v="TXN107012"/>
    <x v="0"/>
  </r>
  <r>
    <d v="2023-06-06T00:00:00"/>
    <x v="5"/>
    <x v="7"/>
    <x v="0"/>
    <x v="2423"/>
    <x v="2430"/>
    <s v="Card"/>
    <s v="TXN107426"/>
    <x v="0"/>
  </r>
  <r>
    <d v="2023-06-06T00:00:00"/>
    <x v="5"/>
    <x v="7"/>
    <x v="1"/>
    <x v="2424"/>
    <x v="2431"/>
    <s v="Card"/>
    <s v="TXN107631"/>
    <x v="0"/>
  </r>
  <r>
    <d v="2023-06-06T00:00:00"/>
    <x v="5"/>
    <x v="5"/>
    <x v="1"/>
    <x v="341"/>
    <x v="1046"/>
    <s v="Bank Transfer"/>
    <s v="REV100471"/>
    <x v="1"/>
  </r>
  <r>
    <d v="2023-06-06T00:00:00"/>
    <x v="5"/>
    <x v="5"/>
    <x v="3"/>
    <x v="2425"/>
    <x v="2432"/>
    <s v="Bank Transfer"/>
    <s v="REV100504"/>
    <x v="1"/>
  </r>
  <r>
    <d v="2023-06-06T00:00:00"/>
    <x v="5"/>
    <x v="6"/>
    <x v="2"/>
    <x v="968"/>
    <x v="1449"/>
    <s v="Bank Transfer"/>
    <s v="REV100604"/>
    <x v="1"/>
  </r>
  <r>
    <d v="2023-06-06T00:00:00"/>
    <x v="5"/>
    <x v="5"/>
    <x v="4"/>
    <x v="2426"/>
    <x v="2097"/>
    <s v="Bank Transfer"/>
    <s v="REV101221"/>
    <x v="1"/>
  </r>
  <r>
    <d v="2023-06-06T00:00:00"/>
    <x v="5"/>
    <x v="5"/>
    <x v="1"/>
    <x v="2427"/>
    <x v="2433"/>
    <s v="UPI"/>
    <s v="REV101329"/>
    <x v="1"/>
  </r>
  <r>
    <d v="2023-06-06T00:00:00"/>
    <x v="5"/>
    <x v="6"/>
    <x v="4"/>
    <x v="2428"/>
    <x v="2434"/>
    <s v="Bank Transfer"/>
    <s v="REV101409"/>
    <x v="1"/>
  </r>
  <r>
    <d v="2023-06-06T00:00:00"/>
    <x v="5"/>
    <x v="6"/>
    <x v="3"/>
    <x v="2429"/>
    <x v="2435"/>
    <s v="Card"/>
    <s v="REV101492"/>
    <x v="1"/>
  </r>
  <r>
    <d v="2023-06-06T00:00:00"/>
    <x v="5"/>
    <x v="5"/>
    <x v="3"/>
    <x v="1054"/>
    <x v="1941"/>
    <s v="Bank Transfer"/>
    <s v="REV101605"/>
    <x v="1"/>
  </r>
  <r>
    <d v="2023-06-06T00:00:00"/>
    <x v="5"/>
    <x v="5"/>
    <x v="3"/>
    <x v="2079"/>
    <x v="2293"/>
    <s v="Bank Transfer"/>
    <s v="REV102069"/>
    <x v="1"/>
  </r>
  <r>
    <d v="2023-06-06T00:00:00"/>
    <x v="5"/>
    <x v="6"/>
    <x v="2"/>
    <x v="1474"/>
    <x v="2436"/>
    <s v="Bank Transfer"/>
    <s v="REV102379"/>
    <x v="1"/>
  </r>
  <r>
    <d v="2023-06-06T00:00:00"/>
    <x v="5"/>
    <x v="5"/>
    <x v="0"/>
    <x v="2430"/>
    <x v="1173"/>
    <s v="Bank Transfer"/>
    <s v="REV102521"/>
    <x v="1"/>
  </r>
  <r>
    <d v="2023-06-06T00:00:00"/>
    <x v="5"/>
    <x v="5"/>
    <x v="1"/>
    <x v="2431"/>
    <x v="1113"/>
    <s v="Bank Transfer"/>
    <s v="REV102593"/>
    <x v="1"/>
  </r>
  <r>
    <d v="2023-06-07T00:00:00"/>
    <x v="5"/>
    <x v="4"/>
    <x v="4"/>
    <x v="2432"/>
    <x v="2437"/>
    <s v="UPI"/>
    <s v="TXN100847"/>
    <x v="0"/>
  </r>
  <r>
    <d v="2023-06-07T00:00:00"/>
    <x v="5"/>
    <x v="4"/>
    <x v="4"/>
    <x v="2433"/>
    <x v="2438"/>
    <s v="Bank Transfer"/>
    <s v="TXN101971"/>
    <x v="0"/>
  </r>
  <r>
    <d v="2023-06-07T00:00:00"/>
    <x v="5"/>
    <x v="2"/>
    <x v="3"/>
    <x v="2434"/>
    <x v="2439"/>
    <s v="Card"/>
    <s v="TXN102346"/>
    <x v="0"/>
  </r>
  <r>
    <d v="2023-06-07T00:00:00"/>
    <x v="5"/>
    <x v="1"/>
    <x v="3"/>
    <x v="2435"/>
    <x v="2440"/>
    <s v="Card"/>
    <s v="TXN103171"/>
    <x v="0"/>
  </r>
  <r>
    <d v="2023-06-07T00:00:00"/>
    <x v="5"/>
    <x v="4"/>
    <x v="1"/>
    <x v="2436"/>
    <x v="2441"/>
    <s v="Card"/>
    <s v="TXN103653"/>
    <x v="0"/>
  </r>
  <r>
    <d v="2023-06-07T00:00:00"/>
    <x v="5"/>
    <x v="3"/>
    <x v="4"/>
    <x v="2437"/>
    <x v="2442"/>
    <s v="Card"/>
    <s v="TXN105948"/>
    <x v="0"/>
  </r>
  <r>
    <d v="2023-06-07T00:00:00"/>
    <x v="5"/>
    <x v="1"/>
    <x v="1"/>
    <x v="2438"/>
    <x v="2443"/>
    <s v="Card"/>
    <s v="TXN108129"/>
    <x v="0"/>
  </r>
  <r>
    <d v="2023-06-07T00:00:00"/>
    <x v="5"/>
    <x v="5"/>
    <x v="4"/>
    <x v="2439"/>
    <x v="2444"/>
    <s v="Bank Transfer"/>
    <s v="REV100311"/>
    <x v="1"/>
  </r>
  <r>
    <d v="2023-06-07T00:00:00"/>
    <x v="5"/>
    <x v="6"/>
    <x v="4"/>
    <x v="1082"/>
    <x v="2403"/>
    <s v="Card"/>
    <s v="REV100706"/>
    <x v="1"/>
  </r>
  <r>
    <d v="2023-06-07T00:00:00"/>
    <x v="5"/>
    <x v="5"/>
    <x v="3"/>
    <x v="1522"/>
    <x v="1729"/>
    <s v="UPI"/>
    <s v="REV100827"/>
    <x v="1"/>
  </r>
  <r>
    <d v="2023-06-07T00:00:00"/>
    <x v="5"/>
    <x v="5"/>
    <x v="3"/>
    <x v="2440"/>
    <x v="2445"/>
    <s v="Card"/>
    <s v="REV101094"/>
    <x v="1"/>
  </r>
  <r>
    <d v="2023-06-07T00:00:00"/>
    <x v="5"/>
    <x v="6"/>
    <x v="1"/>
    <x v="1021"/>
    <x v="126"/>
    <s v="Bank Transfer"/>
    <s v="REV101248"/>
    <x v="1"/>
  </r>
  <r>
    <d v="2023-06-07T00:00:00"/>
    <x v="5"/>
    <x v="6"/>
    <x v="4"/>
    <x v="2441"/>
    <x v="2446"/>
    <s v="Bank Transfer"/>
    <s v="REV102009"/>
    <x v="1"/>
  </r>
  <r>
    <d v="2023-06-07T00:00:00"/>
    <x v="5"/>
    <x v="6"/>
    <x v="1"/>
    <x v="2442"/>
    <x v="283"/>
    <s v="UPI"/>
    <s v="REV102760"/>
    <x v="1"/>
  </r>
  <r>
    <d v="2023-06-08T00:00:00"/>
    <x v="5"/>
    <x v="2"/>
    <x v="0"/>
    <x v="2443"/>
    <x v="2447"/>
    <s v="Bank Transfer"/>
    <s v="TXN101353"/>
    <x v="0"/>
  </r>
  <r>
    <d v="2023-06-08T00:00:00"/>
    <x v="5"/>
    <x v="0"/>
    <x v="0"/>
    <x v="2444"/>
    <x v="2448"/>
    <s v="Bank Transfer"/>
    <s v="TXN102759"/>
    <x v="0"/>
  </r>
  <r>
    <d v="2023-06-08T00:00:00"/>
    <x v="5"/>
    <x v="0"/>
    <x v="2"/>
    <x v="2445"/>
    <x v="2449"/>
    <s v="Bank Transfer"/>
    <s v="TXN102978"/>
    <x v="0"/>
  </r>
  <r>
    <d v="2023-06-08T00:00:00"/>
    <x v="5"/>
    <x v="3"/>
    <x v="1"/>
    <x v="2446"/>
    <x v="2450"/>
    <s v="Cash"/>
    <s v="TXN103137"/>
    <x v="0"/>
  </r>
  <r>
    <d v="2023-06-08T00:00:00"/>
    <x v="5"/>
    <x v="2"/>
    <x v="0"/>
    <x v="2447"/>
    <x v="2451"/>
    <s v="Cash"/>
    <s v="TXN103986"/>
    <x v="0"/>
  </r>
  <r>
    <d v="2023-06-08T00:00:00"/>
    <x v="5"/>
    <x v="7"/>
    <x v="4"/>
    <x v="2448"/>
    <x v="2452"/>
    <s v="Cash"/>
    <s v="TXN104644"/>
    <x v="0"/>
  </r>
  <r>
    <d v="2023-06-08T00:00:00"/>
    <x v="5"/>
    <x v="7"/>
    <x v="0"/>
    <x v="2449"/>
    <x v="2453"/>
    <s v="Card"/>
    <s v="TXN104933"/>
    <x v="0"/>
  </r>
  <r>
    <d v="2023-06-08T00:00:00"/>
    <x v="5"/>
    <x v="4"/>
    <x v="2"/>
    <x v="2450"/>
    <x v="2454"/>
    <s v="Bank Transfer"/>
    <s v="TXN105165"/>
    <x v="0"/>
  </r>
  <r>
    <d v="2023-06-08T00:00:00"/>
    <x v="5"/>
    <x v="2"/>
    <x v="4"/>
    <x v="2451"/>
    <x v="2455"/>
    <s v="UPI"/>
    <s v="TXN105291"/>
    <x v="0"/>
  </r>
  <r>
    <d v="2023-06-08T00:00:00"/>
    <x v="5"/>
    <x v="3"/>
    <x v="3"/>
    <x v="2452"/>
    <x v="2456"/>
    <s v="Card"/>
    <s v="TXN108147"/>
    <x v="0"/>
  </r>
  <r>
    <d v="2023-06-08T00:00:00"/>
    <x v="5"/>
    <x v="1"/>
    <x v="2"/>
    <x v="2453"/>
    <x v="2457"/>
    <s v="Bank Transfer"/>
    <s v="TXN108613"/>
    <x v="0"/>
  </r>
  <r>
    <d v="2023-06-08T00:00:00"/>
    <x v="5"/>
    <x v="7"/>
    <x v="0"/>
    <x v="2454"/>
    <x v="2458"/>
    <s v="Cash"/>
    <s v="TXN109287"/>
    <x v="0"/>
  </r>
  <r>
    <d v="2023-06-08T00:00:00"/>
    <x v="5"/>
    <x v="4"/>
    <x v="4"/>
    <x v="2455"/>
    <x v="2459"/>
    <s v="Card"/>
    <s v="TXN109320"/>
    <x v="0"/>
  </r>
  <r>
    <d v="2023-06-08T00:00:00"/>
    <x v="5"/>
    <x v="6"/>
    <x v="0"/>
    <x v="52"/>
    <x v="1967"/>
    <s v="UPI"/>
    <s v="REV100497"/>
    <x v="1"/>
  </r>
  <r>
    <d v="2023-06-08T00:00:00"/>
    <x v="5"/>
    <x v="5"/>
    <x v="0"/>
    <x v="2456"/>
    <x v="2460"/>
    <s v="Card"/>
    <s v="REV100970"/>
    <x v="1"/>
  </r>
  <r>
    <d v="2023-06-08T00:00:00"/>
    <x v="5"/>
    <x v="6"/>
    <x v="2"/>
    <x v="85"/>
    <x v="358"/>
    <s v="Card"/>
    <s v="REV101035"/>
    <x v="1"/>
  </r>
  <r>
    <d v="2023-06-08T00:00:00"/>
    <x v="5"/>
    <x v="6"/>
    <x v="1"/>
    <x v="1101"/>
    <x v="2461"/>
    <s v="Card"/>
    <s v="REV101082"/>
    <x v="1"/>
  </r>
  <r>
    <d v="2023-06-08T00:00:00"/>
    <x v="5"/>
    <x v="5"/>
    <x v="0"/>
    <x v="128"/>
    <x v="689"/>
    <s v="Bank Transfer"/>
    <s v="REV101382"/>
    <x v="1"/>
  </r>
  <r>
    <d v="2023-06-08T00:00:00"/>
    <x v="5"/>
    <x v="6"/>
    <x v="4"/>
    <x v="1441"/>
    <x v="2462"/>
    <s v="Card"/>
    <s v="REV101585"/>
    <x v="1"/>
  </r>
  <r>
    <d v="2023-06-08T00:00:00"/>
    <x v="5"/>
    <x v="5"/>
    <x v="0"/>
    <x v="2457"/>
    <x v="2463"/>
    <s v="Bank Transfer"/>
    <s v="REV101683"/>
    <x v="1"/>
  </r>
  <r>
    <d v="2023-06-08T00:00:00"/>
    <x v="5"/>
    <x v="5"/>
    <x v="2"/>
    <x v="2458"/>
    <x v="2464"/>
    <s v="Card"/>
    <s v="REV101749"/>
    <x v="1"/>
  </r>
  <r>
    <d v="2023-06-08T00:00:00"/>
    <x v="5"/>
    <x v="5"/>
    <x v="4"/>
    <x v="50"/>
    <x v="1603"/>
    <s v="Bank Transfer"/>
    <s v="REV101792"/>
    <x v="1"/>
  </r>
  <r>
    <d v="2023-06-08T00:00:00"/>
    <x v="5"/>
    <x v="6"/>
    <x v="3"/>
    <x v="1306"/>
    <x v="403"/>
    <s v="Bank Transfer"/>
    <s v="REV102767"/>
    <x v="1"/>
  </r>
  <r>
    <d v="2023-06-08T00:00:00"/>
    <x v="5"/>
    <x v="5"/>
    <x v="2"/>
    <x v="2459"/>
    <x v="2305"/>
    <s v="Bank Transfer"/>
    <s v="REV102925"/>
    <x v="1"/>
  </r>
  <r>
    <d v="2023-06-08T00:00:00"/>
    <x v="5"/>
    <x v="5"/>
    <x v="0"/>
    <x v="1121"/>
    <x v="2465"/>
    <s v="Bank Transfer"/>
    <s v="REV103139"/>
    <x v="1"/>
  </r>
  <r>
    <d v="2023-06-08T00:00:00"/>
    <x v="5"/>
    <x v="5"/>
    <x v="4"/>
    <x v="2460"/>
    <x v="2466"/>
    <s v="Card"/>
    <s v="REV103150"/>
    <x v="1"/>
  </r>
  <r>
    <d v="2023-06-09T00:00:00"/>
    <x v="5"/>
    <x v="2"/>
    <x v="2"/>
    <x v="2461"/>
    <x v="2467"/>
    <s v="Card"/>
    <s v="TXN103987"/>
    <x v="0"/>
  </r>
  <r>
    <d v="2023-06-09T00:00:00"/>
    <x v="5"/>
    <x v="0"/>
    <x v="2"/>
    <x v="2462"/>
    <x v="2468"/>
    <s v="Card"/>
    <s v="TXN104609"/>
    <x v="0"/>
  </r>
  <r>
    <d v="2023-06-09T00:00:00"/>
    <x v="5"/>
    <x v="1"/>
    <x v="0"/>
    <x v="2463"/>
    <x v="2469"/>
    <s v="Cash"/>
    <s v="TXN106840"/>
    <x v="0"/>
  </r>
  <r>
    <d v="2023-06-09T00:00:00"/>
    <x v="5"/>
    <x v="2"/>
    <x v="1"/>
    <x v="2464"/>
    <x v="2470"/>
    <s v="UPI"/>
    <s v="TXN106902"/>
    <x v="0"/>
  </r>
  <r>
    <d v="2023-06-09T00:00:00"/>
    <x v="5"/>
    <x v="4"/>
    <x v="0"/>
    <x v="2465"/>
    <x v="2471"/>
    <s v="UPI"/>
    <s v="TXN107234"/>
    <x v="0"/>
  </r>
  <r>
    <d v="2023-06-09T00:00:00"/>
    <x v="5"/>
    <x v="0"/>
    <x v="3"/>
    <x v="2466"/>
    <x v="2472"/>
    <s v="Bank Transfer"/>
    <s v="TXN107885"/>
    <x v="0"/>
  </r>
  <r>
    <d v="2023-06-09T00:00:00"/>
    <x v="5"/>
    <x v="1"/>
    <x v="4"/>
    <x v="2467"/>
    <x v="2473"/>
    <s v="Bank Transfer"/>
    <s v="TXN108315"/>
    <x v="0"/>
  </r>
  <r>
    <d v="2023-06-09T00:00:00"/>
    <x v="5"/>
    <x v="7"/>
    <x v="4"/>
    <x v="2468"/>
    <x v="2474"/>
    <s v="Card"/>
    <s v="TXN108747"/>
    <x v="0"/>
  </r>
  <r>
    <d v="2023-06-09T00:00:00"/>
    <x v="5"/>
    <x v="6"/>
    <x v="2"/>
    <x v="1579"/>
    <x v="1029"/>
    <s v="Bank Transfer"/>
    <s v="REV101383"/>
    <x v="1"/>
  </r>
  <r>
    <d v="2023-06-09T00:00:00"/>
    <x v="5"/>
    <x v="5"/>
    <x v="2"/>
    <x v="208"/>
    <x v="1599"/>
    <s v="Bank Transfer"/>
    <s v="REV101574"/>
    <x v="1"/>
  </r>
  <r>
    <d v="2023-06-09T00:00:00"/>
    <x v="5"/>
    <x v="5"/>
    <x v="0"/>
    <x v="2469"/>
    <x v="2475"/>
    <s v="Bank Transfer"/>
    <s v="REV102327"/>
    <x v="1"/>
  </r>
  <r>
    <d v="2023-06-09T00:00:00"/>
    <x v="5"/>
    <x v="6"/>
    <x v="1"/>
    <x v="2470"/>
    <x v="827"/>
    <s v="Bank Transfer"/>
    <s v="REV102347"/>
    <x v="1"/>
  </r>
  <r>
    <d v="2023-06-09T00:00:00"/>
    <x v="5"/>
    <x v="6"/>
    <x v="0"/>
    <x v="2471"/>
    <x v="287"/>
    <s v="Bank Transfer"/>
    <s v="REV102456"/>
    <x v="1"/>
  </r>
  <r>
    <d v="2023-06-09T00:00:00"/>
    <x v="5"/>
    <x v="5"/>
    <x v="3"/>
    <x v="36"/>
    <x v="830"/>
    <s v="Bank Transfer"/>
    <s v="REV102679"/>
    <x v="1"/>
  </r>
  <r>
    <d v="2023-06-09T00:00:00"/>
    <x v="5"/>
    <x v="6"/>
    <x v="4"/>
    <x v="1837"/>
    <x v="2476"/>
    <s v="Card"/>
    <s v="REV102825"/>
    <x v="1"/>
  </r>
  <r>
    <d v="2023-06-09T00:00:00"/>
    <x v="5"/>
    <x v="6"/>
    <x v="4"/>
    <x v="2472"/>
    <x v="316"/>
    <s v="UPI"/>
    <s v="REV102971"/>
    <x v="1"/>
  </r>
  <r>
    <d v="2023-06-10T00:00:00"/>
    <x v="5"/>
    <x v="7"/>
    <x v="4"/>
    <x v="2473"/>
    <x v="2477"/>
    <s v="Bank Transfer"/>
    <s v="TXN100433"/>
    <x v="0"/>
  </r>
  <r>
    <d v="2023-06-10T00:00:00"/>
    <x v="5"/>
    <x v="2"/>
    <x v="0"/>
    <x v="2474"/>
    <x v="2478"/>
    <s v="Cash"/>
    <s v="TXN101469"/>
    <x v="0"/>
  </r>
  <r>
    <d v="2023-06-10T00:00:00"/>
    <x v="5"/>
    <x v="0"/>
    <x v="1"/>
    <x v="2475"/>
    <x v="2479"/>
    <s v="Cash"/>
    <s v="TXN101596"/>
    <x v="0"/>
  </r>
  <r>
    <d v="2023-06-10T00:00:00"/>
    <x v="5"/>
    <x v="3"/>
    <x v="1"/>
    <x v="2476"/>
    <x v="2480"/>
    <s v="Card"/>
    <s v="TXN101636"/>
    <x v="0"/>
  </r>
  <r>
    <d v="2023-06-10T00:00:00"/>
    <x v="5"/>
    <x v="1"/>
    <x v="4"/>
    <x v="2477"/>
    <x v="2481"/>
    <s v="Bank Transfer"/>
    <s v="TXN103147"/>
    <x v="0"/>
  </r>
  <r>
    <d v="2023-06-10T00:00:00"/>
    <x v="5"/>
    <x v="7"/>
    <x v="2"/>
    <x v="2478"/>
    <x v="2482"/>
    <s v="Cash"/>
    <s v="TXN103238"/>
    <x v="0"/>
  </r>
  <r>
    <d v="2023-06-10T00:00:00"/>
    <x v="5"/>
    <x v="4"/>
    <x v="4"/>
    <x v="2479"/>
    <x v="2483"/>
    <s v="Bank Transfer"/>
    <s v="TXN104020"/>
    <x v="0"/>
  </r>
  <r>
    <d v="2023-06-10T00:00:00"/>
    <x v="5"/>
    <x v="3"/>
    <x v="1"/>
    <x v="2480"/>
    <x v="2484"/>
    <s v="Card"/>
    <s v="TXN104587"/>
    <x v="0"/>
  </r>
  <r>
    <d v="2023-06-10T00:00:00"/>
    <x v="5"/>
    <x v="3"/>
    <x v="1"/>
    <x v="2481"/>
    <x v="2485"/>
    <s v="Card"/>
    <s v="TXN104694"/>
    <x v="0"/>
  </r>
  <r>
    <d v="2023-06-10T00:00:00"/>
    <x v="5"/>
    <x v="3"/>
    <x v="3"/>
    <x v="2482"/>
    <x v="2486"/>
    <s v="Card"/>
    <s v="TXN105424"/>
    <x v="0"/>
  </r>
  <r>
    <d v="2023-06-10T00:00:00"/>
    <x v="5"/>
    <x v="4"/>
    <x v="2"/>
    <x v="2483"/>
    <x v="2487"/>
    <s v="Card"/>
    <s v="TXN107904"/>
    <x v="0"/>
  </r>
  <r>
    <d v="2023-06-10T00:00:00"/>
    <x v="5"/>
    <x v="1"/>
    <x v="1"/>
    <x v="2484"/>
    <x v="2488"/>
    <s v="Bank Transfer"/>
    <s v="TXN108535"/>
    <x v="0"/>
  </r>
  <r>
    <d v="2023-06-10T00:00:00"/>
    <x v="5"/>
    <x v="4"/>
    <x v="2"/>
    <x v="2485"/>
    <x v="2489"/>
    <s v="Bank Transfer"/>
    <s v="TXN108691"/>
    <x v="0"/>
  </r>
  <r>
    <d v="2023-06-10T00:00:00"/>
    <x v="5"/>
    <x v="5"/>
    <x v="4"/>
    <x v="630"/>
    <x v="2490"/>
    <s v="Bank Transfer"/>
    <s v="REV100164"/>
    <x v="1"/>
  </r>
  <r>
    <d v="2023-06-10T00:00:00"/>
    <x v="5"/>
    <x v="6"/>
    <x v="0"/>
    <x v="784"/>
    <x v="2243"/>
    <s v="Card"/>
    <s v="REV100539"/>
    <x v="1"/>
  </r>
  <r>
    <d v="2023-06-10T00:00:00"/>
    <x v="5"/>
    <x v="6"/>
    <x v="1"/>
    <x v="1423"/>
    <x v="267"/>
    <s v="Bank Transfer"/>
    <s v="REV100590"/>
    <x v="1"/>
  </r>
  <r>
    <d v="2023-06-10T00:00:00"/>
    <x v="5"/>
    <x v="6"/>
    <x v="1"/>
    <x v="2486"/>
    <x v="733"/>
    <s v="Bank Transfer"/>
    <s v="REV100603"/>
    <x v="1"/>
  </r>
  <r>
    <d v="2023-06-10T00:00:00"/>
    <x v="5"/>
    <x v="6"/>
    <x v="4"/>
    <x v="1521"/>
    <x v="2491"/>
    <s v="UPI"/>
    <s v="REV101085"/>
    <x v="1"/>
  </r>
  <r>
    <d v="2023-06-10T00:00:00"/>
    <x v="5"/>
    <x v="5"/>
    <x v="2"/>
    <x v="2317"/>
    <x v="2419"/>
    <s v="Bank Transfer"/>
    <s v="REV101111"/>
    <x v="1"/>
  </r>
  <r>
    <d v="2023-06-10T00:00:00"/>
    <x v="5"/>
    <x v="5"/>
    <x v="4"/>
    <x v="2487"/>
    <x v="2492"/>
    <s v="Bank Transfer"/>
    <s v="REV101392"/>
    <x v="1"/>
  </r>
  <r>
    <d v="2023-06-10T00:00:00"/>
    <x v="5"/>
    <x v="5"/>
    <x v="1"/>
    <x v="1288"/>
    <x v="2493"/>
    <s v="Bank Transfer"/>
    <s v="REV101569"/>
    <x v="1"/>
  </r>
  <r>
    <d v="2023-06-10T00:00:00"/>
    <x v="5"/>
    <x v="5"/>
    <x v="1"/>
    <x v="2488"/>
    <x v="485"/>
    <s v="Bank Transfer"/>
    <s v="REV101607"/>
    <x v="1"/>
  </r>
  <r>
    <d v="2023-06-10T00:00:00"/>
    <x v="5"/>
    <x v="6"/>
    <x v="3"/>
    <x v="2489"/>
    <x v="2494"/>
    <s v="Card"/>
    <s v="REV101845"/>
    <x v="1"/>
  </r>
  <r>
    <d v="2023-06-10T00:00:00"/>
    <x v="5"/>
    <x v="5"/>
    <x v="2"/>
    <x v="1907"/>
    <x v="374"/>
    <s v="Card"/>
    <s v="REV102683"/>
    <x v="1"/>
  </r>
  <r>
    <d v="2023-06-10T00:00:00"/>
    <x v="5"/>
    <x v="6"/>
    <x v="1"/>
    <x v="2490"/>
    <x v="2495"/>
    <s v="Card"/>
    <s v="REV102892"/>
    <x v="1"/>
  </r>
  <r>
    <d v="2023-06-10T00:00:00"/>
    <x v="5"/>
    <x v="6"/>
    <x v="2"/>
    <x v="2491"/>
    <x v="2496"/>
    <s v="Card"/>
    <s v="REV102951"/>
    <x v="1"/>
  </r>
  <r>
    <d v="2023-06-11T00:00:00"/>
    <x v="5"/>
    <x v="2"/>
    <x v="1"/>
    <x v="2492"/>
    <x v="2497"/>
    <s v="UPI"/>
    <s v="TXN100111"/>
    <x v="0"/>
  </r>
  <r>
    <d v="2023-06-11T00:00:00"/>
    <x v="5"/>
    <x v="4"/>
    <x v="0"/>
    <x v="2493"/>
    <x v="2498"/>
    <s v="Card"/>
    <s v="TXN101525"/>
    <x v="0"/>
  </r>
  <r>
    <d v="2023-06-11T00:00:00"/>
    <x v="5"/>
    <x v="0"/>
    <x v="2"/>
    <x v="2494"/>
    <x v="2499"/>
    <s v="Cash"/>
    <s v="TXN101956"/>
    <x v="0"/>
  </r>
  <r>
    <d v="2023-06-11T00:00:00"/>
    <x v="5"/>
    <x v="3"/>
    <x v="1"/>
    <x v="332"/>
    <x v="2500"/>
    <s v="Cash"/>
    <s v="TXN102457"/>
    <x v="0"/>
  </r>
  <r>
    <d v="2023-06-11T00:00:00"/>
    <x v="5"/>
    <x v="7"/>
    <x v="3"/>
    <x v="2495"/>
    <x v="2501"/>
    <s v="Cash"/>
    <s v="TXN102797"/>
    <x v="0"/>
  </r>
  <r>
    <d v="2023-06-11T00:00:00"/>
    <x v="5"/>
    <x v="4"/>
    <x v="0"/>
    <x v="2496"/>
    <x v="2502"/>
    <s v="Card"/>
    <s v="TXN104220"/>
    <x v="0"/>
  </r>
  <r>
    <d v="2023-06-11T00:00:00"/>
    <x v="5"/>
    <x v="3"/>
    <x v="3"/>
    <x v="2497"/>
    <x v="2503"/>
    <s v="Bank Transfer"/>
    <s v="TXN104911"/>
    <x v="0"/>
  </r>
  <r>
    <d v="2023-06-11T00:00:00"/>
    <x v="5"/>
    <x v="1"/>
    <x v="3"/>
    <x v="2498"/>
    <x v="2504"/>
    <s v="UPI"/>
    <s v="TXN105704"/>
    <x v="0"/>
  </r>
  <r>
    <d v="2023-06-11T00:00:00"/>
    <x v="5"/>
    <x v="4"/>
    <x v="1"/>
    <x v="2499"/>
    <x v="2505"/>
    <s v="Card"/>
    <s v="TXN106202"/>
    <x v="0"/>
  </r>
  <r>
    <d v="2023-06-11T00:00:00"/>
    <x v="5"/>
    <x v="1"/>
    <x v="0"/>
    <x v="2500"/>
    <x v="2506"/>
    <s v="UPI"/>
    <s v="TXN107006"/>
    <x v="0"/>
  </r>
  <r>
    <d v="2023-06-11T00:00:00"/>
    <x v="5"/>
    <x v="2"/>
    <x v="1"/>
    <x v="2501"/>
    <x v="2507"/>
    <s v="Card"/>
    <s v="TXN107993"/>
    <x v="0"/>
  </r>
  <r>
    <d v="2023-06-11T00:00:00"/>
    <x v="5"/>
    <x v="7"/>
    <x v="0"/>
    <x v="2502"/>
    <x v="2508"/>
    <s v="Cash"/>
    <s v="TXN108665"/>
    <x v="0"/>
  </r>
  <r>
    <d v="2023-06-11T00:00:00"/>
    <x v="5"/>
    <x v="3"/>
    <x v="1"/>
    <x v="2503"/>
    <x v="2509"/>
    <s v="Bank Transfer"/>
    <s v="TXN108679"/>
    <x v="0"/>
  </r>
  <r>
    <d v="2023-06-11T00:00:00"/>
    <x v="5"/>
    <x v="0"/>
    <x v="3"/>
    <x v="2504"/>
    <x v="2510"/>
    <s v="UPI"/>
    <s v="TXN109375"/>
    <x v="0"/>
  </r>
  <r>
    <d v="2023-06-11T00:00:00"/>
    <x v="5"/>
    <x v="1"/>
    <x v="4"/>
    <x v="2505"/>
    <x v="2511"/>
    <s v="Bank Transfer"/>
    <s v="TXN109550"/>
    <x v="0"/>
  </r>
  <r>
    <d v="2023-06-11T00:00:00"/>
    <x v="5"/>
    <x v="6"/>
    <x v="1"/>
    <x v="2506"/>
    <x v="2414"/>
    <s v="Card"/>
    <s v="REV100042"/>
    <x v="1"/>
  </r>
  <r>
    <d v="2023-06-11T00:00:00"/>
    <x v="5"/>
    <x v="5"/>
    <x v="0"/>
    <x v="868"/>
    <x v="2512"/>
    <s v="Card"/>
    <s v="REV100559"/>
    <x v="1"/>
  </r>
  <r>
    <d v="2023-06-11T00:00:00"/>
    <x v="5"/>
    <x v="5"/>
    <x v="2"/>
    <x v="2507"/>
    <x v="1477"/>
    <s v="Card"/>
    <s v="REV100700"/>
    <x v="1"/>
  </r>
  <r>
    <d v="2023-06-11T00:00:00"/>
    <x v="5"/>
    <x v="5"/>
    <x v="1"/>
    <x v="885"/>
    <x v="488"/>
    <s v="Bank Transfer"/>
    <s v="REV100864"/>
    <x v="1"/>
  </r>
  <r>
    <d v="2023-06-11T00:00:00"/>
    <x v="5"/>
    <x v="6"/>
    <x v="3"/>
    <x v="1036"/>
    <x v="2318"/>
    <s v="Card"/>
    <s v="REV100985"/>
    <x v="1"/>
  </r>
  <r>
    <d v="2023-06-11T00:00:00"/>
    <x v="5"/>
    <x v="6"/>
    <x v="0"/>
    <x v="2137"/>
    <x v="1621"/>
    <s v="Card"/>
    <s v="REV101464"/>
    <x v="1"/>
  </r>
  <r>
    <d v="2023-06-11T00:00:00"/>
    <x v="5"/>
    <x v="5"/>
    <x v="3"/>
    <x v="984"/>
    <x v="2490"/>
    <s v="Bank Transfer"/>
    <s v="REV101673"/>
    <x v="1"/>
  </r>
  <r>
    <d v="2023-06-11T00:00:00"/>
    <x v="5"/>
    <x v="5"/>
    <x v="3"/>
    <x v="2508"/>
    <x v="2513"/>
    <s v="Bank Transfer"/>
    <s v="REV101939"/>
    <x v="1"/>
  </r>
  <r>
    <d v="2023-06-11T00:00:00"/>
    <x v="5"/>
    <x v="6"/>
    <x v="1"/>
    <x v="2425"/>
    <x v="2514"/>
    <s v="Card"/>
    <s v="REV102088"/>
    <x v="1"/>
  </r>
  <r>
    <d v="2023-06-11T00:00:00"/>
    <x v="5"/>
    <x v="6"/>
    <x v="0"/>
    <x v="2509"/>
    <x v="2515"/>
    <s v="Card"/>
    <s v="REV102377"/>
    <x v="1"/>
  </r>
  <r>
    <d v="2023-06-11T00:00:00"/>
    <x v="5"/>
    <x v="6"/>
    <x v="1"/>
    <x v="2510"/>
    <x v="2516"/>
    <s v="Card"/>
    <s v="REV102717"/>
    <x v="1"/>
  </r>
  <r>
    <d v="2023-06-11T00:00:00"/>
    <x v="5"/>
    <x v="6"/>
    <x v="0"/>
    <x v="754"/>
    <x v="2517"/>
    <s v="UPI"/>
    <s v="REV102942"/>
    <x v="1"/>
  </r>
  <r>
    <d v="2023-06-11T00:00:00"/>
    <x v="5"/>
    <x v="5"/>
    <x v="1"/>
    <x v="1839"/>
    <x v="268"/>
    <s v="Bank Transfer"/>
    <s v="REV102946"/>
    <x v="1"/>
  </r>
  <r>
    <d v="2023-06-11T00:00:00"/>
    <x v="5"/>
    <x v="5"/>
    <x v="3"/>
    <x v="2219"/>
    <x v="417"/>
    <s v="Bank Transfer"/>
    <s v="REV103168"/>
    <x v="1"/>
  </r>
  <r>
    <d v="2023-06-11T00:00:00"/>
    <x v="5"/>
    <x v="5"/>
    <x v="4"/>
    <x v="34"/>
    <x v="2518"/>
    <s v="Bank Transfer"/>
    <s v="REV103224"/>
    <x v="1"/>
  </r>
  <r>
    <d v="2023-06-12T00:00:00"/>
    <x v="5"/>
    <x v="4"/>
    <x v="1"/>
    <x v="2511"/>
    <x v="2519"/>
    <s v="Card"/>
    <s v="TXN101178"/>
    <x v="0"/>
  </r>
  <r>
    <d v="2023-06-12T00:00:00"/>
    <x v="5"/>
    <x v="3"/>
    <x v="4"/>
    <x v="2512"/>
    <x v="2520"/>
    <s v="Bank Transfer"/>
    <s v="TXN102316"/>
    <x v="0"/>
  </r>
  <r>
    <d v="2023-06-12T00:00:00"/>
    <x v="5"/>
    <x v="0"/>
    <x v="1"/>
    <x v="2513"/>
    <x v="2521"/>
    <s v="Card"/>
    <s v="TXN103583"/>
    <x v="0"/>
  </r>
  <r>
    <d v="2023-06-12T00:00:00"/>
    <x v="5"/>
    <x v="1"/>
    <x v="3"/>
    <x v="2514"/>
    <x v="2522"/>
    <s v="Card"/>
    <s v="TXN103596"/>
    <x v="0"/>
  </r>
  <r>
    <d v="2023-06-12T00:00:00"/>
    <x v="5"/>
    <x v="4"/>
    <x v="2"/>
    <x v="2515"/>
    <x v="2523"/>
    <s v="Card"/>
    <s v="TXN104022"/>
    <x v="0"/>
  </r>
  <r>
    <d v="2023-06-12T00:00:00"/>
    <x v="5"/>
    <x v="0"/>
    <x v="0"/>
    <x v="2516"/>
    <x v="2524"/>
    <s v="Card"/>
    <s v="TXN104756"/>
    <x v="0"/>
  </r>
  <r>
    <d v="2023-06-12T00:00:00"/>
    <x v="5"/>
    <x v="1"/>
    <x v="0"/>
    <x v="2517"/>
    <x v="2525"/>
    <s v="Cash"/>
    <s v="TXN105294"/>
    <x v="0"/>
  </r>
  <r>
    <d v="2023-06-12T00:00:00"/>
    <x v="5"/>
    <x v="3"/>
    <x v="1"/>
    <x v="2518"/>
    <x v="2526"/>
    <s v="Bank Transfer"/>
    <s v="TXN105731"/>
    <x v="0"/>
  </r>
  <r>
    <d v="2023-06-12T00:00:00"/>
    <x v="5"/>
    <x v="0"/>
    <x v="3"/>
    <x v="2519"/>
    <x v="2527"/>
    <s v="UPI"/>
    <s v="TXN107174"/>
    <x v="0"/>
  </r>
  <r>
    <d v="2023-06-12T00:00:00"/>
    <x v="5"/>
    <x v="4"/>
    <x v="4"/>
    <x v="2520"/>
    <x v="2528"/>
    <s v="Card"/>
    <s v="TXN107356"/>
    <x v="0"/>
  </r>
  <r>
    <d v="2023-06-12T00:00:00"/>
    <x v="5"/>
    <x v="4"/>
    <x v="3"/>
    <x v="2521"/>
    <x v="2529"/>
    <s v="Bank Transfer"/>
    <s v="TXN107967"/>
    <x v="0"/>
  </r>
  <r>
    <d v="2023-06-12T00:00:00"/>
    <x v="5"/>
    <x v="4"/>
    <x v="4"/>
    <x v="2522"/>
    <x v="2530"/>
    <s v="Bank Transfer"/>
    <s v="TXN108060"/>
    <x v="0"/>
  </r>
  <r>
    <d v="2023-06-12T00:00:00"/>
    <x v="5"/>
    <x v="6"/>
    <x v="1"/>
    <x v="2523"/>
    <x v="2531"/>
    <s v="Bank Transfer"/>
    <s v="REV100433"/>
    <x v="1"/>
  </r>
  <r>
    <d v="2023-06-12T00:00:00"/>
    <x v="5"/>
    <x v="5"/>
    <x v="4"/>
    <x v="967"/>
    <x v="247"/>
    <s v="UPI"/>
    <s v="REV100819"/>
    <x v="1"/>
  </r>
  <r>
    <d v="2023-06-12T00:00:00"/>
    <x v="5"/>
    <x v="6"/>
    <x v="1"/>
    <x v="2524"/>
    <x v="2532"/>
    <s v="Card"/>
    <s v="REV101225"/>
    <x v="1"/>
  </r>
  <r>
    <d v="2023-06-12T00:00:00"/>
    <x v="5"/>
    <x v="6"/>
    <x v="3"/>
    <x v="671"/>
    <x v="512"/>
    <s v="Bank Transfer"/>
    <s v="REV101228"/>
    <x v="1"/>
  </r>
  <r>
    <d v="2023-06-12T00:00:00"/>
    <x v="5"/>
    <x v="6"/>
    <x v="2"/>
    <x v="1592"/>
    <x v="2533"/>
    <s v="Bank Transfer"/>
    <s v="REV101394"/>
    <x v="1"/>
  </r>
  <r>
    <d v="2023-06-12T00:00:00"/>
    <x v="5"/>
    <x v="5"/>
    <x v="0"/>
    <x v="1287"/>
    <x v="540"/>
    <s v="Card"/>
    <s v="REV101623"/>
    <x v="1"/>
  </r>
  <r>
    <d v="2023-06-12T00:00:00"/>
    <x v="5"/>
    <x v="6"/>
    <x v="0"/>
    <x v="1799"/>
    <x v="205"/>
    <s v="Card"/>
    <s v="REV101793"/>
    <x v="1"/>
  </r>
  <r>
    <d v="2023-06-12T00:00:00"/>
    <x v="5"/>
    <x v="6"/>
    <x v="1"/>
    <x v="2034"/>
    <x v="2534"/>
    <s v="Bank Transfer"/>
    <s v="REV101949"/>
    <x v="1"/>
  </r>
  <r>
    <d v="2023-06-12T00:00:00"/>
    <x v="5"/>
    <x v="5"/>
    <x v="3"/>
    <x v="2525"/>
    <x v="2535"/>
    <s v="Card"/>
    <s v="REV102433"/>
    <x v="1"/>
  </r>
  <r>
    <d v="2023-06-12T00:00:00"/>
    <x v="5"/>
    <x v="5"/>
    <x v="4"/>
    <x v="943"/>
    <x v="2536"/>
    <s v="Bank Transfer"/>
    <s v="REV102495"/>
    <x v="1"/>
  </r>
  <r>
    <d v="2023-06-12T00:00:00"/>
    <x v="5"/>
    <x v="5"/>
    <x v="3"/>
    <x v="1447"/>
    <x v="2537"/>
    <s v="Card"/>
    <s v="REV102708"/>
    <x v="1"/>
  </r>
  <r>
    <d v="2023-06-12T00:00:00"/>
    <x v="5"/>
    <x v="6"/>
    <x v="4"/>
    <x v="2526"/>
    <x v="2416"/>
    <s v="Card"/>
    <s v="REV102738"/>
    <x v="1"/>
  </r>
  <r>
    <d v="2023-06-13T00:00:00"/>
    <x v="5"/>
    <x v="3"/>
    <x v="1"/>
    <x v="2527"/>
    <x v="2538"/>
    <s v="UPI"/>
    <s v="TXN101111"/>
    <x v="0"/>
  </r>
  <r>
    <d v="2023-06-13T00:00:00"/>
    <x v="5"/>
    <x v="2"/>
    <x v="4"/>
    <x v="2528"/>
    <x v="2539"/>
    <s v="Card"/>
    <s v="TXN104189"/>
    <x v="0"/>
  </r>
  <r>
    <d v="2023-06-13T00:00:00"/>
    <x v="5"/>
    <x v="4"/>
    <x v="0"/>
    <x v="2529"/>
    <x v="2540"/>
    <s v="Bank Transfer"/>
    <s v="TXN104844"/>
    <x v="0"/>
  </r>
  <r>
    <d v="2023-06-13T00:00:00"/>
    <x v="5"/>
    <x v="1"/>
    <x v="3"/>
    <x v="2530"/>
    <x v="2541"/>
    <s v="Card"/>
    <s v="TXN104874"/>
    <x v="0"/>
  </r>
  <r>
    <d v="2023-06-13T00:00:00"/>
    <x v="5"/>
    <x v="3"/>
    <x v="3"/>
    <x v="2531"/>
    <x v="2542"/>
    <s v="UPI"/>
    <s v="TXN105244"/>
    <x v="0"/>
  </r>
  <r>
    <d v="2023-06-13T00:00:00"/>
    <x v="5"/>
    <x v="4"/>
    <x v="3"/>
    <x v="2532"/>
    <x v="2543"/>
    <s v="UPI"/>
    <s v="TXN105889"/>
    <x v="0"/>
  </r>
  <r>
    <d v="2023-06-13T00:00:00"/>
    <x v="5"/>
    <x v="7"/>
    <x v="1"/>
    <x v="2533"/>
    <x v="2544"/>
    <s v="UPI"/>
    <s v="TXN106668"/>
    <x v="0"/>
  </r>
  <r>
    <d v="2023-06-13T00:00:00"/>
    <x v="5"/>
    <x v="0"/>
    <x v="0"/>
    <x v="2534"/>
    <x v="2545"/>
    <s v="Bank Transfer"/>
    <s v="TXN106816"/>
    <x v="0"/>
  </r>
  <r>
    <d v="2023-06-13T00:00:00"/>
    <x v="5"/>
    <x v="6"/>
    <x v="1"/>
    <x v="2535"/>
    <x v="2546"/>
    <s v="UPI"/>
    <s v="REV100409"/>
    <x v="1"/>
  </r>
  <r>
    <d v="2023-06-13T00:00:00"/>
    <x v="5"/>
    <x v="6"/>
    <x v="4"/>
    <x v="2536"/>
    <x v="66"/>
    <s v="Bank Transfer"/>
    <s v="REV101453"/>
    <x v="1"/>
  </r>
  <r>
    <d v="2023-06-13T00:00:00"/>
    <x v="5"/>
    <x v="5"/>
    <x v="0"/>
    <x v="180"/>
    <x v="2547"/>
    <s v="Card"/>
    <s v="REV101655"/>
    <x v="1"/>
  </r>
  <r>
    <d v="2023-06-13T00:00:00"/>
    <x v="5"/>
    <x v="6"/>
    <x v="3"/>
    <x v="2537"/>
    <x v="2548"/>
    <s v="Bank Transfer"/>
    <s v="REV101664"/>
    <x v="1"/>
  </r>
  <r>
    <d v="2023-06-13T00:00:00"/>
    <x v="5"/>
    <x v="6"/>
    <x v="3"/>
    <x v="1705"/>
    <x v="268"/>
    <s v="Bank Transfer"/>
    <s v="REV101776"/>
    <x v="1"/>
  </r>
  <r>
    <d v="2023-06-13T00:00:00"/>
    <x v="5"/>
    <x v="5"/>
    <x v="3"/>
    <x v="2538"/>
    <x v="1046"/>
    <s v="UPI"/>
    <s v="REV101989"/>
    <x v="1"/>
  </r>
  <r>
    <d v="2023-06-13T00:00:00"/>
    <x v="5"/>
    <x v="5"/>
    <x v="1"/>
    <x v="36"/>
    <x v="2549"/>
    <s v="Bank Transfer"/>
    <s v="REV102267"/>
    <x v="1"/>
  </r>
  <r>
    <d v="2023-06-13T00:00:00"/>
    <x v="5"/>
    <x v="6"/>
    <x v="0"/>
    <x v="1775"/>
    <x v="2414"/>
    <s v="UPI"/>
    <s v="REV102317"/>
    <x v="1"/>
  </r>
  <r>
    <d v="2023-06-14T00:00:00"/>
    <x v="5"/>
    <x v="4"/>
    <x v="0"/>
    <x v="2539"/>
    <x v="2550"/>
    <s v="Bank Transfer"/>
    <s v="TXN100473"/>
    <x v="0"/>
  </r>
  <r>
    <d v="2023-06-14T00:00:00"/>
    <x v="5"/>
    <x v="3"/>
    <x v="0"/>
    <x v="2540"/>
    <x v="2551"/>
    <s v="Card"/>
    <s v="TXN101392"/>
    <x v="0"/>
  </r>
  <r>
    <d v="2023-06-14T00:00:00"/>
    <x v="5"/>
    <x v="3"/>
    <x v="3"/>
    <x v="2541"/>
    <x v="2552"/>
    <s v="UPI"/>
    <s v="TXN102169"/>
    <x v="0"/>
  </r>
  <r>
    <d v="2023-06-14T00:00:00"/>
    <x v="5"/>
    <x v="2"/>
    <x v="3"/>
    <x v="2542"/>
    <x v="2553"/>
    <s v="Cash"/>
    <s v="TXN103102"/>
    <x v="0"/>
  </r>
  <r>
    <d v="2023-06-14T00:00:00"/>
    <x v="5"/>
    <x v="4"/>
    <x v="4"/>
    <x v="2543"/>
    <x v="2554"/>
    <s v="UPI"/>
    <s v="TXN103383"/>
    <x v="0"/>
  </r>
  <r>
    <d v="2023-06-14T00:00:00"/>
    <x v="5"/>
    <x v="0"/>
    <x v="3"/>
    <x v="2544"/>
    <x v="2555"/>
    <s v="Card"/>
    <s v="TXN103524"/>
    <x v="0"/>
  </r>
  <r>
    <d v="2023-06-14T00:00:00"/>
    <x v="5"/>
    <x v="3"/>
    <x v="3"/>
    <x v="2545"/>
    <x v="2556"/>
    <s v="Card"/>
    <s v="TXN104975"/>
    <x v="0"/>
  </r>
  <r>
    <d v="2023-06-14T00:00:00"/>
    <x v="5"/>
    <x v="2"/>
    <x v="4"/>
    <x v="2546"/>
    <x v="2557"/>
    <s v="Card"/>
    <s v="TXN105325"/>
    <x v="0"/>
  </r>
  <r>
    <d v="2023-06-14T00:00:00"/>
    <x v="5"/>
    <x v="6"/>
    <x v="0"/>
    <x v="2547"/>
    <x v="464"/>
    <s v="UPI"/>
    <s v="REV100180"/>
    <x v="1"/>
  </r>
  <r>
    <d v="2023-06-14T00:00:00"/>
    <x v="5"/>
    <x v="6"/>
    <x v="0"/>
    <x v="753"/>
    <x v="97"/>
    <s v="Bank Transfer"/>
    <s v="REV100507"/>
    <x v="1"/>
  </r>
  <r>
    <d v="2023-06-14T00:00:00"/>
    <x v="5"/>
    <x v="5"/>
    <x v="3"/>
    <x v="1517"/>
    <x v="2395"/>
    <s v="Card"/>
    <s v="REV100770"/>
    <x v="1"/>
  </r>
  <r>
    <d v="2023-06-14T00:00:00"/>
    <x v="5"/>
    <x v="6"/>
    <x v="3"/>
    <x v="632"/>
    <x v="1964"/>
    <s v="UPI"/>
    <s v="REV101071"/>
    <x v="1"/>
  </r>
  <r>
    <d v="2023-06-14T00:00:00"/>
    <x v="5"/>
    <x v="6"/>
    <x v="4"/>
    <x v="2548"/>
    <x v="2558"/>
    <s v="Bank Transfer"/>
    <s v="REV101162"/>
    <x v="1"/>
  </r>
  <r>
    <d v="2023-06-14T00:00:00"/>
    <x v="5"/>
    <x v="5"/>
    <x v="3"/>
    <x v="2393"/>
    <x v="2559"/>
    <s v="Bank Transfer"/>
    <s v="REV101200"/>
    <x v="1"/>
  </r>
  <r>
    <d v="2023-06-14T00:00:00"/>
    <x v="5"/>
    <x v="6"/>
    <x v="3"/>
    <x v="2549"/>
    <x v="979"/>
    <s v="UPI"/>
    <s v="REV101698"/>
    <x v="1"/>
  </r>
  <r>
    <d v="2023-06-14T00:00:00"/>
    <x v="5"/>
    <x v="5"/>
    <x v="4"/>
    <x v="2550"/>
    <x v="218"/>
    <s v="Bank Transfer"/>
    <s v="REV101807"/>
    <x v="1"/>
  </r>
  <r>
    <d v="2023-06-15T00:00:00"/>
    <x v="5"/>
    <x v="7"/>
    <x v="3"/>
    <x v="2551"/>
    <x v="2560"/>
    <s v="UPI"/>
    <s v="TXN100369"/>
    <x v="0"/>
  </r>
  <r>
    <d v="2023-06-15T00:00:00"/>
    <x v="5"/>
    <x v="2"/>
    <x v="3"/>
    <x v="2552"/>
    <x v="2561"/>
    <s v="Card"/>
    <s v="TXN102155"/>
    <x v="0"/>
  </r>
  <r>
    <d v="2023-06-15T00:00:00"/>
    <x v="5"/>
    <x v="4"/>
    <x v="0"/>
    <x v="2553"/>
    <x v="2562"/>
    <s v="UPI"/>
    <s v="TXN102308"/>
    <x v="0"/>
  </r>
  <r>
    <d v="2023-06-15T00:00:00"/>
    <x v="5"/>
    <x v="0"/>
    <x v="0"/>
    <x v="2554"/>
    <x v="2563"/>
    <s v="UPI"/>
    <s v="TXN107828"/>
    <x v="0"/>
  </r>
  <r>
    <d v="2023-06-15T00:00:00"/>
    <x v="5"/>
    <x v="4"/>
    <x v="4"/>
    <x v="2555"/>
    <x v="2564"/>
    <s v="Bank Transfer"/>
    <s v="TXN109393"/>
    <x v="0"/>
  </r>
  <r>
    <d v="2023-06-15T00:00:00"/>
    <x v="5"/>
    <x v="1"/>
    <x v="0"/>
    <x v="2556"/>
    <x v="2565"/>
    <s v="Bank Transfer"/>
    <s v="TXN109496"/>
    <x v="0"/>
  </r>
  <r>
    <d v="2023-06-15T00:00:00"/>
    <x v="5"/>
    <x v="7"/>
    <x v="1"/>
    <x v="2557"/>
    <x v="2566"/>
    <s v="Card"/>
    <s v="TXN109794"/>
    <x v="0"/>
  </r>
  <r>
    <d v="2023-06-15T00:00:00"/>
    <x v="5"/>
    <x v="5"/>
    <x v="3"/>
    <x v="1539"/>
    <x v="205"/>
    <s v="Card"/>
    <s v="REV100139"/>
    <x v="1"/>
  </r>
  <r>
    <d v="2023-06-15T00:00:00"/>
    <x v="5"/>
    <x v="5"/>
    <x v="3"/>
    <x v="1706"/>
    <x v="2567"/>
    <s v="Bank Transfer"/>
    <s v="REV100767"/>
    <x v="1"/>
  </r>
  <r>
    <d v="2023-06-15T00:00:00"/>
    <x v="5"/>
    <x v="6"/>
    <x v="0"/>
    <x v="1907"/>
    <x v="2568"/>
    <s v="Bank Transfer"/>
    <s v="REV100815"/>
    <x v="1"/>
  </r>
  <r>
    <d v="2023-06-15T00:00:00"/>
    <x v="5"/>
    <x v="5"/>
    <x v="0"/>
    <x v="2558"/>
    <x v="2569"/>
    <s v="Bank Transfer"/>
    <s v="REV102658"/>
    <x v="1"/>
  </r>
  <r>
    <d v="2023-06-15T00:00:00"/>
    <x v="5"/>
    <x v="5"/>
    <x v="4"/>
    <x v="377"/>
    <x v="284"/>
    <s v="Card"/>
    <s v="REV103175"/>
    <x v="1"/>
  </r>
  <r>
    <d v="2023-06-15T00:00:00"/>
    <x v="5"/>
    <x v="5"/>
    <x v="0"/>
    <x v="1724"/>
    <x v="2570"/>
    <s v="Card"/>
    <s v="REV103206"/>
    <x v="1"/>
  </r>
  <r>
    <d v="2023-06-15T00:00:00"/>
    <x v="5"/>
    <x v="5"/>
    <x v="1"/>
    <x v="2559"/>
    <x v="1884"/>
    <s v="Bank Transfer"/>
    <s v="REV103314"/>
    <x v="1"/>
  </r>
  <r>
    <d v="2023-06-16T00:00:00"/>
    <x v="5"/>
    <x v="1"/>
    <x v="3"/>
    <x v="2560"/>
    <x v="2571"/>
    <s v="Cash"/>
    <s v="TXN100188"/>
    <x v="0"/>
  </r>
  <r>
    <d v="2023-06-16T00:00:00"/>
    <x v="5"/>
    <x v="4"/>
    <x v="3"/>
    <x v="2561"/>
    <x v="2572"/>
    <s v="Bank Transfer"/>
    <s v="TXN100333"/>
    <x v="0"/>
  </r>
  <r>
    <d v="2023-06-16T00:00:00"/>
    <x v="5"/>
    <x v="7"/>
    <x v="0"/>
    <x v="2562"/>
    <x v="2573"/>
    <s v="Cash"/>
    <s v="TXN103930"/>
    <x v="0"/>
  </r>
  <r>
    <d v="2023-06-16T00:00:00"/>
    <x v="5"/>
    <x v="4"/>
    <x v="2"/>
    <x v="2563"/>
    <x v="2574"/>
    <s v="UPI"/>
    <s v="TXN104031"/>
    <x v="0"/>
  </r>
  <r>
    <d v="2023-06-16T00:00:00"/>
    <x v="5"/>
    <x v="4"/>
    <x v="1"/>
    <x v="2564"/>
    <x v="2575"/>
    <s v="Card"/>
    <s v="TXN105048"/>
    <x v="0"/>
  </r>
  <r>
    <d v="2023-06-16T00:00:00"/>
    <x v="5"/>
    <x v="0"/>
    <x v="4"/>
    <x v="2565"/>
    <x v="2576"/>
    <s v="UPI"/>
    <s v="TXN105054"/>
    <x v="0"/>
  </r>
  <r>
    <d v="2023-06-16T00:00:00"/>
    <x v="5"/>
    <x v="1"/>
    <x v="4"/>
    <x v="2566"/>
    <x v="2577"/>
    <s v="Cash"/>
    <s v="TXN105624"/>
    <x v="0"/>
  </r>
  <r>
    <d v="2023-06-16T00:00:00"/>
    <x v="5"/>
    <x v="4"/>
    <x v="3"/>
    <x v="2567"/>
    <x v="2578"/>
    <s v="Bank Transfer"/>
    <s v="TXN105908"/>
    <x v="0"/>
  </r>
  <r>
    <d v="2023-06-16T00:00:00"/>
    <x v="5"/>
    <x v="3"/>
    <x v="2"/>
    <x v="2568"/>
    <x v="2579"/>
    <s v="Bank Transfer"/>
    <s v="TXN107133"/>
    <x v="0"/>
  </r>
  <r>
    <d v="2023-06-16T00:00:00"/>
    <x v="5"/>
    <x v="7"/>
    <x v="4"/>
    <x v="2569"/>
    <x v="2580"/>
    <s v="Cash"/>
    <s v="TXN107947"/>
    <x v="0"/>
  </r>
  <r>
    <d v="2023-06-16T00:00:00"/>
    <x v="5"/>
    <x v="5"/>
    <x v="3"/>
    <x v="2570"/>
    <x v="992"/>
    <s v="UPI"/>
    <s v="REV100067"/>
    <x v="1"/>
  </r>
  <r>
    <d v="2023-06-16T00:00:00"/>
    <x v="5"/>
    <x v="5"/>
    <x v="3"/>
    <x v="1382"/>
    <x v="12"/>
    <s v="Bank Transfer"/>
    <s v="REV100123"/>
    <x v="1"/>
  </r>
  <r>
    <d v="2023-06-16T00:00:00"/>
    <x v="5"/>
    <x v="5"/>
    <x v="0"/>
    <x v="2571"/>
    <x v="345"/>
    <s v="Card"/>
    <s v="REV101359"/>
    <x v="1"/>
  </r>
  <r>
    <d v="2023-06-16T00:00:00"/>
    <x v="5"/>
    <x v="6"/>
    <x v="2"/>
    <x v="87"/>
    <x v="2581"/>
    <s v="Bank Transfer"/>
    <s v="REV101397"/>
    <x v="1"/>
  </r>
  <r>
    <d v="2023-06-16T00:00:00"/>
    <x v="5"/>
    <x v="6"/>
    <x v="1"/>
    <x v="2572"/>
    <x v="640"/>
    <s v="Bank Transfer"/>
    <s v="REV101718"/>
    <x v="1"/>
  </r>
  <r>
    <d v="2023-06-16T00:00:00"/>
    <x v="5"/>
    <x v="5"/>
    <x v="4"/>
    <x v="2573"/>
    <x v="2582"/>
    <s v="Bank Transfer"/>
    <s v="REV101721"/>
    <x v="1"/>
  </r>
  <r>
    <d v="2023-06-16T00:00:00"/>
    <x v="5"/>
    <x v="6"/>
    <x v="4"/>
    <x v="2574"/>
    <x v="264"/>
    <s v="Card"/>
    <s v="REV101916"/>
    <x v="1"/>
  </r>
  <r>
    <d v="2023-06-16T00:00:00"/>
    <x v="5"/>
    <x v="6"/>
    <x v="3"/>
    <x v="1067"/>
    <x v="792"/>
    <s v="Bank Transfer"/>
    <s v="REV101995"/>
    <x v="1"/>
  </r>
  <r>
    <d v="2023-06-16T00:00:00"/>
    <x v="5"/>
    <x v="5"/>
    <x v="2"/>
    <x v="2575"/>
    <x v="2583"/>
    <s v="Bank Transfer"/>
    <s v="REV102420"/>
    <x v="1"/>
  </r>
  <r>
    <d v="2023-06-16T00:00:00"/>
    <x v="5"/>
    <x v="5"/>
    <x v="4"/>
    <x v="542"/>
    <x v="2352"/>
    <s v="Bank Transfer"/>
    <s v="REV102698"/>
    <x v="1"/>
  </r>
  <r>
    <d v="2023-06-17T00:00:00"/>
    <x v="5"/>
    <x v="4"/>
    <x v="3"/>
    <x v="2576"/>
    <x v="2584"/>
    <s v="Bank Transfer"/>
    <s v="TXN100041"/>
    <x v="0"/>
  </r>
  <r>
    <d v="2023-06-17T00:00:00"/>
    <x v="5"/>
    <x v="7"/>
    <x v="2"/>
    <x v="2577"/>
    <x v="2585"/>
    <s v="Bank Transfer"/>
    <s v="TXN100752"/>
    <x v="0"/>
  </r>
  <r>
    <d v="2023-06-17T00:00:00"/>
    <x v="5"/>
    <x v="0"/>
    <x v="1"/>
    <x v="2578"/>
    <x v="2586"/>
    <s v="Card"/>
    <s v="TXN102803"/>
    <x v="0"/>
  </r>
  <r>
    <d v="2023-06-17T00:00:00"/>
    <x v="5"/>
    <x v="0"/>
    <x v="1"/>
    <x v="2579"/>
    <x v="2587"/>
    <s v="UPI"/>
    <s v="TXN103508"/>
    <x v="0"/>
  </r>
  <r>
    <d v="2023-06-17T00:00:00"/>
    <x v="5"/>
    <x v="3"/>
    <x v="3"/>
    <x v="2580"/>
    <x v="2588"/>
    <s v="Cash"/>
    <s v="TXN105426"/>
    <x v="0"/>
  </r>
  <r>
    <d v="2023-06-17T00:00:00"/>
    <x v="5"/>
    <x v="1"/>
    <x v="2"/>
    <x v="2581"/>
    <x v="2589"/>
    <s v="Card"/>
    <s v="TXN105548"/>
    <x v="0"/>
  </r>
  <r>
    <d v="2023-06-17T00:00:00"/>
    <x v="5"/>
    <x v="1"/>
    <x v="2"/>
    <x v="2582"/>
    <x v="2590"/>
    <s v="UPI"/>
    <s v="TXN106265"/>
    <x v="0"/>
  </r>
  <r>
    <d v="2023-06-17T00:00:00"/>
    <x v="5"/>
    <x v="2"/>
    <x v="1"/>
    <x v="2583"/>
    <x v="2591"/>
    <s v="Bank Transfer"/>
    <s v="TXN107971"/>
    <x v="0"/>
  </r>
  <r>
    <d v="2023-06-17T00:00:00"/>
    <x v="5"/>
    <x v="4"/>
    <x v="2"/>
    <x v="2584"/>
    <x v="2592"/>
    <s v="Cash"/>
    <s v="TXN108187"/>
    <x v="0"/>
  </r>
  <r>
    <d v="2023-06-17T00:00:00"/>
    <x v="5"/>
    <x v="0"/>
    <x v="0"/>
    <x v="2585"/>
    <x v="2593"/>
    <s v="Card"/>
    <s v="TXN108278"/>
    <x v="0"/>
  </r>
  <r>
    <d v="2023-06-17T00:00:00"/>
    <x v="5"/>
    <x v="3"/>
    <x v="1"/>
    <x v="2586"/>
    <x v="2594"/>
    <s v="Bank Transfer"/>
    <s v="TXN108300"/>
    <x v="0"/>
  </r>
  <r>
    <d v="2023-06-17T00:00:00"/>
    <x v="5"/>
    <x v="7"/>
    <x v="3"/>
    <x v="2587"/>
    <x v="2595"/>
    <s v="Bank Transfer"/>
    <s v="TXN109269"/>
    <x v="0"/>
  </r>
  <r>
    <d v="2023-06-17T00:00:00"/>
    <x v="5"/>
    <x v="3"/>
    <x v="0"/>
    <x v="2588"/>
    <x v="2596"/>
    <s v="Card"/>
    <s v="TXN109466"/>
    <x v="0"/>
  </r>
  <r>
    <d v="2023-06-17T00:00:00"/>
    <x v="5"/>
    <x v="3"/>
    <x v="3"/>
    <x v="2589"/>
    <x v="2597"/>
    <s v="Card"/>
    <s v="TXN109934"/>
    <x v="0"/>
  </r>
  <r>
    <d v="2023-06-17T00:00:00"/>
    <x v="5"/>
    <x v="5"/>
    <x v="3"/>
    <x v="986"/>
    <x v="2056"/>
    <s v="Card"/>
    <s v="REV100015"/>
    <x v="1"/>
  </r>
  <r>
    <d v="2023-06-17T00:00:00"/>
    <x v="5"/>
    <x v="5"/>
    <x v="2"/>
    <x v="1836"/>
    <x v="225"/>
    <s v="Card"/>
    <s v="REV100276"/>
    <x v="1"/>
  </r>
  <r>
    <d v="2023-06-17T00:00:00"/>
    <x v="5"/>
    <x v="5"/>
    <x v="1"/>
    <x v="1947"/>
    <x v="444"/>
    <s v="Card"/>
    <s v="REV100988"/>
    <x v="1"/>
  </r>
  <r>
    <d v="2023-06-17T00:00:00"/>
    <x v="5"/>
    <x v="5"/>
    <x v="1"/>
    <x v="2590"/>
    <x v="2598"/>
    <s v="Bank Transfer"/>
    <s v="REV101195"/>
    <x v="1"/>
  </r>
  <r>
    <d v="2023-06-17T00:00:00"/>
    <x v="5"/>
    <x v="5"/>
    <x v="3"/>
    <x v="884"/>
    <x v="377"/>
    <s v="Card"/>
    <s v="REV101846"/>
    <x v="1"/>
  </r>
  <r>
    <d v="2023-06-17T00:00:00"/>
    <x v="5"/>
    <x v="6"/>
    <x v="2"/>
    <x v="2591"/>
    <x v="2599"/>
    <s v="Card"/>
    <s v="REV101891"/>
    <x v="1"/>
  </r>
  <r>
    <d v="2023-06-17T00:00:00"/>
    <x v="5"/>
    <x v="5"/>
    <x v="2"/>
    <x v="1068"/>
    <x v="2600"/>
    <s v="Card"/>
    <s v="REV102108"/>
    <x v="1"/>
  </r>
  <r>
    <d v="2023-06-17T00:00:00"/>
    <x v="5"/>
    <x v="6"/>
    <x v="1"/>
    <x v="859"/>
    <x v="2365"/>
    <s v="Bank Transfer"/>
    <s v="REV102709"/>
    <x v="1"/>
  </r>
  <r>
    <d v="2023-06-17T00:00:00"/>
    <x v="5"/>
    <x v="5"/>
    <x v="2"/>
    <x v="2592"/>
    <x v="1010"/>
    <s v="Bank Transfer"/>
    <s v="REV102781"/>
    <x v="1"/>
  </r>
  <r>
    <d v="2023-06-17T00:00:00"/>
    <x v="5"/>
    <x v="5"/>
    <x v="0"/>
    <x v="203"/>
    <x v="2601"/>
    <s v="Bank Transfer"/>
    <s v="REV102814"/>
    <x v="1"/>
  </r>
  <r>
    <d v="2023-06-17T00:00:00"/>
    <x v="5"/>
    <x v="6"/>
    <x v="1"/>
    <x v="650"/>
    <x v="2495"/>
    <s v="Bank Transfer"/>
    <s v="REV102821"/>
    <x v="1"/>
  </r>
  <r>
    <d v="2023-06-17T00:00:00"/>
    <x v="5"/>
    <x v="5"/>
    <x v="3"/>
    <x v="2593"/>
    <x v="2106"/>
    <s v="Bank Transfer"/>
    <s v="REV103130"/>
    <x v="1"/>
  </r>
  <r>
    <d v="2023-06-17T00:00:00"/>
    <x v="5"/>
    <x v="5"/>
    <x v="0"/>
    <x v="1855"/>
    <x v="2402"/>
    <s v="Bank Transfer"/>
    <s v="REV103198"/>
    <x v="1"/>
  </r>
  <r>
    <d v="2023-06-17T00:00:00"/>
    <x v="5"/>
    <x v="5"/>
    <x v="3"/>
    <x v="2594"/>
    <x v="225"/>
    <s v="Bank Transfer"/>
    <s v="REV103360"/>
    <x v="1"/>
  </r>
  <r>
    <d v="2023-06-18T00:00:00"/>
    <x v="5"/>
    <x v="2"/>
    <x v="2"/>
    <x v="2595"/>
    <x v="2602"/>
    <s v="Bank Transfer"/>
    <s v="TXN100710"/>
    <x v="0"/>
  </r>
  <r>
    <d v="2023-06-18T00:00:00"/>
    <x v="5"/>
    <x v="3"/>
    <x v="3"/>
    <x v="2596"/>
    <x v="2603"/>
    <s v="Cash"/>
    <s v="TXN101322"/>
    <x v="0"/>
  </r>
  <r>
    <d v="2023-06-18T00:00:00"/>
    <x v="5"/>
    <x v="4"/>
    <x v="1"/>
    <x v="2597"/>
    <x v="2604"/>
    <s v="UPI"/>
    <s v="TXN101790"/>
    <x v="0"/>
  </r>
  <r>
    <d v="2023-06-18T00:00:00"/>
    <x v="5"/>
    <x v="4"/>
    <x v="4"/>
    <x v="2598"/>
    <x v="2605"/>
    <s v="Card"/>
    <s v="TXN102364"/>
    <x v="0"/>
  </r>
  <r>
    <d v="2023-06-18T00:00:00"/>
    <x v="5"/>
    <x v="0"/>
    <x v="1"/>
    <x v="2599"/>
    <x v="2606"/>
    <s v="Card"/>
    <s v="TXN102594"/>
    <x v="0"/>
  </r>
  <r>
    <d v="2023-06-18T00:00:00"/>
    <x v="5"/>
    <x v="7"/>
    <x v="2"/>
    <x v="2600"/>
    <x v="2607"/>
    <s v="Cash"/>
    <s v="TXN103468"/>
    <x v="0"/>
  </r>
  <r>
    <d v="2023-06-18T00:00:00"/>
    <x v="5"/>
    <x v="7"/>
    <x v="0"/>
    <x v="2601"/>
    <x v="2608"/>
    <s v="UPI"/>
    <s v="TXN103530"/>
    <x v="0"/>
  </r>
  <r>
    <d v="2023-06-18T00:00:00"/>
    <x v="5"/>
    <x v="2"/>
    <x v="1"/>
    <x v="2602"/>
    <x v="2609"/>
    <s v="UPI"/>
    <s v="TXN104875"/>
    <x v="0"/>
  </r>
  <r>
    <d v="2023-06-18T00:00:00"/>
    <x v="5"/>
    <x v="1"/>
    <x v="0"/>
    <x v="2603"/>
    <x v="2610"/>
    <s v="Cash"/>
    <s v="TXN105258"/>
    <x v="0"/>
  </r>
  <r>
    <d v="2023-06-18T00:00:00"/>
    <x v="5"/>
    <x v="4"/>
    <x v="3"/>
    <x v="2604"/>
    <x v="2611"/>
    <s v="Bank Transfer"/>
    <s v="TXN106330"/>
    <x v="0"/>
  </r>
  <r>
    <d v="2023-06-18T00:00:00"/>
    <x v="5"/>
    <x v="3"/>
    <x v="0"/>
    <x v="2605"/>
    <x v="2612"/>
    <s v="UPI"/>
    <s v="TXN107622"/>
    <x v="0"/>
  </r>
  <r>
    <d v="2023-06-18T00:00:00"/>
    <x v="5"/>
    <x v="1"/>
    <x v="1"/>
    <x v="2606"/>
    <x v="2613"/>
    <s v="Bank Transfer"/>
    <s v="TXN107660"/>
    <x v="0"/>
  </r>
  <r>
    <d v="2023-06-18T00:00:00"/>
    <x v="5"/>
    <x v="7"/>
    <x v="1"/>
    <x v="2607"/>
    <x v="2614"/>
    <s v="UPI"/>
    <s v="TXN108521"/>
    <x v="0"/>
  </r>
  <r>
    <d v="2023-06-18T00:00:00"/>
    <x v="5"/>
    <x v="0"/>
    <x v="4"/>
    <x v="2608"/>
    <x v="2615"/>
    <s v="Card"/>
    <s v="TXN108743"/>
    <x v="0"/>
  </r>
  <r>
    <d v="2023-06-18T00:00:00"/>
    <x v="5"/>
    <x v="0"/>
    <x v="1"/>
    <x v="2609"/>
    <x v="2616"/>
    <s v="Bank Transfer"/>
    <s v="TXN109719"/>
    <x v="0"/>
  </r>
  <r>
    <d v="2023-06-18T00:00:00"/>
    <x v="5"/>
    <x v="5"/>
    <x v="2"/>
    <x v="234"/>
    <x v="153"/>
    <s v="Bank Transfer"/>
    <s v="REV100266"/>
    <x v="1"/>
  </r>
  <r>
    <d v="2023-06-18T00:00:00"/>
    <x v="5"/>
    <x v="5"/>
    <x v="3"/>
    <x v="2152"/>
    <x v="360"/>
    <s v="Card"/>
    <s v="REV100488"/>
    <x v="1"/>
  </r>
  <r>
    <d v="2023-06-18T00:00:00"/>
    <x v="5"/>
    <x v="6"/>
    <x v="1"/>
    <x v="1648"/>
    <x v="2617"/>
    <s v="Bank Transfer"/>
    <s v="REV100651"/>
    <x v="1"/>
  </r>
  <r>
    <d v="2023-06-18T00:00:00"/>
    <x v="5"/>
    <x v="5"/>
    <x v="4"/>
    <x v="2610"/>
    <x v="1808"/>
    <s v="UPI"/>
    <s v="REV100831"/>
    <x v="1"/>
  </r>
  <r>
    <d v="2023-06-18T00:00:00"/>
    <x v="5"/>
    <x v="5"/>
    <x v="1"/>
    <x v="2611"/>
    <x v="207"/>
    <s v="Card"/>
    <s v="REV100907"/>
    <x v="1"/>
  </r>
  <r>
    <d v="2023-06-18T00:00:00"/>
    <x v="5"/>
    <x v="5"/>
    <x v="2"/>
    <x v="2612"/>
    <x v="2618"/>
    <s v="Card"/>
    <s v="REV101186"/>
    <x v="1"/>
  </r>
  <r>
    <d v="2023-06-18T00:00:00"/>
    <x v="5"/>
    <x v="6"/>
    <x v="0"/>
    <x v="2613"/>
    <x v="603"/>
    <s v="Bank Transfer"/>
    <s v="REV101203"/>
    <x v="1"/>
  </r>
  <r>
    <d v="2023-06-18T00:00:00"/>
    <x v="5"/>
    <x v="6"/>
    <x v="1"/>
    <x v="2356"/>
    <x v="2619"/>
    <s v="UPI"/>
    <s v="REV101665"/>
    <x v="1"/>
  </r>
  <r>
    <d v="2023-06-18T00:00:00"/>
    <x v="5"/>
    <x v="5"/>
    <x v="0"/>
    <x v="1023"/>
    <x v="2620"/>
    <s v="UPI"/>
    <s v="REV101782"/>
    <x v="1"/>
  </r>
  <r>
    <d v="2023-06-18T00:00:00"/>
    <x v="5"/>
    <x v="6"/>
    <x v="3"/>
    <x v="2614"/>
    <x v="1353"/>
    <s v="UPI"/>
    <s v="REV102137"/>
    <x v="1"/>
  </r>
  <r>
    <d v="2023-06-18T00:00:00"/>
    <x v="5"/>
    <x v="5"/>
    <x v="0"/>
    <x v="1743"/>
    <x v="2621"/>
    <s v="Bank Transfer"/>
    <s v="REV102589"/>
    <x v="1"/>
  </r>
  <r>
    <d v="2023-06-18T00:00:00"/>
    <x v="5"/>
    <x v="5"/>
    <x v="1"/>
    <x v="2615"/>
    <x v="312"/>
    <s v="UPI"/>
    <s v="REV102605"/>
    <x v="1"/>
  </r>
  <r>
    <d v="2023-06-18T00:00:00"/>
    <x v="5"/>
    <x v="5"/>
    <x v="1"/>
    <x v="649"/>
    <x v="2622"/>
    <s v="Bank Transfer"/>
    <s v="REV102886"/>
    <x v="1"/>
  </r>
  <r>
    <d v="2023-06-18T00:00:00"/>
    <x v="5"/>
    <x v="5"/>
    <x v="4"/>
    <x v="2616"/>
    <x v="2623"/>
    <s v="Card"/>
    <s v="REV102969"/>
    <x v="1"/>
  </r>
  <r>
    <d v="2023-06-18T00:00:00"/>
    <x v="5"/>
    <x v="6"/>
    <x v="1"/>
    <x v="2617"/>
    <x v="426"/>
    <s v="Card"/>
    <s v="REV103286"/>
    <x v="1"/>
  </r>
  <r>
    <d v="2023-06-19T00:00:00"/>
    <x v="5"/>
    <x v="2"/>
    <x v="2"/>
    <x v="2618"/>
    <x v="2624"/>
    <s v="Cash"/>
    <s v="TXN100604"/>
    <x v="0"/>
  </r>
  <r>
    <d v="2023-06-19T00:00:00"/>
    <x v="5"/>
    <x v="2"/>
    <x v="2"/>
    <x v="2619"/>
    <x v="2625"/>
    <s v="Bank Transfer"/>
    <s v="TXN100619"/>
    <x v="0"/>
  </r>
  <r>
    <d v="2023-06-19T00:00:00"/>
    <x v="5"/>
    <x v="7"/>
    <x v="4"/>
    <x v="2620"/>
    <x v="2626"/>
    <s v="UPI"/>
    <s v="TXN100621"/>
    <x v="0"/>
  </r>
  <r>
    <d v="2023-06-19T00:00:00"/>
    <x v="5"/>
    <x v="1"/>
    <x v="4"/>
    <x v="2621"/>
    <x v="2627"/>
    <s v="Card"/>
    <s v="TXN101389"/>
    <x v="0"/>
  </r>
  <r>
    <d v="2023-06-19T00:00:00"/>
    <x v="5"/>
    <x v="4"/>
    <x v="3"/>
    <x v="2622"/>
    <x v="2628"/>
    <s v="Card"/>
    <s v="TXN102064"/>
    <x v="0"/>
  </r>
  <r>
    <d v="2023-06-19T00:00:00"/>
    <x v="5"/>
    <x v="7"/>
    <x v="1"/>
    <x v="2623"/>
    <x v="2629"/>
    <s v="Bank Transfer"/>
    <s v="TXN103939"/>
    <x v="0"/>
  </r>
  <r>
    <d v="2023-06-19T00:00:00"/>
    <x v="5"/>
    <x v="4"/>
    <x v="4"/>
    <x v="2624"/>
    <x v="2630"/>
    <s v="Bank Transfer"/>
    <s v="TXN105456"/>
    <x v="0"/>
  </r>
  <r>
    <d v="2023-06-19T00:00:00"/>
    <x v="5"/>
    <x v="4"/>
    <x v="3"/>
    <x v="2625"/>
    <x v="2631"/>
    <s v="Bank Transfer"/>
    <s v="TXN106723"/>
    <x v="0"/>
  </r>
  <r>
    <d v="2023-06-19T00:00:00"/>
    <x v="5"/>
    <x v="7"/>
    <x v="4"/>
    <x v="2626"/>
    <x v="2632"/>
    <s v="Bank Transfer"/>
    <s v="TXN107197"/>
    <x v="0"/>
  </r>
  <r>
    <d v="2023-06-19T00:00:00"/>
    <x v="5"/>
    <x v="1"/>
    <x v="0"/>
    <x v="2627"/>
    <x v="2633"/>
    <s v="UPI"/>
    <s v="TXN108165"/>
    <x v="0"/>
  </r>
  <r>
    <d v="2023-06-19T00:00:00"/>
    <x v="5"/>
    <x v="4"/>
    <x v="2"/>
    <x v="2628"/>
    <x v="2634"/>
    <s v="UPI"/>
    <s v="TXN108292"/>
    <x v="0"/>
  </r>
  <r>
    <d v="2023-06-19T00:00:00"/>
    <x v="5"/>
    <x v="4"/>
    <x v="2"/>
    <x v="2629"/>
    <x v="2635"/>
    <s v="Bank Transfer"/>
    <s v="TXN108867"/>
    <x v="0"/>
  </r>
  <r>
    <d v="2023-06-19T00:00:00"/>
    <x v="5"/>
    <x v="4"/>
    <x v="2"/>
    <x v="2630"/>
    <x v="2636"/>
    <s v="Cash"/>
    <s v="TXN109110"/>
    <x v="0"/>
  </r>
  <r>
    <d v="2023-06-19T00:00:00"/>
    <x v="5"/>
    <x v="6"/>
    <x v="2"/>
    <x v="1067"/>
    <x v="2111"/>
    <s v="Card"/>
    <s v="REV100235"/>
    <x v="1"/>
  </r>
  <r>
    <d v="2023-06-19T00:00:00"/>
    <x v="5"/>
    <x v="6"/>
    <x v="2"/>
    <x v="2631"/>
    <x v="2637"/>
    <s v="Bank Transfer"/>
    <s v="REV100240"/>
    <x v="1"/>
  </r>
  <r>
    <d v="2023-06-19T00:00:00"/>
    <x v="5"/>
    <x v="6"/>
    <x v="4"/>
    <x v="2632"/>
    <x v="2638"/>
    <s v="UPI"/>
    <s v="REV100241"/>
    <x v="1"/>
  </r>
  <r>
    <d v="2023-06-19T00:00:00"/>
    <x v="5"/>
    <x v="5"/>
    <x v="4"/>
    <x v="2633"/>
    <x v="2329"/>
    <s v="Bank Transfer"/>
    <s v="REV100506"/>
    <x v="1"/>
  </r>
  <r>
    <d v="2023-06-19T00:00:00"/>
    <x v="5"/>
    <x v="6"/>
    <x v="3"/>
    <x v="1817"/>
    <x v="2639"/>
    <s v="Bank Transfer"/>
    <s v="REV100735"/>
    <x v="1"/>
  </r>
  <r>
    <d v="2023-06-19T00:00:00"/>
    <x v="5"/>
    <x v="6"/>
    <x v="1"/>
    <x v="327"/>
    <x v="2640"/>
    <s v="Bank Transfer"/>
    <s v="REV101362"/>
    <x v="1"/>
  </r>
  <r>
    <d v="2023-06-19T00:00:00"/>
    <x v="5"/>
    <x v="5"/>
    <x v="4"/>
    <x v="138"/>
    <x v="2641"/>
    <s v="Card"/>
    <s v="REV101859"/>
    <x v="1"/>
  </r>
  <r>
    <d v="2023-06-19T00:00:00"/>
    <x v="5"/>
    <x v="5"/>
    <x v="3"/>
    <x v="2634"/>
    <x v="109"/>
    <s v="Card"/>
    <s v="REV102288"/>
    <x v="1"/>
  </r>
  <r>
    <d v="2023-06-19T00:00:00"/>
    <x v="5"/>
    <x v="5"/>
    <x v="4"/>
    <x v="2559"/>
    <x v="2642"/>
    <s v="Bank Transfer"/>
    <s v="REV102444"/>
    <x v="1"/>
  </r>
  <r>
    <d v="2023-06-19T00:00:00"/>
    <x v="5"/>
    <x v="6"/>
    <x v="0"/>
    <x v="1080"/>
    <x v="1303"/>
    <s v="Card"/>
    <s v="REV102771"/>
    <x v="1"/>
  </r>
  <r>
    <d v="2023-06-19T00:00:00"/>
    <x v="5"/>
    <x v="5"/>
    <x v="2"/>
    <x v="762"/>
    <x v="2643"/>
    <s v="Bank Transfer"/>
    <s v="REV102818"/>
    <x v="1"/>
  </r>
  <r>
    <d v="2023-06-19T00:00:00"/>
    <x v="5"/>
    <x v="6"/>
    <x v="2"/>
    <x v="2635"/>
    <x v="2644"/>
    <s v="Bank Transfer"/>
    <s v="REV103003"/>
    <x v="1"/>
  </r>
  <r>
    <d v="2023-06-19T00:00:00"/>
    <x v="5"/>
    <x v="6"/>
    <x v="2"/>
    <x v="2636"/>
    <x v="660"/>
    <s v="Card"/>
    <s v="REV103083"/>
    <x v="1"/>
  </r>
  <r>
    <d v="2023-06-20T00:00:00"/>
    <x v="5"/>
    <x v="1"/>
    <x v="4"/>
    <x v="2637"/>
    <x v="2645"/>
    <s v="Card"/>
    <s v="TXN101854"/>
    <x v="0"/>
  </r>
  <r>
    <d v="2023-06-20T00:00:00"/>
    <x v="5"/>
    <x v="7"/>
    <x v="1"/>
    <x v="2638"/>
    <x v="2646"/>
    <s v="UPI"/>
    <s v="TXN103645"/>
    <x v="0"/>
  </r>
  <r>
    <d v="2023-06-20T00:00:00"/>
    <x v="5"/>
    <x v="7"/>
    <x v="3"/>
    <x v="2639"/>
    <x v="2647"/>
    <s v="UPI"/>
    <s v="TXN108633"/>
    <x v="0"/>
  </r>
  <r>
    <d v="2023-06-20T00:00:00"/>
    <x v="5"/>
    <x v="3"/>
    <x v="3"/>
    <x v="2640"/>
    <x v="2648"/>
    <s v="Card"/>
    <s v="TXN109931"/>
    <x v="0"/>
  </r>
  <r>
    <d v="2023-06-20T00:00:00"/>
    <x v="5"/>
    <x v="5"/>
    <x v="4"/>
    <x v="2641"/>
    <x v="2649"/>
    <s v="Bank Transfer"/>
    <s v="REV100674"/>
    <x v="1"/>
  </r>
  <r>
    <d v="2023-06-20T00:00:00"/>
    <x v="5"/>
    <x v="5"/>
    <x v="1"/>
    <x v="2642"/>
    <x v="2650"/>
    <s v="Card"/>
    <s v="REV101244"/>
    <x v="1"/>
  </r>
  <r>
    <d v="2023-06-20T00:00:00"/>
    <x v="5"/>
    <x v="6"/>
    <x v="3"/>
    <x v="2643"/>
    <x v="2651"/>
    <s v="UPI"/>
    <s v="REV102929"/>
    <x v="1"/>
  </r>
  <r>
    <d v="2023-06-20T00:00:00"/>
    <x v="5"/>
    <x v="6"/>
    <x v="3"/>
    <x v="2644"/>
    <x v="996"/>
    <s v="Bank Transfer"/>
    <s v="REV103358"/>
    <x v="1"/>
  </r>
  <r>
    <d v="2023-06-21T00:00:00"/>
    <x v="5"/>
    <x v="0"/>
    <x v="3"/>
    <x v="2645"/>
    <x v="2652"/>
    <s v="UPI"/>
    <s v="TXN100747"/>
    <x v="0"/>
  </r>
  <r>
    <d v="2023-06-21T00:00:00"/>
    <x v="5"/>
    <x v="7"/>
    <x v="3"/>
    <x v="2646"/>
    <x v="2653"/>
    <s v="Card"/>
    <s v="TXN101792"/>
    <x v="0"/>
  </r>
  <r>
    <d v="2023-06-21T00:00:00"/>
    <x v="5"/>
    <x v="0"/>
    <x v="2"/>
    <x v="2647"/>
    <x v="2654"/>
    <s v="Bank Transfer"/>
    <s v="TXN103136"/>
    <x v="0"/>
  </r>
  <r>
    <d v="2023-06-21T00:00:00"/>
    <x v="5"/>
    <x v="3"/>
    <x v="3"/>
    <x v="2648"/>
    <x v="2655"/>
    <s v="Card"/>
    <s v="TXN103165"/>
    <x v="0"/>
  </r>
  <r>
    <d v="2023-06-21T00:00:00"/>
    <x v="5"/>
    <x v="0"/>
    <x v="1"/>
    <x v="2649"/>
    <x v="2656"/>
    <s v="Cash"/>
    <s v="TXN103588"/>
    <x v="0"/>
  </r>
  <r>
    <d v="2023-06-21T00:00:00"/>
    <x v="5"/>
    <x v="4"/>
    <x v="0"/>
    <x v="2650"/>
    <x v="2657"/>
    <s v="Card"/>
    <s v="TXN104468"/>
    <x v="0"/>
  </r>
  <r>
    <d v="2023-06-21T00:00:00"/>
    <x v="5"/>
    <x v="0"/>
    <x v="4"/>
    <x v="2651"/>
    <x v="2658"/>
    <s v="Bank Transfer"/>
    <s v="TXN104752"/>
    <x v="0"/>
  </r>
  <r>
    <d v="2023-06-21T00:00:00"/>
    <x v="5"/>
    <x v="1"/>
    <x v="1"/>
    <x v="2652"/>
    <x v="2659"/>
    <s v="Cash"/>
    <s v="TXN105091"/>
    <x v="0"/>
  </r>
  <r>
    <d v="2023-06-21T00:00:00"/>
    <x v="5"/>
    <x v="7"/>
    <x v="4"/>
    <x v="2653"/>
    <x v="2660"/>
    <s v="UPI"/>
    <s v="TXN107731"/>
    <x v="0"/>
  </r>
  <r>
    <d v="2023-06-21T00:00:00"/>
    <x v="5"/>
    <x v="1"/>
    <x v="1"/>
    <x v="2654"/>
    <x v="2661"/>
    <s v="UPI"/>
    <s v="TXN108341"/>
    <x v="0"/>
  </r>
  <r>
    <d v="2023-06-21T00:00:00"/>
    <x v="5"/>
    <x v="1"/>
    <x v="3"/>
    <x v="2655"/>
    <x v="2662"/>
    <s v="UPI"/>
    <s v="TXN108403"/>
    <x v="0"/>
  </r>
  <r>
    <d v="2023-06-21T00:00:00"/>
    <x v="5"/>
    <x v="4"/>
    <x v="0"/>
    <x v="2656"/>
    <x v="2663"/>
    <s v="Cash"/>
    <s v="TXN108497"/>
    <x v="0"/>
  </r>
  <r>
    <d v="2023-06-21T00:00:00"/>
    <x v="5"/>
    <x v="4"/>
    <x v="0"/>
    <x v="2657"/>
    <x v="2664"/>
    <s v="Bank Transfer"/>
    <s v="TXN108690"/>
    <x v="0"/>
  </r>
  <r>
    <d v="2023-06-21T00:00:00"/>
    <x v="5"/>
    <x v="0"/>
    <x v="1"/>
    <x v="2658"/>
    <x v="2665"/>
    <s v="Cash"/>
    <s v="TXN108903"/>
    <x v="0"/>
  </r>
  <r>
    <d v="2023-06-21T00:00:00"/>
    <x v="5"/>
    <x v="5"/>
    <x v="3"/>
    <x v="2659"/>
    <x v="1477"/>
    <s v="Card"/>
    <s v="REV100275"/>
    <x v="1"/>
  </r>
  <r>
    <d v="2023-06-21T00:00:00"/>
    <x v="5"/>
    <x v="6"/>
    <x v="3"/>
    <x v="913"/>
    <x v="2559"/>
    <s v="Bank Transfer"/>
    <s v="REV100652"/>
    <x v="1"/>
  </r>
  <r>
    <d v="2023-06-21T00:00:00"/>
    <x v="5"/>
    <x v="6"/>
    <x v="2"/>
    <x v="770"/>
    <x v="920"/>
    <s v="Bank Transfer"/>
    <s v="REV101081"/>
    <x v="1"/>
  </r>
  <r>
    <d v="2023-06-21T00:00:00"/>
    <x v="5"/>
    <x v="6"/>
    <x v="3"/>
    <x v="424"/>
    <x v="1672"/>
    <s v="Card"/>
    <s v="REV101091"/>
    <x v="1"/>
  </r>
  <r>
    <d v="2023-06-21T00:00:00"/>
    <x v="5"/>
    <x v="5"/>
    <x v="1"/>
    <x v="956"/>
    <x v="1050"/>
    <s v="UPI"/>
    <s v="REV101227"/>
    <x v="1"/>
  </r>
  <r>
    <d v="2023-06-21T00:00:00"/>
    <x v="5"/>
    <x v="5"/>
    <x v="0"/>
    <x v="2010"/>
    <x v="1322"/>
    <s v="Card"/>
    <s v="REV101539"/>
    <x v="1"/>
  </r>
  <r>
    <d v="2023-06-21T00:00:00"/>
    <x v="5"/>
    <x v="5"/>
    <x v="4"/>
    <x v="509"/>
    <x v="54"/>
    <s v="Bank Transfer"/>
    <s v="REV101620"/>
    <x v="1"/>
  </r>
  <r>
    <d v="2023-06-21T00:00:00"/>
    <x v="5"/>
    <x v="6"/>
    <x v="1"/>
    <x v="2660"/>
    <x v="687"/>
    <s v="UPI"/>
    <s v="REV101734"/>
    <x v="1"/>
  </r>
  <r>
    <d v="2023-06-21T00:00:00"/>
    <x v="5"/>
    <x v="5"/>
    <x v="4"/>
    <x v="689"/>
    <x v="32"/>
    <s v="UPI"/>
    <s v="REV102630"/>
    <x v="1"/>
  </r>
  <r>
    <d v="2023-06-21T00:00:00"/>
    <x v="5"/>
    <x v="6"/>
    <x v="1"/>
    <x v="1442"/>
    <x v="774"/>
    <s v="UPI"/>
    <s v="REV102836"/>
    <x v="1"/>
  </r>
  <r>
    <d v="2023-06-21T00:00:00"/>
    <x v="5"/>
    <x v="6"/>
    <x v="3"/>
    <x v="2661"/>
    <x v="2666"/>
    <s v="Bank Transfer"/>
    <s v="REV102855"/>
    <x v="1"/>
  </r>
  <r>
    <d v="2023-06-21T00:00:00"/>
    <x v="5"/>
    <x v="5"/>
    <x v="0"/>
    <x v="2662"/>
    <x v="1761"/>
    <s v="UPI"/>
    <s v="REV102877"/>
    <x v="1"/>
  </r>
  <r>
    <d v="2023-06-21T00:00:00"/>
    <x v="5"/>
    <x v="5"/>
    <x v="0"/>
    <x v="1839"/>
    <x v="734"/>
    <s v="Bank Transfer"/>
    <s v="REV102950"/>
    <x v="1"/>
  </r>
  <r>
    <d v="2023-06-21T00:00:00"/>
    <x v="5"/>
    <x v="6"/>
    <x v="1"/>
    <x v="2663"/>
    <x v="1152"/>
    <s v="Bank Transfer"/>
    <s v="REV103013"/>
    <x v="1"/>
  </r>
  <r>
    <d v="2023-06-22T00:00:00"/>
    <x v="5"/>
    <x v="2"/>
    <x v="3"/>
    <x v="2664"/>
    <x v="2667"/>
    <s v="Card"/>
    <s v="TXN100277"/>
    <x v="0"/>
  </r>
  <r>
    <d v="2023-06-22T00:00:00"/>
    <x v="5"/>
    <x v="3"/>
    <x v="2"/>
    <x v="2665"/>
    <x v="2668"/>
    <s v="Cash"/>
    <s v="TXN101422"/>
    <x v="0"/>
  </r>
  <r>
    <d v="2023-06-22T00:00:00"/>
    <x v="5"/>
    <x v="2"/>
    <x v="2"/>
    <x v="2666"/>
    <x v="2669"/>
    <s v="Cash"/>
    <s v="TXN102136"/>
    <x v="0"/>
  </r>
  <r>
    <d v="2023-06-22T00:00:00"/>
    <x v="5"/>
    <x v="4"/>
    <x v="3"/>
    <x v="2667"/>
    <x v="2670"/>
    <s v="Bank Transfer"/>
    <s v="TXN102650"/>
    <x v="0"/>
  </r>
  <r>
    <d v="2023-06-22T00:00:00"/>
    <x v="5"/>
    <x v="2"/>
    <x v="4"/>
    <x v="2668"/>
    <x v="2671"/>
    <s v="UPI"/>
    <s v="TXN103569"/>
    <x v="0"/>
  </r>
  <r>
    <d v="2023-06-22T00:00:00"/>
    <x v="5"/>
    <x v="2"/>
    <x v="2"/>
    <x v="2669"/>
    <x v="2672"/>
    <s v="Card"/>
    <s v="TXN104077"/>
    <x v="0"/>
  </r>
  <r>
    <d v="2023-06-22T00:00:00"/>
    <x v="5"/>
    <x v="0"/>
    <x v="3"/>
    <x v="2670"/>
    <x v="2673"/>
    <s v="UPI"/>
    <s v="TXN104187"/>
    <x v="0"/>
  </r>
  <r>
    <d v="2023-06-22T00:00:00"/>
    <x v="5"/>
    <x v="1"/>
    <x v="3"/>
    <x v="2671"/>
    <x v="2674"/>
    <s v="Bank Transfer"/>
    <s v="TXN108425"/>
    <x v="0"/>
  </r>
  <r>
    <d v="2023-06-22T00:00:00"/>
    <x v="5"/>
    <x v="6"/>
    <x v="3"/>
    <x v="769"/>
    <x v="2675"/>
    <s v="Bank Transfer"/>
    <s v="REV100099"/>
    <x v="1"/>
  </r>
  <r>
    <d v="2023-06-22T00:00:00"/>
    <x v="5"/>
    <x v="5"/>
    <x v="2"/>
    <x v="1849"/>
    <x v="613"/>
    <s v="Card"/>
    <s v="REV100521"/>
    <x v="1"/>
  </r>
  <r>
    <d v="2023-06-22T00:00:00"/>
    <x v="5"/>
    <x v="5"/>
    <x v="2"/>
    <x v="2057"/>
    <x v="2676"/>
    <s v="Bank Transfer"/>
    <s v="REV100761"/>
    <x v="1"/>
  </r>
  <r>
    <d v="2023-06-22T00:00:00"/>
    <x v="5"/>
    <x v="5"/>
    <x v="3"/>
    <x v="2672"/>
    <x v="2677"/>
    <s v="Card"/>
    <s v="REV100928"/>
    <x v="1"/>
  </r>
  <r>
    <d v="2023-06-22T00:00:00"/>
    <x v="5"/>
    <x v="6"/>
    <x v="4"/>
    <x v="919"/>
    <x v="1351"/>
    <s v="Card"/>
    <s v="REV101218"/>
    <x v="1"/>
  </r>
  <r>
    <d v="2023-06-22T00:00:00"/>
    <x v="5"/>
    <x v="6"/>
    <x v="2"/>
    <x v="1728"/>
    <x v="2678"/>
    <s v="Bank Transfer"/>
    <s v="REV101408"/>
    <x v="1"/>
  </r>
  <r>
    <d v="2023-06-22T00:00:00"/>
    <x v="5"/>
    <x v="6"/>
    <x v="3"/>
    <x v="2673"/>
    <x v="1647"/>
    <s v="Bank Transfer"/>
    <s v="REV101452"/>
    <x v="1"/>
  </r>
  <r>
    <d v="2023-06-22T00:00:00"/>
    <x v="5"/>
    <x v="5"/>
    <x v="3"/>
    <x v="2674"/>
    <x v="55"/>
    <s v="Bank Transfer"/>
    <s v="REV102859"/>
    <x v="1"/>
  </r>
  <r>
    <d v="2023-06-23T00:00:00"/>
    <x v="5"/>
    <x v="2"/>
    <x v="1"/>
    <x v="2675"/>
    <x v="2679"/>
    <s v="Cash"/>
    <s v="TXN102716"/>
    <x v="0"/>
  </r>
  <r>
    <d v="2023-06-23T00:00:00"/>
    <x v="5"/>
    <x v="3"/>
    <x v="1"/>
    <x v="2676"/>
    <x v="2680"/>
    <s v="Bank Transfer"/>
    <s v="TXN103743"/>
    <x v="0"/>
  </r>
  <r>
    <d v="2023-06-23T00:00:00"/>
    <x v="5"/>
    <x v="7"/>
    <x v="4"/>
    <x v="2677"/>
    <x v="2681"/>
    <s v="Cash"/>
    <s v="TXN103888"/>
    <x v="0"/>
  </r>
  <r>
    <d v="2023-06-23T00:00:00"/>
    <x v="5"/>
    <x v="7"/>
    <x v="4"/>
    <x v="2678"/>
    <x v="2682"/>
    <s v="UPI"/>
    <s v="TXN104620"/>
    <x v="0"/>
  </r>
  <r>
    <d v="2023-06-23T00:00:00"/>
    <x v="5"/>
    <x v="2"/>
    <x v="2"/>
    <x v="2679"/>
    <x v="2683"/>
    <s v="Card"/>
    <s v="TXN104664"/>
    <x v="0"/>
  </r>
  <r>
    <d v="2023-06-23T00:00:00"/>
    <x v="5"/>
    <x v="6"/>
    <x v="1"/>
    <x v="903"/>
    <x v="575"/>
    <s v="Bank Transfer"/>
    <s v="REV100947"/>
    <x v="1"/>
  </r>
  <r>
    <d v="2023-06-23T00:00:00"/>
    <x v="5"/>
    <x v="5"/>
    <x v="1"/>
    <x v="265"/>
    <x v="1060"/>
    <s v="UPI"/>
    <s v="REV101288"/>
    <x v="1"/>
  </r>
  <r>
    <d v="2023-06-23T00:00:00"/>
    <x v="5"/>
    <x v="6"/>
    <x v="4"/>
    <x v="2680"/>
    <x v="81"/>
    <s v="Card"/>
    <s v="REV101344"/>
    <x v="1"/>
  </r>
  <r>
    <d v="2023-06-23T00:00:00"/>
    <x v="5"/>
    <x v="6"/>
    <x v="4"/>
    <x v="1948"/>
    <x v="2684"/>
    <s v="UPI"/>
    <s v="REV101579"/>
    <x v="1"/>
  </r>
  <r>
    <d v="2023-06-23T00:00:00"/>
    <x v="5"/>
    <x v="6"/>
    <x v="2"/>
    <x v="1358"/>
    <x v="832"/>
    <s v="Card"/>
    <s v="REV101595"/>
    <x v="1"/>
  </r>
  <r>
    <d v="2023-06-24T00:00:00"/>
    <x v="5"/>
    <x v="3"/>
    <x v="0"/>
    <x v="2681"/>
    <x v="2685"/>
    <s v="Cash"/>
    <s v="TXN100971"/>
    <x v="0"/>
  </r>
  <r>
    <d v="2023-06-24T00:00:00"/>
    <x v="5"/>
    <x v="7"/>
    <x v="1"/>
    <x v="2682"/>
    <x v="2686"/>
    <s v="UPI"/>
    <s v="TXN102243"/>
    <x v="0"/>
  </r>
  <r>
    <d v="2023-06-24T00:00:00"/>
    <x v="5"/>
    <x v="1"/>
    <x v="1"/>
    <x v="2683"/>
    <x v="2687"/>
    <s v="Cash"/>
    <s v="TXN103511"/>
    <x v="0"/>
  </r>
  <r>
    <d v="2023-06-24T00:00:00"/>
    <x v="5"/>
    <x v="7"/>
    <x v="0"/>
    <x v="2684"/>
    <x v="2688"/>
    <s v="Bank Transfer"/>
    <s v="TXN104574"/>
    <x v="0"/>
  </r>
  <r>
    <d v="2023-06-24T00:00:00"/>
    <x v="5"/>
    <x v="7"/>
    <x v="3"/>
    <x v="2260"/>
    <x v="2689"/>
    <s v="Cash"/>
    <s v="TXN104884"/>
    <x v="0"/>
  </r>
  <r>
    <d v="2023-06-24T00:00:00"/>
    <x v="5"/>
    <x v="2"/>
    <x v="1"/>
    <x v="2685"/>
    <x v="2690"/>
    <s v="Bank Transfer"/>
    <s v="TXN105350"/>
    <x v="0"/>
  </r>
  <r>
    <d v="2023-06-24T00:00:00"/>
    <x v="5"/>
    <x v="3"/>
    <x v="0"/>
    <x v="2686"/>
    <x v="2691"/>
    <s v="Cash"/>
    <s v="TXN106154"/>
    <x v="0"/>
  </r>
  <r>
    <d v="2023-06-24T00:00:00"/>
    <x v="5"/>
    <x v="7"/>
    <x v="2"/>
    <x v="2687"/>
    <x v="2692"/>
    <s v="Bank Transfer"/>
    <s v="TXN106526"/>
    <x v="0"/>
  </r>
  <r>
    <d v="2023-06-24T00:00:00"/>
    <x v="5"/>
    <x v="1"/>
    <x v="3"/>
    <x v="2688"/>
    <x v="2693"/>
    <s v="Bank Transfer"/>
    <s v="TXN107117"/>
    <x v="0"/>
  </r>
  <r>
    <d v="2023-06-24T00:00:00"/>
    <x v="5"/>
    <x v="4"/>
    <x v="3"/>
    <x v="2689"/>
    <x v="2694"/>
    <s v="Cash"/>
    <s v="TXN107559"/>
    <x v="0"/>
  </r>
  <r>
    <d v="2023-06-24T00:00:00"/>
    <x v="5"/>
    <x v="3"/>
    <x v="4"/>
    <x v="2690"/>
    <x v="2695"/>
    <s v="UPI"/>
    <s v="TXN107817"/>
    <x v="0"/>
  </r>
  <r>
    <d v="2023-06-24T00:00:00"/>
    <x v="5"/>
    <x v="1"/>
    <x v="4"/>
    <x v="2691"/>
    <x v="2696"/>
    <s v="UPI"/>
    <s v="TXN108361"/>
    <x v="0"/>
  </r>
  <r>
    <d v="2023-06-24T00:00:00"/>
    <x v="5"/>
    <x v="7"/>
    <x v="3"/>
    <x v="2692"/>
    <x v="2697"/>
    <s v="Card"/>
    <s v="TXN109327"/>
    <x v="0"/>
  </r>
  <r>
    <d v="2023-06-24T00:00:00"/>
    <x v="5"/>
    <x v="5"/>
    <x v="0"/>
    <x v="2693"/>
    <x v="1780"/>
    <s v="Card"/>
    <s v="REV100362"/>
    <x v="1"/>
  </r>
  <r>
    <d v="2023-06-24T00:00:00"/>
    <x v="5"/>
    <x v="5"/>
    <x v="1"/>
    <x v="2694"/>
    <x v="714"/>
    <s v="UPI"/>
    <s v="REV100792"/>
    <x v="1"/>
  </r>
  <r>
    <d v="2023-06-24T00:00:00"/>
    <x v="5"/>
    <x v="6"/>
    <x v="1"/>
    <x v="907"/>
    <x v="2698"/>
    <s v="Bank Transfer"/>
    <s v="REV101197"/>
    <x v="1"/>
  </r>
  <r>
    <d v="2023-06-24T00:00:00"/>
    <x v="5"/>
    <x v="5"/>
    <x v="0"/>
    <x v="1382"/>
    <x v="203"/>
    <s v="Bank Transfer"/>
    <s v="REV101565"/>
    <x v="1"/>
  </r>
  <r>
    <d v="2023-06-24T00:00:00"/>
    <x v="5"/>
    <x v="6"/>
    <x v="3"/>
    <x v="2695"/>
    <x v="797"/>
    <s v="UPI"/>
    <s v="REV101669"/>
    <x v="1"/>
  </r>
  <r>
    <d v="2023-06-24T00:00:00"/>
    <x v="5"/>
    <x v="6"/>
    <x v="1"/>
    <x v="2696"/>
    <x v="2699"/>
    <s v="Bank Transfer"/>
    <s v="REV101819"/>
    <x v="1"/>
  </r>
  <r>
    <d v="2023-06-24T00:00:00"/>
    <x v="5"/>
    <x v="5"/>
    <x v="0"/>
    <x v="2697"/>
    <x v="1283"/>
    <s v="Bank Transfer"/>
    <s v="REV102075"/>
    <x v="1"/>
  </r>
  <r>
    <d v="2023-06-24T00:00:00"/>
    <x v="5"/>
    <x v="5"/>
    <x v="2"/>
    <x v="2698"/>
    <x v="1695"/>
    <s v="Bank Transfer"/>
    <s v="REV102213"/>
    <x v="1"/>
  </r>
  <r>
    <d v="2023-06-24T00:00:00"/>
    <x v="5"/>
    <x v="5"/>
    <x v="3"/>
    <x v="1965"/>
    <x v="2700"/>
    <s v="Bank Transfer"/>
    <s v="REV102415"/>
    <x v="1"/>
  </r>
  <r>
    <d v="2023-06-24T00:00:00"/>
    <x v="5"/>
    <x v="5"/>
    <x v="3"/>
    <x v="2699"/>
    <x v="2701"/>
    <s v="Card"/>
    <s v="REV102566"/>
    <x v="1"/>
  </r>
  <r>
    <d v="2023-06-24T00:00:00"/>
    <x v="5"/>
    <x v="5"/>
    <x v="4"/>
    <x v="2700"/>
    <x v="130"/>
    <s v="Bank Transfer"/>
    <s v="REV102654"/>
    <x v="1"/>
  </r>
  <r>
    <d v="2023-06-24T00:00:00"/>
    <x v="5"/>
    <x v="5"/>
    <x v="4"/>
    <x v="2701"/>
    <x v="2702"/>
    <s v="Card"/>
    <s v="REV102845"/>
    <x v="1"/>
  </r>
  <r>
    <d v="2023-06-24T00:00:00"/>
    <x v="5"/>
    <x v="5"/>
    <x v="3"/>
    <x v="1148"/>
    <x v="1341"/>
    <s v="Card"/>
    <s v="REV103152"/>
    <x v="1"/>
  </r>
  <r>
    <d v="2023-06-25T00:00:00"/>
    <x v="5"/>
    <x v="1"/>
    <x v="0"/>
    <x v="2702"/>
    <x v="2703"/>
    <s v="Cash"/>
    <s v="TXN101012"/>
    <x v="0"/>
  </r>
  <r>
    <d v="2023-06-25T00:00:00"/>
    <x v="5"/>
    <x v="4"/>
    <x v="2"/>
    <x v="2703"/>
    <x v="2704"/>
    <s v="Cash"/>
    <s v="TXN102140"/>
    <x v="0"/>
  </r>
  <r>
    <d v="2023-06-25T00:00:00"/>
    <x v="5"/>
    <x v="1"/>
    <x v="0"/>
    <x v="2704"/>
    <x v="2705"/>
    <s v="Cash"/>
    <s v="TXN102671"/>
    <x v="0"/>
  </r>
  <r>
    <d v="2023-06-25T00:00:00"/>
    <x v="5"/>
    <x v="4"/>
    <x v="2"/>
    <x v="2705"/>
    <x v="2706"/>
    <s v="Cash"/>
    <s v="TXN102779"/>
    <x v="0"/>
  </r>
  <r>
    <d v="2023-06-25T00:00:00"/>
    <x v="5"/>
    <x v="0"/>
    <x v="3"/>
    <x v="2706"/>
    <x v="2707"/>
    <s v="Card"/>
    <s v="TXN103732"/>
    <x v="0"/>
  </r>
  <r>
    <d v="2023-06-25T00:00:00"/>
    <x v="5"/>
    <x v="3"/>
    <x v="0"/>
    <x v="2707"/>
    <x v="2708"/>
    <s v="Bank Transfer"/>
    <s v="TXN103826"/>
    <x v="0"/>
  </r>
  <r>
    <d v="2023-06-25T00:00:00"/>
    <x v="5"/>
    <x v="7"/>
    <x v="2"/>
    <x v="2708"/>
    <x v="2709"/>
    <s v="Bank Transfer"/>
    <s v="TXN105399"/>
    <x v="0"/>
  </r>
  <r>
    <d v="2023-06-25T00:00:00"/>
    <x v="5"/>
    <x v="5"/>
    <x v="0"/>
    <x v="202"/>
    <x v="2710"/>
    <s v="Bank Transfer"/>
    <s v="REV100374"/>
    <x v="1"/>
  </r>
  <r>
    <d v="2023-06-25T00:00:00"/>
    <x v="5"/>
    <x v="5"/>
    <x v="2"/>
    <x v="2709"/>
    <x v="1887"/>
    <s v="UPI"/>
    <s v="REV100762"/>
    <x v="1"/>
  </r>
  <r>
    <d v="2023-06-25T00:00:00"/>
    <x v="5"/>
    <x v="5"/>
    <x v="0"/>
    <x v="2710"/>
    <x v="2711"/>
    <s v="Bank Transfer"/>
    <s v="REV100937"/>
    <x v="1"/>
  </r>
  <r>
    <d v="2023-06-25T00:00:00"/>
    <x v="5"/>
    <x v="6"/>
    <x v="2"/>
    <x v="539"/>
    <x v="2712"/>
    <s v="UPI"/>
    <s v="REV100975"/>
    <x v="1"/>
  </r>
  <r>
    <d v="2023-06-25T00:00:00"/>
    <x v="5"/>
    <x v="6"/>
    <x v="3"/>
    <x v="2711"/>
    <x v="412"/>
    <s v="Bank Transfer"/>
    <s v="REV101285"/>
    <x v="1"/>
  </r>
  <r>
    <d v="2023-06-25T00:00:00"/>
    <x v="5"/>
    <x v="5"/>
    <x v="0"/>
    <x v="2712"/>
    <x v="2713"/>
    <s v="Bank Transfer"/>
    <s v="REV101320"/>
    <x v="1"/>
  </r>
  <r>
    <d v="2023-06-25T00:00:00"/>
    <x v="5"/>
    <x v="5"/>
    <x v="2"/>
    <x v="135"/>
    <x v="2714"/>
    <s v="Bank Transfer"/>
    <s v="REV101834"/>
    <x v="1"/>
  </r>
  <r>
    <d v="2023-06-26T00:00:00"/>
    <x v="5"/>
    <x v="2"/>
    <x v="0"/>
    <x v="2713"/>
    <x v="2715"/>
    <s v="Card"/>
    <s v="TXN101279"/>
    <x v="0"/>
  </r>
  <r>
    <d v="2023-06-26T00:00:00"/>
    <x v="5"/>
    <x v="2"/>
    <x v="3"/>
    <x v="2714"/>
    <x v="2716"/>
    <s v="UPI"/>
    <s v="TXN102474"/>
    <x v="0"/>
  </r>
  <r>
    <d v="2023-06-26T00:00:00"/>
    <x v="5"/>
    <x v="0"/>
    <x v="3"/>
    <x v="2715"/>
    <x v="2717"/>
    <s v="UPI"/>
    <s v="TXN104304"/>
    <x v="0"/>
  </r>
  <r>
    <d v="2023-06-26T00:00:00"/>
    <x v="5"/>
    <x v="0"/>
    <x v="1"/>
    <x v="2716"/>
    <x v="2718"/>
    <s v="Cash"/>
    <s v="TXN106707"/>
    <x v="0"/>
  </r>
  <r>
    <d v="2023-06-26T00:00:00"/>
    <x v="5"/>
    <x v="2"/>
    <x v="1"/>
    <x v="2717"/>
    <x v="2719"/>
    <s v="UPI"/>
    <s v="TXN107650"/>
    <x v="0"/>
  </r>
  <r>
    <d v="2023-06-26T00:00:00"/>
    <x v="5"/>
    <x v="0"/>
    <x v="1"/>
    <x v="2718"/>
    <x v="2720"/>
    <s v="Cash"/>
    <s v="TXN109224"/>
    <x v="0"/>
  </r>
  <r>
    <d v="2023-06-26T00:00:00"/>
    <x v="5"/>
    <x v="2"/>
    <x v="2"/>
    <x v="2719"/>
    <x v="2721"/>
    <s v="Bank Transfer"/>
    <s v="TXN109278"/>
    <x v="0"/>
  </r>
  <r>
    <d v="2023-06-26T00:00:00"/>
    <x v="5"/>
    <x v="7"/>
    <x v="4"/>
    <x v="2720"/>
    <x v="2722"/>
    <s v="Card"/>
    <s v="TXN109830"/>
    <x v="0"/>
  </r>
  <r>
    <d v="2023-06-26T00:00:00"/>
    <x v="5"/>
    <x v="6"/>
    <x v="0"/>
    <x v="2721"/>
    <x v="2723"/>
    <s v="Card"/>
    <s v="REV100466"/>
    <x v="1"/>
  </r>
  <r>
    <d v="2023-06-26T00:00:00"/>
    <x v="5"/>
    <x v="5"/>
    <x v="3"/>
    <x v="222"/>
    <x v="2724"/>
    <s v="Bank Transfer"/>
    <s v="REV100871"/>
    <x v="1"/>
  </r>
  <r>
    <d v="2023-06-26T00:00:00"/>
    <x v="5"/>
    <x v="6"/>
    <x v="3"/>
    <x v="2722"/>
    <x v="2725"/>
    <s v="Bank Transfer"/>
    <s v="REV101491"/>
    <x v="1"/>
  </r>
  <r>
    <d v="2023-06-26T00:00:00"/>
    <x v="5"/>
    <x v="5"/>
    <x v="1"/>
    <x v="2723"/>
    <x v="98"/>
    <s v="Bank Transfer"/>
    <s v="REV102282"/>
    <x v="1"/>
  </r>
  <r>
    <d v="2023-06-26T00:00:00"/>
    <x v="5"/>
    <x v="5"/>
    <x v="1"/>
    <x v="2724"/>
    <x v="1358"/>
    <s v="UPI"/>
    <s v="REV102602"/>
    <x v="1"/>
  </r>
  <r>
    <d v="2023-06-26T00:00:00"/>
    <x v="5"/>
    <x v="5"/>
    <x v="1"/>
    <x v="2725"/>
    <x v="2726"/>
    <s v="Card"/>
    <s v="REV103108"/>
    <x v="1"/>
  </r>
  <r>
    <d v="2023-06-26T00:00:00"/>
    <x v="5"/>
    <x v="6"/>
    <x v="2"/>
    <x v="1823"/>
    <x v="1492"/>
    <s v="Card"/>
    <s v="REV103136"/>
    <x v="1"/>
  </r>
  <r>
    <d v="2023-06-26T00:00:00"/>
    <x v="5"/>
    <x v="5"/>
    <x v="4"/>
    <x v="2724"/>
    <x v="1032"/>
    <s v="Card"/>
    <s v="REV103328"/>
    <x v="1"/>
  </r>
  <r>
    <d v="2023-06-27T00:00:00"/>
    <x v="5"/>
    <x v="2"/>
    <x v="2"/>
    <x v="2726"/>
    <x v="2727"/>
    <s v="Bank Transfer"/>
    <s v="TXN104309"/>
    <x v="0"/>
  </r>
  <r>
    <d v="2023-06-27T00:00:00"/>
    <x v="5"/>
    <x v="2"/>
    <x v="4"/>
    <x v="2727"/>
    <x v="2728"/>
    <s v="UPI"/>
    <s v="TXN105743"/>
    <x v="0"/>
  </r>
  <r>
    <d v="2023-06-27T00:00:00"/>
    <x v="5"/>
    <x v="0"/>
    <x v="4"/>
    <x v="2728"/>
    <x v="2729"/>
    <s v="Card"/>
    <s v="TXN109238"/>
    <x v="0"/>
  </r>
  <r>
    <d v="2023-06-27T00:00:00"/>
    <x v="5"/>
    <x v="6"/>
    <x v="2"/>
    <x v="1005"/>
    <x v="1704"/>
    <s v="Bank Transfer"/>
    <s v="REV101493"/>
    <x v="1"/>
  </r>
  <r>
    <d v="2023-06-27T00:00:00"/>
    <x v="5"/>
    <x v="5"/>
    <x v="4"/>
    <x v="1537"/>
    <x v="992"/>
    <s v="Card"/>
    <s v="REV101951"/>
    <x v="1"/>
  </r>
  <r>
    <d v="2023-06-27T00:00:00"/>
    <x v="5"/>
    <x v="5"/>
    <x v="4"/>
    <x v="2729"/>
    <x v="2730"/>
    <s v="UPI"/>
    <s v="REV103114"/>
    <x v="1"/>
  </r>
  <r>
    <d v="2023-06-28T00:00:00"/>
    <x v="5"/>
    <x v="2"/>
    <x v="0"/>
    <x v="2730"/>
    <x v="2731"/>
    <s v="Bank Transfer"/>
    <s v="TXN100520"/>
    <x v="0"/>
  </r>
  <r>
    <d v="2023-06-28T00:00:00"/>
    <x v="5"/>
    <x v="2"/>
    <x v="1"/>
    <x v="2731"/>
    <x v="2732"/>
    <s v="UPI"/>
    <s v="TXN101402"/>
    <x v="0"/>
  </r>
  <r>
    <d v="2023-06-28T00:00:00"/>
    <x v="5"/>
    <x v="7"/>
    <x v="1"/>
    <x v="2732"/>
    <x v="2733"/>
    <s v="UPI"/>
    <s v="TXN101627"/>
    <x v="0"/>
  </r>
  <r>
    <d v="2023-06-28T00:00:00"/>
    <x v="5"/>
    <x v="1"/>
    <x v="0"/>
    <x v="2733"/>
    <x v="2734"/>
    <s v="Cash"/>
    <s v="TXN102605"/>
    <x v="0"/>
  </r>
  <r>
    <d v="2023-06-28T00:00:00"/>
    <x v="5"/>
    <x v="3"/>
    <x v="1"/>
    <x v="2734"/>
    <x v="2735"/>
    <s v="Bank Transfer"/>
    <s v="TXN106913"/>
    <x v="0"/>
  </r>
  <r>
    <d v="2023-06-28T00:00:00"/>
    <x v="5"/>
    <x v="0"/>
    <x v="1"/>
    <x v="2735"/>
    <x v="2736"/>
    <s v="Cash"/>
    <s v="TXN107215"/>
    <x v="0"/>
  </r>
  <r>
    <d v="2023-06-28T00:00:00"/>
    <x v="5"/>
    <x v="1"/>
    <x v="2"/>
    <x v="2736"/>
    <x v="2737"/>
    <s v="Card"/>
    <s v="TXN108740"/>
    <x v="0"/>
  </r>
  <r>
    <d v="2023-06-28T00:00:00"/>
    <x v="5"/>
    <x v="3"/>
    <x v="2"/>
    <x v="2737"/>
    <x v="2738"/>
    <s v="Cash"/>
    <s v="TXN109605"/>
    <x v="0"/>
  </r>
  <r>
    <d v="2023-06-28T00:00:00"/>
    <x v="5"/>
    <x v="5"/>
    <x v="0"/>
    <x v="863"/>
    <x v="1241"/>
    <s v="Card"/>
    <s v="REV100203"/>
    <x v="1"/>
  </r>
  <r>
    <d v="2023-06-28T00:00:00"/>
    <x v="5"/>
    <x v="5"/>
    <x v="1"/>
    <x v="182"/>
    <x v="2306"/>
    <s v="Bank Transfer"/>
    <s v="REV100514"/>
    <x v="1"/>
  </r>
  <r>
    <d v="2023-06-28T00:00:00"/>
    <x v="5"/>
    <x v="5"/>
    <x v="1"/>
    <x v="343"/>
    <x v="1791"/>
    <s v="UPI"/>
    <s v="REV100600"/>
    <x v="1"/>
  </r>
  <r>
    <d v="2023-06-28T00:00:00"/>
    <x v="5"/>
    <x v="6"/>
    <x v="0"/>
    <x v="2738"/>
    <x v="2739"/>
    <s v="Bank Transfer"/>
    <s v="REV100912"/>
    <x v="1"/>
  </r>
  <r>
    <d v="2023-06-28T00:00:00"/>
    <x v="5"/>
    <x v="5"/>
    <x v="1"/>
    <x v="1244"/>
    <x v="2740"/>
    <s v="Card"/>
    <s v="REV102350"/>
    <x v="1"/>
  </r>
  <r>
    <d v="2023-06-28T00:00:00"/>
    <x v="5"/>
    <x v="5"/>
    <x v="1"/>
    <x v="861"/>
    <x v="744"/>
    <s v="Bank Transfer"/>
    <s v="REV102449"/>
    <x v="1"/>
  </r>
  <r>
    <d v="2023-06-28T00:00:00"/>
    <x v="5"/>
    <x v="5"/>
    <x v="2"/>
    <x v="2739"/>
    <x v="715"/>
    <s v="UPI"/>
    <s v="REV102968"/>
    <x v="1"/>
  </r>
  <r>
    <d v="2023-06-28T00:00:00"/>
    <x v="5"/>
    <x v="6"/>
    <x v="2"/>
    <x v="2279"/>
    <x v="600"/>
    <s v="Card"/>
    <s v="REV103247"/>
    <x v="1"/>
  </r>
  <r>
    <d v="2023-06-29T00:00:00"/>
    <x v="5"/>
    <x v="4"/>
    <x v="0"/>
    <x v="2740"/>
    <x v="2741"/>
    <s v="Cash"/>
    <s v="TXN100948"/>
    <x v="0"/>
  </r>
  <r>
    <d v="2023-06-29T00:00:00"/>
    <x v="5"/>
    <x v="1"/>
    <x v="4"/>
    <x v="2741"/>
    <x v="2742"/>
    <s v="Card"/>
    <s v="TXN102506"/>
    <x v="0"/>
  </r>
  <r>
    <d v="2023-06-29T00:00:00"/>
    <x v="5"/>
    <x v="4"/>
    <x v="4"/>
    <x v="2742"/>
    <x v="2743"/>
    <s v="Bank Transfer"/>
    <s v="TXN102700"/>
    <x v="0"/>
  </r>
  <r>
    <d v="2023-06-29T00:00:00"/>
    <x v="5"/>
    <x v="2"/>
    <x v="2"/>
    <x v="2743"/>
    <x v="2744"/>
    <s v="UPI"/>
    <s v="TXN106088"/>
    <x v="0"/>
  </r>
  <r>
    <d v="2023-06-29T00:00:00"/>
    <x v="5"/>
    <x v="2"/>
    <x v="3"/>
    <x v="2744"/>
    <x v="2745"/>
    <s v="Bank Transfer"/>
    <s v="TXN107091"/>
    <x v="0"/>
  </r>
  <r>
    <d v="2023-06-29T00:00:00"/>
    <x v="5"/>
    <x v="7"/>
    <x v="2"/>
    <x v="2745"/>
    <x v="2746"/>
    <s v="Card"/>
    <s v="TXN107486"/>
    <x v="0"/>
  </r>
  <r>
    <d v="2023-06-29T00:00:00"/>
    <x v="5"/>
    <x v="4"/>
    <x v="2"/>
    <x v="2746"/>
    <x v="2747"/>
    <s v="Card"/>
    <s v="TXN109973"/>
    <x v="0"/>
  </r>
  <r>
    <d v="2023-06-29T00:00:00"/>
    <x v="5"/>
    <x v="5"/>
    <x v="0"/>
    <x v="1219"/>
    <x v="2748"/>
    <s v="Bank Transfer"/>
    <s v="REV100351"/>
    <x v="1"/>
  </r>
  <r>
    <d v="2023-06-29T00:00:00"/>
    <x v="5"/>
    <x v="5"/>
    <x v="4"/>
    <x v="1108"/>
    <x v="2749"/>
    <s v="Bank Transfer"/>
    <s v="REV100880"/>
    <x v="1"/>
  </r>
  <r>
    <d v="2023-06-29T00:00:00"/>
    <x v="5"/>
    <x v="5"/>
    <x v="4"/>
    <x v="908"/>
    <x v="2750"/>
    <s v="Card"/>
    <s v="REV100943"/>
    <x v="1"/>
  </r>
  <r>
    <d v="2023-06-29T00:00:00"/>
    <x v="5"/>
    <x v="5"/>
    <x v="2"/>
    <x v="286"/>
    <x v="2751"/>
    <s v="Bank Transfer"/>
    <s v="REV102052"/>
    <x v="1"/>
  </r>
  <r>
    <d v="2023-06-29T00:00:00"/>
    <x v="5"/>
    <x v="5"/>
    <x v="3"/>
    <x v="219"/>
    <x v="1107"/>
    <s v="Bank Transfer"/>
    <s v="REV102408"/>
    <x v="1"/>
  </r>
  <r>
    <d v="2023-06-29T00:00:00"/>
    <x v="5"/>
    <x v="6"/>
    <x v="2"/>
    <x v="2747"/>
    <x v="2752"/>
    <s v="Bank Transfer"/>
    <s v="REV102536"/>
    <x v="1"/>
  </r>
  <r>
    <d v="2023-06-29T00:00:00"/>
    <x v="5"/>
    <x v="6"/>
    <x v="2"/>
    <x v="2748"/>
    <x v="2753"/>
    <s v="UPI"/>
    <s v="REV103377"/>
    <x v="1"/>
  </r>
  <r>
    <d v="2023-06-30T00:00:00"/>
    <x v="5"/>
    <x v="7"/>
    <x v="2"/>
    <x v="2749"/>
    <x v="2754"/>
    <s v="Bank Transfer"/>
    <s v="TXN100758"/>
    <x v="0"/>
  </r>
  <r>
    <d v="2023-06-30T00:00:00"/>
    <x v="5"/>
    <x v="3"/>
    <x v="3"/>
    <x v="2750"/>
    <x v="2755"/>
    <s v="Card"/>
    <s v="TXN101447"/>
    <x v="0"/>
  </r>
  <r>
    <d v="2023-06-30T00:00:00"/>
    <x v="5"/>
    <x v="0"/>
    <x v="2"/>
    <x v="2751"/>
    <x v="2756"/>
    <s v="Cash"/>
    <s v="TXN102566"/>
    <x v="0"/>
  </r>
  <r>
    <d v="2023-06-30T00:00:00"/>
    <x v="5"/>
    <x v="4"/>
    <x v="2"/>
    <x v="2752"/>
    <x v="2757"/>
    <s v="Bank Transfer"/>
    <s v="TXN102688"/>
    <x v="0"/>
  </r>
  <r>
    <d v="2023-06-30T00:00:00"/>
    <x v="5"/>
    <x v="0"/>
    <x v="4"/>
    <x v="2753"/>
    <x v="2758"/>
    <s v="Card"/>
    <s v="TXN102766"/>
    <x v="0"/>
  </r>
  <r>
    <d v="2023-06-30T00:00:00"/>
    <x v="5"/>
    <x v="2"/>
    <x v="4"/>
    <x v="2754"/>
    <x v="2759"/>
    <s v="Card"/>
    <s v="TXN103847"/>
    <x v="0"/>
  </r>
  <r>
    <d v="2023-06-30T00:00:00"/>
    <x v="5"/>
    <x v="2"/>
    <x v="0"/>
    <x v="2755"/>
    <x v="2760"/>
    <s v="Card"/>
    <s v="TXN105560"/>
    <x v="0"/>
  </r>
  <r>
    <d v="2023-06-30T00:00:00"/>
    <x v="5"/>
    <x v="0"/>
    <x v="1"/>
    <x v="2756"/>
    <x v="2761"/>
    <s v="Bank Transfer"/>
    <s v="TXN107055"/>
    <x v="0"/>
  </r>
  <r>
    <d v="2023-06-30T00:00:00"/>
    <x v="5"/>
    <x v="3"/>
    <x v="3"/>
    <x v="2757"/>
    <x v="2762"/>
    <s v="UPI"/>
    <s v="TXN107664"/>
    <x v="0"/>
  </r>
  <r>
    <d v="2023-06-30T00:00:00"/>
    <x v="5"/>
    <x v="1"/>
    <x v="2"/>
    <x v="2758"/>
    <x v="2763"/>
    <s v="Cash"/>
    <s v="TXN109226"/>
    <x v="0"/>
  </r>
  <r>
    <d v="2023-06-30T00:00:00"/>
    <x v="5"/>
    <x v="2"/>
    <x v="3"/>
    <x v="2759"/>
    <x v="2764"/>
    <s v="Bank Transfer"/>
    <s v="TXN109754"/>
    <x v="0"/>
  </r>
  <r>
    <d v="2023-06-30T00:00:00"/>
    <x v="5"/>
    <x v="6"/>
    <x v="2"/>
    <x v="2113"/>
    <x v="1355"/>
    <s v="Bank Transfer"/>
    <s v="REV100279"/>
    <x v="1"/>
  </r>
  <r>
    <d v="2023-06-30T00:00:00"/>
    <x v="5"/>
    <x v="6"/>
    <x v="3"/>
    <x v="2698"/>
    <x v="1762"/>
    <s v="Card"/>
    <s v="REV100531"/>
    <x v="1"/>
  </r>
  <r>
    <d v="2023-06-30T00:00:00"/>
    <x v="5"/>
    <x v="5"/>
    <x v="2"/>
    <x v="1121"/>
    <x v="613"/>
    <s v="Bank Transfer"/>
    <s v="REV100899"/>
    <x v="1"/>
  </r>
  <r>
    <d v="2023-06-30T00:00:00"/>
    <x v="5"/>
    <x v="5"/>
    <x v="2"/>
    <x v="1938"/>
    <x v="264"/>
    <s v="Card"/>
    <s v="REV100940"/>
    <x v="1"/>
  </r>
  <r>
    <d v="2023-06-30T00:00:00"/>
    <x v="5"/>
    <x v="5"/>
    <x v="4"/>
    <x v="51"/>
    <x v="2640"/>
    <s v="Bank Transfer"/>
    <s v="REV100971"/>
    <x v="1"/>
  </r>
  <r>
    <d v="2023-06-30T00:00:00"/>
    <x v="5"/>
    <x v="5"/>
    <x v="4"/>
    <x v="1964"/>
    <x v="2765"/>
    <s v="Bank Transfer"/>
    <s v="REV101326"/>
    <x v="1"/>
  </r>
  <r>
    <d v="2023-06-30T00:00:00"/>
    <x v="5"/>
    <x v="5"/>
    <x v="0"/>
    <x v="2077"/>
    <x v="2766"/>
    <s v="Card"/>
    <s v="REV101895"/>
    <x v="1"/>
  </r>
  <r>
    <d v="2023-06-30T00:00:00"/>
    <x v="5"/>
    <x v="6"/>
    <x v="1"/>
    <x v="1019"/>
    <x v="2767"/>
    <s v="Bank Transfer"/>
    <s v="REV102395"/>
    <x v="1"/>
  </r>
  <r>
    <d v="2023-06-30T00:00:00"/>
    <x v="5"/>
    <x v="6"/>
    <x v="3"/>
    <x v="2760"/>
    <x v="2495"/>
    <s v="UPI"/>
    <s v="REV102608"/>
    <x v="1"/>
  </r>
  <r>
    <d v="2023-06-30T00:00:00"/>
    <x v="5"/>
    <x v="5"/>
    <x v="2"/>
    <x v="1593"/>
    <x v="329"/>
    <s v="Bank Transfer"/>
    <s v="REV103110"/>
    <x v="1"/>
  </r>
  <r>
    <d v="2023-06-30T00:00:00"/>
    <x v="5"/>
    <x v="5"/>
    <x v="3"/>
    <x v="567"/>
    <x v="1032"/>
    <s v="Bank Transfer"/>
    <s v="REV103302"/>
    <x v="1"/>
  </r>
  <r>
    <d v="2023-07-01T00:00:00"/>
    <x v="6"/>
    <x v="1"/>
    <x v="3"/>
    <x v="2761"/>
    <x v="2768"/>
    <s v="Cash"/>
    <s v="TXN100349"/>
    <x v="0"/>
  </r>
  <r>
    <d v="2023-07-01T00:00:00"/>
    <x v="6"/>
    <x v="4"/>
    <x v="3"/>
    <x v="2762"/>
    <x v="2769"/>
    <s v="Card"/>
    <s v="TXN101725"/>
    <x v="0"/>
  </r>
  <r>
    <d v="2023-07-01T00:00:00"/>
    <x v="6"/>
    <x v="4"/>
    <x v="1"/>
    <x v="2763"/>
    <x v="2770"/>
    <s v="Bank Transfer"/>
    <s v="TXN103796"/>
    <x v="0"/>
  </r>
  <r>
    <d v="2023-07-01T00:00:00"/>
    <x v="6"/>
    <x v="3"/>
    <x v="4"/>
    <x v="2764"/>
    <x v="2771"/>
    <s v="Cash"/>
    <s v="TXN103943"/>
    <x v="0"/>
  </r>
  <r>
    <d v="2023-07-01T00:00:00"/>
    <x v="6"/>
    <x v="4"/>
    <x v="3"/>
    <x v="2765"/>
    <x v="2772"/>
    <s v="Cash"/>
    <s v="TXN104389"/>
    <x v="0"/>
  </r>
  <r>
    <d v="2023-07-01T00:00:00"/>
    <x v="6"/>
    <x v="7"/>
    <x v="3"/>
    <x v="2766"/>
    <x v="2773"/>
    <s v="Bank Transfer"/>
    <s v="TXN105218"/>
    <x v="0"/>
  </r>
  <r>
    <d v="2023-07-01T00:00:00"/>
    <x v="6"/>
    <x v="0"/>
    <x v="0"/>
    <x v="2767"/>
    <x v="2774"/>
    <s v="Card"/>
    <s v="TXN106033"/>
    <x v="0"/>
  </r>
  <r>
    <d v="2023-07-01T00:00:00"/>
    <x v="6"/>
    <x v="0"/>
    <x v="3"/>
    <x v="2768"/>
    <x v="2775"/>
    <s v="Cash"/>
    <s v="TXN107242"/>
    <x v="0"/>
  </r>
  <r>
    <d v="2023-07-01T00:00:00"/>
    <x v="6"/>
    <x v="1"/>
    <x v="2"/>
    <x v="2769"/>
    <x v="2776"/>
    <s v="Card"/>
    <s v="TXN107806"/>
    <x v="0"/>
  </r>
  <r>
    <d v="2023-07-01T00:00:00"/>
    <x v="6"/>
    <x v="7"/>
    <x v="4"/>
    <x v="2770"/>
    <x v="2777"/>
    <s v="UPI"/>
    <s v="TXN108121"/>
    <x v="0"/>
  </r>
  <r>
    <d v="2023-07-01T00:00:00"/>
    <x v="6"/>
    <x v="5"/>
    <x v="3"/>
    <x v="287"/>
    <x v="1928"/>
    <s v="Bank Transfer"/>
    <s v="REV100132"/>
    <x v="1"/>
  </r>
  <r>
    <d v="2023-07-01T00:00:00"/>
    <x v="6"/>
    <x v="6"/>
    <x v="3"/>
    <x v="2771"/>
    <x v="2396"/>
    <s v="Bank Transfer"/>
    <s v="REV100629"/>
    <x v="1"/>
  </r>
  <r>
    <d v="2023-07-01T00:00:00"/>
    <x v="6"/>
    <x v="5"/>
    <x v="1"/>
    <x v="1149"/>
    <x v="2778"/>
    <s v="UPI"/>
    <s v="REV101310"/>
    <x v="1"/>
  </r>
  <r>
    <d v="2023-07-01T00:00:00"/>
    <x v="6"/>
    <x v="5"/>
    <x v="4"/>
    <x v="1085"/>
    <x v="1371"/>
    <s v="UPI"/>
    <s v="REV101364"/>
    <x v="1"/>
  </r>
  <r>
    <d v="2023-07-01T00:00:00"/>
    <x v="6"/>
    <x v="6"/>
    <x v="3"/>
    <x v="378"/>
    <x v="852"/>
    <s v="Card"/>
    <s v="REV101514"/>
    <x v="1"/>
  </r>
  <r>
    <d v="2023-07-01T00:00:00"/>
    <x v="6"/>
    <x v="6"/>
    <x v="3"/>
    <x v="2772"/>
    <x v="2779"/>
    <s v="Bank Transfer"/>
    <s v="REV101769"/>
    <x v="1"/>
  </r>
  <r>
    <d v="2023-07-01T00:00:00"/>
    <x v="6"/>
    <x v="6"/>
    <x v="0"/>
    <x v="2088"/>
    <x v="2780"/>
    <s v="Bank Transfer"/>
    <s v="REV102038"/>
    <x v="1"/>
  </r>
  <r>
    <d v="2023-07-01T00:00:00"/>
    <x v="6"/>
    <x v="6"/>
    <x v="3"/>
    <x v="785"/>
    <x v="2226"/>
    <s v="Bank Transfer"/>
    <s v="REV102461"/>
    <x v="1"/>
  </r>
  <r>
    <d v="2023-07-01T00:00:00"/>
    <x v="6"/>
    <x v="5"/>
    <x v="2"/>
    <x v="614"/>
    <x v="2781"/>
    <s v="Bank Transfer"/>
    <s v="REV102651"/>
    <x v="1"/>
  </r>
  <r>
    <d v="2023-07-01T00:00:00"/>
    <x v="6"/>
    <x v="6"/>
    <x v="4"/>
    <x v="1234"/>
    <x v="2782"/>
    <s v="Card"/>
    <s v="REV102758"/>
    <x v="1"/>
  </r>
  <r>
    <d v="2023-07-02T00:00:00"/>
    <x v="6"/>
    <x v="1"/>
    <x v="4"/>
    <x v="2773"/>
    <x v="2783"/>
    <s v="Bank Transfer"/>
    <s v="TXN100449"/>
    <x v="0"/>
  </r>
  <r>
    <d v="2023-07-02T00:00:00"/>
    <x v="6"/>
    <x v="4"/>
    <x v="0"/>
    <x v="2774"/>
    <x v="2784"/>
    <s v="UPI"/>
    <s v="TXN102722"/>
    <x v="0"/>
  </r>
  <r>
    <d v="2023-07-02T00:00:00"/>
    <x v="6"/>
    <x v="4"/>
    <x v="2"/>
    <x v="2775"/>
    <x v="2785"/>
    <s v="UPI"/>
    <s v="TXN102791"/>
    <x v="0"/>
  </r>
  <r>
    <d v="2023-07-02T00:00:00"/>
    <x v="6"/>
    <x v="7"/>
    <x v="0"/>
    <x v="2776"/>
    <x v="2786"/>
    <s v="UPI"/>
    <s v="TXN103859"/>
    <x v="0"/>
  </r>
  <r>
    <d v="2023-07-02T00:00:00"/>
    <x v="6"/>
    <x v="7"/>
    <x v="2"/>
    <x v="2777"/>
    <x v="2787"/>
    <s v="UPI"/>
    <s v="TXN104530"/>
    <x v="0"/>
  </r>
  <r>
    <d v="2023-07-02T00:00:00"/>
    <x v="6"/>
    <x v="2"/>
    <x v="3"/>
    <x v="2778"/>
    <x v="2788"/>
    <s v="Card"/>
    <s v="TXN105178"/>
    <x v="0"/>
  </r>
  <r>
    <d v="2023-07-02T00:00:00"/>
    <x v="6"/>
    <x v="1"/>
    <x v="2"/>
    <x v="2779"/>
    <x v="2789"/>
    <s v="Bank Transfer"/>
    <s v="TXN106799"/>
    <x v="0"/>
  </r>
  <r>
    <d v="2023-07-02T00:00:00"/>
    <x v="6"/>
    <x v="2"/>
    <x v="3"/>
    <x v="2780"/>
    <x v="2790"/>
    <s v="UPI"/>
    <s v="TXN107301"/>
    <x v="0"/>
  </r>
  <r>
    <d v="2023-07-02T00:00:00"/>
    <x v="6"/>
    <x v="2"/>
    <x v="2"/>
    <x v="2781"/>
    <x v="2791"/>
    <s v="UPI"/>
    <s v="TXN107316"/>
    <x v="0"/>
  </r>
  <r>
    <d v="2023-07-02T00:00:00"/>
    <x v="6"/>
    <x v="1"/>
    <x v="2"/>
    <x v="2782"/>
    <x v="2792"/>
    <s v="UPI"/>
    <s v="TXN107359"/>
    <x v="0"/>
  </r>
  <r>
    <d v="2023-07-02T00:00:00"/>
    <x v="6"/>
    <x v="4"/>
    <x v="4"/>
    <x v="2783"/>
    <x v="2793"/>
    <s v="Bank Transfer"/>
    <s v="TXN108335"/>
    <x v="0"/>
  </r>
  <r>
    <d v="2023-07-02T00:00:00"/>
    <x v="6"/>
    <x v="7"/>
    <x v="3"/>
    <x v="2784"/>
    <x v="2794"/>
    <s v="Cash"/>
    <s v="TXN108416"/>
    <x v="0"/>
  </r>
  <r>
    <d v="2023-07-02T00:00:00"/>
    <x v="6"/>
    <x v="3"/>
    <x v="0"/>
    <x v="2785"/>
    <x v="2795"/>
    <s v="Bank Transfer"/>
    <s v="TXN109858"/>
    <x v="0"/>
  </r>
  <r>
    <d v="2023-07-02T00:00:00"/>
    <x v="6"/>
    <x v="5"/>
    <x v="4"/>
    <x v="906"/>
    <x v="2765"/>
    <s v="Bank Transfer"/>
    <s v="REV100172"/>
    <x v="1"/>
  </r>
  <r>
    <d v="2023-07-02T00:00:00"/>
    <x v="6"/>
    <x v="5"/>
    <x v="0"/>
    <x v="134"/>
    <x v="2796"/>
    <s v="Bank Transfer"/>
    <s v="REV100951"/>
    <x v="1"/>
  </r>
  <r>
    <d v="2023-07-02T00:00:00"/>
    <x v="6"/>
    <x v="6"/>
    <x v="2"/>
    <x v="2786"/>
    <x v="2797"/>
    <s v="Card"/>
    <s v="REV100981"/>
    <x v="1"/>
  </r>
  <r>
    <d v="2023-07-02T00:00:00"/>
    <x v="6"/>
    <x v="5"/>
    <x v="0"/>
    <x v="955"/>
    <x v="2798"/>
    <s v="Card"/>
    <s v="REV101332"/>
    <x v="1"/>
  </r>
  <r>
    <d v="2023-07-02T00:00:00"/>
    <x v="6"/>
    <x v="6"/>
    <x v="2"/>
    <x v="2787"/>
    <x v="2799"/>
    <s v="Bank Transfer"/>
    <s v="REV101556"/>
    <x v="1"/>
  </r>
  <r>
    <d v="2023-07-02T00:00:00"/>
    <x v="6"/>
    <x v="5"/>
    <x v="3"/>
    <x v="678"/>
    <x v="50"/>
    <s v="Card"/>
    <s v="REV101755"/>
    <x v="1"/>
  </r>
  <r>
    <d v="2023-07-02T00:00:00"/>
    <x v="6"/>
    <x v="5"/>
    <x v="2"/>
    <x v="1044"/>
    <x v="2380"/>
    <s v="UPI"/>
    <s v="REV102315"/>
    <x v="1"/>
  </r>
  <r>
    <d v="2023-07-02T00:00:00"/>
    <x v="6"/>
    <x v="5"/>
    <x v="3"/>
    <x v="2427"/>
    <x v="2800"/>
    <s v="Bank Transfer"/>
    <s v="REV102477"/>
    <x v="1"/>
  </r>
  <r>
    <d v="2023-07-02T00:00:00"/>
    <x v="6"/>
    <x v="5"/>
    <x v="2"/>
    <x v="2788"/>
    <x v="2801"/>
    <s v="Card"/>
    <s v="REV102480"/>
    <x v="1"/>
  </r>
  <r>
    <d v="2023-07-02T00:00:00"/>
    <x v="6"/>
    <x v="5"/>
    <x v="2"/>
    <x v="2789"/>
    <x v="2402"/>
    <s v="Card"/>
    <s v="REV102496"/>
    <x v="1"/>
  </r>
  <r>
    <d v="2023-07-02T00:00:00"/>
    <x v="6"/>
    <x v="5"/>
    <x v="4"/>
    <x v="2790"/>
    <x v="2015"/>
    <s v="Bank Transfer"/>
    <s v="REV102832"/>
    <x v="1"/>
  </r>
  <r>
    <d v="2023-07-02T00:00:00"/>
    <x v="6"/>
    <x v="5"/>
    <x v="3"/>
    <x v="930"/>
    <x v="2802"/>
    <s v="UPI"/>
    <s v="REV102857"/>
    <x v="1"/>
  </r>
  <r>
    <d v="2023-07-02T00:00:00"/>
    <x v="6"/>
    <x v="6"/>
    <x v="0"/>
    <x v="1287"/>
    <x v="1565"/>
    <s v="Card"/>
    <s v="REV103337"/>
    <x v="1"/>
  </r>
  <r>
    <d v="2023-07-03T00:00:00"/>
    <x v="6"/>
    <x v="1"/>
    <x v="1"/>
    <x v="2791"/>
    <x v="2803"/>
    <s v="Bank Transfer"/>
    <s v="TXN100206"/>
    <x v="0"/>
  </r>
  <r>
    <d v="2023-07-03T00:00:00"/>
    <x v="6"/>
    <x v="1"/>
    <x v="0"/>
    <x v="2792"/>
    <x v="2804"/>
    <s v="Cash"/>
    <s v="TXN101194"/>
    <x v="0"/>
  </r>
  <r>
    <d v="2023-07-03T00:00:00"/>
    <x v="6"/>
    <x v="3"/>
    <x v="2"/>
    <x v="2793"/>
    <x v="2805"/>
    <s v="Cash"/>
    <s v="TXN101410"/>
    <x v="0"/>
  </r>
  <r>
    <d v="2023-07-03T00:00:00"/>
    <x v="6"/>
    <x v="2"/>
    <x v="1"/>
    <x v="2794"/>
    <x v="2806"/>
    <s v="Card"/>
    <s v="TXN102546"/>
    <x v="0"/>
  </r>
  <r>
    <d v="2023-07-03T00:00:00"/>
    <x v="6"/>
    <x v="0"/>
    <x v="0"/>
    <x v="2795"/>
    <x v="2807"/>
    <s v="Card"/>
    <s v="TXN103651"/>
    <x v="0"/>
  </r>
  <r>
    <d v="2023-07-03T00:00:00"/>
    <x v="6"/>
    <x v="0"/>
    <x v="2"/>
    <x v="2796"/>
    <x v="2808"/>
    <s v="UPI"/>
    <s v="TXN104868"/>
    <x v="0"/>
  </r>
  <r>
    <d v="2023-07-03T00:00:00"/>
    <x v="6"/>
    <x v="0"/>
    <x v="0"/>
    <x v="2797"/>
    <x v="2809"/>
    <s v="UPI"/>
    <s v="TXN106073"/>
    <x v="0"/>
  </r>
  <r>
    <d v="2023-07-03T00:00:00"/>
    <x v="6"/>
    <x v="2"/>
    <x v="1"/>
    <x v="2798"/>
    <x v="2810"/>
    <s v="Bank Transfer"/>
    <s v="TXN106880"/>
    <x v="0"/>
  </r>
  <r>
    <d v="2023-07-03T00:00:00"/>
    <x v="6"/>
    <x v="5"/>
    <x v="1"/>
    <x v="2799"/>
    <x v="1470"/>
    <s v="Bank Transfer"/>
    <s v="REV100071"/>
    <x v="1"/>
  </r>
  <r>
    <d v="2023-07-03T00:00:00"/>
    <x v="6"/>
    <x v="5"/>
    <x v="0"/>
    <x v="2800"/>
    <x v="2678"/>
    <s v="Card"/>
    <s v="REV100441"/>
    <x v="1"/>
  </r>
  <r>
    <d v="2023-07-03T00:00:00"/>
    <x v="6"/>
    <x v="5"/>
    <x v="2"/>
    <x v="2801"/>
    <x v="2811"/>
    <s v="UPI"/>
    <s v="REV100516"/>
    <x v="1"/>
  </r>
  <r>
    <d v="2023-07-03T00:00:00"/>
    <x v="6"/>
    <x v="5"/>
    <x v="1"/>
    <x v="678"/>
    <x v="2812"/>
    <s v="Bank Transfer"/>
    <s v="REV100890"/>
    <x v="1"/>
  </r>
  <r>
    <d v="2023-07-03T00:00:00"/>
    <x v="6"/>
    <x v="5"/>
    <x v="0"/>
    <x v="2802"/>
    <x v="2813"/>
    <s v="Card"/>
    <s v="REV101247"/>
    <x v="1"/>
  </r>
  <r>
    <d v="2023-07-03T00:00:00"/>
    <x v="6"/>
    <x v="5"/>
    <x v="2"/>
    <x v="1593"/>
    <x v="2814"/>
    <s v="UPI"/>
    <s v="REV101663"/>
    <x v="1"/>
  </r>
  <r>
    <d v="2023-07-03T00:00:00"/>
    <x v="6"/>
    <x v="5"/>
    <x v="0"/>
    <x v="2486"/>
    <x v="935"/>
    <s v="Bank Transfer"/>
    <s v="REV102048"/>
    <x v="1"/>
  </r>
  <r>
    <d v="2023-07-03T00:00:00"/>
    <x v="6"/>
    <x v="5"/>
    <x v="1"/>
    <x v="110"/>
    <x v="1356"/>
    <s v="Bank Transfer"/>
    <s v="REV102340"/>
    <x v="1"/>
  </r>
  <r>
    <d v="2023-07-04T00:00:00"/>
    <x v="6"/>
    <x v="7"/>
    <x v="1"/>
    <x v="2803"/>
    <x v="2815"/>
    <s v="Cash"/>
    <s v="TXN100957"/>
    <x v="0"/>
  </r>
  <r>
    <d v="2023-07-04T00:00:00"/>
    <x v="6"/>
    <x v="2"/>
    <x v="3"/>
    <x v="2804"/>
    <x v="2816"/>
    <s v="Cash"/>
    <s v="TXN101657"/>
    <x v="0"/>
  </r>
  <r>
    <d v="2023-07-04T00:00:00"/>
    <x v="6"/>
    <x v="0"/>
    <x v="4"/>
    <x v="2805"/>
    <x v="2817"/>
    <s v="Bank Transfer"/>
    <s v="TXN102071"/>
    <x v="0"/>
  </r>
  <r>
    <d v="2023-07-04T00:00:00"/>
    <x v="6"/>
    <x v="2"/>
    <x v="4"/>
    <x v="2806"/>
    <x v="2818"/>
    <s v="UPI"/>
    <s v="TXN103264"/>
    <x v="0"/>
  </r>
  <r>
    <d v="2023-07-04T00:00:00"/>
    <x v="6"/>
    <x v="7"/>
    <x v="3"/>
    <x v="2807"/>
    <x v="2819"/>
    <s v="UPI"/>
    <s v="TXN104693"/>
    <x v="0"/>
  </r>
  <r>
    <d v="2023-07-04T00:00:00"/>
    <x v="6"/>
    <x v="7"/>
    <x v="0"/>
    <x v="2808"/>
    <x v="1537"/>
    <s v="Cash"/>
    <s v="TXN105408"/>
    <x v="0"/>
  </r>
  <r>
    <d v="2023-07-04T00:00:00"/>
    <x v="6"/>
    <x v="7"/>
    <x v="1"/>
    <x v="2809"/>
    <x v="2820"/>
    <s v="Bank Transfer"/>
    <s v="TXN106371"/>
    <x v="0"/>
  </r>
  <r>
    <d v="2023-07-04T00:00:00"/>
    <x v="6"/>
    <x v="0"/>
    <x v="2"/>
    <x v="2810"/>
    <x v="2821"/>
    <s v="UPI"/>
    <s v="TXN108663"/>
    <x v="0"/>
  </r>
  <r>
    <d v="2023-07-04T00:00:00"/>
    <x v="6"/>
    <x v="4"/>
    <x v="0"/>
    <x v="2811"/>
    <x v="2822"/>
    <s v="UPI"/>
    <s v="TXN108854"/>
    <x v="0"/>
  </r>
  <r>
    <d v="2023-07-04T00:00:00"/>
    <x v="6"/>
    <x v="1"/>
    <x v="2"/>
    <x v="1367"/>
    <x v="2823"/>
    <s v="UPI"/>
    <s v="TXN109262"/>
    <x v="0"/>
  </r>
  <r>
    <d v="2023-07-04T00:00:00"/>
    <x v="6"/>
    <x v="6"/>
    <x v="1"/>
    <x v="2812"/>
    <x v="2824"/>
    <s v="Bank Transfer"/>
    <s v="REV100356"/>
    <x v="1"/>
  </r>
  <r>
    <d v="2023-07-04T00:00:00"/>
    <x v="6"/>
    <x v="6"/>
    <x v="3"/>
    <x v="2260"/>
    <x v="2229"/>
    <s v="Card"/>
    <s v="REV100611"/>
    <x v="1"/>
  </r>
  <r>
    <d v="2023-07-04T00:00:00"/>
    <x v="6"/>
    <x v="5"/>
    <x v="4"/>
    <x v="2813"/>
    <x v="263"/>
    <s v="Card"/>
    <s v="REV100737"/>
    <x v="1"/>
  </r>
  <r>
    <d v="2023-07-04T00:00:00"/>
    <x v="6"/>
    <x v="6"/>
    <x v="4"/>
    <x v="1650"/>
    <x v="2825"/>
    <s v="Card"/>
    <s v="REV101119"/>
    <x v="1"/>
  </r>
  <r>
    <d v="2023-07-04T00:00:00"/>
    <x v="6"/>
    <x v="6"/>
    <x v="3"/>
    <x v="2814"/>
    <x v="2826"/>
    <s v="Card"/>
    <s v="REV101606"/>
    <x v="1"/>
  </r>
  <r>
    <d v="2023-07-04T00:00:00"/>
    <x v="6"/>
    <x v="5"/>
    <x v="0"/>
    <x v="297"/>
    <x v="1943"/>
    <s v="Card"/>
    <s v="REV101837"/>
    <x v="1"/>
  </r>
  <r>
    <d v="2023-07-04T00:00:00"/>
    <x v="6"/>
    <x v="6"/>
    <x v="1"/>
    <x v="2815"/>
    <x v="2827"/>
    <s v="UPI"/>
    <s v="REV102154"/>
    <x v="1"/>
  </r>
  <r>
    <d v="2023-07-04T00:00:00"/>
    <x v="6"/>
    <x v="6"/>
    <x v="2"/>
    <x v="2050"/>
    <x v="2643"/>
    <s v="Bank Transfer"/>
    <s v="REV102940"/>
    <x v="1"/>
  </r>
  <r>
    <d v="2023-07-04T00:00:00"/>
    <x v="6"/>
    <x v="5"/>
    <x v="0"/>
    <x v="2357"/>
    <x v="2828"/>
    <s v="Bank Transfer"/>
    <s v="REV102999"/>
    <x v="1"/>
  </r>
  <r>
    <d v="2023-07-04T00:00:00"/>
    <x v="6"/>
    <x v="5"/>
    <x v="2"/>
    <x v="2771"/>
    <x v="2829"/>
    <s v="Bank Transfer"/>
    <s v="REV103125"/>
    <x v="1"/>
  </r>
  <r>
    <d v="2023-07-05T00:00:00"/>
    <x v="6"/>
    <x v="7"/>
    <x v="0"/>
    <x v="2816"/>
    <x v="2830"/>
    <s v="Bank Transfer"/>
    <s v="TXN101255"/>
    <x v="0"/>
  </r>
  <r>
    <d v="2023-07-05T00:00:00"/>
    <x v="6"/>
    <x v="4"/>
    <x v="1"/>
    <x v="2817"/>
    <x v="2831"/>
    <s v="Bank Transfer"/>
    <s v="TXN101323"/>
    <x v="0"/>
  </r>
  <r>
    <d v="2023-07-05T00:00:00"/>
    <x v="6"/>
    <x v="7"/>
    <x v="1"/>
    <x v="2818"/>
    <x v="2832"/>
    <s v="Cash"/>
    <s v="TXN103954"/>
    <x v="0"/>
  </r>
  <r>
    <d v="2023-07-05T00:00:00"/>
    <x v="6"/>
    <x v="7"/>
    <x v="0"/>
    <x v="2819"/>
    <x v="2833"/>
    <s v="Card"/>
    <s v="TXN104278"/>
    <x v="0"/>
  </r>
  <r>
    <d v="2023-07-05T00:00:00"/>
    <x v="6"/>
    <x v="7"/>
    <x v="1"/>
    <x v="2820"/>
    <x v="2834"/>
    <s v="Card"/>
    <s v="TXN105631"/>
    <x v="0"/>
  </r>
  <r>
    <d v="2023-07-05T00:00:00"/>
    <x v="6"/>
    <x v="1"/>
    <x v="1"/>
    <x v="2821"/>
    <x v="2835"/>
    <s v="UPI"/>
    <s v="TXN106493"/>
    <x v="0"/>
  </r>
  <r>
    <d v="2023-07-05T00:00:00"/>
    <x v="6"/>
    <x v="3"/>
    <x v="0"/>
    <x v="2822"/>
    <x v="2836"/>
    <s v="UPI"/>
    <s v="TXN107744"/>
    <x v="0"/>
  </r>
  <r>
    <d v="2023-07-05T00:00:00"/>
    <x v="6"/>
    <x v="7"/>
    <x v="1"/>
    <x v="2823"/>
    <x v="2837"/>
    <s v="Bank Transfer"/>
    <s v="TXN108390"/>
    <x v="0"/>
  </r>
  <r>
    <d v="2023-07-05T00:00:00"/>
    <x v="6"/>
    <x v="1"/>
    <x v="4"/>
    <x v="2824"/>
    <x v="2838"/>
    <s v="Card"/>
    <s v="TXN108764"/>
    <x v="0"/>
  </r>
  <r>
    <d v="2023-07-05T00:00:00"/>
    <x v="6"/>
    <x v="3"/>
    <x v="4"/>
    <x v="2383"/>
    <x v="2839"/>
    <s v="Card"/>
    <s v="TXN109046"/>
    <x v="0"/>
  </r>
  <r>
    <d v="2023-07-05T00:00:00"/>
    <x v="6"/>
    <x v="3"/>
    <x v="2"/>
    <x v="2825"/>
    <x v="2840"/>
    <s v="Card"/>
    <s v="TXN109075"/>
    <x v="0"/>
  </r>
  <r>
    <d v="2023-07-05T00:00:00"/>
    <x v="6"/>
    <x v="6"/>
    <x v="0"/>
    <x v="1370"/>
    <x v="315"/>
    <s v="Bank Transfer"/>
    <s v="REV100458"/>
    <x v="1"/>
  </r>
  <r>
    <d v="2023-07-05T00:00:00"/>
    <x v="6"/>
    <x v="5"/>
    <x v="1"/>
    <x v="2724"/>
    <x v="2841"/>
    <s v="Bank Transfer"/>
    <s v="REV100489"/>
    <x v="1"/>
  </r>
  <r>
    <d v="2023-07-05T00:00:00"/>
    <x v="6"/>
    <x v="5"/>
    <x v="1"/>
    <x v="2826"/>
    <x v="2842"/>
    <s v="Card"/>
    <s v="REV101369"/>
    <x v="1"/>
  </r>
  <r>
    <d v="2023-07-05T00:00:00"/>
    <x v="6"/>
    <x v="6"/>
    <x v="0"/>
    <x v="984"/>
    <x v="286"/>
    <s v="Card"/>
    <s v="REV101488"/>
    <x v="1"/>
  </r>
  <r>
    <d v="2023-07-05T00:00:00"/>
    <x v="6"/>
    <x v="6"/>
    <x v="1"/>
    <x v="2827"/>
    <x v="2843"/>
    <s v="Bank Transfer"/>
    <s v="REV101919"/>
    <x v="1"/>
  </r>
  <r>
    <d v="2023-07-05T00:00:00"/>
    <x v="6"/>
    <x v="6"/>
    <x v="1"/>
    <x v="2828"/>
    <x v="2844"/>
    <s v="Bank Transfer"/>
    <s v="REV102201"/>
    <x v="1"/>
  </r>
  <r>
    <d v="2023-07-05T00:00:00"/>
    <x v="6"/>
    <x v="5"/>
    <x v="0"/>
    <x v="31"/>
    <x v="2845"/>
    <s v="Bank Transfer"/>
    <s v="REV102635"/>
    <x v="1"/>
  </r>
  <r>
    <d v="2023-07-05T00:00:00"/>
    <x v="6"/>
    <x v="5"/>
    <x v="1"/>
    <x v="2009"/>
    <x v="2846"/>
    <s v="Bank Transfer"/>
    <s v="REV102849"/>
    <x v="1"/>
  </r>
  <r>
    <d v="2023-07-05T00:00:00"/>
    <x v="6"/>
    <x v="5"/>
    <x v="4"/>
    <x v="2829"/>
    <x v="2847"/>
    <s v="Card"/>
    <s v="REV102974"/>
    <x v="1"/>
  </r>
  <r>
    <d v="2023-07-05T00:00:00"/>
    <x v="6"/>
    <x v="5"/>
    <x v="4"/>
    <x v="2486"/>
    <x v="53"/>
    <s v="Bank Transfer"/>
    <s v="REV103062"/>
    <x v="1"/>
  </r>
  <r>
    <d v="2023-07-05T00:00:00"/>
    <x v="6"/>
    <x v="5"/>
    <x v="2"/>
    <x v="2080"/>
    <x v="2848"/>
    <s v="Card"/>
    <s v="REV103069"/>
    <x v="1"/>
  </r>
  <r>
    <d v="2023-07-06T00:00:00"/>
    <x v="6"/>
    <x v="4"/>
    <x v="2"/>
    <x v="2830"/>
    <x v="2849"/>
    <s v="Card"/>
    <s v="TXN101567"/>
    <x v="0"/>
  </r>
  <r>
    <d v="2023-07-06T00:00:00"/>
    <x v="6"/>
    <x v="2"/>
    <x v="2"/>
    <x v="2831"/>
    <x v="2850"/>
    <s v="Bank Transfer"/>
    <s v="TXN101795"/>
    <x v="0"/>
  </r>
  <r>
    <d v="2023-07-06T00:00:00"/>
    <x v="6"/>
    <x v="0"/>
    <x v="3"/>
    <x v="2832"/>
    <x v="2851"/>
    <s v="UPI"/>
    <s v="TXN102115"/>
    <x v="0"/>
  </r>
  <r>
    <d v="2023-07-06T00:00:00"/>
    <x v="6"/>
    <x v="2"/>
    <x v="1"/>
    <x v="2833"/>
    <x v="2852"/>
    <s v="Bank Transfer"/>
    <s v="TXN103097"/>
    <x v="0"/>
  </r>
  <r>
    <d v="2023-07-06T00:00:00"/>
    <x v="6"/>
    <x v="7"/>
    <x v="4"/>
    <x v="2593"/>
    <x v="2853"/>
    <s v="Card"/>
    <s v="TXN103237"/>
    <x v="0"/>
  </r>
  <r>
    <d v="2023-07-06T00:00:00"/>
    <x v="6"/>
    <x v="2"/>
    <x v="0"/>
    <x v="2834"/>
    <x v="2854"/>
    <s v="Cash"/>
    <s v="TXN103613"/>
    <x v="0"/>
  </r>
  <r>
    <d v="2023-07-06T00:00:00"/>
    <x v="6"/>
    <x v="0"/>
    <x v="4"/>
    <x v="2835"/>
    <x v="2855"/>
    <s v="Bank Transfer"/>
    <s v="TXN104363"/>
    <x v="0"/>
  </r>
  <r>
    <d v="2023-07-06T00:00:00"/>
    <x v="6"/>
    <x v="0"/>
    <x v="2"/>
    <x v="2836"/>
    <x v="2856"/>
    <s v="UPI"/>
    <s v="TXN105019"/>
    <x v="0"/>
  </r>
  <r>
    <d v="2023-07-06T00:00:00"/>
    <x v="6"/>
    <x v="2"/>
    <x v="3"/>
    <x v="2837"/>
    <x v="2857"/>
    <s v="Bank Transfer"/>
    <s v="TXN105129"/>
    <x v="0"/>
  </r>
  <r>
    <d v="2023-07-06T00:00:00"/>
    <x v="6"/>
    <x v="7"/>
    <x v="0"/>
    <x v="2838"/>
    <x v="2858"/>
    <s v="Card"/>
    <s v="TXN105579"/>
    <x v="0"/>
  </r>
  <r>
    <d v="2023-07-06T00:00:00"/>
    <x v="6"/>
    <x v="3"/>
    <x v="4"/>
    <x v="2839"/>
    <x v="2859"/>
    <s v="Cash"/>
    <s v="TXN107224"/>
    <x v="0"/>
  </r>
  <r>
    <d v="2023-07-06T00:00:00"/>
    <x v="6"/>
    <x v="2"/>
    <x v="3"/>
    <x v="2840"/>
    <x v="2860"/>
    <s v="UPI"/>
    <s v="TXN107320"/>
    <x v="0"/>
  </r>
  <r>
    <d v="2023-07-06T00:00:00"/>
    <x v="6"/>
    <x v="3"/>
    <x v="4"/>
    <x v="2841"/>
    <x v="2861"/>
    <s v="UPI"/>
    <s v="TXN107955"/>
    <x v="0"/>
  </r>
  <r>
    <d v="2023-07-06T00:00:00"/>
    <x v="6"/>
    <x v="7"/>
    <x v="0"/>
    <x v="2842"/>
    <x v="2862"/>
    <s v="Bank Transfer"/>
    <s v="TXN109268"/>
    <x v="0"/>
  </r>
  <r>
    <d v="2023-07-06T00:00:00"/>
    <x v="6"/>
    <x v="6"/>
    <x v="2"/>
    <x v="1385"/>
    <x v="396"/>
    <s v="Card"/>
    <s v="REV100576"/>
    <x v="1"/>
  </r>
  <r>
    <d v="2023-07-06T00:00:00"/>
    <x v="6"/>
    <x v="6"/>
    <x v="2"/>
    <x v="2843"/>
    <x v="589"/>
    <s v="Bank Transfer"/>
    <s v="REV100654"/>
    <x v="1"/>
  </r>
  <r>
    <d v="2023-07-06T00:00:00"/>
    <x v="6"/>
    <x v="5"/>
    <x v="3"/>
    <x v="1296"/>
    <x v="2212"/>
    <s v="Bank Transfer"/>
    <s v="REV100752"/>
    <x v="1"/>
  </r>
  <r>
    <d v="2023-07-06T00:00:00"/>
    <x v="6"/>
    <x v="5"/>
    <x v="1"/>
    <x v="2844"/>
    <x v="284"/>
    <s v="Bank Transfer"/>
    <s v="REV101068"/>
    <x v="1"/>
  </r>
  <r>
    <d v="2023-07-06T00:00:00"/>
    <x v="6"/>
    <x v="5"/>
    <x v="4"/>
    <x v="563"/>
    <x v="2863"/>
    <s v="UPI"/>
    <s v="REV101110"/>
    <x v="1"/>
  </r>
  <r>
    <d v="2023-07-06T00:00:00"/>
    <x v="6"/>
    <x v="5"/>
    <x v="0"/>
    <x v="220"/>
    <x v="719"/>
    <s v="Card"/>
    <s v="REV101235"/>
    <x v="1"/>
  </r>
  <r>
    <d v="2023-07-06T00:00:00"/>
    <x v="6"/>
    <x v="5"/>
    <x v="4"/>
    <x v="1573"/>
    <x v="964"/>
    <s v="Bank Transfer"/>
    <s v="REV101508"/>
    <x v="1"/>
  </r>
  <r>
    <d v="2023-07-06T00:00:00"/>
    <x v="6"/>
    <x v="5"/>
    <x v="2"/>
    <x v="635"/>
    <x v="2230"/>
    <s v="Bank Transfer"/>
    <s v="REV101711"/>
    <x v="1"/>
  </r>
  <r>
    <d v="2023-07-06T00:00:00"/>
    <x v="6"/>
    <x v="6"/>
    <x v="3"/>
    <x v="2845"/>
    <x v="2864"/>
    <s v="Card"/>
    <s v="REV101744"/>
    <x v="1"/>
  </r>
  <r>
    <d v="2023-07-06T00:00:00"/>
    <x v="6"/>
    <x v="6"/>
    <x v="0"/>
    <x v="1371"/>
    <x v="1695"/>
    <s v="Bank Transfer"/>
    <s v="REV101904"/>
    <x v="1"/>
  </r>
  <r>
    <d v="2023-07-06T00:00:00"/>
    <x v="6"/>
    <x v="6"/>
    <x v="4"/>
    <x v="2846"/>
    <x v="1087"/>
    <s v="UPI"/>
    <s v="REV102452"/>
    <x v="1"/>
  </r>
  <r>
    <d v="2023-07-06T00:00:00"/>
    <x v="6"/>
    <x v="5"/>
    <x v="3"/>
    <x v="2847"/>
    <x v="2865"/>
    <s v="UPI"/>
    <s v="REV102481"/>
    <x v="1"/>
  </r>
  <r>
    <d v="2023-07-06T00:00:00"/>
    <x v="6"/>
    <x v="5"/>
    <x v="4"/>
    <x v="2439"/>
    <x v="2866"/>
    <s v="Card"/>
    <s v="REV102701"/>
    <x v="1"/>
  </r>
  <r>
    <d v="2023-07-06T00:00:00"/>
    <x v="6"/>
    <x v="6"/>
    <x v="0"/>
    <x v="2593"/>
    <x v="2106"/>
    <s v="Bank Transfer"/>
    <s v="REV103129"/>
    <x v="1"/>
  </r>
  <r>
    <d v="2023-07-07T00:00:00"/>
    <x v="6"/>
    <x v="3"/>
    <x v="0"/>
    <x v="2848"/>
    <x v="2867"/>
    <s v="Bank Transfer"/>
    <s v="TXN100765"/>
    <x v="0"/>
  </r>
  <r>
    <d v="2023-07-07T00:00:00"/>
    <x v="6"/>
    <x v="4"/>
    <x v="4"/>
    <x v="2849"/>
    <x v="2868"/>
    <s v="Bank Transfer"/>
    <s v="TXN101261"/>
    <x v="0"/>
  </r>
  <r>
    <d v="2023-07-07T00:00:00"/>
    <x v="6"/>
    <x v="7"/>
    <x v="2"/>
    <x v="2850"/>
    <x v="2869"/>
    <s v="Card"/>
    <s v="TXN101366"/>
    <x v="0"/>
  </r>
  <r>
    <d v="2023-07-07T00:00:00"/>
    <x v="6"/>
    <x v="2"/>
    <x v="2"/>
    <x v="2851"/>
    <x v="2870"/>
    <s v="UPI"/>
    <s v="TXN103220"/>
    <x v="0"/>
  </r>
  <r>
    <d v="2023-07-07T00:00:00"/>
    <x v="6"/>
    <x v="4"/>
    <x v="2"/>
    <x v="2852"/>
    <x v="2871"/>
    <s v="Bank Transfer"/>
    <s v="TXN103661"/>
    <x v="0"/>
  </r>
  <r>
    <d v="2023-07-07T00:00:00"/>
    <x v="6"/>
    <x v="0"/>
    <x v="2"/>
    <x v="2853"/>
    <x v="2872"/>
    <s v="Cash"/>
    <s v="TXN104254"/>
    <x v="0"/>
  </r>
  <r>
    <d v="2023-07-07T00:00:00"/>
    <x v="6"/>
    <x v="1"/>
    <x v="3"/>
    <x v="2854"/>
    <x v="2873"/>
    <s v="UPI"/>
    <s v="TXN107164"/>
    <x v="0"/>
  </r>
  <r>
    <d v="2023-07-07T00:00:00"/>
    <x v="6"/>
    <x v="3"/>
    <x v="0"/>
    <x v="2855"/>
    <x v="2874"/>
    <s v="Cash"/>
    <s v="TXN107976"/>
    <x v="0"/>
  </r>
  <r>
    <d v="2023-07-07T00:00:00"/>
    <x v="6"/>
    <x v="7"/>
    <x v="2"/>
    <x v="2856"/>
    <x v="2875"/>
    <s v="Cash"/>
    <s v="TXN108338"/>
    <x v="0"/>
  </r>
  <r>
    <d v="2023-07-07T00:00:00"/>
    <x v="6"/>
    <x v="5"/>
    <x v="0"/>
    <x v="2857"/>
    <x v="2876"/>
    <s v="UPI"/>
    <s v="REV100280"/>
    <x v="1"/>
  </r>
  <r>
    <d v="2023-07-07T00:00:00"/>
    <x v="6"/>
    <x v="5"/>
    <x v="4"/>
    <x v="13"/>
    <x v="1124"/>
    <s v="Bank Transfer"/>
    <s v="REV100461"/>
    <x v="1"/>
  </r>
  <r>
    <d v="2023-07-07T00:00:00"/>
    <x v="6"/>
    <x v="6"/>
    <x v="2"/>
    <x v="1647"/>
    <x v="2357"/>
    <s v="Bank Transfer"/>
    <s v="REV100501"/>
    <x v="1"/>
  </r>
  <r>
    <d v="2023-07-07T00:00:00"/>
    <x v="6"/>
    <x v="5"/>
    <x v="2"/>
    <x v="2858"/>
    <x v="2877"/>
    <s v="Bank Transfer"/>
    <s v="REV101104"/>
    <x v="1"/>
  </r>
  <r>
    <d v="2023-07-07T00:00:00"/>
    <x v="6"/>
    <x v="5"/>
    <x v="2"/>
    <x v="2859"/>
    <x v="621"/>
    <s v="Bank Transfer"/>
    <s v="REV101252"/>
    <x v="1"/>
  </r>
  <r>
    <d v="2023-07-07T00:00:00"/>
    <x v="6"/>
    <x v="6"/>
    <x v="2"/>
    <x v="849"/>
    <x v="1358"/>
    <s v="UPI"/>
    <s v="REV101477"/>
    <x v="1"/>
  </r>
  <r>
    <d v="2023-07-07T00:00:00"/>
    <x v="6"/>
    <x v="6"/>
    <x v="3"/>
    <x v="2860"/>
    <x v="2878"/>
    <s v="Card"/>
    <s v="REV102428"/>
    <x v="1"/>
  </r>
  <r>
    <d v="2023-07-07T00:00:00"/>
    <x v="6"/>
    <x v="5"/>
    <x v="0"/>
    <x v="2078"/>
    <x v="2879"/>
    <s v="Bank Transfer"/>
    <s v="REV102712"/>
    <x v="1"/>
  </r>
  <r>
    <d v="2023-07-07T00:00:00"/>
    <x v="6"/>
    <x v="6"/>
    <x v="2"/>
    <x v="2861"/>
    <x v="1857"/>
    <s v="Bank Transfer"/>
    <s v="REV102834"/>
    <x v="1"/>
  </r>
  <r>
    <d v="2023-07-08T00:00:00"/>
    <x v="6"/>
    <x v="2"/>
    <x v="0"/>
    <x v="2862"/>
    <x v="2880"/>
    <s v="Card"/>
    <s v="TXN100581"/>
    <x v="0"/>
  </r>
  <r>
    <d v="2023-07-08T00:00:00"/>
    <x v="6"/>
    <x v="4"/>
    <x v="3"/>
    <x v="2863"/>
    <x v="2881"/>
    <s v="Bank Transfer"/>
    <s v="TXN100671"/>
    <x v="0"/>
  </r>
  <r>
    <d v="2023-07-08T00:00:00"/>
    <x v="6"/>
    <x v="0"/>
    <x v="1"/>
    <x v="2864"/>
    <x v="2882"/>
    <s v="Card"/>
    <s v="TXN101475"/>
    <x v="0"/>
  </r>
  <r>
    <d v="2023-07-08T00:00:00"/>
    <x v="6"/>
    <x v="3"/>
    <x v="3"/>
    <x v="2865"/>
    <x v="2883"/>
    <s v="Card"/>
    <s v="TXN101520"/>
    <x v="0"/>
  </r>
  <r>
    <d v="2023-07-08T00:00:00"/>
    <x v="6"/>
    <x v="4"/>
    <x v="1"/>
    <x v="2866"/>
    <x v="2884"/>
    <s v="UPI"/>
    <s v="TXN104135"/>
    <x v="0"/>
  </r>
  <r>
    <d v="2023-07-08T00:00:00"/>
    <x v="6"/>
    <x v="7"/>
    <x v="1"/>
    <x v="2867"/>
    <x v="2885"/>
    <s v="Bank Transfer"/>
    <s v="TXN104721"/>
    <x v="0"/>
  </r>
  <r>
    <d v="2023-07-08T00:00:00"/>
    <x v="6"/>
    <x v="3"/>
    <x v="0"/>
    <x v="2868"/>
    <x v="2886"/>
    <s v="UPI"/>
    <s v="TXN104725"/>
    <x v="0"/>
  </r>
  <r>
    <d v="2023-07-08T00:00:00"/>
    <x v="6"/>
    <x v="3"/>
    <x v="4"/>
    <x v="2869"/>
    <x v="2887"/>
    <s v="Cash"/>
    <s v="TXN105003"/>
    <x v="0"/>
  </r>
  <r>
    <d v="2023-07-08T00:00:00"/>
    <x v="6"/>
    <x v="1"/>
    <x v="2"/>
    <x v="2870"/>
    <x v="2888"/>
    <s v="Bank Transfer"/>
    <s v="TXN105541"/>
    <x v="0"/>
  </r>
  <r>
    <d v="2023-07-08T00:00:00"/>
    <x v="6"/>
    <x v="1"/>
    <x v="0"/>
    <x v="2871"/>
    <x v="2889"/>
    <s v="Bank Transfer"/>
    <s v="TXN106621"/>
    <x v="0"/>
  </r>
  <r>
    <d v="2023-07-08T00:00:00"/>
    <x v="6"/>
    <x v="1"/>
    <x v="3"/>
    <x v="2872"/>
    <x v="2890"/>
    <s v="Card"/>
    <s v="TXN107169"/>
    <x v="0"/>
  </r>
  <r>
    <d v="2023-07-08T00:00:00"/>
    <x v="6"/>
    <x v="3"/>
    <x v="1"/>
    <x v="2873"/>
    <x v="2891"/>
    <s v="Bank Transfer"/>
    <s v="TXN108095"/>
    <x v="0"/>
  </r>
  <r>
    <d v="2023-07-08T00:00:00"/>
    <x v="6"/>
    <x v="2"/>
    <x v="0"/>
    <x v="2874"/>
    <x v="687"/>
    <s v="Card"/>
    <s v="TXN109084"/>
    <x v="0"/>
  </r>
  <r>
    <d v="2023-07-08T00:00:00"/>
    <x v="6"/>
    <x v="0"/>
    <x v="1"/>
    <x v="2875"/>
    <x v="2892"/>
    <s v="Bank Transfer"/>
    <s v="TXN109670"/>
    <x v="0"/>
  </r>
  <r>
    <d v="2023-07-08T00:00:00"/>
    <x v="6"/>
    <x v="4"/>
    <x v="2"/>
    <x v="2876"/>
    <x v="2893"/>
    <s v="Card"/>
    <s v="TXN109705"/>
    <x v="0"/>
  </r>
  <r>
    <d v="2023-07-08T00:00:00"/>
    <x v="6"/>
    <x v="5"/>
    <x v="0"/>
    <x v="2877"/>
    <x v="1031"/>
    <s v="Card"/>
    <s v="REV100224"/>
    <x v="1"/>
  </r>
  <r>
    <d v="2023-07-08T00:00:00"/>
    <x v="6"/>
    <x v="5"/>
    <x v="3"/>
    <x v="1568"/>
    <x v="1954"/>
    <s v="Bank Transfer"/>
    <s v="REV100254"/>
    <x v="1"/>
  </r>
  <r>
    <d v="2023-07-08T00:00:00"/>
    <x v="6"/>
    <x v="6"/>
    <x v="1"/>
    <x v="2878"/>
    <x v="2894"/>
    <s v="Bank Transfer"/>
    <s v="REV100540"/>
    <x v="1"/>
  </r>
  <r>
    <d v="2023-07-08T00:00:00"/>
    <x v="6"/>
    <x v="5"/>
    <x v="3"/>
    <x v="2879"/>
    <x v="1150"/>
    <s v="Card"/>
    <s v="REV100557"/>
    <x v="1"/>
  </r>
  <r>
    <d v="2023-07-08T00:00:00"/>
    <x v="6"/>
    <x v="6"/>
    <x v="1"/>
    <x v="2880"/>
    <x v="2895"/>
    <s v="Card"/>
    <s v="REV101431"/>
    <x v="1"/>
  </r>
  <r>
    <d v="2023-07-08T00:00:00"/>
    <x v="6"/>
    <x v="5"/>
    <x v="1"/>
    <x v="97"/>
    <x v="1809"/>
    <s v="Card"/>
    <s v="REV101613"/>
    <x v="1"/>
  </r>
  <r>
    <d v="2023-07-08T00:00:00"/>
    <x v="6"/>
    <x v="6"/>
    <x v="0"/>
    <x v="2881"/>
    <x v="2896"/>
    <s v="Card"/>
    <s v="REV101614"/>
    <x v="1"/>
  </r>
  <r>
    <d v="2023-07-08T00:00:00"/>
    <x v="6"/>
    <x v="6"/>
    <x v="4"/>
    <x v="153"/>
    <x v="2897"/>
    <s v="Card"/>
    <s v="REV101705"/>
    <x v="1"/>
  </r>
  <r>
    <d v="2023-07-08T00:00:00"/>
    <x v="6"/>
    <x v="6"/>
    <x v="2"/>
    <x v="2357"/>
    <x v="2898"/>
    <s v="Bank Transfer"/>
    <s v="REV101888"/>
    <x v="1"/>
  </r>
  <r>
    <d v="2023-07-08T00:00:00"/>
    <x v="6"/>
    <x v="6"/>
    <x v="0"/>
    <x v="2882"/>
    <x v="2899"/>
    <s v="Bank Transfer"/>
    <s v="REV102251"/>
    <x v="1"/>
  </r>
  <r>
    <d v="2023-07-08T00:00:00"/>
    <x v="6"/>
    <x v="6"/>
    <x v="3"/>
    <x v="2883"/>
    <x v="2058"/>
    <s v="Bank Transfer"/>
    <s v="REV102430"/>
    <x v="1"/>
  </r>
  <r>
    <d v="2023-07-08T00:00:00"/>
    <x v="6"/>
    <x v="6"/>
    <x v="1"/>
    <x v="1372"/>
    <x v="949"/>
    <s v="Bank Transfer"/>
    <s v="REV102752"/>
    <x v="1"/>
  </r>
  <r>
    <d v="2023-07-08T00:00:00"/>
    <x v="6"/>
    <x v="6"/>
    <x v="0"/>
    <x v="2884"/>
    <x v="2900"/>
    <s v="Bank Transfer"/>
    <s v="REV103075"/>
    <x v="1"/>
  </r>
  <r>
    <d v="2023-07-08T00:00:00"/>
    <x v="6"/>
    <x v="5"/>
    <x v="1"/>
    <x v="2885"/>
    <x v="1725"/>
    <s v="UPI"/>
    <s v="REV103271"/>
    <x v="1"/>
  </r>
  <r>
    <d v="2023-07-08T00:00:00"/>
    <x v="6"/>
    <x v="5"/>
    <x v="2"/>
    <x v="2886"/>
    <x v="2165"/>
    <s v="Card"/>
    <s v="REV103281"/>
    <x v="1"/>
  </r>
  <r>
    <d v="2023-07-09T00:00:00"/>
    <x v="6"/>
    <x v="0"/>
    <x v="0"/>
    <x v="2887"/>
    <x v="2901"/>
    <s v="Cash"/>
    <s v="TXN100400"/>
    <x v="0"/>
  </r>
  <r>
    <d v="2023-07-09T00:00:00"/>
    <x v="6"/>
    <x v="7"/>
    <x v="3"/>
    <x v="2888"/>
    <x v="2902"/>
    <s v="Bank Transfer"/>
    <s v="TXN100716"/>
    <x v="0"/>
  </r>
  <r>
    <d v="2023-07-09T00:00:00"/>
    <x v="6"/>
    <x v="0"/>
    <x v="4"/>
    <x v="2889"/>
    <x v="2903"/>
    <s v="UPI"/>
    <s v="TXN103622"/>
    <x v="0"/>
  </r>
  <r>
    <d v="2023-07-09T00:00:00"/>
    <x v="6"/>
    <x v="0"/>
    <x v="4"/>
    <x v="2890"/>
    <x v="2904"/>
    <s v="Bank Transfer"/>
    <s v="TXN103950"/>
    <x v="0"/>
  </r>
  <r>
    <d v="2023-07-09T00:00:00"/>
    <x v="6"/>
    <x v="2"/>
    <x v="3"/>
    <x v="2891"/>
    <x v="2905"/>
    <s v="Bank Transfer"/>
    <s v="TXN104540"/>
    <x v="0"/>
  </r>
  <r>
    <d v="2023-07-09T00:00:00"/>
    <x v="6"/>
    <x v="2"/>
    <x v="0"/>
    <x v="2892"/>
    <x v="2906"/>
    <s v="Bank Transfer"/>
    <s v="TXN105357"/>
    <x v="0"/>
  </r>
  <r>
    <d v="2023-07-09T00:00:00"/>
    <x v="6"/>
    <x v="2"/>
    <x v="2"/>
    <x v="2893"/>
    <x v="2907"/>
    <s v="Card"/>
    <s v="TXN105693"/>
    <x v="0"/>
  </r>
  <r>
    <d v="2023-07-09T00:00:00"/>
    <x v="6"/>
    <x v="1"/>
    <x v="2"/>
    <x v="2894"/>
    <x v="2908"/>
    <s v="Bank Transfer"/>
    <s v="TXN107149"/>
    <x v="0"/>
  </r>
  <r>
    <d v="2023-07-09T00:00:00"/>
    <x v="6"/>
    <x v="0"/>
    <x v="2"/>
    <x v="2895"/>
    <x v="2909"/>
    <s v="Bank Transfer"/>
    <s v="TXN108887"/>
    <x v="0"/>
  </r>
  <r>
    <d v="2023-07-09T00:00:00"/>
    <x v="6"/>
    <x v="4"/>
    <x v="1"/>
    <x v="2896"/>
    <x v="2910"/>
    <s v="Card"/>
    <s v="TXN108911"/>
    <x v="0"/>
  </r>
  <r>
    <d v="2023-07-09T00:00:00"/>
    <x v="6"/>
    <x v="3"/>
    <x v="1"/>
    <x v="2897"/>
    <x v="2911"/>
    <s v="Card"/>
    <s v="TXN109914"/>
    <x v="0"/>
  </r>
  <r>
    <d v="2023-07-09T00:00:00"/>
    <x v="6"/>
    <x v="6"/>
    <x v="0"/>
    <x v="1568"/>
    <x v="2912"/>
    <s v="Bank Transfer"/>
    <s v="REV100151"/>
    <x v="1"/>
  </r>
  <r>
    <d v="2023-07-09T00:00:00"/>
    <x v="6"/>
    <x v="5"/>
    <x v="3"/>
    <x v="2260"/>
    <x v="760"/>
    <s v="Card"/>
    <s v="REV100268"/>
    <x v="1"/>
  </r>
  <r>
    <d v="2023-07-09T00:00:00"/>
    <x v="6"/>
    <x v="5"/>
    <x v="4"/>
    <x v="2898"/>
    <x v="462"/>
    <s v="Bank Transfer"/>
    <s v="REV101238"/>
    <x v="1"/>
  </r>
  <r>
    <d v="2023-07-09T00:00:00"/>
    <x v="6"/>
    <x v="5"/>
    <x v="4"/>
    <x v="2088"/>
    <x v="1075"/>
    <s v="Card"/>
    <s v="REV101367"/>
    <x v="1"/>
  </r>
  <r>
    <d v="2023-07-09T00:00:00"/>
    <x v="6"/>
    <x v="5"/>
    <x v="3"/>
    <x v="2899"/>
    <x v="2913"/>
    <s v="Bank Transfer"/>
    <s v="REV101557"/>
    <x v="1"/>
  </r>
  <r>
    <d v="2023-07-09T00:00:00"/>
    <x v="6"/>
    <x v="5"/>
    <x v="0"/>
    <x v="2615"/>
    <x v="2914"/>
    <s v="Bank Transfer"/>
    <s v="REV101821"/>
    <x v="1"/>
  </r>
  <r>
    <d v="2023-07-09T00:00:00"/>
    <x v="6"/>
    <x v="5"/>
    <x v="2"/>
    <x v="2900"/>
    <x v="2915"/>
    <s v="Bank Transfer"/>
    <s v="REV101935"/>
    <x v="1"/>
  </r>
  <r>
    <d v="2023-07-09T00:00:00"/>
    <x v="6"/>
    <x v="5"/>
    <x v="2"/>
    <x v="2901"/>
    <x v="2916"/>
    <s v="Bank Transfer"/>
    <s v="REV102423"/>
    <x v="1"/>
  </r>
  <r>
    <d v="2023-07-09T00:00:00"/>
    <x v="6"/>
    <x v="5"/>
    <x v="2"/>
    <x v="442"/>
    <x v="2917"/>
    <s v="Bank Transfer"/>
    <s v="REV103008"/>
    <x v="1"/>
  </r>
  <r>
    <d v="2023-07-09T00:00:00"/>
    <x v="6"/>
    <x v="5"/>
    <x v="1"/>
    <x v="2902"/>
    <x v="2918"/>
    <s v="Bank Transfer"/>
    <s v="REV103018"/>
    <x v="1"/>
  </r>
  <r>
    <d v="2023-07-09T00:00:00"/>
    <x v="6"/>
    <x v="5"/>
    <x v="1"/>
    <x v="2903"/>
    <x v="2710"/>
    <s v="Bank Transfer"/>
    <s v="REV103352"/>
    <x v="1"/>
  </r>
  <r>
    <d v="2023-07-10T00:00:00"/>
    <x v="6"/>
    <x v="2"/>
    <x v="1"/>
    <x v="2904"/>
    <x v="2919"/>
    <s v="Cash"/>
    <s v="TXN100273"/>
    <x v="0"/>
  </r>
  <r>
    <d v="2023-07-10T00:00:00"/>
    <x v="6"/>
    <x v="3"/>
    <x v="3"/>
    <x v="2905"/>
    <x v="2920"/>
    <s v="Bank Transfer"/>
    <s v="TXN101107"/>
    <x v="0"/>
  </r>
  <r>
    <d v="2023-07-10T00:00:00"/>
    <x v="6"/>
    <x v="7"/>
    <x v="3"/>
    <x v="2906"/>
    <x v="2921"/>
    <s v="Bank Transfer"/>
    <s v="TXN101131"/>
    <x v="0"/>
  </r>
  <r>
    <d v="2023-07-10T00:00:00"/>
    <x v="6"/>
    <x v="7"/>
    <x v="1"/>
    <x v="2907"/>
    <x v="2922"/>
    <s v="Bank Transfer"/>
    <s v="TXN101184"/>
    <x v="0"/>
  </r>
  <r>
    <d v="2023-07-10T00:00:00"/>
    <x v="6"/>
    <x v="4"/>
    <x v="0"/>
    <x v="2908"/>
    <x v="2923"/>
    <s v="Bank Transfer"/>
    <s v="TXN101675"/>
    <x v="0"/>
  </r>
  <r>
    <d v="2023-07-10T00:00:00"/>
    <x v="6"/>
    <x v="0"/>
    <x v="0"/>
    <x v="2909"/>
    <x v="2924"/>
    <s v="Cash"/>
    <s v="TXN101935"/>
    <x v="0"/>
  </r>
  <r>
    <d v="2023-07-10T00:00:00"/>
    <x v="6"/>
    <x v="4"/>
    <x v="2"/>
    <x v="2910"/>
    <x v="2925"/>
    <s v="UPI"/>
    <s v="TXN102524"/>
    <x v="0"/>
  </r>
  <r>
    <d v="2023-07-10T00:00:00"/>
    <x v="6"/>
    <x v="0"/>
    <x v="2"/>
    <x v="2911"/>
    <x v="2926"/>
    <s v="Bank Transfer"/>
    <s v="TXN104496"/>
    <x v="0"/>
  </r>
  <r>
    <d v="2023-07-10T00:00:00"/>
    <x v="6"/>
    <x v="4"/>
    <x v="0"/>
    <x v="2912"/>
    <x v="2927"/>
    <s v="Cash"/>
    <s v="TXN104936"/>
    <x v="0"/>
  </r>
  <r>
    <d v="2023-07-10T00:00:00"/>
    <x v="6"/>
    <x v="7"/>
    <x v="2"/>
    <x v="2913"/>
    <x v="2928"/>
    <s v="Cash"/>
    <s v="TXN106110"/>
    <x v="0"/>
  </r>
  <r>
    <d v="2023-07-10T00:00:00"/>
    <x v="6"/>
    <x v="3"/>
    <x v="2"/>
    <x v="2914"/>
    <x v="2929"/>
    <s v="Cash"/>
    <s v="TXN106266"/>
    <x v="0"/>
  </r>
  <r>
    <d v="2023-07-10T00:00:00"/>
    <x v="6"/>
    <x v="2"/>
    <x v="1"/>
    <x v="2915"/>
    <x v="2930"/>
    <s v="Card"/>
    <s v="TXN106372"/>
    <x v="0"/>
  </r>
  <r>
    <d v="2023-07-10T00:00:00"/>
    <x v="6"/>
    <x v="2"/>
    <x v="1"/>
    <x v="2916"/>
    <x v="2931"/>
    <s v="Cash"/>
    <s v="TXN106442"/>
    <x v="0"/>
  </r>
  <r>
    <d v="2023-07-10T00:00:00"/>
    <x v="6"/>
    <x v="3"/>
    <x v="3"/>
    <x v="2917"/>
    <x v="2932"/>
    <s v="Cash"/>
    <s v="TXN106709"/>
    <x v="0"/>
  </r>
  <r>
    <d v="2023-07-10T00:00:00"/>
    <x v="6"/>
    <x v="1"/>
    <x v="2"/>
    <x v="2918"/>
    <x v="2933"/>
    <s v="Card"/>
    <s v="TXN109912"/>
    <x v="0"/>
  </r>
  <r>
    <d v="2023-07-10T00:00:00"/>
    <x v="6"/>
    <x v="5"/>
    <x v="1"/>
    <x v="329"/>
    <x v="2934"/>
    <s v="Card"/>
    <s v="REV100097"/>
    <x v="1"/>
  </r>
  <r>
    <d v="2023-07-10T00:00:00"/>
    <x v="6"/>
    <x v="5"/>
    <x v="3"/>
    <x v="2858"/>
    <x v="2935"/>
    <s v="Bank Transfer"/>
    <s v="REV100408"/>
    <x v="1"/>
  </r>
  <r>
    <d v="2023-07-10T00:00:00"/>
    <x v="6"/>
    <x v="6"/>
    <x v="3"/>
    <x v="2919"/>
    <x v="2936"/>
    <s v="Card"/>
    <s v="REV100417"/>
    <x v="1"/>
  </r>
  <r>
    <d v="2023-07-10T00:00:00"/>
    <x v="6"/>
    <x v="5"/>
    <x v="1"/>
    <x v="2920"/>
    <x v="236"/>
    <s v="Card"/>
    <s v="REV100436"/>
    <x v="1"/>
  </r>
  <r>
    <d v="2023-07-10T00:00:00"/>
    <x v="6"/>
    <x v="6"/>
    <x v="0"/>
    <x v="770"/>
    <x v="2620"/>
    <s v="Bank Transfer"/>
    <s v="REV100616"/>
    <x v="1"/>
  </r>
  <r>
    <d v="2023-07-10T00:00:00"/>
    <x v="6"/>
    <x v="5"/>
    <x v="0"/>
    <x v="2921"/>
    <x v="1356"/>
    <s v="Card"/>
    <s v="REV100692"/>
    <x v="1"/>
  </r>
  <r>
    <d v="2023-07-10T00:00:00"/>
    <x v="6"/>
    <x v="5"/>
    <x v="2"/>
    <x v="2844"/>
    <x v="2226"/>
    <s v="UPI"/>
    <s v="REV100883"/>
    <x v="1"/>
  </r>
  <r>
    <d v="2023-07-10T00:00:00"/>
    <x v="6"/>
    <x v="5"/>
    <x v="2"/>
    <x v="861"/>
    <x v="1778"/>
    <s v="Bank Transfer"/>
    <s v="REV101544"/>
    <x v="1"/>
  </r>
  <r>
    <d v="2023-07-10T00:00:00"/>
    <x v="6"/>
    <x v="5"/>
    <x v="0"/>
    <x v="2922"/>
    <x v="1051"/>
    <s v="UPI"/>
    <s v="REV101685"/>
    <x v="1"/>
  </r>
  <r>
    <d v="2023-07-10T00:00:00"/>
    <x v="6"/>
    <x v="5"/>
    <x v="2"/>
    <x v="2923"/>
    <x v="2937"/>
    <s v="Card"/>
    <s v="REV102062"/>
    <x v="1"/>
  </r>
  <r>
    <d v="2023-07-10T00:00:00"/>
    <x v="6"/>
    <x v="5"/>
    <x v="2"/>
    <x v="2924"/>
    <x v="1427"/>
    <s v="Bank Transfer"/>
    <s v="REV102109"/>
    <x v="1"/>
  </r>
  <r>
    <d v="2023-07-10T00:00:00"/>
    <x v="6"/>
    <x v="6"/>
    <x v="1"/>
    <x v="972"/>
    <x v="2938"/>
    <s v="Bank Transfer"/>
    <s v="REV102155"/>
    <x v="1"/>
  </r>
  <r>
    <d v="2023-07-10T00:00:00"/>
    <x v="6"/>
    <x v="6"/>
    <x v="1"/>
    <x v="2925"/>
    <x v="2939"/>
    <s v="UPI"/>
    <s v="REV102179"/>
    <x v="1"/>
  </r>
  <r>
    <d v="2023-07-10T00:00:00"/>
    <x v="6"/>
    <x v="5"/>
    <x v="3"/>
    <x v="280"/>
    <x v="1927"/>
    <s v="UPI"/>
    <s v="REV102284"/>
    <x v="1"/>
  </r>
  <r>
    <d v="2023-07-10T00:00:00"/>
    <x v="6"/>
    <x v="5"/>
    <x v="2"/>
    <x v="40"/>
    <x v="833"/>
    <s v="UPI"/>
    <s v="REV103350"/>
    <x v="1"/>
  </r>
  <r>
    <d v="2023-07-11T00:00:00"/>
    <x v="6"/>
    <x v="7"/>
    <x v="0"/>
    <x v="2926"/>
    <x v="2940"/>
    <s v="Cash"/>
    <s v="TXN101013"/>
    <x v="0"/>
  </r>
  <r>
    <d v="2023-07-11T00:00:00"/>
    <x v="6"/>
    <x v="3"/>
    <x v="0"/>
    <x v="2927"/>
    <x v="2941"/>
    <s v="Cash"/>
    <s v="TXN102112"/>
    <x v="0"/>
  </r>
  <r>
    <d v="2023-07-11T00:00:00"/>
    <x v="6"/>
    <x v="4"/>
    <x v="2"/>
    <x v="2928"/>
    <x v="2942"/>
    <s v="UPI"/>
    <s v="TXN104663"/>
    <x v="0"/>
  </r>
  <r>
    <d v="2023-07-11T00:00:00"/>
    <x v="6"/>
    <x v="3"/>
    <x v="3"/>
    <x v="2929"/>
    <x v="2943"/>
    <s v="Cash"/>
    <s v="TXN106956"/>
    <x v="0"/>
  </r>
  <r>
    <d v="2023-07-11T00:00:00"/>
    <x v="6"/>
    <x v="4"/>
    <x v="0"/>
    <x v="2930"/>
    <x v="2944"/>
    <s v="UPI"/>
    <s v="TXN107431"/>
    <x v="0"/>
  </r>
  <r>
    <d v="2023-07-11T00:00:00"/>
    <x v="6"/>
    <x v="2"/>
    <x v="3"/>
    <x v="2931"/>
    <x v="2945"/>
    <s v="Bank Transfer"/>
    <s v="TXN107790"/>
    <x v="0"/>
  </r>
  <r>
    <d v="2023-07-11T00:00:00"/>
    <x v="6"/>
    <x v="4"/>
    <x v="4"/>
    <x v="2932"/>
    <x v="2946"/>
    <s v="Bank Transfer"/>
    <s v="TXN108272"/>
    <x v="0"/>
  </r>
  <r>
    <d v="2023-07-11T00:00:00"/>
    <x v="6"/>
    <x v="4"/>
    <x v="2"/>
    <x v="2933"/>
    <x v="2947"/>
    <s v="Card"/>
    <s v="TXN109321"/>
    <x v="0"/>
  </r>
  <r>
    <d v="2023-07-11T00:00:00"/>
    <x v="6"/>
    <x v="5"/>
    <x v="0"/>
    <x v="2934"/>
    <x v="2948"/>
    <s v="Bank Transfer"/>
    <s v="REV100375"/>
    <x v="1"/>
  </r>
  <r>
    <d v="2023-07-11T00:00:00"/>
    <x v="6"/>
    <x v="5"/>
    <x v="0"/>
    <x v="2935"/>
    <x v="1174"/>
    <s v="Card"/>
    <s v="REV100751"/>
    <x v="1"/>
  </r>
  <r>
    <d v="2023-07-11T00:00:00"/>
    <x v="6"/>
    <x v="6"/>
    <x v="2"/>
    <x v="318"/>
    <x v="2949"/>
    <s v="Bank Transfer"/>
    <s v="REV101594"/>
    <x v="1"/>
  </r>
  <r>
    <d v="2023-07-11T00:00:00"/>
    <x v="6"/>
    <x v="6"/>
    <x v="3"/>
    <x v="138"/>
    <x v="2193"/>
    <s v="Bank Transfer"/>
    <s v="REV102365"/>
    <x v="1"/>
  </r>
  <r>
    <d v="2023-07-11T00:00:00"/>
    <x v="6"/>
    <x v="5"/>
    <x v="0"/>
    <x v="1693"/>
    <x v="299"/>
    <s v="UPI"/>
    <s v="REV102522"/>
    <x v="1"/>
  </r>
  <r>
    <d v="2023-07-11T00:00:00"/>
    <x v="6"/>
    <x v="6"/>
    <x v="3"/>
    <x v="2936"/>
    <x v="1708"/>
    <s v="Card"/>
    <s v="REV102649"/>
    <x v="1"/>
  </r>
  <r>
    <d v="2023-07-11T00:00:00"/>
    <x v="6"/>
    <x v="6"/>
    <x v="4"/>
    <x v="347"/>
    <x v="2950"/>
    <s v="Bank Transfer"/>
    <s v="REV102811"/>
    <x v="1"/>
  </r>
  <r>
    <d v="2023-07-11T00:00:00"/>
    <x v="6"/>
    <x v="5"/>
    <x v="2"/>
    <x v="2937"/>
    <x v="2951"/>
    <s v="Bank Transfer"/>
    <s v="REV103151"/>
    <x v="1"/>
  </r>
  <r>
    <d v="2023-07-12T00:00:00"/>
    <x v="6"/>
    <x v="2"/>
    <x v="4"/>
    <x v="2938"/>
    <x v="2952"/>
    <s v="UPI"/>
    <s v="TXN100800"/>
    <x v="0"/>
  </r>
  <r>
    <d v="2023-07-12T00:00:00"/>
    <x v="6"/>
    <x v="7"/>
    <x v="3"/>
    <x v="2939"/>
    <x v="2953"/>
    <s v="Cash"/>
    <s v="TXN102021"/>
    <x v="0"/>
  </r>
  <r>
    <d v="2023-07-12T00:00:00"/>
    <x v="6"/>
    <x v="2"/>
    <x v="1"/>
    <x v="2940"/>
    <x v="2954"/>
    <s v="Cash"/>
    <s v="TXN103567"/>
    <x v="0"/>
  </r>
  <r>
    <d v="2023-07-12T00:00:00"/>
    <x v="6"/>
    <x v="1"/>
    <x v="3"/>
    <x v="2941"/>
    <x v="2955"/>
    <s v="Card"/>
    <s v="TXN103940"/>
    <x v="0"/>
  </r>
  <r>
    <d v="2023-07-12T00:00:00"/>
    <x v="6"/>
    <x v="2"/>
    <x v="0"/>
    <x v="2942"/>
    <x v="2956"/>
    <s v="Bank Transfer"/>
    <s v="TXN104355"/>
    <x v="0"/>
  </r>
  <r>
    <d v="2023-07-12T00:00:00"/>
    <x v="6"/>
    <x v="1"/>
    <x v="0"/>
    <x v="2943"/>
    <x v="2957"/>
    <s v="Card"/>
    <s v="TXN105870"/>
    <x v="0"/>
  </r>
  <r>
    <d v="2023-07-12T00:00:00"/>
    <x v="6"/>
    <x v="4"/>
    <x v="2"/>
    <x v="2944"/>
    <x v="2958"/>
    <s v="UPI"/>
    <s v="TXN105998"/>
    <x v="0"/>
  </r>
  <r>
    <d v="2023-07-12T00:00:00"/>
    <x v="6"/>
    <x v="3"/>
    <x v="4"/>
    <x v="2945"/>
    <x v="2959"/>
    <s v="UPI"/>
    <s v="TXN106213"/>
    <x v="0"/>
  </r>
  <r>
    <d v="2023-07-12T00:00:00"/>
    <x v="6"/>
    <x v="4"/>
    <x v="0"/>
    <x v="2946"/>
    <x v="2960"/>
    <s v="Card"/>
    <s v="TXN107440"/>
    <x v="0"/>
  </r>
  <r>
    <d v="2023-07-12T00:00:00"/>
    <x v="6"/>
    <x v="3"/>
    <x v="0"/>
    <x v="2947"/>
    <x v="2961"/>
    <s v="Cash"/>
    <s v="TXN108487"/>
    <x v="0"/>
  </r>
  <r>
    <d v="2023-07-12T00:00:00"/>
    <x v="6"/>
    <x v="0"/>
    <x v="1"/>
    <x v="2948"/>
    <x v="2962"/>
    <s v="Bank Transfer"/>
    <s v="TXN108525"/>
    <x v="0"/>
  </r>
  <r>
    <d v="2023-07-12T00:00:00"/>
    <x v="6"/>
    <x v="3"/>
    <x v="0"/>
    <x v="2949"/>
    <x v="2963"/>
    <s v="UPI"/>
    <s v="TXN109964"/>
    <x v="0"/>
  </r>
  <r>
    <d v="2023-07-12T00:00:00"/>
    <x v="6"/>
    <x v="6"/>
    <x v="4"/>
    <x v="1323"/>
    <x v="79"/>
    <s v="Bank Transfer"/>
    <s v="REV100292"/>
    <x v="1"/>
  </r>
  <r>
    <d v="2023-07-12T00:00:00"/>
    <x v="6"/>
    <x v="5"/>
    <x v="3"/>
    <x v="2950"/>
    <x v="2964"/>
    <s v="UPI"/>
    <s v="REV100716"/>
    <x v="1"/>
  </r>
  <r>
    <d v="2023-07-12T00:00:00"/>
    <x v="6"/>
    <x v="5"/>
    <x v="1"/>
    <x v="2951"/>
    <x v="81"/>
    <s v="Bank Transfer"/>
    <s v="REV101216"/>
    <x v="1"/>
  </r>
  <r>
    <d v="2023-07-12T00:00:00"/>
    <x v="6"/>
    <x v="5"/>
    <x v="3"/>
    <x v="347"/>
    <x v="2462"/>
    <s v="Bank Transfer"/>
    <s v="REV101363"/>
    <x v="1"/>
  </r>
  <r>
    <d v="2023-07-12T00:00:00"/>
    <x v="6"/>
    <x v="6"/>
    <x v="0"/>
    <x v="2080"/>
    <x v="2965"/>
    <s v="Card"/>
    <s v="REV101506"/>
    <x v="1"/>
  </r>
  <r>
    <d v="2023-07-12T00:00:00"/>
    <x v="6"/>
    <x v="5"/>
    <x v="0"/>
    <x v="85"/>
    <x v="2966"/>
    <s v="Bank Transfer"/>
    <s v="REV101983"/>
    <x v="1"/>
  </r>
  <r>
    <d v="2023-07-12T00:00:00"/>
    <x v="6"/>
    <x v="6"/>
    <x v="2"/>
    <x v="887"/>
    <x v="775"/>
    <s v="Card"/>
    <s v="REV102026"/>
    <x v="1"/>
  </r>
  <r>
    <d v="2023-07-12T00:00:00"/>
    <x v="6"/>
    <x v="5"/>
    <x v="4"/>
    <x v="234"/>
    <x v="2066"/>
    <s v="Card"/>
    <s v="REV102093"/>
    <x v="1"/>
  </r>
  <r>
    <d v="2023-07-12T00:00:00"/>
    <x v="6"/>
    <x v="6"/>
    <x v="0"/>
    <x v="790"/>
    <x v="2967"/>
    <s v="Bank Transfer"/>
    <s v="REV102526"/>
    <x v="1"/>
  </r>
  <r>
    <d v="2023-07-12T00:00:00"/>
    <x v="6"/>
    <x v="5"/>
    <x v="0"/>
    <x v="2826"/>
    <x v="2968"/>
    <s v="Card"/>
    <s v="REV102873"/>
    <x v="1"/>
  </r>
  <r>
    <d v="2023-07-12T00:00:00"/>
    <x v="6"/>
    <x v="5"/>
    <x v="1"/>
    <x v="2952"/>
    <x v="2969"/>
    <s v="Bank Transfer"/>
    <s v="REV102889"/>
    <x v="1"/>
  </r>
  <r>
    <d v="2023-07-12T00:00:00"/>
    <x v="6"/>
    <x v="6"/>
    <x v="0"/>
    <x v="2308"/>
    <x v="241"/>
    <s v="Card"/>
    <s v="REV103370"/>
    <x v="1"/>
  </r>
  <r>
    <d v="2023-07-13T00:00:00"/>
    <x v="6"/>
    <x v="1"/>
    <x v="0"/>
    <x v="2953"/>
    <x v="2970"/>
    <s v="Card"/>
    <s v="TXN101416"/>
    <x v="0"/>
  </r>
  <r>
    <d v="2023-07-13T00:00:00"/>
    <x v="6"/>
    <x v="1"/>
    <x v="4"/>
    <x v="2954"/>
    <x v="2971"/>
    <s v="Bank Transfer"/>
    <s v="TXN102278"/>
    <x v="0"/>
  </r>
  <r>
    <d v="2023-07-13T00:00:00"/>
    <x v="6"/>
    <x v="3"/>
    <x v="4"/>
    <x v="967"/>
    <x v="2972"/>
    <s v="Card"/>
    <s v="TXN103035"/>
    <x v="0"/>
  </r>
  <r>
    <d v="2023-07-13T00:00:00"/>
    <x v="6"/>
    <x v="4"/>
    <x v="1"/>
    <x v="2955"/>
    <x v="2973"/>
    <s v="Bank Transfer"/>
    <s v="TXN104172"/>
    <x v="0"/>
  </r>
  <r>
    <d v="2023-07-13T00:00:00"/>
    <x v="6"/>
    <x v="4"/>
    <x v="3"/>
    <x v="2956"/>
    <x v="2974"/>
    <s v="Bank Transfer"/>
    <s v="TXN104453"/>
    <x v="0"/>
  </r>
  <r>
    <d v="2023-07-13T00:00:00"/>
    <x v="6"/>
    <x v="7"/>
    <x v="2"/>
    <x v="2957"/>
    <x v="2975"/>
    <s v="Cash"/>
    <s v="TXN105249"/>
    <x v="0"/>
  </r>
  <r>
    <d v="2023-07-13T00:00:00"/>
    <x v="6"/>
    <x v="4"/>
    <x v="3"/>
    <x v="2958"/>
    <x v="2976"/>
    <s v="Bank Transfer"/>
    <s v="TXN105451"/>
    <x v="0"/>
  </r>
  <r>
    <d v="2023-07-13T00:00:00"/>
    <x v="6"/>
    <x v="2"/>
    <x v="1"/>
    <x v="2959"/>
    <x v="2977"/>
    <s v="UPI"/>
    <s v="TXN106520"/>
    <x v="0"/>
  </r>
  <r>
    <d v="2023-07-13T00:00:00"/>
    <x v="6"/>
    <x v="7"/>
    <x v="4"/>
    <x v="2960"/>
    <x v="2978"/>
    <s v="UPI"/>
    <s v="TXN107439"/>
    <x v="0"/>
  </r>
  <r>
    <d v="2023-07-13T00:00:00"/>
    <x v="6"/>
    <x v="6"/>
    <x v="0"/>
    <x v="1121"/>
    <x v="360"/>
    <s v="Bank Transfer"/>
    <s v="REV100519"/>
    <x v="1"/>
  </r>
  <r>
    <d v="2023-07-13T00:00:00"/>
    <x v="6"/>
    <x v="6"/>
    <x v="4"/>
    <x v="2961"/>
    <x v="2979"/>
    <s v="Card"/>
    <s v="REV100806"/>
    <x v="1"/>
  </r>
  <r>
    <d v="2023-07-13T00:00:00"/>
    <x v="6"/>
    <x v="6"/>
    <x v="4"/>
    <x v="2962"/>
    <x v="1424"/>
    <s v="UPI"/>
    <s v="REV101050"/>
    <x v="1"/>
  </r>
  <r>
    <d v="2023-07-13T00:00:00"/>
    <x v="6"/>
    <x v="6"/>
    <x v="1"/>
    <x v="885"/>
    <x v="1441"/>
    <s v="Card"/>
    <s v="REV101448"/>
    <x v="1"/>
  </r>
  <r>
    <d v="2023-07-13T00:00:00"/>
    <x v="6"/>
    <x v="6"/>
    <x v="3"/>
    <x v="456"/>
    <x v="2980"/>
    <s v="Card"/>
    <s v="REV101533"/>
    <x v="1"/>
  </r>
  <r>
    <d v="2023-07-13T00:00:00"/>
    <x v="6"/>
    <x v="5"/>
    <x v="2"/>
    <x v="725"/>
    <x v="1029"/>
    <s v="Card"/>
    <s v="REV101778"/>
    <x v="1"/>
  </r>
  <r>
    <d v="2023-07-13T00:00:00"/>
    <x v="6"/>
    <x v="5"/>
    <x v="3"/>
    <x v="770"/>
    <x v="1694"/>
    <s v="Card"/>
    <s v="REV101858"/>
    <x v="1"/>
  </r>
  <r>
    <d v="2023-07-13T00:00:00"/>
    <x v="6"/>
    <x v="5"/>
    <x v="1"/>
    <x v="2963"/>
    <x v="935"/>
    <s v="Bank Transfer"/>
    <s v="REV102211"/>
    <x v="1"/>
  </r>
  <r>
    <d v="2023-07-13T00:00:00"/>
    <x v="6"/>
    <x v="5"/>
    <x v="4"/>
    <x v="2190"/>
    <x v="2981"/>
    <s v="Bank Transfer"/>
    <s v="REV102525"/>
    <x v="1"/>
  </r>
  <r>
    <d v="2023-07-14T00:00:00"/>
    <x v="6"/>
    <x v="7"/>
    <x v="0"/>
    <x v="2964"/>
    <x v="2982"/>
    <s v="Card"/>
    <s v="TXN100519"/>
    <x v="0"/>
  </r>
  <r>
    <d v="2023-07-14T00:00:00"/>
    <x v="6"/>
    <x v="0"/>
    <x v="4"/>
    <x v="2965"/>
    <x v="2983"/>
    <s v="Card"/>
    <s v="TXN100923"/>
    <x v="0"/>
  </r>
  <r>
    <d v="2023-07-14T00:00:00"/>
    <x v="6"/>
    <x v="2"/>
    <x v="3"/>
    <x v="2966"/>
    <x v="2984"/>
    <s v="Bank Transfer"/>
    <s v="TXN103135"/>
    <x v="0"/>
  </r>
  <r>
    <d v="2023-07-14T00:00:00"/>
    <x v="6"/>
    <x v="4"/>
    <x v="1"/>
    <x v="2967"/>
    <x v="2985"/>
    <s v="Bank Transfer"/>
    <s v="TXN103336"/>
    <x v="0"/>
  </r>
  <r>
    <d v="2023-07-14T00:00:00"/>
    <x v="6"/>
    <x v="7"/>
    <x v="3"/>
    <x v="2968"/>
    <x v="2986"/>
    <s v="Bank Transfer"/>
    <s v="TXN103437"/>
    <x v="0"/>
  </r>
  <r>
    <d v="2023-07-14T00:00:00"/>
    <x v="6"/>
    <x v="0"/>
    <x v="3"/>
    <x v="2969"/>
    <x v="2987"/>
    <s v="UPI"/>
    <s v="TXN103526"/>
    <x v="0"/>
  </r>
  <r>
    <d v="2023-07-14T00:00:00"/>
    <x v="6"/>
    <x v="2"/>
    <x v="0"/>
    <x v="2970"/>
    <x v="2988"/>
    <s v="UPI"/>
    <s v="TXN103723"/>
    <x v="0"/>
  </r>
  <r>
    <d v="2023-07-14T00:00:00"/>
    <x v="6"/>
    <x v="2"/>
    <x v="4"/>
    <x v="2971"/>
    <x v="2989"/>
    <s v="Cash"/>
    <s v="TXN104610"/>
    <x v="0"/>
  </r>
  <r>
    <d v="2023-07-14T00:00:00"/>
    <x v="6"/>
    <x v="2"/>
    <x v="3"/>
    <x v="2972"/>
    <x v="2990"/>
    <s v="Bank Transfer"/>
    <s v="TXN105175"/>
    <x v="0"/>
  </r>
  <r>
    <d v="2023-07-14T00:00:00"/>
    <x v="6"/>
    <x v="1"/>
    <x v="1"/>
    <x v="2973"/>
    <x v="2991"/>
    <s v="Bank Transfer"/>
    <s v="TXN106559"/>
    <x v="0"/>
  </r>
  <r>
    <d v="2023-07-14T00:00:00"/>
    <x v="6"/>
    <x v="4"/>
    <x v="4"/>
    <x v="2974"/>
    <x v="2992"/>
    <s v="Bank Transfer"/>
    <s v="TXN107605"/>
    <x v="0"/>
  </r>
  <r>
    <d v="2023-07-14T00:00:00"/>
    <x v="6"/>
    <x v="0"/>
    <x v="2"/>
    <x v="2975"/>
    <x v="2993"/>
    <s v="UPI"/>
    <s v="TXN109034"/>
    <x v="0"/>
  </r>
  <r>
    <d v="2023-07-14T00:00:00"/>
    <x v="6"/>
    <x v="5"/>
    <x v="0"/>
    <x v="2112"/>
    <x v="1047"/>
    <s v="Bank Transfer"/>
    <s v="REV100202"/>
    <x v="1"/>
  </r>
  <r>
    <d v="2023-07-14T00:00:00"/>
    <x v="6"/>
    <x v="5"/>
    <x v="4"/>
    <x v="2136"/>
    <x v="2994"/>
    <s v="UPI"/>
    <s v="REV100340"/>
    <x v="1"/>
  </r>
  <r>
    <d v="2023-07-14T00:00:00"/>
    <x v="6"/>
    <x v="5"/>
    <x v="3"/>
    <x v="1107"/>
    <x v="774"/>
    <s v="UPI"/>
    <s v="REV101080"/>
    <x v="1"/>
  </r>
  <r>
    <d v="2023-07-14T00:00:00"/>
    <x v="6"/>
    <x v="5"/>
    <x v="1"/>
    <x v="565"/>
    <x v="2056"/>
    <s v="Card"/>
    <s v="REV101148"/>
    <x v="1"/>
  </r>
  <r>
    <d v="2023-07-14T00:00:00"/>
    <x v="6"/>
    <x v="5"/>
    <x v="3"/>
    <x v="2572"/>
    <x v="2995"/>
    <s v="Card"/>
    <s v="REV101178"/>
    <x v="1"/>
  </r>
  <r>
    <d v="2023-07-14T00:00:00"/>
    <x v="6"/>
    <x v="5"/>
    <x v="3"/>
    <x v="2354"/>
    <x v="485"/>
    <s v="Bank Transfer"/>
    <s v="REV101201"/>
    <x v="1"/>
  </r>
  <r>
    <d v="2023-07-14T00:00:00"/>
    <x v="6"/>
    <x v="5"/>
    <x v="0"/>
    <x v="2277"/>
    <x v="543"/>
    <s v="Card"/>
    <s v="REV101282"/>
    <x v="1"/>
  </r>
  <r>
    <d v="2023-07-14T00:00:00"/>
    <x v="6"/>
    <x v="5"/>
    <x v="4"/>
    <x v="2976"/>
    <x v="2241"/>
    <s v="UPI"/>
    <s v="REV101575"/>
    <x v="1"/>
  </r>
  <r>
    <d v="2023-07-14T00:00:00"/>
    <x v="6"/>
    <x v="5"/>
    <x v="3"/>
    <x v="2977"/>
    <x v="2494"/>
    <s v="Card"/>
    <s v="REV101754"/>
    <x v="1"/>
  </r>
  <r>
    <d v="2023-07-14T00:00:00"/>
    <x v="6"/>
    <x v="6"/>
    <x v="1"/>
    <x v="2978"/>
    <x v="2996"/>
    <s v="UPI"/>
    <s v="REV102226"/>
    <x v="1"/>
  </r>
  <r>
    <d v="2023-07-14T00:00:00"/>
    <x v="6"/>
    <x v="5"/>
    <x v="4"/>
    <x v="2979"/>
    <x v="950"/>
    <s v="Bank Transfer"/>
    <s v="REV102582"/>
    <x v="1"/>
  </r>
  <r>
    <d v="2023-07-14T00:00:00"/>
    <x v="6"/>
    <x v="5"/>
    <x v="2"/>
    <x v="1582"/>
    <x v="2997"/>
    <s v="UPI"/>
    <s v="REV103057"/>
    <x v="1"/>
  </r>
  <r>
    <d v="2023-07-15T00:00:00"/>
    <x v="6"/>
    <x v="4"/>
    <x v="2"/>
    <x v="2980"/>
    <x v="2998"/>
    <s v="Cash"/>
    <s v="TXN101130"/>
    <x v="0"/>
  </r>
  <r>
    <d v="2023-07-15T00:00:00"/>
    <x v="6"/>
    <x v="2"/>
    <x v="2"/>
    <x v="2981"/>
    <x v="2999"/>
    <s v="Card"/>
    <s v="TXN102132"/>
    <x v="0"/>
  </r>
  <r>
    <d v="2023-07-15T00:00:00"/>
    <x v="6"/>
    <x v="0"/>
    <x v="1"/>
    <x v="2982"/>
    <x v="3000"/>
    <s v="UPI"/>
    <s v="TXN102558"/>
    <x v="0"/>
  </r>
  <r>
    <d v="2023-07-15T00:00:00"/>
    <x v="6"/>
    <x v="0"/>
    <x v="1"/>
    <x v="2983"/>
    <x v="3001"/>
    <s v="Card"/>
    <s v="TXN103694"/>
    <x v="0"/>
  </r>
  <r>
    <d v="2023-07-15T00:00:00"/>
    <x v="6"/>
    <x v="4"/>
    <x v="4"/>
    <x v="2984"/>
    <x v="3002"/>
    <s v="Bank Transfer"/>
    <s v="TXN103877"/>
    <x v="0"/>
  </r>
  <r>
    <d v="2023-07-15T00:00:00"/>
    <x v="6"/>
    <x v="0"/>
    <x v="1"/>
    <x v="2985"/>
    <x v="3003"/>
    <s v="UPI"/>
    <s v="TXN104236"/>
    <x v="0"/>
  </r>
  <r>
    <d v="2023-07-15T00:00:00"/>
    <x v="6"/>
    <x v="0"/>
    <x v="1"/>
    <x v="2986"/>
    <x v="3004"/>
    <s v="Bank Transfer"/>
    <s v="TXN105564"/>
    <x v="0"/>
  </r>
  <r>
    <d v="2023-07-15T00:00:00"/>
    <x v="6"/>
    <x v="0"/>
    <x v="4"/>
    <x v="1854"/>
    <x v="3005"/>
    <s v="Card"/>
    <s v="TXN106495"/>
    <x v="0"/>
  </r>
  <r>
    <d v="2023-07-15T00:00:00"/>
    <x v="6"/>
    <x v="2"/>
    <x v="2"/>
    <x v="2987"/>
    <x v="3006"/>
    <s v="UPI"/>
    <s v="TXN107712"/>
    <x v="0"/>
  </r>
  <r>
    <d v="2023-07-15T00:00:00"/>
    <x v="6"/>
    <x v="2"/>
    <x v="2"/>
    <x v="2988"/>
    <x v="3007"/>
    <s v="Bank Transfer"/>
    <s v="TXN107783"/>
    <x v="0"/>
  </r>
  <r>
    <d v="2023-07-15T00:00:00"/>
    <x v="6"/>
    <x v="3"/>
    <x v="0"/>
    <x v="2989"/>
    <x v="3008"/>
    <s v="Bank Transfer"/>
    <s v="TXN108469"/>
    <x v="0"/>
  </r>
  <r>
    <d v="2023-07-15T00:00:00"/>
    <x v="6"/>
    <x v="0"/>
    <x v="2"/>
    <x v="2990"/>
    <x v="3009"/>
    <s v="Cash"/>
    <s v="TXN109608"/>
    <x v="0"/>
  </r>
  <r>
    <d v="2023-07-15T00:00:00"/>
    <x v="6"/>
    <x v="5"/>
    <x v="2"/>
    <x v="2771"/>
    <x v="3010"/>
    <s v="Bank Transfer"/>
    <s v="REV100416"/>
    <x v="1"/>
  </r>
  <r>
    <d v="2023-07-15T00:00:00"/>
    <x v="6"/>
    <x v="5"/>
    <x v="2"/>
    <x v="398"/>
    <x v="1052"/>
    <s v="Bank Transfer"/>
    <s v="REV100759"/>
    <x v="1"/>
  </r>
  <r>
    <d v="2023-07-15T00:00:00"/>
    <x v="6"/>
    <x v="5"/>
    <x v="1"/>
    <x v="2991"/>
    <x v="3011"/>
    <s v="Card"/>
    <s v="REV100898"/>
    <x v="1"/>
  </r>
  <r>
    <d v="2023-07-15T00:00:00"/>
    <x v="6"/>
    <x v="5"/>
    <x v="1"/>
    <x v="393"/>
    <x v="2017"/>
    <s v="Card"/>
    <s v="REV101268"/>
    <x v="1"/>
  </r>
  <r>
    <d v="2023-07-15T00:00:00"/>
    <x v="6"/>
    <x v="5"/>
    <x v="4"/>
    <x v="1294"/>
    <x v="2866"/>
    <s v="Card"/>
    <s v="REV101337"/>
    <x v="1"/>
  </r>
  <r>
    <d v="2023-07-15T00:00:00"/>
    <x v="6"/>
    <x v="5"/>
    <x v="1"/>
    <x v="2992"/>
    <x v="1045"/>
    <s v="Bank Transfer"/>
    <s v="REV101469"/>
    <x v="1"/>
  </r>
  <r>
    <d v="2023-07-15T00:00:00"/>
    <x v="6"/>
    <x v="5"/>
    <x v="1"/>
    <x v="436"/>
    <x v="1829"/>
    <s v="Bank Transfer"/>
    <s v="REV101898"/>
    <x v="1"/>
  </r>
  <r>
    <d v="2023-07-15T00:00:00"/>
    <x v="6"/>
    <x v="6"/>
    <x v="4"/>
    <x v="2993"/>
    <x v="992"/>
    <s v="Bank Transfer"/>
    <s v="REV102202"/>
    <x v="1"/>
  </r>
  <r>
    <d v="2023-07-15T00:00:00"/>
    <x v="6"/>
    <x v="5"/>
    <x v="2"/>
    <x v="2903"/>
    <x v="719"/>
    <s v="Card"/>
    <s v="REV102627"/>
    <x v="1"/>
  </r>
  <r>
    <d v="2023-07-15T00:00:00"/>
    <x v="6"/>
    <x v="6"/>
    <x v="2"/>
    <x v="2994"/>
    <x v="3012"/>
    <s v="UPI"/>
    <s v="REV102646"/>
    <x v="1"/>
  </r>
  <r>
    <d v="2023-07-15T00:00:00"/>
    <x v="6"/>
    <x v="6"/>
    <x v="0"/>
    <x v="2439"/>
    <x v="3013"/>
    <s v="Bank Transfer"/>
    <s v="REV102868"/>
    <x v="1"/>
  </r>
  <r>
    <d v="2023-07-15T00:00:00"/>
    <x v="6"/>
    <x v="6"/>
    <x v="2"/>
    <x v="2995"/>
    <x v="2306"/>
    <s v="Bank Transfer"/>
    <s v="REV103248"/>
    <x v="1"/>
  </r>
  <r>
    <d v="2023-07-16T00:00:00"/>
    <x v="6"/>
    <x v="2"/>
    <x v="2"/>
    <x v="2996"/>
    <x v="3014"/>
    <s v="Bank Transfer"/>
    <s v="TXN102077"/>
    <x v="0"/>
  </r>
  <r>
    <d v="2023-07-16T00:00:00"/>
    <x v="6"/>
    <x v="4"/>
    <x v="3"/>
    <x v="2997"/>
    <x v="3015"/>
    <s v="Cash"/>
    <s v="TXN104302"/>
    <x v="0"/>
  </r>
  <r>
    <d v="2023-07-16T00:00:00"/>
    <x v="6"/>
    <x v="7"/>
    <x v="3"/>
    <x v="2998"/>
    <x v="3016"/>
    <s v="UPI"/>
    <s v="TXN105553"/>
    <x v="0"/>
  </r>
  <r>
    <d v="2023-07-16T00:00:00"/>
    <x v="6"/>
    <x v="0"/>
    <x v="3"/>
    <x v="2999"/>
    <x v="3017"/>
    <s v="UPI"/>
    <s v="TXN106140"/>
    <x v="0"/>
  </r>
  <r>
    <d v="2023-07-16T00:00:00"/>
    <x v="6"/>
    <x v="5"/>
    <x v="2"/>
    <x v="648"/>
    <x v="3018"/>
    <s v="Card"/>
    <s v="REV100739"/>
    <x v="1"/>
  </r>
  <r>
    <d v="2023-07-16T00:00:00"/>
    <x v="6"/>
    <x v="5"/>
    <x v="3"/>
    <x v="139"/>
    <x v="50"/>
    <s v="Bank Transfer"/>
    <s v="REV101490"/>
    <x v="1"/>
  </r>
  <r>
    <d v="2023-07-16T00:00:00"/>
    <x v="6"/>
    <x v="5"/>
    <x v="3"/>
    <x v="2693"/>
    <x v="3019"/>
    <s v="Bank Transfer"/>
    <s v="REV101893"/>
    <x v="1"/>
  </r>
  <r>
    <d v="2023-07-16T00:00:00"/>
    <x v="6"/>
    <x v="5"/>
    <x v="3"/>
    <x v="3000"/>
    <x v="745"/>
    <s v="Bank Transfer"/>
    <s v="REV102072"/>
    <x v="1"/>
  </r>
  <r>
    <d v="2023-07-17T00:00:00"/>
    <x v="6"/>
    <x v="4"/>
    <x v="4"/>
    <x v="2329"/>
    <x v="3020"/>
    <s v="Cash"/>
    <s v="TXN100257"/>
    <x v="0"/>
  </r>
  <r>
    <d v="2023-07-17T00:00:00"/>
    <x v="6"/>
    <x v="1"/>
    <x v="1"/>
    <x v="3001"/>
    <x v="3021"/>
    <s v="Cash"/>
    <s v="TXN102263"/>
    <x v="0"/>
  </r>
  <r>
    <d v="2023-07-17T00:00:00"/>
    <x v="6"/>
    <x v="3"/>
    <x v="2"/>
    <x v="3002"/>
    <x v="3022"/>
    <s v="Bank Transfer"/>
    <s v="TXN103252"/>
    <x v="0"/>
  </r>
  <r>
    <d v="2023-07-17T00:00:00"/>
    <x v="6"/>
    <x v="4"/>
    <x v="1"/>
    <x v="3003"/>
    <x v="3023"/>
    <s v="Bank Transfer"/>
    <s v="TXN103733"/>
    <x v="0"/>
  </r>
  <r>
    <d v="2023-07-17T00:00:00"/>
    <x v="6"/>
    <x v="4"/>
    <x v="1"/>
    <x v="3004"/>
    <x v="3024"/>
    <s v="Bank Transfer"/>
    <s v="TXN106364"/>
    <x v="0"/>
  </r>
  <r>
    <d v="2023-07-17T00:00:00"/>
    <x v="6"/>
    <x v="6"/>
    <x v="4"/>
    <x v="3005"/>
    <x v="3025"/>
    <s v="Bank Transfer"/>
    <s v="REV100091"/>
    <x v="1"/>
  </r>
  <r>
    <d v="2023-07-17T00:00:00"/>
    <x v="6"/>
    <x v="6"/>
    <x v="1"/>
    <x v="3006"/>
    <x v="3026"/>
    <s v="Bank Transfer"/>
    <s v="REV100800"/>
    <x v="1"/>
  </r>
  <r>
    <d v="2023-07-17T00:00:00"/>
    <x v="6"/>
    <x v="6"/>
    <x v="2"/>
    <x v="3007"/>
    <x v="3027"/>
    <s v="Bank Transfer"/>
    <s v="REV101117"/>
    <x v="1"/>
  </r>
  <r>
    <d v="2023-07-17T00:00:00"/>
    <x v="6"/>
    <x v="5"/>
    <x v="1"/>
    <x v="3008"/>
    <x v="3028"/>
    <s v="Bank Transfer"/>
    <s v="REV101286"/>
    <x v="1"/>
  </r>
  <r>
    <d v="2023-07-17T00:00:00"/>
    <x v="6"/>
    <x v="5"/>
    <x v="1"/>
    <x v="1319"/>
    <x v="3029"/>
    <s v="Card"/>
    <s v="REV102149"/>
    <x v="1"/>
  </r>
  <r>
    <d v="2023-07-18T00:00:00"/>
    <x v="6"/>
    <x v="4"/>
    <x v="4"/>
    <x v="3009"/>
    <x v="3030"/>
    <s v="Cash"/>
    <s v="TXN100174"/>
    <x v="0"/>
  </r>
  <r>
    <d v="2023-07-18T00:00:00"/>
    <x v="6"/>
    <x v="4"/>
    <x v="1"/>
    <x v="3010"/>
    <x v="3031"/>
    <s v="Bank Transfer"/>
    <s v="TXN100480"/>
    <x v="0"/>
  </r>
  <r>
    <d v="2023-07-18T00:00:00"/>
    <x v="6"/>
    <x v="7"/>
    <x v="2"/>
    <x v="3011"/>
    <x v="3032"/>
    <s v="Cash"/>
    <s v="TXN100515"/>
    <x v="0"/>
  </r>
  <r>
    <d v="2023-07-18T00:00:00"/>
    <x v="6"/>
    <x v="1"/>
    <x v="1"/>
    <x v="3012"/>
    <x v="3033"/>
    <s v="Card"/>
    <s v="TXN102258"/>
    <x v="0"/>
  </r>
  <r>
    <d v="2023-07-18T00:00:00"/>
    <x v="6"/>
    <x v="0"/>
    <x v="2"/>
    <x v="3013"/>
    <x v="3034"/>
    <s v="Cash"/>
    <s v="TXN102776"/>
    <x v="0"/>
  </r>
  <r>
    <d v="2023-07-18T00:00:00"/>
    <x v="6"/>
    <x v="3"/>
    <x v="3"/>
    <x v="3014"/>
    <x v="3035"/>
    <s v="Bank Transfer"/>
    <s v="TXN102784"/>
    <x v="0"/>
  </r>
  <r>
    <d v="2023-07-18T00:00:00"/>
    <x v="6"/>
    <x v="4"/>
    <x v="0"/>
    <x v="3015"/>
    <x v="3036"/>
    <s v="Card"/>
    <s v="TXN105388"/>
    <x v="0"/>
  </r>
  <r>
    <d v="2023-07-18T00:00:00"/>
    <x v="6"/>
    <x v="7"/>
    <x v="3"/>
    <x v="3016"/>
    <x v="3037"/>
    <s v="Card"/>
    <s v="TXN106104"/>
    <x v="0"/>
  </r>
  <r>
    <d v="2023-07-18T00:00:00"/>
    <x v="6"/>
    <x v="2"/>
    <x v="3"/>
    <x v="3017"/>
    <x v="3038"/>
    <s v="Card"/>
    <s v="TXN106240"/>
    <x v="0"/>
  </r>
  <r>
    <d v="2023-07-18T00:00:00"/>
    <x v="6"/>
    <x v="1"/>
    <x v="4"/>
    <x v="3018"/>
    <x v="3039"/>
    <s v="Bank Transfer"/>
    <s v="TXN106434"/>
    <x v="0"/>
  </r>
  <r>
    <d v="2023-07-18T00:00:00"/>
    <x v="6"/>
    <x v="2"/>
    <x v="4"/>
    <x v="3019"/>
    <x v="3040"/>
    <s v="UPI"/>
    <s v="TXN106641"/>
    <x v="0"/>
  </r>
  <r>
    <d v="2023-07-18T00:00:00"/>
    <x v="6"/>
    <x v="1"/>
    <x v="2"/>
    <x v="3020"/>
    <x v="3041"/>
    <s v="Cash"/>
    <s v="TXN107944"/>
    <x v="0"/>
  </r>
  <r>
    <d v="2023-07-18T00:00:00"/>
    <x v="6"/>
    <x v="1"/>
    <x v="2"/>
    <x v="3021"/>
    <x v="3042"/>
    <s v="Cash"/>
    <s v="TXN108554"/>
    <x v="0"/>
  </r>
  <r>
    <d v="2023-07-18T00:00:00"/>
    <x v="6"/>
    <x v="2"/>
    <x v="1"/>
    <x v="3022"/>
    <x v="3043"/>
    <s v="Cash"/>
    <s v="TXN109896"/>
    <x v="0"/>
  </r>
  <r>
    <d v="2023-07-18T00:00:00"/>
    <x v="6"/>
    <x v="6"/>
    <x v="4"/>
    <x v="572"/>
    <x v="445"/>
    <s v="UPI"/>
    <s v="REV100063"/>
    <x v="1"/>
  </r>
  <r>
    <d v="2023-07-18T00:00:00"/>
    <x v="6"/>
    <x v="5"/>
    <x v="1"/>
    <x v="3023"/>
    <x v="1942"/>
    <s v="UPI"/>
    <s v="REV100183"/>
    <x v="1"/>
  </r>
  <r>
    <d v="2023-07-18T00:00:00"/>
    <x v="6"/>
    <x v="5"/>
    <x v="2"/>
    <x v="762"/>
    <x v="1355"/>
    <s v="Bank Transfer"/>
    <s v="REV100199"/>
    <x v="1"/>
  </r>
  <r>
    <d v="2023-07-18T00:00:00"/>
    <x v="6"/>
    <x v="5"/>
    <x v="1"/>
    <x v="1736"/>
    <x v="1853"/>
    <s v="Card"/>
    <s v="REV100797"/>
    <x v="1"/>
  </r>
  <r>
    <d v="2023-07-18T00:00:00"/>
    <x v="6"/>
    <x v="6"/>
    <x v="2"/>
    <x v="3024"/>
    <x v="3044"/>
    <s v="UPI"/>
    <s v="REV100973"/>
    <x v="1"/>
  </r>
  <r>
    <d v="2023-07-18T00:00:00"/>
    <x v="6"/>
    <x v="5"/>
    <x v="3"/>
    <x v="573"/>
    <x v="3045"/>
    <s v="Bank Transfer"/>
    <s v="REV100977"/>
    <x v="1"/>
  </r>
  <r>
    <d v="2023-07-18T00:00:00"/>
    <x v="6"/>
    <x v="6"/>
    <x v="0"/>
    <x v="1384"/>
    <x v="425"/>
    <s v="Card"/>
    <s v="REV101831"/>
    <x v="1"/>
  </r>
  <r>
    <d v="2023-07-18T00:00:00"/>
    <x v="6"/>
    <x v="6"/>
    <x v="3"/>
    <x v="393"/>
    <x v="1032"/>
    <s v="UPI"/>
    <s v="REV102060"/>
    <x v="1"/>
  </r>
  <r>
    <d v="2023-07-18T00:00:00"/>
    <x v="6"/>
    <x v="6"/>
    <x v="3"/>
    <x v="50"/>
    <x v="3046"/>
    <s v="Bank Transfer"/>
    <s v="REV102100"/>
    <x v="1"/>
  </r>
  <r>
    <d v="2023-07-18T00:00:00"/>
    <x v="6"/>
    <x v="5"/>
    <x v="4"/>
    <x v="3025"/>
    <x v="428"/>
    <s v="Card"/>
    <s v="REV102176"/>
    <x v="1"/>
  </r>
  <r>
    <d v="2023-07-18T00:00:00"/>
    <x v="6"/>
    <x v="5"/>
    <x v="4"/>
    <x v="3026"/>
    <x v="3047"/>
    <s v="Card"/>
    <s v="REV102258"/>
    <x v="1"/>
  </r>
  <r>
    <d v="2023-07-18T00:00:00"/>
    <x v="6"/>
    <x v="5"/>
    <x v="2"/>
    <x v="2771"/>
    <x v="49"/>
    <s v="Bank Transfer"/>
    <s v="REV102697"/>
    <x v="1"/>
  </r>
  <r>
    <d v="2023-07-18T00:00:00"/>
    <x v="6"/>
    <x v="6"/>
    <x v="2"/>
    <x v="3027"/>
    <x v="3048"/>
    <s v="Bank Transfer"/>
    <s v="REV102901"/>
    <x v="1"/>
  </r>
  <r>
    <d v="2023-07-18T00:00:00"/>
    <x v="6"/>
    <x v="5"/>
    <x v="1"/>
    <x v="3028"/>
    <x v="3049"/>
    <s v="Bank Transfer"/>
    <s v="REV103347"/>
    <x v="1"/>
  </r>
  <r>
    <d v="2023-07-19T00:00:00"/>
    <x v="6"/>
    <x v="0"/>
    <x v="1"/>
    <x v="3029"/>
    <x v="3050"/>
    <s v="Card"/>
    <s v="TXN100090"/>
    <x v="0"/>
  </r>
  <r>
    <d v="2023-07-19T00:00:00"/>
    <x v="6"/>
    <x v="2"/>
    <x v="1"/>
    <x v="3030"/>
    <x v="3051"/>
    <s v="Cash"/>
    <s v="TXN102283"/>
    <x v="0"/>
  </r>
  <r>
    <d v="2023-07-19T00:00:00"/>
    <x v="6"/>
    <x v="3"/>
    <x v="4"/>
    <x v="3031"/>
    <x v="3052"/>
    <s v="Cash"/>
    <s v="TXN102554"/>
    <x v="0"/>
  </r>
  <r>
    <d v="2023-07-19T00:00:00"/>
    <x v="6"/>
    <x v="0"/>
    <x v="3"/>
    <x v="3032"/>
    <x v="3053"/>
    <s v="UPI"/>
    <s v="TXN102953"/>
    <x v="0"/>
  </r>
  <r>
    <d v="2023-07-19T00:00:00"/>
    <x v="6"/>
    <x v="4"/>
    <x v="1"/>
    <x v="3033"/>
    <x v="3054"/>
    <s v="UPI"/>
    <s v="TXN103430"/>
    <x v="0"/>
  </r>
  <r>
    <d v="2023-07-19T00:00:00"/>
    <x v="6"/>
    <x v="7"/>
    <x v="1"/>
    <x v="3034"/>
    <x v="3055"/>
    <s v="UPI"/>
    <s v="TXN104529"/>
    <x v="0"/>
  </r>
  <r>
    <d v="2023-07-19T00:00:00"/>
    <x v="6"/>
    <x v="7"/>
    <x v="4"/>
    <x v="3035"/>
    <x v="3056"/>
    <s v="Card"/>
    <s v="TXN104773"/>
    <x v="0"/>
  </r>
  <r>
    <d v="2023-07-19T00:00:00"/>
    <x v="6"/>
    <x v="2"/>
    <x v="2"/>
    <x v="3036"/>
    <x v="3057"/>
    <s v="Card"/>
    <s v="TXN107942"/>
    <x v="0"/>
  </r>
  <r>
    <d v="2023-07-19T00:00:00"/>
    <x v="6"/>
    <x v="0"/>
    <x v="4"/>
    <x v="3037"/>
    <x v="3058"/>
    <s v="UPI"/>
    <s v="TXN108775"/>
    <x v="0"/>
  </r>
  <r>
    <d v="2023-07-19T00:00:00"/>
    <x v="6"/>
    <x v="5"/>
    <x v="1"/>
    <x v="2524"/>
    <x v="798"/>
    <s v="Card"/>
    <s v="REV100032"/>
    <x v="1"/>
  </r>
  <r>
    <d v="2023-07-19T00:00:00"/>
    <x v="6"/>
    <x v="5"/>
    <x v="1"/>
    <x v="265"/>
    <x v="3059"/>
    <s v="Card"/>
    <s v="REV100807"/>
    <x v="1"/>
  </r>
  <r>
    <d v="2023-07-19T00:00:00"/>
    <x v="6"/>
    <x v="6"/>
    <x v="4"/>
    <x v="3038"/>
    <x v="2842"/>
    <s v="UPI"/>
    <s v="REV100894"/>
    <x v="1"/>
  </r>
  <r>
    <d v="2023-07-19T00:00:00"/>
    <x v="6"/>
    <x v="5"/>
    <x v="3"/>
    <x v="1690"/>
    <x v="2415"/>
    <s v="Card"/>
    <s v="REV101027"/>
    <x v="1"/>
  </r>
  <r>
    <d v="2023-07-19T00:00:00"/>
    <x v="6"/>
    <x v="5"/>
    <x v="1"/>
    <x v="927"/>
    <x v="269"/>
    <s v="Bank Transfer"/>
    <s v="REV101176"/>
    <x v="1"/>
  </r>
  <r>
    <d v="2023-07-19T00:00:00"/>
    <x v="6"/>
    <x v="6"/>
    <x v="1"/>
    <x v="178"/>
    <x v="1761"/>
    <s v="Bank Transfer"/>
    <s v="REV101555"/>
    <x v="1"/>
  </r>
  <r>
    <d v="2023-07-19T00:00:00"/>
    <x v="6"/>
    <x v="5"/>
    <x v="4"/>
    <x v="3039"/>
    <x v="3060"/>
    <s v="Bank Transfer"/>
    <s v="REV101628"/>
    <x v="1"/>
  </r>
  <r>
    <d v="2023-07-19T00:00:00"/>
    <x v="6"/>
    <x v="5"/>
    <x v="2"/>
    <x v="849"/>
    <x v="2536"/>
    <s v="Card"/>
    <s v="REV102695"/>
    <x v="1"/>
  </r>
  <r>
    <d v="2023-07-19T00:00:00"/>
    <x v="6"/>
    <x v="6"/>
    <x v="4"/>
    <x v="1067"/>
    <x v="570"/>
    <s v="UPI"/>
    <s v="REV102979"/>
    <x v="1"/>
  </r>
  <r>
    <d v="2023-07-20T00:00:00"/>
    <x v="6"/>
    <x v="1"/>
    <x v="4"/>
    <x v="3040"/>
    <x v="3061"/>
    <s v="Cash"/>
    <s v="TXN101778"/>
    <x v="0"/>
  </r>
  <r>
    <d v="2023-07-20T00:00:00"/>
    <x v="6"/>
    <x v="0"/>
    <x v="1"/>
    <x v="3041"/>
    <x v="3062"/>
    <s v="Cash"/>
    <s v="TXN102122"/>
    <x v="0"/>
  </r>
  <r>
    <d v="2023-07-20T00:00:00"/>
    <x v="6"/>
    <x v="3"/>
    <x v="3"/>
    <x v="3042"/>
    <x v="3063"/>
    <s v="UPI"/>
    <s v="TXN102313"/>
    <x v="0"/>
  </r>
  <r>
    <d v="2023-07-20T00:00:00"/>
    <x v="6"/>
    <x v="7"/>
    <x v="4"/>
    <x v="3043"/>
    <x v="3064"/>
    <s v="UPI"/>
    <s v="TXN103709"/>
    <x v="0"/>
  </r>
  <r>
    <d v="2023-07-20T00:00:00"/>
    <x v="6"/>
    <x v="4"/>
    <x v="0"/>
    <x v="3044"/>
    <x v="3065"/>
    <s v="Cash"/>
    <s v="TXN106298"/>
    <x v="0"/>
  </r>
  <r>
    <d v="2023-07-20T00:00:00"/>
    <x v="6"/>
    <x v="0"/>
    <x v="0"/>
    <x v="3045"/>
    <x v="3066"/>
    <s v="UPI"/>
    <s v="TXN108348"/>
    <x v="0"/>
  </r>
  <r>
    <d v="2023-07-20T00:00:00"/>
    <x v="6"/>
    <x v="1"/>
    <x v="1"/>
    <x v="3046"/>
    <x v="3067"/>
    <s v="Bank Transfer"/>
    <s v="TXN109553"/>
    <x v="0"/>
  </r>
  <r>
    <d v="2023-07-20T00:00:00"/>
    <x v="6"/>
    <x v="5"/>
    <x v="4"/>
    <x v="692"/>
    <x v="3068"/>
    <s v="Bank Transfer"/>
    <s v="REV100646"/>
    <x v="1"/>
  </r>
  <r>
    <d v="2023-07-20T00:00:00"/>
    <x v="6"/>
    <x v="5"/>
    <x v="1"/>
    <x v="3047"/>
    <x v="2150"/>
    <s v="Card"/>
    <s v="REV100755"/>
    <x v="1"/>
  </r>
  <r>
    <d v="2023-07-20T00:00:00"/>
    <x v="6"/>
    <x v="6"/>
    <x v="3"/>
    <x v="1928"/>
    <x v="1562"/>
    <s v="Card"/>
    <s v="REV100818"/>
    <x v="1"/>
  </r>
  <r>
    <d v="2023-07-20T00:00:00"/>
    <x v="6"/>
    <x v="5"/>
    <x v="4"/>
    <x v="1053"/>
    <x v="2058"/>
    <s v="Card"/>
    <s v="REV101276"/>
    <x v="1"/>
  </r>
  <r>
    <d v="2023-07-20T00:00:00"/>
    <x v="6"/>
    <x v="5"/>
    <x v="0"/>
    <x v="3048"/>
    <x v="3069"/>
    <s v="Bank Transfer"/>
    <s v="REV102122"/>
    <x v="1"/>
  </r>
  <r>
    <d v="2023-07-20T00:00:00"/>
    <x v="6"/>
    <x v="5"/>
    <x v="0"/>
    <x v="3049"/>
    <x v="3070"/>
    <s v="Bank Transfer"/>
    <s v="REV102839"/>
    <x v="1"/>
  </r>
  <r>
    <d v="2023-07-20T00:00:00"/>
    <x v="6"/>
    <x v="6"/>
    <x v="1"/>
    <x v="484"/>
    <x v="246"/>
    <s v="Bank Transfer"/>
    <s v="REV103226"/>
    <x v="1"/>
  </r>
  <r>
    <d v="2023-07-21T00:00:00"/>
    <x v="6"/>
    <x v="4"/>
    <x v="3"/>
    <x v="3050"/>
    <x v="3071"/>
    <s v="UPI"/>
    <s v="TXN101440"/>
    <x v="0"/>
  </r>
  <r>
    <d v="2023-07-21T00:00:00"/>
    <x v="6"/>
    <x v="2"/>
    <x v="2"/>
    <x v="3051"/>
    <x v="3072"/>
    <s v="Bank Transfer"/>
    <s v="TXN102027"/>
    <x v="0"/>
  </r>
  <r>
    <d v="2023-07-21T00:00:00"/>
    <x v="6"/>
    <x v="4"/>
    <x v="4"/>
    <x v="3052"/>
    <x v="3073"/>
    <s v="Bank Transfer"/>
    <s v="TXN103409"/>
    <x v="0"/>
  </r>
  <r>
    <d v="2023-07-21T00:00:00"/>
    <x v="6"/>
    <x v="1"/>
    <x v="2"/>
    <x v="3053"/>
    <x v="3074"/>
    <s v="Bank Transfer"/>
    <s v="TXN103845"/>
    <x v="0"/>
  </r>
  <r>
    <d v="2023-07-21T00:00:00"/>
    <x v="6"/>
    <x v="2"/>
    <x v="4"/>
    <x v="3054"/>
    <x v="3075"/>
    <s v="UPI"/>
    <s v="TXN104268"/>
    <x v="0"/>
  </r>
  <r>
    <d v="2023-07-21T00:00:00"/>
    <x v="6"/>
    <x v="7"/>
    <x v="2"/>
    <x v="3055"/>
    <x v="3076"/>
    <s v="Cash"/>
    <s v="TXN105712"/>
    <x v="0"/>
  </r>
  <r>
    <d v="2023-07-21T00:00:00"/>
    <x v="6"/>
    <x v="4"/>
    <x v="4"/>
    <x v="3056"/>
    <x v="3077"/>
    <s v="UPI"/>
    <s v="TXN106954"/>
    <x v="0"/>
  </r>
  <r>
    <d v="2023-07-21T00:00:00"/>
    <x v="6"/>
    <x v="0"/>
    <x v="1"/>
    <x v="3057"/>
    <x v="3078"/>
    <s v="Cash"/>
    <s v="TXN109301"/>
    <x v="0"/>
  </r>
  <r>
    <d v="2023-07-21T00:00:00"/>
    <x v="6"/>
    <x v="1"/>
    <x v="2"/>
    <x v="3058"/>
    <x v="3079"/>
    <s v="UPI"/>
    <s v="TXN109812"/>
    <x v="0"/>
  </r>
  <r>
    <d v="2023-07-21T00:00:00"/>
    <x v="6"/>
    <x v="5"/>
    <x v="3"/>
    <x v="1056"/>
    <x v="1012"/>
    <s v="UPI"/>
    <s v="REV100529"/>
    <x v="1"/>
  </r>
  <r>
    <d v="2023-07-21T00:00:00"/>
    <x v="6"/>
    <x v="5"/>
    <x v="2"/>
    <x v="462"/>
    <x v="2813"/>
    <s v="Bank Transfer"/>
    <s v="REV100720"/>
    <x v="1"/>
  </r>
  <r>
    <d v="2023-07-21T00:00:00"/>
    <x v="6"/>
    <x v="5"/>
    <x v="4"/>
    <x v="3059"/>
    <x v="3080"/>
    <s v="UPI"/>
    <s v="REV101169"/>
    <x v="1"/>
  </r>
  <r>
    <d v="2023-07-21T00:00:00"/>
    <x v="6"/>
    <x v="6"/>
    <x v="2"/>
    <x v="3060"/>
    <x v="96"/>
    <s v="Bank Transfer"/>
    <s v="REV101325"/>
    <x v="1"/>
  </r>
  <r>
    <d v="2023-07-21T00:00:00"/>
    <x v="6"/>
    <x v="5"/>
    <x v="4"/>
    <x v="3061"/>
    <x v="3081"/>
    <s v="Bank Transfer"/>
    <s v="REV101483"/>
    <x v="1"/>
  </r>
  <r>
    <d v="2023-07-21T00:00:00"/>
    <x v="6"/>
    <x v="6"/>
    <x v="2"/>
    <x v="2550"/>
    <x v="640"/>
    <s v="Card"/>
    <s v="REV101944"/>
    <x v="1"/>
  </r>
  <r>
    <d v="2023-07-21T00:00:00"/>
    <x v="6"/>
    <x v="6"/>
    <x v="4"/>
    <x v="1652"/>
    <x v="895"/>
    <s v="Bank Transfer"/>
    <s v="REV102363"/>
    <x v="1"/>
  </r>
  <r>
    <d v="2023-07-21T00:00:00"/>
    <x v="6"/>
    <x v="6"/>
    <x v="1"/>
    <x v="3062"/>
    <x v="480"/>
    <s v="Bank Transfer"/>
    <s v="REV103144"/>
    <x v="1"/>
  </r>
  <r>
    <d v="2023-07-21T00:00:00"/>
    <x v="6"/>
    <x v="5"/>
    <x v="2"/>
    <x v="3063"/>
    <x v="1981"/>
    <s v="Card"/>
    <s v="REV103321"/>
    <x v="1"/>
  </r>
  <r>
    <d v="2023-07-22T00:00:00"/>
    <x v="6"/>
    <x v="3"/>
    <x v="0"/>
    <x v="3064"/>
    <x v="3082"/>
    <s v="Card"/>
    <s v="TXN102541"/>
    <x v="0"/>
  </r>
  <r>
    <d v="2023-07-22T00:00:00"/>
    <x v="6"/>
    <x v="7"/>
    <x v="0"/>
    <x v="3065"/>
    <x v="3083"/>
    <s v="Card"/>
    <s v="TXN108817"/>
    <x v="0"/>
  </r>
  <r>
    <d v="2023-07-22T00:00:00"/>
    <x v="6"/>
    <x v="1"/>
    <x v="0"/>
    <x v="3066"/>
    <x v="3084"/>
    <s v="Cash"/>
    <s v="TXN109416"/>
    <x v="0"/>
  </r>
  <r>
    <d v="2023-07-22T00:00:00"/>
    <x v="6"/>
    <x v="5"/>
    <x v="0"/>
    <x v="1552"/>
    <x v="491"/>
    <s v="Card"/>
    <s v="REV100888"/>
    <x v="1"/>
  </r>
  <r>
    <d v="2023-07-22T00:00:00"/>
    <x v="6"/>
    <x v="6"/>
    <x v="0"/>
    <x v="1466"/>
    <x v="3085"/>
    <s v="Bank Transfer"/>
    <s v="REV102989"/>
    <x v="1"/>
  </r>
  <r>
    <d v="2023-07-22T00:00:00"/>
    <x v="6"/>
    <x v="5"/>
    <x v="0"/>
    <x v="2898"/>
    <x v="2241"/>
    <s v="Bank Transfer"/>
    <s v="REV103181"/>
    <x v="1"/>
  </r>
  <r>
    <d v="2023-07-23T00:00:00"/>
    <x v="6"/>
    <x v="4"/>
    <x v="2"/>
    <x v="3067"/>
    <x v="3086"/>
    <s v="Card"/>
    <s v="TXN100481"/>
    <x v="0"/>
  </r>
  <r>
    <d v="2023-07-23T00:00:00"/>
    <x v="6"/>
    <x v="2"/>
    <x v="4"/>
    <x v="3068"/>
    <x v="3087"/>
    <s v="Cash"/>
    <s v="TXN100970"/>
    <x v="0"/>
  </r>
  <r>
    <d v="2023-07-23T00:00:00"/>
    <x v="6"/>
    <x v="0"/>
    <x v="0"/>
    <x v="3069"/>
    <x v="3088"/>
    <s v="Bank Transfer"/>
    <s v="TXN100998"/>
    <x v="0"/>
  </r>
  <r>
    <d v="2023-07-23T00:00:00"/>
    <x v="6"/>
    <x v="2"/>
    <x v="3"/>
    <x v="3070"/>
    <x v="3089"/>
    <s v="Cash"/>
    <s v="TXN101304"/>
    <x v="0"/>
  </r>
  <r>
    <d v="2023-07-23T00:00:00"/>
    <x v="6"/>
    <x v="2"/>
    <x v="1"/>
    <x v="3071"/>
    <x v="3090"/>
    <s v="Cash"/>
    <s v="TXN102375"/>
    <x v="0"/>
  </r>
  <r>
    <d v="2023-07-23T00:00:00"/>
    <x v="6"/>
    <x v="3"/>
    <x v="2"/>
    <x v="3072"/>
    <x v="3091"/>
    <s v="Bank Transfer"/>
    <s v="TXN103332"/>
    <x v="0"/>
  </r>
  <r>
    <d v="2023-07-23T00:00:00"/>
    <x v="6"/>
    <x v="7"/>
    <x v="1"/>
    <x v="3073"/>
    <x v="3092"/>
    <s v="Card"/>
    <s v="TXN106462"/>
    <x v="0"/>
  </r>
  <r>
    <d v="2023-07-23T00:00:00"/>
    <x v="6"/>
    <x v="2"/>
    <x v="1"/>
    <x v="3074"/>
    <x v="3093"/>
    <s v="Cash"/>
    <s v="TXN107590"/>
    <x v="0"/>
  </r>
  <r>
    <d v="2023-07-23T00:00:00"/>
    <x v="6"/>
    <x v="6"/>
    <x v="2"/>
    <x v="1189"/>
    <x v="1051"/>
    <s v="UPI"/>
    <s v="REV100184"/>
    <x v="1"/>
  </r>
  <r>
    <d v="2023-07-23T00:00:00"/>
    <x v="6"/>
    <x v="5"/>
    <x v="4"/>
    <x v="296"/>
    <x v="3094"/>
    <s v="Card"/>
    <s v="REV100361"/>
    <x v="1"/>
  </r>
  <r>
    <d v="2023-07-23T00:00:00"/>
    <x v="6"/>
    <x v="6"/>
    <x v="0"/>
    <x v="2150"/>
    <x v="3095"/>
    <s v="Bank Transfer"/>
    <s v="REV100369"/>
    <x v="1"/>
  </r>
  <r>
    <d v="2023-07-23T00:00:00"/>
    <x v="6"/>
    <x v="5"/>
    <x v="3"/>
    <x v="2845"/>
    <x v="3096"/>
    <s v="Bank Transfer"/>
    <s v="REV100480"/>
    <x v="1"/>
  </r>
  <r>
    <d v="2023-07-23T00:00:00"/>
    <x v="6"/>
    <x v="5"/>
    <x v="1"/>
    <x v="2663"/>
    <x v="1070"/>
    <s v="Card"/>
    <s v="REV100838"/>
    <x v="1"/>
  </r>
  <r>
    <d v="2023-07-23T00:00:00"/>
    <x v="6"/>
    <x v="5"/>
    <x v="2"/>
    <x v="82"/>
    <x v="200"/>
    <s v="Card"/>
    <s v="REV101145"/>
    <x v="1"/>
  </r>
  <r>
    <d v="2023-07-23T00:00:00"/>
    <x v="6"/>
    <x v="6"/>
    <x v="1"/>
    <x v="3075"/>
    <x v="3097"/>
    <s v="Bank Transfer"/>
    <s v="REV102189"/>
    <x v="1"/>
  </r>
  <r>
    <d v="2023-07-23T00:00:00"/>
    <x v="6"/>
    <x v="6"/>
    <x v="1"/>
    <x v="3076"/>
    <x v="3098"/>
    <s v="Card"/>
    <s v="REV102577"/>
    <x v="1"/>
  </r>
  <r>
    <d v="2023-07-24T00:00:00"/>
    <x v="6"/>
    <x v="1"/>
    <x v="1"/>
    <x v="3077"/>
    <x v="3099"/>
    <s v="Cash"/>
    <s v="TXN100438"/>
    <x v="0"/>
  </r>
  <r>
    <d v="2023-07-24T00:00:00"/>
    <x v="6"/>
    <x v="4"/>
    <x v="3"/>
    <x v="3078"/>
    <x v="3100"/>
    <s v="Bank Transfer"/>
    <s v="TXN101090"/>
    <x v="0"/>
  </r>
  <r>
    <d v="2023-07-24T00:00:00"/>
    <x v="6"/>
    <x v="2"/>
    <x v="0"/>
    <x v="3079"/>
    <x v="3101"/>
    <s v="Cash"/>
    <s v="TXN106529"/>
    <x v="0"/>
  </r>
  <r>
    <d v="2023-07-24T00:00:00"/>
    <x v="6"/>
    <x v="3"/>
    <x v="0"/>
    <x v="3080"/>
    <x v="3102"/>
    <s v="Card"/>
    <s v="TXN107848"/>
    <x v="0"/>
  </r>
  <r>
    <d v="2023-07-24T00:00:00"/>
    <x v="6"/>
    <x v="1"/>
    <x v="4"/>
    <x v="3081"/>
    <x v="3103"/>
    <s v="Bank Transfer"/>
    <s v="TXN108279"/>
    <x v="0"/>
  </r>
  <r>
    <d v="2023-07-24T00:00:00"/>
    <x v="6"/>
    <x v="2"/>
    <x v="2"/>
    <x v="3082"/>
    <x v="3104"/>
    <s v="Card"/>
    <s v="TXN109965"/>
    <x v="0"/>
  </r>
  <r>
    <d v="2023-07-24T00:00:00"/>
    <x v="6"/>
    <x v="6"/>
    <x v="1"/>
    <x v="2747"/>
    <x v="3105"/>
    <s v="Bank Transfer"/>
    <s v="REV100167"/>
    <x v="1"/>
  </r>
  <r>
    <d v="2023-07-24T00:00:00"/>
    <x v="6"/>
    <x v="5"/>
    <x v="3"/>
    <x v="3083"/>
    <x v="1689"/>
    <s v="Bank Transfer"/>
    <s v="REV100400"/>
    <x v="1"/>
  </r>
  <r>
    <d v="2023-07-24T00:00:00"/>
    <x v="6"/>
    <x v="5"/>
    <x v="0"/>
    <x v="2790"/>
    <x v="600"/>
    <s v="Bank Transfer"/>
    <s v="REV102215"/>
    <x v="1"/>
  </r>
  <r>
    <d v="2023-07-24T00:00:00"/>
    <x v="6"/>
    <x v="6"/>
    <x v="0"/>
    <x v="596"/>
    <x v="3106"/>
    <s v="Card"/>
    <s v="REV102666"/>
    <x v="1"/>
  </r>
  <r>
    <d v="2023-07-24T00:00:00"/>
    <x v="6"/>
    <x v="5"/>
    <x v="4"/>
    <x v="1802"/>
    <x v="111"/>
    <s v="Card"/>
    <s v="REV102815"/>
    <x v="1"/>
  </r>
  <r>
    <d v="2023-07-24T00:00:00"/>
    <x v="6"/>
    <x v="5"/>
    <x v="2"/>
    <x v="1648"/>
    <x v="3107"/>
    <s v="Card"/>
    <s v="REV103371"/>
    <x v="1"/>
  </r>
  <r>
    <d v="2023-07-25T00:00:00"/>
    <x v="6"/>
    <x v="3"/>
    <x v="4"/>
    <x v="3084"/>
    <x v="3108"/>
    <s v="UPI"/>
    <s v="TXN100314"/>
    <x v="0"/>
  </r>
  <r>
    <d v="2023-07-25T00:00:00"/>
    <x v="6"/>
    <x v="0"/>
    <x v="0"/>
    <x v="3085"/>
    <x v="3109"/>
    <s v="Bank Transfer"/>
    <s v="TXN100862"/>
    <x v="0"/>
  </r>
  <r>
    <d v="2023-07-25T00:00:00"/>
    <x v="6"/>
    <x v="1"/>
    <x v="2"/>
    <x v="3086"/>
    <x v="3110"/>
    <s v="Bank Transfer"/>
    <s v="TXN101099"/>
    <x v="0"/>
  </r>
  <r>
    <d v="2023-07-25T00:00:00"/>
    <x v="6"/>
    <x v="0"/>
    <x v="4"/>
    <x v="3087"/>
    <x v="1957"/>
    <s v="Bank Transfer"/>
    <s v="TXN101359"/>
    <x v="0"/>
  </r>
  <r>
    <d v="2023-07-25T00:00:00"/>
    <x v="6"/>
    <x v="1"/>
    <x v="4"/>
    <x v="3088"/>
    <x v="3111"/>
    <s v="Card"/>
    <s v="TXN101961"/>
    <x v="0"/>
  </r>
  <r>
    <d v="2023-07-25T00:00:00"/>
    <x v="6"/>
    <x v="3"/>
    <x v="4"/>
    <x v="3089"/>
    <x v="3112"/>
    <s v="UPI"/>
    <s v="TXN102320"/>
    <x v="0"/>
  </r>
  <r>
    <d v="2023-07-25T00:00:00"/>
    <x v="6"/>
    <x v="7"/>
    <x v="2"/>
    <x v="3090"/>
    <x v="3113"/>
    <s v="Card"/>
    <s v="TXN102377"/>
    <x v="0"/>
  </r>
  <r>
    <d v="2023-07-25T00:00:00"/>
    <x v="6"/>
    <x v="2"/>
    <x v="2"/>
    <x v="3091"/>
    <x v="3114"/>
    <s v="Cash"/>
    <s v="TXN102498"/>
    <x v="0"/>
  </r>
  <r>
    <d v="2023-07-25T00:00:00"/>
    <x v="6"/>
    <x v="7"/>
    <x v="0"/>
    <x v="3092"/>
    <x v="3115"/>
    <s v="UPI"/>
    <s v="TXN102706"/>
    <x v="0"/>
  </r>
  <r>
    <d v="2023-07-25T00:00:00"/>
    <x v="6"/>
    <x v="3"/>
    <x v="1"/>
    <x v="3093"/>
    <x v="3116"/>
    <s v="Bank Transfer"/>
    <s v="TXN103777"/>
    <x v="0"/>
  </r>
  <r>
    <d v="2023-07-25T00:00:00"/>
    <x v="6"/>
    <x v="2"/>
    <x v="3"/>
    <x v="3094"/>
    <x v="3117"/>
    <s v="Cash"/>
    <s v="TXN103869"/>
    <x v="0"/>
  </r>
  <r>
    <d v="2023-07-25T00:00:00"/>
    <x v="6"/>
    <x v="4"/>
    <x v="4"/>
    <x v="3095"/>
    <x v="3118"/>
    <s v="UPI"/>
    <s v="TXN104410"/>
    <x v="0"/>
  </r>
  <r>
    <d v="2023-07-25T00:00:00"/>
    <x v="6"/>
    <x v="1"/>
    <x v="3"/>
    <x v="3096"/>
    <x v="3119"/>
    <s v="Cash"/>
    <s v="TXN105439"/>
    <x v="0"/>
  </r>
  <r>
    <d v="2023-07-25T00:00:00"/>
    <x v="6"/>
    <x v="7"/>
    <x v="4"/>
    <x v="3097"/>
    <x v="3120"/>
    <s v="Cash"/>
    <s v="TXN106604"/>
    <x v="0"/>
  </r>
  <r>
    <d v="2023-07-25T00:00:00"/>
    <x v="6"/>
    <x v="7"/>
    <x v="1"/>
    <x v="2719"/>
    <x v="3121"/>
    <s v="Bank Transfer"/>
    <s v="TXN108950"/>
    <x v="0"/>
  </r>
  <r>
    <d v="2023-07-25T00:00:00"/>
    <x v="6"/>
    <x v="6"/>
    <x v="4"/>
    <x v="2317"/>
    <x v="2569"/>
    <s v="Bank Transfer"/>
    <s v="REV100115"/>
    <x v="1"/>
  </r>
  <r>
    <d v="2023-07-25T00:00:00"/>
    <x v="6"/>
    <x v="6"/>
    <x v="0"/>
    <x v="513"/>
    <x v="742"/>
    <s v="Card"/>
    <s v="REV100320"/>
    <x v="1"/>
  </r>
  <r>
    <d v="2023-07-25T00:00:00"/>
    <x v="6"/>
    <x v="6"/>
    <x v="2"/>
    <x v="817"/>
    <x v="2225"/>
    <s v="Bank Transfer"/>
    <s v="REV100404"/>
    <x v="1"/>
  </r>
  <r>
    <d v="2023-07-25T00:00:00"/>
    <x v="6"/>
    <x v="5"/>
    <x v="4"/>
    <x v="2427"/>
    <x v="1705"/>
    <s v="Card"/>
    <s v="REV100499"/>
    <x v="1"/>
  </r>
  <r>
    <d v="2023-07-25T00:00:00"/>
    <x v="6"/>
    <x v="5"/>
    <x v="4"/>
    <x v="3098"/>
    <x v="537"/>
    <s v="Card"/>
    <s v="REV100702"/>
    <x v="1"/>
  </r>
  <r>
    <d v="2023-07-25T00:00:00"/>
    <x v="6"/>
    <x v="5"/>
    <x v="4"/>
    <x v="1663"/>
    <x v="3122"/>
    <s v="Bank Transfer"/>
    <s v="REV100821"/>
    <x v="1"/>
  </r>
  <r>
    <d v="2023-07-25T00:00:00"/>
    <x v="6"/>
    <x v="5"/>
    <x v="2"/>
    <x v="2429"/>
    <x v="1996"/>
    <s v="Bank Transfer"/>
    <s v="REV100839"/>
    <x v="1"/>
  </r>
  <r>
    <d v="2023-07-25T00:00:00"/>
    <x v="6"/>
    <x v="6"/>
    <x v="2"/>
    <x v="17"/>
    <x v="600"/>
    <s v="Bank Transfer"/>
    <s v="REV100878"/>
    <x v="1"/>
  </r>
  <r>
    <d v="2023-07-25T00:00:00"/>
    <x v="6"/>
    <x v="5"/>
    <x v="0"/>
    <x v="2166"/>
    <x v="3123"/>
    <s v="Bank Transfer"/>
    <s v="REV100945"/>
    <x v="1"/>
  </r>
  <r>
    <d v="2023-07-25T00:00:00"/>
    <x v="6"/>
    <x v="5"/>
    <x v="1"/>
    <x v="3099"/>
    <x v="3124"/>
    <s v="Bank Transfer"/>
    <s v="REV101301"/>
    <x v="1"/>
  </r>
  <r>
    <d v="2023-07-25T00:00:00"/>
    <x v="6"/>
    <x v="5"/>
    <x v="3"/>
    <x v="235"/>
    <x v="1051"/>
    <s v="Bank Transfer"/>
    <s v="REV101336"/>
    <x v="1"/>
  </r>
  <r>
    <d v="2023-07-25T00:00:00"/>
    <x v="6"/>
    <x v="6"/>
    <x v="4"/>
    <x v="2050"/>
    <x v="128"/>
    <s v="Card"/>
    <s v="REV101522"/>
    <x v="1"/>
  </r>
  <r>
    <d v="2023-07-25T00:00:00"/>
    <x v="6"/>
    <x v="5"/>
    <x v="3"/>
    <x v="378"/>
    <x v="2381"/>
    <s v="UPI"/>
    <s v="REV101852"/>
    <x v="1"/>
  </r>
  <r>
    <d v="2023-07-25T00:00:00"/>
    <x v="6"/>
    <x v="5"/>
    <x v="4"/>
    <x v="375"/>
    <x v="3125"/>
    <s v="Card"/>
    <s v="REV102242"/>
    <x v="1"/>
  </r>
  <r>
    <d v="2023-07-25T00:00:00"/>
    <x v="6"/>
    <x v="5"/>
    <x v="1"/>
    <x v="635"/>
    <x v="3069"/>
    <s v="Card"/>
    <s v="REV103031"/>
    <x v="1"/>
  </r>
  <r>
    <d v="2023-07-26T00:00:00"/>
    <x v="6"/>
    <x v="4"/>
    <x v="0"/>
    <x v="3100"/>
    <x v="3126"/>
    <s v="Card"/>
    <s v="TXN100868"/>
    <x v="0"/>
  </r>
  <r>
    <d v="2023-07-26T00:00:00"/>
    <x v="6"/>
    <x v="4"/>
    <x v="1"/>
    <x v="3101"/>
    <x v="3127"/>
    <s v="Card"/>
    <s v="TXN101161"/>
    <x v="0"/>
  </r>
  <r>
    <d v="2023-07-26T00:00:00"/>
    <x v="6"/>
    <x v="7"/>
    <x v="1"/>
    <x v="5"/>
    <x v="3128"/>
    <s v="UPI"/>
    <s v="TXN102023"/>
    <x v="0"/>
  </r>
  <r>
    <d v="2023-07-26T00:00:00"/>
    <x v="6"/>
    <x v="2"/>
    <x v="2"/>
    <x v="3102"/>
    <x v="3129"/>
    <s v="Bank Transfer"/>
    <s v="TXN104642"/>
    <x v="0"/>
  </r>
  <r>
    <d v="2023-07-26T00:00:00"/>
    <x v="6"/>
    <x v="1"/>
    <x v="2"/>
    <x v="3103"/>
    <x v="3130"/>
    <s v="Card"/>
    <s v="TXN104745"/>
    <x v="0"/>
  </r>
  <r>
    <d v="2023-07-26T00:00:00"/>
    <x v="6"/>
    <x v="3"/>
    <x v="1"/>
    <x v="3104"/>
    <x v="3131"/>
    <s v="Card"/>
    <s v="TXN108871"/>
    <x v="0"/>
  </r>
  <r>
    <d v="2023-07-26T00:00:00"/>
    <x v="6"/>
    <x v="7"/>
    <x v="0"/>
    <x v="3105"/>
    <x v="1097"/>
    <s v="Cash"/>
    <s v="TXN108935"/>
    <x v="0"/>
  </r>
  <r>
    <d v="2023-07-26T00:00:00"/>
    <x v="6"/>
    <x v="5"/>
    <x v="0"/>
    <x v="1994"/>
    <x v="3132"/>
    <s v="Card"/>
    <s v="REV100322"/>
    <x v="1"/>
  </r>
  <r>
    <d v="2023-07-26T00:00:00"/>
    <x v="6"/>
    <x v="6"/>
    <x v="1"/>
    <x v="234"/>
    <x v="1616"/>
    <s v="Card"/>
    <s v="REV100427"/>
    <x v="1"/>
  </r>
  <r>
    <d v="2023-07-26T00:00:00"/>
    <x v="6"/>
    <x v="6"/>
    <x v="1"/>
    <x v="919"/>
    <x v="3019"/>
    <s v="Bank Transfer"/>
    <s v="REV100718"/>
    <x v="1"/>
  </r>
  <r>
    <d v="2023-07-26T00:00:00"/>
    <x v="6"/>
    <x v="6"/>
    <x v="2"/>
    <x v="1647"/>
    <x v="573"/>
    <s v="Bank Transfer"/>
    <s v="REV101584"/>
    <x v="1"/>
  </r>
  <r>
    <d v="2023-07-26T00:00:00"/>
    <x v="6"/>
    <x v="6"/>
    <x v="2"/>
    <x v="2898"/>
    <x v="174"/>
    <s v="Bank Transfer"/>
    <s v="REV101618"/>
    <x v="1"/>
  </r>
  <r>
    <d v="2023-07-26T00:00:00"/>
    <x v="6"/>
    <x v="5"/>
    <x v="1"/>
    <x v="112"/>
    <x v="3133"/>
    <s v="Bank Transfer"/>
    <s v="REV103004"/>
    <x v="1"/>
  </r>
  <r>
    <d v="2023-07-26T00:00:00"/>
    <x v="6"/>
    <x v="6"/>
    <x v="0"/>
    <x v="40"/>
    <x v="3134"/>
    <s v="UPI"/>
    <s v="REV103028"/>
    <x v="1"/>
  </r>
  <r>
    <d v="2023-07-27T00:00:00"/>
    <x v="6"/>
    <x v="0"/>
    <x v="4"/>
    <x v="3106"/>
    <x v="3135"/>
    <s v="UPI"/>
    <s v="TXN103083"/>
    <x v="0"/>
  </r>
  <r>
    <d v="2023-07-27T00:00:00"/>
    <x v="6"/>
    <x v="1"/>
    <x v="1"/>
    <x v="3107"/>
    <x v="3136"/>
    <s v="Bank Transfer"/>
    <s v="TXN103403"/>
    <x v="0"/>
  </r>
  <r>
    <d v="2023-07-27T00:00:00"/>
    <x v="6"/>
    <x v="0"/>
    <x v="1"/>
    <x v="3108"/>
    <x v="3137"/>
    <s v="Bank Transfer"/>
    <s v="TXN103534"/>
    <x v="0"/>
  </r>
  <r>
    <d v="2023-07-27T00:00:00"/>
    <x v="6"/>
    <x v="0"/>
    <x v="3"/>
    <x v="3109"/>
    <x v="3138"/>
    <s v="Card"/>
    <s v="TXN103840"/>
    <x v="0"/>
  </r>
  <r>
    <d v="2023-07-27T00:00:00"/>
    <x v="6"/>
    <x v="4"/>
    <x v="3"/>
    <x v="3110"/>
    <x v="3139"/>
    <s v="Bank Transfer"/>
    <s v="TXN104806"/>
    <x v="0"/>
  </r>
  <r>
    <d v="2023-07-27T00:00:00"/>
    <x v="6"/>
    <x v="0"/>
    <x v="0"/>
    <x v="3111"/>
    <x v="3140"/>
    <s v="Bank Transfer"/>
    <s v="TXN105310"/>
    <x v="0"/>
  </r>
  <r>
    <d v="2023-07-27T00:00:00"/>
    <x v="6"/>
    <x v="4"/>
    <x v="1"/>
    <x v="3112"/>
    <x v="3141"/>
    <s v="Card"/>
    <s v="TXN107707"/>
    <x v="0"/>
  </r>
  <r>
    <d v="2023-07-27T00:00:00"/>
    <x v="6"/>
    <x v="2"/>
    <x v="3"/>
    <x v="3113"/>
    <x v="3142"/>
    <s v="Bank Transfer"/>
    <s v="TXN109725"/>
    <x v="0"/>
  </r>
  <r>
    <d v="2023-07-27T00:00:00"/>
    <x v="6"/>
    <x v="5"/>
    <x v="4"/>
    <x v="881"/>
    <x v="312"/>
    <s v="Card"/>
    <s v="REV101064"/>
    <x v="1"/>
  </r>
  <r>
    <d v="2023-07-27T00:00:00"/>
    <x v="6"/>
    <x v="6"/>
    <x v="1"/>
    <x v="3114"/>
    <x v="3143"/>
    <s v="Card"/>
    <s v="REV101166"/>
    <x v="1"/>
  </r>
  <r>
    <d v="2023-07-27T00:00:00"/>
    <x v="6"/>
    <x v="6"/>
    <x v="1"/>
    <x v="3115"/>
    <x v="1500"/>
    <s v="Bank Transfer"/>
    <s v="REV101206"/>
    <x v="1"/>
  </r>
  <r>
    <d v="2023-07-27T00:00:00"/>
    <x v="6"/>
    <x v="5"/>
    <x v="3"/>
    <x v="3116"/>
    <x v="1226"/>
    <s v="Bank Transfer"/>
    <s v="REV101324"/>
    <x v="1"/>
  </r>
  <r>
    <d v="2023-07-27T00:00:00"/>
    <x v="6"/>
    <x v="6"/>
    <x v="3"/>
    <x v="1962"/>
    <x v="1227"/>
    <s v="Bank Transfer"/>
    <s v="REV101639"/>
    <x v="1"/>
  </r>
  <r>
    <d v="2023-07-27T00:00:00"/>
    <x v="6"/>
    <x v="6"/>
    <x v="0"/>
    <x v="1384"/>
    <x v="937"/>
    <s v="Bank Transfer"/>
    <s v="REV101801"/>
    <x v="1"/>
  </r>
  <r>
    <d v="2023-07-27T00:00:00"/>
    <x v="6"/>
    <x v="5"/>
    <x v="1"/>
    <x v="3117"/>
    <x v="3144"/>
    <s v="UPI"/>
    <s v="REV102625"/>
    <x v="1"/>
  </r>
  <r>
    <d v="2023-07-27T00:00:00"/>
    <x v="6"/>
    <x v="6"/>
    <x v="3"/>
    <x v="788"/>
    <x v="97"/>
    <s v="Bank Transfer"/>
    <s v="REV103291"/>
    <x v="1"/>
  </r>
  <r>
    <d v="2023-07-28T00:00:00"/>
    <x v="6"/>
    <x v="2"/>
    <x v="3"/>
    <x v="3118"/>
    <x v="3145"/>
    <s v="Cash"/>
    <s v="TXN100878"/>
    <x v="0"/>
  </r>
  <r>
    <d v="2023-07-28T00:00:00"/>
    <x v="6"/>
    <x v="7"/>
    <x v="0"/>
    <x v="3119"/>
    <x v="3146"/>
    <s v="UPI"/>
    <s v="TXN101047"/>
    <x v="0"/>
  </r>
  <r>
    <d v="2023-07-28T00:00:00"/>
    <x v="6"/>
    <x v="3"/>
    <x v="1"/>
    <x v="3120"/>
    <x v="3147"/>
    <s v="Cash"/>
    <s v="TXN101149"/>
    <x v="0"/>
  </r>
  <r>
    <d v="2023-07-28T00:00:00"/>
    <x v="6"/>
    <x v="1"/>
    <x v="0"/>
    <x v="3121"/>
    <x v="3148"/>
    <s v="UPI"/>
    <s v="TXN103637"/>
    <x v="0"/>
  </r>
  <r>
    <d v="2023-07-28T00:00:00"/>
    <x v="6"/>
    <x v="0"/>
    <x v="0"/>
    <x v="3122"/>
    <x v="3149"/>
    <s v="UPI"/>
    <s v="TXN104687"/>
    <x v="0"/>
  </r>
  <r>
    <d v="2023-07-28T00:00:00"/>
    <x v="6"/>
    <x v="3"/>
    <x v="1"/>
    <x v="3123"/>
    <x v="3150"/>
    <s v="Cash"/>
    <s v="TXN104720"/>
    <x v="0"/>
  </r>
  <r>
    <d v="2023-07-28T00:00:00"/>
    <x v="6"/>
    <x v="1"/>
    <x v="4"/>
    <x v="3124"/>
    <x v="3151"/>
    <s v="Bank Transfer"/>
    <s v="TXN104951"/>
    <x v="0"/>
  </r>
  <r>
    <d v="2023-07-28T00:00:00"/>
    <x v="6"/>
    <x v="7"/>
    <x v="4"/>
    <x v="3125"/>
    <x v="3152"/>
    <s v="Cash"/>
    <s v="TXN105521"/>
    <x v="0"/>
  </r>
  <r>
    <d v="2023-07-28T00:00:00"/>
    <x v="6"/>
    <x v="2"/>
    <x v="4"/>
    <x v="3126"/>
    <x v="3153"/>
    <s v="Bank Transfer"/>
    <s v="TXN106507"/>
    <x v="0"/>
  </r>
  <r>
    <d v="2023-07-28T00:00:00"/>
    <x v="6"/>
    <x v="1"/>
    <x v="0"/>
    <x v="3127"/>
    <x v="3154"/>
    <s v="UPI"/>
    <s v="TXN106996"/>
    <x v="0"/>
  </r>
  <r>
    <d v="2023-07-28T00:00:00"/>
    <x v="6"/>
    <x v="1"/>
    <x v="4"/>
    <x v="3128"/>
    <x v="3155"/>
    <s v="Bank Transfer"/>
    <s v="TXN107089"/>
    <x v="0"/>
  </r>
  <r>
    <d v="2023-07-28T00:00:00"/>
    <x v="6"/>
    <x v="2"/>
    <x v="4"/>
    <x v="3129"/>
    <x v="3156"/>
    <s v="Cash"/>
    <s v="TXN109488"/>
    <x v="0"/>
  </r>
  <r>
    <d v="2023-07-28T00:00:00"/>
    <x v="6"/>
    <x v="7"/>
    <x v="1"/>
    <x v="3130"/>
    <x v="3157"/>
    <s v="UPI"/>
    <s v="TXN109815"/>
    <x v="0"/>
  </r>
  <r>
    <d v="2023-07-28T00:00:00"/>
    <x v="6"/>
    <x v="5"/>
    <x v="3"/>
    <x v="3131"/>
    <x v="3158"/>
    <s v="Bank Transfer"/>
    <s v="REV100323"/>
    <x v="1"/>
  </r>
  <r>
    <d v="2023-07-28T00:00:00"/>
    <x v="6"/>
    <x v="6"/>
    <x v="0"/>
    <x v="1759"/>
    <x v="3159"/>
    <s v="Card"/>
    <s v="REV100386"/>
    <x v="1"/>
  </r>
  <r>
    <d v="2023-07-28T00:00:00"/>
    <x v="6"/>
    <x v="5"/>
    <x v="1"/>
    <x v="3132"/>
    <x v="574"/>
    <s v="UPI"/>
    <s v="REV100421"/>
    <x v="1"/>
  </r>
  <r>
    <d v="2023-07-28T00:00:00"/>
    <x v="6"/>
    <x v="6"/>
    <x v="0"/>
    <x v="3133"/>
    <x v="3160"/>
    <s v="Bank Transfer"/>
    <s v="REV101240"/>
    <x v="1"/>
  </r>
  <r>
    <d v="2023-07-28T00:00:00"/>
    <x v="6"/>
    <x v="5"/>
    <x v="0"/>
    <x v="3134"/>
    <x v="3161"/>
    <s v="UPI"/>
    <s v="REV101604"/>
    <x v="1"/>
  </r>
  <r>
    <d v="2023-07-28T00:00:00"/>
    <x v="6"/>
    <x v="6"/>
    <x v="1"/>
    <x v="348"/>
    <x v="2779"/>
    <s v="Bank Transfer"/>
    <s v="REV101612"/>
    <x v="1"/>
  </r>
  <r>
    <d v="2023-07-28T00:00:00"/>
    <x v="6"/>
    <x v="5"/>
    <x v="4"/>
    <x v="1085"/>
    <x v="992"/>
    <s v="Card"/>
    <s v="REV101689"/>
    <x v="1"/>
  </r>
  <r>
    <d v="2023-07-28T00:00:00"/>
    <x v="6"/>
    <x v="5"/>
    <x v="4"/>
    <x v="1910"/>
    <x v="3162"/>
    <s v="Card"/>
    <s v="REV101878"/>
    <x v="1"/>
  </r>
  <r>
    <d v="2023-07-28T00:00:00"/>
    <x v="6"/>
    <x v="5"/>
    <x v="4"/>
    <x v="34"/>
    <x v="2395"/>
    <s v="UPI"/>
    <s v="REV102207"/>
    <x v="1"/>
  </r>
  <r>
    <d v="2023-07-28T00:00:00"/>
    <x v="6"/>
    <x v="5"/>
    <x v="0"/>
    <x v="3135"/>
    <x v="3163"/>
    <s v="Card"/>
    <s v="REV102374"/>
    <x v="1"/>
  </r>
  <r>
    <d v="2023-07-28T00:00:00"/>
    <x v="6"/>
    <x v="5"/>
    <x v="4"/>
    <x v="240"/>
    <x v="1061"/>
    <s v="Bank Transfer"/>
    <s v="REV102407"/>
    <x v="1"/>
  </r>
  <r>
    <d v="2023-07-28T00:00:00"/>
    <x v="6"/>
    <x v="6"/>
    <x v="4"/>
    <x v="1691"/>
    <x v="3164"/>
    <s v="Bank Transfer"/>
    <s v="REV103203"/>
    <x v="1"/>
  </r>
  <r>
    <d v="2023-07-28T00:00:00"/>
    <x v="6"/>
    <x v="6"/>
    <x v="1"/>
    <x v="514"/>
    <x v="489"/>
    <s v="Card"/>
    <s v="REV103323"/>
    <x v="1"/>
  </r>
  <r>
    <d v="2023-07-29T00:00:00"/>
    <x v="6"/>
    <x v="3"/>
    <x v="1"/>
    <x v="3136"/>
    <x v="3165"/>
    <s v="Bank Transfer"/>
    <s v="TXN100973"/>
    <x v="0"/>
  </r>
  <r>
    <d v="2023-07-29T00:00:00"/>
    <x v="6"/>
    <x v="2"/>
    <x v="0"/>
    <x v="3137"/>
    <x v="3166"/>
    <s v="Cash"/>
    <s v="TXN101453"/>
    <x v="0"/>
  </r>
  <r>
    <d v="2023-07-29T00:00:00"/>
    <x v="6"/>
    <x v="7"/>
    <x v="3"/>
    <x v="3138"/>
    <x v="3167"/>
    <s v="Cash"/>
    <s v="TXN101907"/>
    <x v="0"/>
  </r>
  <r>
    <d v="2023-07-29T00:00:00"/>
    <x v="6"/>
    <x v="2"/>
    <x v="1"/>
    <x v="3139"/>
    <x v="3168"/>
    <s v="Cash"/>
    <s v="TXN102758"/>
    <x v="0"/>
  </r>
  <r>
    <d v="2023-07-29T00:00:00"/>
    <x v="6"/>
    <x v="2"/>
    <x v="0"/>
    <x v="3140"/>
    <x v="3169"/>
    <s v="UPI"/>
    <s v="TXN102814"/>
    <x v="0"/>
  </r>
  <r>
    <d v="2023-07-29T00:00:00"/>
    <x v="6"/>
    <x v="2"/>
    <x v="2"/>
    <x v="3141"/>
    <x v="3170"/>
    <s v="UPI"/>
    <s v="TXN103656"/>
    <x v="0"/>
  </r>
  <r>
    <d v="2023-07-29T00:00:00"/>
    <x v="6"/>
    <x v="4"/>
    <x v="4"/>
    <x v="3142"/>
    <x v="3171"/>
    <s v="UPI"/>
    <s v="TXN104419"/>
    <x v="0"/>
  </r>
  <r>
    <d v="2023-07-29T00:00:00"/>
    <x v="6"/>
    <x v="0"/>
    <x v="3"/>
    <x v="3143"/>
    <x v="3172"/>
    <s v="Card"/>
    <s v="TXN104727"/>
    <x v="0"/>
  </r>
  <r>
    <d v="2023-07-29T00:00:00"/>
    <x v="6"/>
    <x v="2"/>
    <x v="4"/>
    <x v="3144"/>
    <x v="3173"/>
    <s v="Cash"/>
    <s v="TXN106922"/>
    <x v="0"/>
  </r>
  <r>
    <d v="2023-07-29T00:00:00"/>
    <x v="6"/>
    <x v="2"/>
    <x v="0"/>
    <x v="3145"/>
    <x v="3174"/>
    <s v="Card"/>
    <s v="TXN107247"/>
    <x v="0"/>
  </r>
  <r>
    <d v="2023-07-29T00:00:00"/>
    <x v="6"/>
    <x v="1"/>
    <x v="0"/>
    <x v="3146"/>
    <x v="3175"/>
    <s v="Card"/>
    <s v="TXN107331"/>
    <x v="0"/>
  </r>
  <r>
    <d v="2023-07-29T00:00:00"/>
    <x v="6"/>
    <x v="4"/>
    <x v="4"/>
    <x v="3147"/>
    <x v="3176"/>
    <s v="Bank Transfer"/>
    <s v="TXN107390"/>
    <x v="0"/>
  </r>
  <r>
    <d v="2023-07-29T00:00:00"/>
    <x v="6"/>
    <x v="7"/>
    <x v="3"/>
    <x v="3148"/>
    <x v="3177"/>
    <s v="UPI"/>
    <s v="TXN107518"/>
    <x v="0"/>
  </r>
  <r>
    <d v="2023-07-29T00:00:00"/>
    <x v="6"/>
    <x v="0"/>
    <x v="3"/>
    <x v="3149"/>
    <x v="3178"/>
    <s v="Bank Transfer"/>
    <s v="TXN108041"/>
    <x v="0"/>
  </r>
  <r>
    <d v="2023-07-29T00:00:00"/>
    <x v="6"/>
    <x v="4"/>
    <x v="4"/>
    <x v="3150"/>
    <x v="3179"/>
    <s v="Bank Transfer"/>
    <s v="TXN109341"/>
    <x v="0"/>
  </r>
  <r>
    <d v="2023-07-29T00:00:00"/>
    <x v="6"/>
    <x v="6"/>
    <x v="1"/>
    <x v="138"/>
    <x v="545"/>
    <s v="Card"/>
    <s v="REV100364"/>
    <x v="1"/>
  </r>
  <r>
    <d v="2023-07-29T00:00:00"/>
    <x v="6"/>
    <x v="5"/>
    <x v="0"/>
    <x v="3151"/>
    <x v="3180"/>
    <s v="Card"/>
    <s v="REV100535"/>
    <x v="1"/>
  </r>
  <r>
    <d v="2023-07-29T00:00:00"/>
    <x v="6"/>
    <x v="5"/>
    <x v="3"/>
    <x v="3152"/>
    <x v="2899"/>
    <s v="UPI"/>
    <s v="REV100686"/>
    <x v="1"/>
  </r>
  <r>
    <d v="2023-07-29T00:00:00"/>
    <x v="6"/>
    <x v="5"/>
    <x v="1"/>
    <x v="2680"/>
    <x v="2230"/>
    <s v="Card"/>
    <s v="REV100969"/>
    <x v="1"/>
  </r>
  <r>
    <d v="2023-07-29T00:00:00"/>
    <x v="6"/>
    <x v="5"/>
    <x v="0"/>
    <x v="737"/>
    <x v="2724"/>
    <s v="UPI"/>
    <s v="REV100993"/>
    <x v="1"/>
  </r>
  <r>
    <d v="2023-07-29T00:00:00"/>
    <x v="6"/>
    <x v="6"/>
    <x v="2"/>
    <x v="3153"/>
    <x v="3181"/>
    <s v="Bank Transfer"/>
    <s v="REV101249"/>
    <x v="1"/>
  </r>
  <r>
    <d v="2023-07-29T00:00:00"/>
    <x v="6"/>
    <x v="5"/>
    <x v="4"/>
    <x v="2431"/>
    <x v="417"/>
    <s v="Bank Transfer"/>
    <s v="REV101525"/>
    <x v="1"/>
  </r>
  <r>
    <d v="2023-07-29T00:00:00"/>
    <x v="6"/>
    <x v="5"/>
    <x v="3"/>
    <x v="3154"/>
    <x v="3182"/>
    <s v="Bank Transfer"/>
    <s v="REV101616"/>
    <x v="1"/>
  </r>
  <r>
    <d v="2023-07-29T00:00:00"/>
    <x v="6"/>
    <x v="5"/>
    <x v="4"/>
    <x v="1260"/>
    <x v="3183"/>
    <s v="Bank Transfer"/>
    <s v="REV102353"/>
    <x v="1"/>
  </r>
  <r>
    <d v="2023-07-29T00:00:00"/>
    <x v="6"/>
    <x v="5"/>
    <x v="0"/>
    <x v="3155"/>
    <x v="3184"/>
    <s v="UPI"/>
    <s v="REV102462"/>
    <x v="1"/>
  </r>
  <r>
    <d v="2023-07-29T00:00:00"/>
    <x v="6"/>
    <x v="6"/>
    <x v="0"/>
    <x v="715"/>
    <x v="1024"/>
    <s v="Bank Transfer"/>
    <s v="REV102487"/>
    <x v="1"/>
  </r>
  <r>
    <d v="2023-07-29T00:00:00"/>
    <x v="6"/>
    <x v="5"/>
    <x v="4"/>
    <x v="3156"/>
    <x v="1493"/>
    <s v="Bank Transfer"/>
    <s v="REV102510"/>
    <x v="1"/>
  </r>
  <r>
    <d v="2023-07-29T00:00:00"/>
    <x v="6"/>
    <x v="5"/>
    <x v="3"/>
    <x v="3157"/>
    <x v="151"/>
    <s v="Card"/>
    <s v="REV102551"/>
    <x v="1"/>
  </r>
  <r>
    <d v="2023-07-29T00:00:00"/>
    <x v="6"/>
    <x v="5"/>
    <x v="3"/>
    <x v="569"/>
    <x v="3185"/>
    <s v="Bank Transfer"/>
    <s v="REV102731"/>
    <x v="1"/>
  </r>
  <r>
    <d v="2023-07-29T00:00:00"/>
    <x v="6"/>
    <x v="5"/>
    <x v="4"/>
    <x v="2262"/>
    <x v="1447"/>
    <s v="UPI"/>
    <s v="REV103157"/>
    <x v="1"/>
  </r>
  <r>
    <d v="2023-07-30T00:00:00"/>
    <x v="6"/>
    <x v="7"/>
    <x v="3"/>
    <x v="3158"/>
    <x v="3186"/>
    <s v="UPI"/>
    <s v="TXN102054"/>
    <x v="0"/>
  </r>
  <r>
    <d v="2023-07-30T00:00:00"/>
    <x v="6"/>
    <x v="1"/>
    <x v="0"/>
    <x v="3159"/>
    <x v="3187"/>
    <s v="Bank Transfer"/>
    <s v="TXN102656"/>
    <x v="0"/>
  </r>
  <r>
    <d v="2023-07-30T00:00:00"/>
    <x v="6"/>
    <x v="7"/>
    <x v="3"/>
    <x v="3160"/>
    <x v="3188"/>
    <s v="Card"/>
    <s v="TXN104376"/>
    <x v="0"/>
  </r>
  <r>
    <d v="2023-07-30T00:00:00"/>
    <x v="6"/>
    <x v="4"/>
    <x v="2"/>
    <x v="3161"/>
    <x v="3189"/>
    <s v="Card"/>
    <s v="TXN106358"/>
    <x v="0"/>
  </r>
  <r>
    <d v="2023-07-30T00:00:00"/>
    <x v="6"/>
    <x v="3"/>
    <x v="4"/>
    <x v="3162"/>
    <x v="3190"/>
    <s v="Cash"/>
    <s v="TXN108776"/>
    <x v="0"/>
  </r>
  <r>
    <d v="2023-07-30T00:00:00"/>
    <x v="6"/>
    <x v="5"/>
    <x v="3"/>
    <x v="1937"/>
    <x v="188"/>
    <s v="Card"/>
    <s v="REV100732"/>
    <x v="1"/>
  </r>
  <r>
    <d v="2023-07-30T00:00:00"/>
    <x v="6"/>
    <x v="5"/>
    <x v="0"/>
    <x v="190"/>
    <x v="1088"/>
    <s v="Card"/>
    <s v="REV100930"/>
    <x v="1"/>
  </r>
  <r>
    <d v="2023-07-30T00:00:00"/>
    <x v="6"/>
    <x v="6"/>
    <x v="3"/>
    <x v="3163"/>
    <x v="592"/>
    <s v="Bank Transfer"/>
    <s v="REV101512"/>
    <x v="1"/>
  </r>
  <r>
    <d v="2023-07-30T00:00:00"/>
    <x v="6"/>
    <x v="5"/>
    <x v="2"/>
    <x v="2573"/>
    <x v="2651"/>
    <s v="Bank Transfer"/>
    <s v="REV102146"/>
    <x v="1"/>
  </r>
  <r>
    <d v="2023-07-30T00:00:00"/>
    <x v="6"/>
    <x v="6"/>
    <x v="4"/>
    <x v="3164"/>
    <x v="2829"/>
    <s v="Bank Transfer"/>
    <s v="REV102980"/>
    <x v="1"/>
  </r>
  <r>
    <d v="2023-07-31T00:00:00"/>
    <x v="6"/>
    <x v="2"/>
    <x v="3"/>
    <x v="3165"/>
    <x v="3191"/>
    <s v="Cash"/>
    <s v="TXN101579"/>
    <x v="0"/>
  </r>
  <r>
    <d v="2023-07-31T00:00:00"/>
    <x v="6"/>
    <x v="0"/>
    <x v="2"/>
    <x v="3166"/>
    <x v="3192"/>
    <s v="Cash"/>
    <s v="TXN102051"/>
    <x v="0"/>
  </r>
  <r>
    <d v="2023-07-31T00:00:00"/>
    <x v="6"/>
    <x v="3"/>
    <x v="0"/>
    <x v="3167"/>
    <x v="3193"/>
    <s v="Bank Transfer"/>
    <s v="TXN102597"/>
    <x v="0"/>
  </r>
  <r>
    <d v="2023-07-31T00:00:00"/>
    <x v="6"/>
    <x v="0"/>
    <x v="0"/>
    <x v="3168"/>
    <x v="3194"/>
    <s v="Cash"/>
    <s v="TXN102698"/>
    <x v="0"/>
  </r>
  <r>
    <d v="2023-07-31T00:00:00"/>
    <x v="6"/>
    <x v="2"/>
    <x v="1"/>
    <x v="3169"/>
    <x v="3195"/>
    <s v="Cash"/>
    <s v="TXN103470"/>
    <x v="0"/>
  </r>
  <r>
    <d v="2023-07-31T00:00:00"/>
    <x v="6"/>
    <x v="2"/>
    <x v="2"/>
    <x v="3170"/>
    <x v="3196"/>
    <s v="Bank Transfer"/>
    <s v="TXN103699"/>
    <x v="0"/>
  </r>
  <r>
    <d v="2023-07-31T00:00:00"/>
    <x v="6"/>
    <x v="3"/>
    <x v="2"/>
    <x v="3171"/>
    <x v="3197"/>
    <s v="Bank Transfer"/>
    <s v="TXN104469"/>
    <x v="0"/>
  </r>
  <r>
    <d v="2023-07-31T00:00:00"/>
    <x v="6"/>
    <x v="0"/>
    <x v="4"/>
    <x v="3172"/>
    <x v="3198"/>
    <s v="Cash"/>
    <s v="TXN104551"/>
    <x v="0"/>
  </r>
  <r>
    <d v="2023-07-31T00:00:00"/>
    <x v="6"/>
    <x v="0"/>
    <x v="4"/>
    <x v="3173"/>
    <x v="3199"/>
    <s v="Card"/>
    <s v="TXN106393"/>
    <x v="0"/>
  </r>
  <r>
    <d v="2023-07-31T00:00:00"/>
    <x v="6"/>
    <x v="2"/>
    <x v="4"/>
    <x v="3174"/>
    <x v="3200"/>
    <s v="UPI"/>
    <s v="TXN106677"/>
    <x v="0"/>
  </r>
  <r>
    <d v="2023-07-31T00:00:00"/>
    <x v="6"/>
    <x v="2"/>
    <x v="0"/>
    <x v="3175"/>
    <x v="3201"/>
    <s v="UPI"/>
    <s v="TXN107388"/>
    <x v="0"/>
  </r>
  <r>
    <d v="2023-07-31T00:00:00"/>
    <x v="6"/>
    <x v="7"/>
    <x v="3"/>
    <x v="3176"/>
    <x v="3202"/>
    <s v="Cash"/>
    <s v="TXN108964"/>
    <x v="0"/>
  </r>
  <r>
    <d v="2023-07-31T00:00:00"/>
    <x v="6"/>
    <x v="4"/>
    <x v="3"/>
    <x v="3177"/>
    <x v="3203"/>
    <s v="Cash"/>
    <s v="TXN109083"/>
    <x v="0"/>
  </r>
  <r>
    <d v="2023-07-31T00:00:00"/>
    <x v="6"/>
    <x v="6"/>
    <x v="3"/>
    <x v="3178"/>
    <x v="3204"/>
    <s v="Bank Transfer"/>
    <s v="REV100584"/>
    <x v="1"/>
  </r>
  <r>
    <d v="2023-07-31T00:00:00"/>
    <x v="6"/>
    <x v="5"/>
    <x v="2"/>
    <x v="2353"/>
    <x v="218"/>
    <s v="Card"/>
    <s v="REV100730"/>
    <x v="1"/>
  </r>
  <r>
    <d v="2023-07-31T00:00:00"/>
    <x v="6"/>
    <x v="5"/>
    <x v="0"/>
    <x v="62"/>
    <x v="191"/>
    <s v="Bank Transfer"/>
    <s v="REV100909"/>
    <x v="1"/>
  </r>
  <r>
    <d v="2023-07-31T00:00:00"/>
    <x v="6"/>
    <x v="5"/>
    <x v="0"/>
    <x v="3179"/>
    <x v="3205"/>
    <s v="Card"/>
    <s v="REV100942"/>
    <x v="1"/>
  </r>
  <r>
    <d v="2023-07-31T00:00:00"/>
    <x v="6"/>
    <x v="6"/>
    <x v="1"/>
    <x v="1726"/>
    <x v="3206"/>
    <s v="Bank Transfer"/>
    <s v="REV101187"/>
    <x v="1"/>
  </r>
  <r>
    <d v="2023-07-31T00:00:00"/>
    <x v="6"/>
    <x v="5"/>
    <x v="2"/>
    <x v="3180"/>
    <x v="3207"/>
    <s v="Bank Transfer"/>
    <s v="REV101269"/>
    <x v="1"/>
  </r>
  <r>
    <d v="2023-07-31T00:00:00"/>
    <x v="6"/>
    <x v="6"/>
    <x v="2"/>
    <x v="3181"/>
    <x v="3208"/>
    <s v="Bank Transfer"/>
    <s v="REV101540"/>
    <x v="1"/>
  </r>
  <r>
    <d v="2023-07-31T00:00:00"/>
    <x v="6"/>
    <x v="6"/>
    <x v="4"/>
    <x v="1789"/>
    <x v="1089"/>
    <s v="Bank Transfer"/>
    <s v="REV101560"/>
    <x v="1"/>
  </r>
  <r>
    <d v="2023-07-31T00:00:00"/>
    <x v="6"/>
    <x v="5"/>
    <x v="4"/>
    <x v="1204"/>
    <x v="1822"/>
    <s v="Bank Transfer"/>
    <s v="REV102160"/>
    <x v="1"/>
  </r>
  <r>
    <d v="2023-07-31T00:00:00"/>
    <x v="6"/>
    <x v="6"/>
    <x v="4"/>
    <x v="1057"/>
    <x v="3209"/>
    <s v="UPI"/>
    <s v="REV102270"/>
    <x v="1"/>
  </r>
  <r>
    <d v="2023-07-31T00:00:00"/>
    <x v="6"/>
    <x v="6"/>
    <x v="0"/>
    <x v="3182"/>
    <x v="3210"/>
    <s v="Card"/>
    <s v="REV102509"/>
    <x v="1"/>
  </r>
  <r>
    <d v="2023-07-31T00:00:00"/>
    <x v="6"/>
    <x v="5"/>
    <x v="3"/>
    <x v="3183"/>
    <x v="3211"/>
    <s v="Bank Transfer"/>
    <s v="REV103037"/>
    <x v="1"/>
  </r>
  <r>
    <d v="2023-07-31T00:00:00"/>
    <x v="6"/>
    <x v="6"/>
    <x v="3"/>
    <x v="3184"/>
    <x v="3212"/>
    <s v="UPI"/>
    <s v="REV103074"/>
    <x v="1"/>
  </r>
  <r>
    <d v="2023-08-01T00:00:00"/>
    <x v="7"/>
    <x v="0"/>
    <x v="1"/>
    <x v="3185"/>
    <x v="3213"/>
    <s v="Cash"/>
    <s v="TXN101976"/>
    <x v="0"/>
  </r>
  <r>
    <d v="2023-08-01T00:00:00"/>
    <x v="7"/>
    <x v="7"/>
    <x v="2"/>
    <x v="3186"/>
    <x v="3214"/>
    <s v="Card"/>
    <s v="TXN102291"/>
    <x v="0"/>
  </r>
  <r>
    <d v="2023-08-01T00:00:00"/>
    <x v="7"/>
    <x v="1"/>
    <x v="0"/>
    <x v="3187"/>
    <x v="3215"/>
    <s v="Card"/>
    <s v="TXN102304"/>
    <x v="0"/>
  </r>
  <r>
    <d v="2023-08-01T00:00:00"/>
    <x v="7"/>
    <x v="0"/>
    <x v="4"/>
    <x v="1808"/>
    <x v="3216"/>
    <s v="Card"/>
    <s v="TXN102372"/>
    <x v="0"/>
  </r>
  <r>
    <d v="2023-08-01T00:00:00"/>
    <x v="7"/>
    <x v="2"/>
    <x v="4"/>
    <x v="3188"/>
    <x v="3217"/>
    <s v="UPI"/>
    <s v="TXN102665"/>
    <x v="0"/>
  </r>
  <r>
    <d v="2023-08-01T00:00:00"/>
    <x v="7"/>
    <x v="1"/>
    <x v="2"/>
    <x v="3189"/>
    <x v="3218"/>
    <s v="Bank Transfer"/>
    <s v="TXN103668"/>
    <x v="0"/>
  </r>
  <r>
    <d v="2023-08-01T00:00:00"/>
    <x v="7"/>
    <x v="3"/>
    <x v="1"/>
    <x v="3190"/>
    <x v="3219"/>
    <s v="UPI"/>
    <s v="TXN105405"/>
    <x v="0"/>
  </r>
  <r>
    <d v="2023-08-01T00:00:00"/>
    <x v="7"/>
    <x v="7"/>
    <x v="2"/>
    <x v="3191"/>
    <x v="3220"/>
    <s v="Cash"/>
    <s v="TXN105664"/>
    <x v="0"/>
  </r>
  <r>
    <d v="2023-08-01T00:00:00"/>
    <x v="7"/>
    <x v="7"/>
    <x v="4"/>
    <x v="3192"/>
    <x v="3221"/>
    <s v="Bank Transfer"/>
    <s v="TXN106469"/>
    <x v="0"/>
  </r>
  <r>
    <d v="2023-08-01T00:00:00"/>
    <x v="7"/>
    <x v="2"/>
    <x v="3"/>
    <x v="1427"/>
    <x v="3222"/>
    <s v="UPI"/>
    <s v="TXN107297"/>
    <x v="0"/>
  </r>
  <r>
    <d v="2023-08-01T00:00:00"/>
    <x v="7"/>
    <x v="1"/>
    <x v="0"/>
    <x v="3193"/>
    <x v="3223"/>
    <s v="Bank Transfer"/>
    <s v="TXN107476"/>
    <x v="0"/>
  </r>
  <r>
    <d v="2023-08-01T00:00:00"/>
    <x v="7"/>
    <x v="7"/>
    <x v="3"/>
    <x v="3194"/>
    <x v="3224"/>
    <s v="UPI"/>
    <s v="TXN109685"/>
    <x v="0"/>
  </r>
  <r>
    <d v="2023-08-01T00:00:00"/>
    <x v="7"/>
    <x v="5"/>
    <x v="1"/>
    <x v="830"/>
    <x v="1221"/>
    <s v="Card"/>
    <s v="REV100708"/>
    <x v="1"/>
  </r>
  <r>
    <d v="2023-08-01T00:00:00"/>
    <x v="7"/>
    <x v="6"/>
    <x v="2"/>
    <x v="220"/>
    <x v="3225"/>
    <s v="Card"/>
    <s v="REV100809"/>
    <x v="1"/>
  </r>
  <r>
    <d v="2023-08-01T00:00:00"/>
    <x v="7"/>
    <x v="5"/>
    <x v="0"/>
    <x v="3195"/>
    <x v="1640"/>
    <s v="Bank Transfer"/>
    <s v="REV100813"/>
    <x v="1"/>
  </r>
  <r>
    <d v="2023-08-01T00:00:00"/>
    <x v="7"/>
    <x v="6"/>
    <x v="4"/>
    <x v="822"/>
    <x v="1827"/>
    <s v="UPI"/>
    <s v="REV100836"/>
    <x v="1"/>
  </r>
  <r>
    <d v="2023-08-01T00:00:00"/>
    <x v="7"/>
    <x v="6"/>
    <x v="4"/>
    <x v="2208"/>
    <x v="979"/>
    <s v="Card"/>
    <s v="REV100936"/>
    <x v="1"/>
  </r>
  <r>
    <d v="2023-08-01T00:00:00"/>
    <x v="7"/>
    <x v="6"/>
    <x v="2"/>
    <x v="1937"/>
    <x v="3226"/>
    <s v="UPI"/>
    <s v="REV101256"/>
    <x v="1"/>
  </r>
  <r>
    <d v="2023-08-01T00:00:00"/>
    <x v="7"/>
    <x v="5"/>
    <x v="1"/>
    <x v="3196"/>
    <x v="760"/>
    <s v="Bank Transfer"/>
    <s v="REV101835"/>
    <x v="1"/>
  </r>
  <r>
    <d v="2023-08-01T00:00:00"/>
    <x v="7"/>
    <x v="6"/>
    <x v="2"/>
    <x v="206"/>
    <x v="271"/>
    <s v="Card"/>
    <s v="REV101927"/>
    <x v="1"/>
  </r>
  <r>
    <d v="2023-08-01T00:00:00"/>
    <x v="7"/>
    <x v="5"/>
    <x v="4"/>
    <x v="942"/>
    <x v="3096"/>
    <s v="Bank Transfer"/>
    <s v="REV102193"/>
    <x v="1"/>
  </r>
  <r>
    <d v="2023-08-01T00:00:00"/>
    <x v="7"/>
    <x v="5"/>
    <x v="3"/>
    <x v="3197"/>
    <x v="3227"/>
    <s v="Bank Transfer"/>
    <s v="REV102475"/>
    <x v="1"/>
  </r>
  <r>
    <d v="2023-08-01T00:00:00"/>
    <x v="7"/>
    <x v="6"/>
    <x v="0"/>
    <x v="2153"/>
    <x v="3228"/>
    <s v="UPI"/>
    <s v="REV102534"/>
    <x v="1"/>
  </r>
  <r>
    <d v="2023-08-01T00:00:00"/>
    <x v="7"/>
    <x v="6"/>
    <x v="3"/>
    <x v="1188"/>
    <x v="798"/>
    <s v="Card"/>
    <s v="REV103273"/>
    <x v="1"/>
  </r>
  <r>
    <d v="2023-08-02T00:00:00"/>
    <x v="7"/>
    <x v="3"/>
    <x v="4"/>
    <x v="3198"/>
    <x v="3229"/>
    <s v="UPI"/>
    <s v="TXN100951"/>
    <x v="0"/>
  </r>
  <r>
    <d v="2023-08-02T00:00:00"/>
    <x v="7"/>
    <x v="1"/>
    <x v="2"/>
    <x v="3199"/>
    <x v="3230"/>
    <s v="UPI"/>
    <s v="TXN101592"/>
    <x v="0"/>
  </r>
  <r>
    <d v="2023-08-02T00:00:00"/>
    <x v="7"/>
    <x v="3"/>
    <x v="1"/>
    <x v="3200"/>
    <x v="3231"/>
    <s v="Cash"/>
    <s v="TXN102152"/>
    <x v="0"/>
  </r>
  <r>
    <d v="2023-08-02T00:00:00"/>
    <x v="7"/>
    <x v="2"/>
    <x v="4"/>
    <x v="3201"/>
    <x v="3232"/>
    <s v="Cash"/>
    <s v="TXN102975"/>
    <x v="0"/>
  </r>
  <r>
    <d v="2023-08-02T00:00:00"/>
    <x v="7"/>
    <x v="4"/>
    <x v="4"/>
    <x v="3202"/>
    <x v="3233"/>
    <s v="Cash"/>
    <s v="TXN103280"/>
    <x v="0"/>
  </r>
  <r>
    <d v="2023-08-02T00:00:00"/>
    <x v="7"/>
    <x v="3"/>
    <x v="1"/>
    <x v="3203"/>
    <x v="3234"/>
    <s v="UPI"/>
    <s v="TXN103706"/>
    <x v="0"/>
  </r>
  <r>
    <d v="2023-08-02T00:00:00"/>
    <x v="7"/>
    <x v="2"/>
    <x v="1"/>
    <x v="3204"/>
    <x v="3235"/>
    <s v="UPI"/>
    <s v="TXN106255"/>
    <x v="0"/>
  </r>
  <r>
    <d v="2023-08-02T00:00:00"/>
    <x v="7"/>
    <x v="0"/>
    <x v="2"/>
    <x v="3205"/>
    <x v="3236"/>
    <s v="Card"/>
    <s v="TXN106293"/>
    <x v="0"/>
  </r>
  <r>
    <d v="2023-08-02T00:00:00"/>
    <x v="7"/>
    <x v="1"/>
    <x v="0"/>
    <x v="3206"/>
    <x v="3237"/>
    <s v="Card"/>
    <s v="TXN106882"/>
    <x v="0"/>
  </r>
  <r>
    <d v="2023-08-02T00:00:00"/>
    <x v="7"/>
    <x v="2"/>
    <x v="3"/>
    <x v="3207"/>
    <x v="3238"/>
    <s v="UPI"/>
    <s v="TXN109225"/>
    <x v="0"/>
  </r>
  <r>
    <d v="2023-08-02T00:00:00"/>
    <x v="7"/>
    <x v="5"/>
    <x v="4"/>
    <x v="2013"/>
    <x v="3239"/>
    <s v="Bank Transfer"/>
    <s v="REV100354"/>
    <x v="1"/>
  </r>
  <r>
    <d v="2023-08-02T00:00:00"/>
    <x v="7"/>
    <x v="5"/>
    <x v="2"/>
    <x v="727"/>
    <x v="1695"/>
    <s v="Bank Transfer"/>
    <s v="REV100589"/>
    <x v="1"/>
  </r>
  <r>
    <d v="2023-08-02T00:00:00"/>
    <x v="7"/>
    <x v="5"/>
    <x v="1"/>
    <x v="2844"/>
    <x v="236"/>
    <s v="Bank Transfer"/>
    <s v="REV100766"/>
    <x v="1"/>
  </r>
  <r>
    <d v="2023-08-02T00:00:00"/>
    <x v="7"/>
    <x v="6"/>
    <x v="4"/>
    <x v="907"/>
    <x v="3240"/>
    <s v="Card"/>
    <s v="REV101033"/>
    <x v="1"/>
  </r>
  <r>
    <d v="2023-08-02T00:00:00"/>
    <x v="7"/>
    <x v="5"/>
    <x v="4"/>
    <x v="3208"/>
    <x v="3241"/>
    <s v="Bank Transfer"/>
    <s v="REV101126"/>
    <x v="1"/>
  </r>
  <r>
    <d v="2023-08-02T00:00:00"/>
    <x v="7"/>
    <x v="5"/>
    <x v="1"/>
    <x v="879"/>
    <x v="3242"/>
    <s v="UPI"/>
    <s v="REV101275"/>
    <x v="1"/>
  </r>
  <r>
    <d v="2023-08-02T00:00:00"/>
    <x v="7"/>
    <x v="6"/>
    <x v="1"/>
    <x v="3209"/>
    <x v="3243"/>
    <s v="Bank Transfer"/>
    <s v="REV102105"/>
    <x v="1"/>
  </r>
  <r>
    <d v="2023-08-02T00:00:00"/>
    <x v="7"/>
    <x v="5"/>
    <x v="2"/>
    <x v="3210"/>
    <x v="3244"/>
    <s v="UPI"/>
    <s v="REV102120"/>
    <x v="1"/>
  </r>
  <r>
    <d v="2023-08-02T00:00:00"/>
    <x v="7"/>
    <x v="5"/>
    <x v="0"/>
    <x v="627"/>
    <x v="375"/>
    <s v="UPI"/>
    <s v="REV102341"/>
    <x v="1"/>
  </r>
  <r>
    <d v="2023-08-02T00:00:00"/>
    <x v="7"/>
    <x v="6"/>
    <x v="3"/>
    <x v="3114"/>
    <x v="1046"/>
    <s v="UPI"/>
    <s v="REV103109"/>
    <x v="1"/>
  </r>
  <r>
    <d v="2023-08-03T00:00:00"/>
    <x v="7"/>
    <x v="0"/>
    <x v="4"/>
    <x v="3211"/>
    <x v="3245"/>
    <s v="UPI"/>
    <s v="TXN101901"/>
    <x v="0"/>
  </r>
  <r>
    <d v="2023-08-03T00:00:00"/>
    <x v="7"/>
    <x v="2"/>
    <x v="4"/>
    <x v="3212"/>
    <x v="3246"/>
    <s v="UPI"/>
    <s v="TXN103686"/>
    <x v="0"/>
  </r>
  <r>
    <d v="2023-08-03T00:00:00"/>
    <x v="7"/>
    <x v="0"/>
    <x v="2"/>
    <x v="3213"/>
    <x v="3247"/>
    <s v="UPI"/>
    <s v="TXN103720"/>
    <x v="0"/>
  </r>
  <r>
    <d v="2023-08-03T00:00:00"/>
    <x v="7"/>
    <x v="4"/>
    <x v="0"/>
    <x v="3214"/>
    <x v="3248"/>
    <s v="Card"/>
    <s v="TXN104854"/>
    <x v="0"/>
  </r>
  <r>
    <d v="2023-08-03T00:00:00"/>
    <x v="7"/>
    <x v="2"/>
    <x v="3"/>
    <x v="3215"/>
    <x v="3249"/>
    <s v="Cash"/>
    <s v="TXN109062"/>
    <x v="0"/>
  </r>
  <r>
    <d v="2023-08-03T00:00:00"/>
    <x v="7"/>
    <x v="0"/>
    <x v="2"/>
    <x v="3216"/>
    <x v="3250"/>
    <s v="UPI"/>
    <s v="TXN109276"/>
    <x v="0"/>
  </r>
  <r>
    <d v="2023-08-03T00:00:00"/>
    <x v="7"/>
    <x v="7"/>
    <x v="1"/>
    <x v="877"/>
    <x v="3251"/>
    <s v="Cash"/>
    <s v="TXN109963"/>
    <x v="0"/>
  </r>
  <r>
    <d v="2023-08-03T00:00:00"/>
    <x v="7"/>
    <x v="5"/>
    <x v="4"/>
    <x v="2392"/>
    <x v="579"/>
    <s v="Card"/>
    <s v="REV100683"/>
    <x v="1"/>
  </r>
  <r>
    <d v="2023-08-03T00:00:00"/>
    <x v="7"/>
    <x v="5"/>
    <x v="4"/>
    <x v="1567"/>
    <x v="270"/>
    <s v="UPI"/>
    <s v="REV101262"/>
    <x v="1"/>
  </r>
  <r>
    <d v="2023-08-03T00:00:00"/>
    <x v="7"/>
    <x v="5"/>
    <x v="2"/>
    <x v="53"/>
    <x v="131"/>
    <s v="UPI"/>
    <s v="REV101279"/>
    <x v="1"/>
  </r>
  <r>
    <d v="2023-08-03T00:00:00"/>
    <x v="7"/>
    <x v="5"/>
    <x v="0"/>
    <x v="1383"/>
    <x v="1659"/>
    <s v="UPI"/>
    <s v="REV101658"/>
    <x v="1"/>
  </r>
  <r>
    <d v="2023-08-03T00:00:00"/>
    <x v="7"/>
    <x v="5"/>
    <x v="3"/>
    <x v="3038"/>
    <x v="3018"/>
    <s v="Bank Transfer"/>
    <s v="REV103067"/>
    <x v="1"/>
  </r>
  <r>
    <d v="2023-08-03T00:00:00"/>
    <x v="7"/>
    <x v="6"/>
    <x v="2"/>
    <x v="1440"/>
    <x v="79"/>
    <s v="Bank Transfer"/>
    <s v="REV103134"/>
    <x v="1"/>
  </r>
  <r>
    <d v="2023-08-03T00:00:00"/>
    <x v="7"/>
    <x v="5"/>
    <x v="1"/>
    <x v="708"/>
    <x v="378"/>
    <s v="Bank Transfer"/>
    <s v="REV103369"/>
    <x v="1"/>
  </r>
  <r>
    <d v="2023-08-04T00:00:00"/>
    <x v="7"/>
    <x v="7"/>
    <x v="0"/>
    <x v="3217"/>
    <x v="3252"/>
    <s v="Card"/>
    <s v="TXN100451"/>
    <x v="0"/>
  </r>
  <r>
    <d v="2023-08-04T00:00:00"/>
    <x v="7"/>
    <x v="2"/>
    <x v="4"/>
    <x v="3218"/>
    <x v="3253"/>
    <s v="Card"/>
    <s v="TXN101939"/>
    <x v="0"/>
  </r>
  <r>
    <d v="2023-08-04T00:00:00"/>
    <x v="7"/>
    <x v="3"/>
    <x v="2"/>
    <x v="3219"/>
    <x v="3254"/>
    <s v="Cash"/>
    <s v="TXN102912"/>
    <x v="0"/>
  </r>
  <r>
    <d v="2023-08-04T00:00:00"/>
    <x v="7"/>
    <x v="4"/>
    <x v="1"/>
    <x v="3220"/>
    <x v="3255"/>
    <s v="Card"/>
    <s v="TXN103285"/>
    <x v="0"/>
  </r>
  <r>
    <d v="2023-08-04T00:00:00"/>
    <x v="7"/>
    <x v="0"/>
    <x v="0"/>
    <x v="3221"/>
    <x v="3256"/>
    <s v="Card"/>
    <s v="TXN103427"/>
    <x v="0"/>
  </r>
  <r>
    <d v="2023-08-04T00:00:00"/>
    <x v="7"/>
    <x v="3"/>
    <x v="1"/>
    <x v="3222"/>
    <x v="3257"/>
    <s v="UPI"/>
    <s v="TXN103903"/>
    <x v="0"/>
  </r>
  <r>
    <d v="2023-08-04T00:00:00"/>
    <x v="7"/>
    <x v="0"/>
    <x v="4"/>
    <x v="3223"/>
    <x v="3258"/>
    <s v="Cash"/>
    <s v="TXN106257"/>
    <x v="0"/>
  </r>
  <r>
    <d v="2023-08-04T00:00:00"/>
    <x v="7"/>
    <x v="3"/>
    <x v="3"/>
    <x v="3224"/>
    <x v="3259"/>
    <s v="UPI"/>
    <s v="TXN108083"/>
    <x v="0"/>
  </r>
  <r>
    <d v="2023-08-04T00:00:00"/>
    <x v="7"/>
    <x v="6"/>
    <x v="0"/>
    <x v="419"/>
    <x v="952"/>
    <s v="Card"/>
    <s v="REV100173"/>
    <x v="1"/>
  </r>
  <r>
    <d v="2023-08-04T00:00:00"/>
    <x v="7"/>
    <x v="6"/>
    <x v="4"/>
    <x v="3038"/>
    <x v="207"/>
    <s v="Bank Transfer"/>
    <s v="REV100694"/>
    <x v="1"/>
  </r>
  <r>
    <d v="2023-08-04T00:00:00"/>
    <x v="7"/>
    <x v="6"/>
    <x v="2"/>
    <x v="3225"/>
    <x v="3080"/>
    <s v="Card"/>
    <s v="REV101016"/>
    <x v="1"/>
  </r>
  <r>
    <d v="2023-08-04T00:00:00"/>
    <x v="7"/>
    <x v="6"/>
    <x v="1"/>
    <x v="1757"/>
    <x v="2980"/>
    <s v="Bank Transfer"/>
    <s v="REV101128"/>
    <x v="1"/>
  </r>
  <r>
    <d v="2023-08-04T00:00:00"/>
    <x v="7"/>
    <x v="5"/>
    <x v="0"/>
    <x v="3226"/>
    <x v="3260"/>
    <s v="Card"/>
    <s v="REV101174"/>
    <x v="1"/>
  </r>
  <r>
    <d v="2023-08-04T00:00:00"/>
    <x v="7"/>
    <x v="5"/>
    <x v="1"/>
    <x v="3227"/>
    <x v="3205"/>
    <s v="Card"/>
    <s v="REV101349"/>
    <x v="1"/>
  </r>
  <r>
    <d v="2023-08-04T00:00:00"/>
    <x v="7"/>
    <x v="6"/>
    <x v="4"/>
    <x v="882"/>
    <x v="3261"/>
    <s v="UPI"/>
    <s v="REV102106"/>
    <x v="1"/>
  </r>
  <r>
    <d v="2023-08-04T00:00:00"/>
    <x v="7"/>
    <x v="5"/>
    <x v="3"/>
    <x v="1855"/>
    <x v="3226"/>
    <s v="Card"/>
    <s v="REV102744"/>
    <x v="1"/>
  </r>
  <r>
    <d v="2023-08-05T00:00:00"/>
    <x v="7"/>
    <x v="3"/>
    <x v="2"/>
    <x v="3228"/>
    <x v="3262"/>
    <s v="Bank Transfer"/>
    <s v="TXN100725"/>
    <x v="0"/>
  </r>
  <r>
    <d v="2023-08-05T00:00:00"/>
    <x v="7"/>
    <x v="3"/>
    <x v="4"/>
    <x v="3229"/>
    <x v="3263"/>
    <s v="Bank Transfer"/>
    <s v="TXN100921"/>
    <x v="0"/>
  </r>
  <r>
    <d v="2023-08-05T00:00:00"/>
    <x v="7"/>
    <x v="1"/>
    <x v="0"/>
    <x v="3230"/>
    <x v="3264"/>
    <s v="Card"/>
    <s v="TXN101283"/>
    <x v="0"/>
  </r>
  <r>
    <d v="2023-08-05T00:00:00"/>
    <x v="7"/>
    <x v="0"/>
    <x v="0"/>
    <x v="3231"/>
    <x v="3265"/>
    <s v="Bank Transfer"/>
    <s v="TXN101434"/>
    <x v="0"/>
  </r>
  <r>
    <d v="2023-08-05T00:00:00"/>
    <x v="7"/>
    <x v="1"/>
    <x v="2"/>
    <x v="2271"/>
    <x v="3266"/>
    <s v="Bank Transfer"/>
    <s v="TXN102363"/>
    <x v="0"/>
  </r>
  <r>
    <d v="2023-08-05T00:00:00"/>
    <x v="7"/>
    <x v="0"/>
    <x v="4"/>
    <x v="3232"/>
    <x v="3267"/>
    <s v="Cash"/>
    <s v="TXN102593"/>
    <x v="0"/>
  </r>
  <r>
    <d v="2023-08-05T00:00:00"/>
    <x v="7"/>
    <x v="2"/>
    <x v="4"/>
    <x v="3233"/>
    <x v="3268"/>
    <s v="Card"/>
    <s v="TXN103012"/>
    <x v="0"/>
  </r>
  <r>
    <d v="2023-08-05T00:00:00"/>
    <x v="7"/>
    <x v="7"/>
    <x v="4"/>
    <x v="3234"/>
    <x v="3269"/>
    <s v="UPI"/>
    <s v="TXN103235"/>
    <x v="0"/>
  </r>
  <r>
    <d v="2023-08-05T00:00:00"/>
    <x v="7"/>
    <x v="1"/>
    <x v="3"/>
    <x v="3235"/>
    <x v="3270"/>
    <s v="UPI"/>
    <s v="TXN103461"/>
    <x v="0"/>
  </r>
  <r>
    <d v="2023-08-05T00:00:00"/>
    <x v="7"/>
    <x v="0"/>
    <x v="1"/>
    <x v="3236"/>
    <x v="3271"/>
    <s v="Bank Transfer"/>
    <s v="TXN104432"/>
    <x v="0"/>
  </r>
  <r>
    <d v="2023-08-05T00:00:00"/>
    <x v="7"/>
    <x v="1"/>
    <x v="0"/>
    <x v="3237"/>
    <x v="3272"/>
    <s v="Card"/>
    <s v="TXN104510"/>
    <x v="0"/>
  </r>
  <r>
    <d v="2023-08-05T00:00:00"/>
    <x v="7"/>
    <x v="0"/>
    <x v="0"/>
    <x v="3238"/>
    <x v="3273"/>
    <s v="Card"/>
    <s v="TXN104877"/>
    <x v="0"/>
  </r>
  <r>
    <d v="2023-08-05T00:00:00"/>
    <x v="7"/>
    <x v="4"/>
    <x v="3"/>
    <x v="3239"/>
    <x v="3274"/>
    <s v="UPI"/>
    <s v="TXN106092"/>
    <x v="0"/>
  </r>
  <r>
    <d v="2023-08-05T00:00:00"/>
    <x v="7"/>
    <x v="0"/>
    <x v="1"/>
    <x v="3240"/>
    <x v="3275"/>
    <s v="Cash"/>
    <s v="TXN107086"/>
    <x v="0"/>
  </r>
  <r>
    <d v="2023-08-05T00:00:00"/>
    <x v="7"/>
    <x v="4"/>
    <x v="3"/>
    <x v="3241"/>
    <x v="3276"/>
    <s v="Bank Transfer"/>
    <s v="TXN109796"/>
    <x v="0"/>
  </r>
  <r>
    <d v="2023-08-05T00:00:00"/>
    <x v="7"/>
    <x v="3"/>
    <x v="0"/>
    <x v="3242"/>
    <x v="3277"/>
    <s v="Bank Transfer"/>
    <s v="TXN109983"/>
    <x v="0"/>
  </r>
  <r>
    <d v="2023-08-05T00:00:00"/>
    <x v="7"/>
    <x v="5"/>
    <x v="2"/>
    <x v="3243"/>
    <x v="3278"/>
    <s v="UPI"/>
    <s v="REV100270"/>
    <x v="1"/>
  </r>
  <r>
    <d v="2023-08-05T00:00:00"/>
    <x v="7"/>
    <x v="5"/>
    <x v="4"/>
    <x v="3244"/>
    <x v="3279"/>
    <s v="Bank Transfer"/>
    <s v="REV100338"/>
    <x v="1"/>
  </r>
  <r>
    <d v="2023-08-05T00:00:00"/>
    <x v="7"/>
    <x v="5"/>
    <x v="0"/>
    <x v="3083"/>
    <x v="1561"/>
    <s v="Bank Transfer"/>
    <s v="REV100469"/>
    <x v="1"/>
  </r>
  <r>
    <d v="2023-08-05T00:00:00"/>
    <x v="7"/>
    <x v="6"/>
    <x v="0"/>
    <x v="3245"/>
    <x v="3280"/>
    <s v="Bank Transfer"/>
    <s v="REV100527"/>
    <x v="1"/>
  </r>
  <r>
    <d v="2023-08-05T00:00:00"/>
    <x v="7"/>
    <x v="6"/>
    <x v="2"/>
    <x v="266"/>
    <x v="2281"/>
    <s v="UPI"/>
    <s v="REV100830"/>
    <x v="1"/>
  </r>
  <r>
    <d v="2023-08-05T00:00:00"/>
    <x v="7"/>
    <x v="5"/>
    <x v="4"/>
    <x v="1337"/>
    <x v="3281"/>
    <s v="Bank Transfer"/>
    <s v="REV100906"/>
    <x v="1"/>
  </r>
  <r>
    <d v="2023-08-05T00:00:00"/>
    <x v="7"/>
    <x v="5"/>
    <x v="4"/>
    <x v="787"/>
    <x v="3282"/>
    <s v="UPI"/>
    <s v="REV101046"/>
    <x v="1"/>
  </r>
  <r>
    <d v="2023-08-05T00:00:00"/>
    <x v="7"/>
    <x v="5"/>
    <x v="4"/>
    <x v="2135"/>
    <x v="3283"/>
    <s v="Card"/>
    <s v="REV101109"/>
    <x v="1"/>
  </r>
  <r>
    <d v="2023-08-05T00:00:00"/>
    <x v="7"/>
    <x v="5"/>
    <x v="3"/>
    <x v="1288"/>
    <x v="3284"/>
    <s v="Bank Transfer"/>
    <s v="REV101184"/>
    <x v="1"/>
  </r>
  <r>
    <d v="2023-08-05T00:00:00"/>
    <x v="7"/>
    <x v="5"/>
    <x v="1"/>
    <x v="3246"/>
    <x v="1580"/>
    <s v="Bank Transfer"/>
    <s v="REV101527"/>
    <x v="1"/>
  </r>
  <r>
    <d v="2023-08-05T00:00:00"/>
    <x v="7"/>
    <x v="5"/>
    <x v="0"/>
    <x v="3247"/>
    <x v="3285"/>
    <s v="Bank Transfer"/>
    <s v="REV101550"/>
    <x v="1"/>
  </r>
  <r>
    <d v="2023-08-05T00:00:00"/>
    <x v="7"/>
    <x v="6"/>
    <x v="0"/>
    <x v="2099"/>
    <x v="2711"/>
    <s v="Bank Transfer"/>
    <s v="REV101666"/>
    <x v="1"/>
  </r>
  <r>
    <d v="2023-08-05T00:00:00"/>
    <x v="7"/>
    <x v="5"/>
    <x v="3"/>
    <x v="1566"/>
    <x v="223"/>
    <s v="Bank Transfer"/>
    <s v="REV102055"/>
    <x v="1"/>
  </r>
  <r>
    <d v="2023-08-05T00:00:00"/>
    <x v="7"/>
    <x v="5"/>
    <x v="1"/>
    <x v="728"/>
    <x v="3286"/>
    <s v="Card"/>
    <s v="REV102405"/>
    <x v="1"/>
  </r>
  <r>
    <d v="2023-08-05T00:00:00"/>
    <x v="7"/>
    <x v="5"/>
    <x v="3"/>
    <x v="3248"/>
    <x v="3287"/>
    <s v="Bank Transfer"/>
    <s v="REV103315"/>
    <x v="1"/>
  </r>
  <r>
    <d v="2023-08-05T00:00:00"/>
    <x v="7"/>
    <x v="6"/>
    <x v="0"/>
    <x v="3249"/>
    <x v="226"/>
    <s v="Bank Transfer"/>
    <s v="REV103379"/>
    <x v="1"/>
  </r>
  <r>
    <d v="2023-08-06T00:00:00"/>
    <x v="7"/>
    <x v="7"/>
    <x v="4"/>
    <x v="3250"/>
    <x v="3288"/>
    <s v="Bank Transfer"/>
    <s v="TXN100432"/>
    <x v="0"/>
  </r>
  <r>
    <d v="2023-08-06T00:00:00"/>
    <x v="7"/>
    <x v="7"/>
    <x v="0"/>
    <x v="3251"/>
    <x v="3289"/>
    <s v="Card"/>
    <s v="TXN100816"/>
    <x v="0"/>
  </r>
  <r>
    <d v="2023-08-06T00:00:00"/>
    <x v="7"/>
    <x v="2"/>
    <x v="4"/>
    <x v="3252"/>
    <x v="3290"/>
    <s v="UPI"/>
    <s v="TXN101274"/>
    <x v="0"/>
  </r>
  <r>
    <d v="2023-08-06T00:00:00"/>
    <x v="7"/>
    <x v="1"/>
    <x v="3"/>
    <x v="3253"/>
    <x v="3291"/>
    <s v="Card"/>
    <s v="TXN101772"/>
    <x v="0"/>
  </r>
  <r>
    <d v="2023-08-06T00:00:00"/>
    <x v="7"/>
    <x v="4"/>
    <x v="4"/>
    <x v="3254"/>
    <x v="3292"/>
    <s v="UPI"/>
    <s v="TXN103981"/>
    <x v="0"/>
  </r>
  <r>
    <d v="2023-08-06T00:00:00"/>
    <x v="7"/>
    <x v="4"/>
    <x v="3"/>
    <x v="3255"/>
    <x v="3293"/>
    <s v="Card"/>
    <s v="TXN105944"/>
    <x v="0"/>
  </r>
  <r>
    <d v="2023-08-06T00:00:00"/>
    <x v="7"/>
    <x v="3"/>
    <x v="4"/>
    <x v="3256"/>
    <x v="3294"/>
    <s v="Cash"/>
    <s v="TXN106000"/>
    <x v="0"/>
  </r>
  <r>
    <d v="2023-08-06T00:00:00"/>
    <x v="7"/>
    <x v="3"/>
    <x v="0"/>
    <x v="3257"/>
    <x v="3295"/>
    <s v="Cash"/>
    <s v="TXN107324"/>
    <x v="0"/>
  </r>
  <r>
    <d v="2023-08-06T00:00:00"/>
    <x v="7"/>
    <x v="4"/>
    <x v="0"/>
    <x v="3258"/>
    <x v="3296"/>
    <s v="UPI"/>
    <s v="TXN108862"/>
    <x v="0"/>
  </r>
  <r>
    <d v="2023-08-06T00:00:00"/>
    <x v="7"/>
    <x v="2"/>
    <x v="0"/>
    <x v="3259"/>
    <x v="3297"/>
    <s v="Bank Transfer"/>
    <s v="TXN109597"/>
    <x v="0"/>
  </r>
  <r>
    <d v="2023-08-06T00:00:00"/>
    <x v="7"/>
    <x v="2"/>
    <x v="0"/>
    <x v="3260"/>
    <x v="3298"/>
    <s v="Card"/>
    <m/>
    <x v="0"/>
  </r>
  <r>
    <d v="2023-08-06T00:00:00"/>
    <x v="7"/>
    <x v="5"/>
    <x v="4"/>
    <x v="3261"/>
    <x v="3299"/>
    <s v="Bank Transfer"/>
    <s v="REV100163"/>
    <x v="1"/>
  </r>
  <r>
    <d v="2023-08-06T00:00:00"/>
    <x v="7"/>
    <x v="6"/>
    <x v="0"/>
    <x v="3262"/>
    <x v="3300"/>
    <s v="UPI"/>
    <s v="REV100299"/>
    <x v="1"/>
  </r>
  <r>
    <d v="2023-08-06T00:00:00"/>
    <x v="7"/>
    <x v="5"/>
    <x v="4"/>
    <x v="2291"/>
    <x v="511"/>
    <s v="Bank Transfer"/>
    <s v="REV100464"/>
    <x v="1"/>
  </r>
  <r>
    <d v="2023-08-06T00:00:00"/>
    <x v="7"/>
    <x v="6"/>
    <x v="3"/>
    <x v="789"/>
    <x v="897"/>
    <s v="Card"/>
    <s v="REV100644"/>
    <x v="1"/>
  </r>
  <r>
    <d v="2023-08-06T00:00:00"/>
    <x v="7"/>
    <x v="6"/>
    <x v="4"/>
    <x v="862"/>
    <x v="3301"/>
    <s v="Bank Transfer"/>
    <s v="REV101377"/>
    <x v="1"/>
  </r>
  <r>
    <d v="2023-08-06T00:00:00"/>
    <x v="7"/>
    <x v="5"/>
    <x v="3"/>
    <x v="902"/>
    <x v="3302"/>
    <s v="Card"/>
    <s v="REV102007"/>
    <x v="1"/>
  </r>
  <r>
    <d v="2023-08-06T00:00:00"/>
    <x v="7"/>
    <x v="5"/>
    <x v="4"/>
    <x v="3263"/>
    <x v="3303"/>
    <s v="Card"/>
    <s v="REV102028"/>
    <x v="1"/>
  </r>
  <r>
    <d v="2023-08-06T00:00:00"/>
    <x v="7"/>
    <x v="5"/>
    <x v="0"/>
    <x v="3264"/>
    <x v="3304"/>
    <s v="Bank Transfer"/>
    <s v="REV102087"/>
    <x v="1"/>
  </r>
  <r>
    <d v="2023-08-06T00:00:00"/>
    <x v="7"/>
    <x v="5"/>
    <x v="0"/>
    <x v="2694"/>
    <x v="2265"/>
    <s v="Bank Transfer"/>
    <s v="REV102483"/>
    <x v="1"/>
  </r>
  <r>
    <d v="2023-08-06T00:00:00"/>
    <x v="7"/>
    <x v="5"/>
    <x v="0"/>
    <x v="901"/>
    <x v="3305"/>
    <s v="Bank Transfer"/>
    <s v="REV103002"/>
    <x v="1"/>
  </r>
  <r>
    <d v="2023-08-06T00:00:00"/>
    <x v="7"/>
    <x v="5"/>
    <x v="0"/>
    <x v="3049"/>
    <x v="3306"/>
    <s v="Card"/>
    <s v="REV103244"/>
    <x v="1"/>
  </r>
  <r>
    <d v="2023-08-07T00:00:00"/>
    <x v="7"/>
    <x v="4"/>
    <x v="1"/>
    <x v="3265"/>
    <x v="3307"/>
    <s v="Cash"/>
    <s v="TXN101142"/>
    <x v="0"/>
  </r>
  <r>
    <d v="2023-08-07T00:00:00"/>
    <x v="7"/>
    <x v="4"/>
    <x v="1"/>
    <x v="3266"/>
    <x v="3308"/>
    <s v="Cash"/>
    <s v="TXN102337"/>
    <x v="0"/>
  </r>
  <r>
    <d v="2023-08-07T00:00:00"/>
    <x v="7"/>
    <x v="4"/>
    <x v="0"/>
    <x v="3267"/>
    <x v="3309"/>
    <s v="UPI"/>
    <s v="TXN104528"/>
    <x v="0"/>
  </r>
  <r>
    <d v="2023-08-07T00:00:00"/>
    <x v="7"/>
    <x v="3"/>
    <x v="3"/>
    <x v="3268"/>
    <x v="3310"/>
    <s v="Bank Transfer"/>
    <s v="TXN108948"/>
    <x v="0"/>
  </r>
  <r>
    <d v="2023-08-07T00:00:00"/>
    <x v="7"/>
    <x v="0"/>
    <x v="2"/>
    <x v="3269"/>
    <x v="3311"/>
    <s v="Bank Transfer"/>
    <s v="TXN109206"/>
    <x v="0"/>
  </r>
  <r>
    <d v="2023-08-07T00:00:00"/>
    <x v="7"/>
    <x v="5"/>
    <x v="1"/>
    <x v="3270"/>
    <x v="3312"/>
    <s v="UPI"/>
    <s v="REV100418"/>
    <x v="1"/>
  </r>
  <r>
    <d v="2023-08-07T00:00:00"/>
    <x v="7"/>
    <x v="5"/>
    <x v="1"/>
    <x v="2829"/>
    <x v="2055"/>
    <s v="Card"/>
    <s v="REV100825"/>
    <x v="1"/>
  </r>
  <r>
    <d v="2023-08-07T00:00:00"/>
    <x v="7"/>
    <x v="5"/>
    <x v="0"/>
    <x v="1053"/>
    <x v="318"/>
    <s v="UPI"/>
    <s v="REV101554"/>
    <x v="1"/>
  </r>
  <r>
    <d v="2023-08-07T00:00:00"/>
    <x v="7"/>
    <x v="6"/>
    <x v="3"/>
    <x v="1396"/>
    <x v="3313"/>
    <s v="UPI"/>
    <s v="REV103030"/>
    <x v="1"/>
  </r>
  <r>
    <d v="2023-08-07T00:00:00"/>
    <x v="7"/>
    <x v="6"/>
    <x v="2"/>
    <x v="991"/>
    <x v="3080"/>
    <s v="Card"/>
    <s v="REV103105"/>
    <x v="1"/>
  </r>
  <r>
    <d v="2023-08-08T00:00:00"/>
    <x v="7"/>
    <x v="2"/>
    <x v="3"/>
    <x v="3271"/>
    <x v="3314"/>
    <s v="Bank Transfer"/>
    <s v="TXN103214"/>
    <x v="0"/>
  </r>
  <r>
    <d v="2023-08-08T00:00:00"/>
    <x v="7"/>
    <x v="0"/>
    <x v="3"/>
    <x v="3272"/>
    <x v="3315"/>
    <s v="UPI"/>
    <s v="TXN103615"/>
    <x v="0"/>
  </r>
  <r>
    <d v="2023-08-08T00:00:00"/>
    <x v="7"/>
    <x v="3"/>
    <x v="4"/>
    <x v="3273"/>
    <x v="3316"/>
    <s v="UPI"/>
    <s v="TXN104258"/>
    <x v="0"/>
  </r>
  <r>
    <d v="2023-08-08T00:00:00"/>
    <x v="7"/>
    <x v="0"/>
    <x v="1"/>
    <x v="3274"/>
    <x v="3317"/>
    <s v="UPI"/>
    <s v="TXN105483"/>
    <x v="0"/>
  </r>
  <r>
    <d v="2023-08-08T00:00:00"/>
    <x v="7"/>
    <x v="1"/>
    <x v="3"/>
    <x v="3275"/>
    <x v="1460"/>
    <s v="Cash"/>
    <s v="TXN106379"/>
    <x v="0"/>
  </r>
  <r>
    <d v="2023-08-08T00:00:00"/>
    <x v="7"/>
    <x v="0"/>
    <x v="4"/>
    <x v="3276"/>
    <x v="3318"/>
    <s v="Card"/>
    <s v="TXN107288"/>
    <x v="0"/>
  </r>
  <r>
    <d v="2023-08-08T00:00:00"/>
    <x v="7"/>
    <x v="1"/>
    <x v="1"/>
    <x v="3277"/>
    <x v="3319"/>
    <s v="Card"/>
    <s v="TXN108591"/>
    <x v="0"/>
  </r>
  <r>
    <d v="2023-08-08T00:00:00"/>
    <x v="7"/>
    <x v="2"/>
    <x v="3"/>
    <x v="3278"/>
    <x v="3320"/>
    <s v="Bank Transfer"/>
    <s v="TXN109029"/>
    <x v="0"/>
  </r>
  <r>
    <d v="2023-08-08T00:00:00"/>
    <x v="7"/>
    <x v="7"/>
    <x v="2"/>
    <x v="3279"/>
    <x v="3321"/>
    <s v="Bank Transfer"/>
    <s v="TXN109228"/>
    <x v="0"/>
  </r>
  <r>
    <d v="2023-08-08T00:00:00"/>
    <x v="7"/>
    <x v="7"/>
    <x v="4"/>
    <x v="3280"/>
    <x v="3322"/>
    <s v="Bank Transfer"/>
    <s v="TXN109790"/>
    <x v="0"/>
  </r>
  <r>
    <d v="2023-08-08T00:00:00"/>
    <x v="7"/>
    <x v="7"/>
    <x v="2"/>
    <x v="3281"/>
    <x v="3323"/>
    <s v="Card"/>
    <s v="TXN109803"/>
    <x v="0"/>
  </r>
  <r>
    <d v="2023-08-08T00:00:00"/>
    <x v="7"/>
    <x v="6"/>
    <x v="3"/>
    <x v="1296"/>
    <x v="3324"/>
    <s v="Bank Transfer"/>
    <s v="REV101102"/>
    <x v="1"/>
  </r>
  <r>
    <d v="2023-08-08T00:00:00"/>
    <x v="7"/>
    <x v="5"/>
    <x v="3"/>
    <x v="1020"/>
    <x v="3325"/>
    <s v="Bank Transfer"/>
    <s v="REV101236"/>
    <x v="1"/>
  </r>
  <r>
    <d v="2023-08-08T00:00:00"/>
    <x v="7"/>
    <x v="5"/>
    <x v="4"/>
    <x v="176"/>
    <x v="1137"/>
    <s v="Card"/>
    <s v="REV101480"/>
    <x v="1"/>
  </r>
  <r>
    <d v="2023-08-08T00:00:00"/>
    <x v="7"/>
    <x v="6"/>
    <x v="1"/>
    <x v="1385"/>
    <x v="98"/>
    <s v="Card"/>
    <s v="REV101866"/>
    <x v="1"/>
  </r>
  <r>
    <d v="2023-08-08T00:00:00"/>
    <x v="7"/>
    <x v="5"/>
    <x v="3"/>
    <x v="1117"/>
    <x v="3326"/>
    <s v="Card"/>
    <s v="REV102157"/>
    <x v="1"/>
  </r>
  <r>
    <d v="2023-08-08T00:00:00"/>
    <x v="7"/>
    <x v="5"/>
    <x v="4"/>
    <x v="3282"/>
    <x v="2017"/>
    <s v="Card"/>
    <s v="REV102474"/>
    <x v="1"/>
  </r>
  <r>
    <d v="2023-08-08T00:00:00"/>
    <x v="7"/>
    <x v="6"/>
    <x v="1"/>
    <x v="2234"/>
    <x v="448"/>
    <s v="Bank Transfer"/>
    <s v="REV102920"/>
    <x v="1"/>
  </r>
  <r>
    <d v="2023-08-08T00:00:00"/>
    <x v="7"/>
    <x v="6"/>
    <x v="3"/>
    <x v="1736"/>
    <x v="1942"/>
    <s v="Card"/>
    <s v="REV103054"/>
    <x v="1"/>
  </r>
  <r>
    <d v="2023-08-08T00:00:00"/>
    <x v="7"/>
    <x v="5"/>
    <x v="2"/>
    <x v="3283"/>
    <x v="997"/>
    <s v="UPI"/>
    <s v="REV103111"/>
    <x v="1"/>
  </r>
  <r>
    <d v="2023-08-08T00:00:00"/>
    <x v="7"/>
    <x v="6"/>
    <x v="4"/>
    <x v="3284"/>
    <x v="3327"/>
    <s v="Card"/>
    <s v="REV103313"/>
    <x v="1"/>
  </r>
  <r>
    <d v="2023-08-08T00:00:00"/>
    <x v="7"/>
    <x v="5"/>
    <x v="2"/>
    <x v="651"/>
    <x v="3328"/>
    <s v="UPI"/>
    <s v="REV103319"/>
    <x v="1"/>
  </r>
  <r>
    <d v="2023-08-09T00:00:00"/>
    <x v="7"/>
    <x v="2"/>
    <x v="1"/>
    <x v="3285"/>
    <x v="3329"/>
    <s v="Card"/>
    <s v="TXN100806"/>
    <x v="0"/>
  </r>
  <r>
    <d v="2023-08-09T00:00:00"/>
    <x v="7"/>
    <x v="3"/>
    <x v="3"/>
    <x v="3286"/>
    <x v="3330"/>
    <s v="Card"/>
    <s v="TXN102436"/>
    <x v="0"/>
  </r>
  <r>
    <d v="2023-08-09T00:00:00"/>
    <x v="7"/>
    <x v="2"/>
    <x v="2"/>
    <x v="3287"/>
    <x v="3331"/>
    <s v="Bank Transfer"/>
    <s v="TXN102778"/>
    <x v="0"/>
  </r>
  <r>
    <d v="2023-08-09T00:00:00"/>
    <x v="7"/>
    <x v="2"/>
    <x v="1"/>
    <x v="3288"/>
    <x v="3332"/>
    <s v="Bank Transfer"/>
    <s v="TXN103502"/>
    <x v="0"/>
  </r>
  <r>
    <d v="2023-08-09T00:00:00"/>
    <x v="7"/>
    <x v="3"/>
    <x v="3"/>
    <x v="3289"/>
    <x v="3333"/>
    <s v="UPI"/>
    <s v="TXN104851"/>
    <x v="0"/>
  </r>
  <r>
    <d v="2023-08-09T00:00:00"/>
    <x v="7"/>
    <x v="2"/>
    <x v="0"/>
    <x v="3290"/>
    <x v="3334"/>
    <s v="Bank Transfer"/>
    <s v="TXN105030"/>
    <x v="0"/>
  </r>
  <r>
    <d v="2023-08-09T00:00:00"/>
    <x v="7"/>
    <x v="6"/>
    <x v="1"/>
    <x v="312"/>
    <x v="2678"/>
    <s v="Card"/>
    <s v="REV100295"/>
    <x v="1"/>
  </r>
  <r>
    <d v="2023-08-09T00:00:00"/>
    <x v="7"/>
    <x v="6"/>
    <x v="3"/>
    <x v="3181"/>
    <x v="2546"/>
    <s v="Card"/>
    <s v="REV100857"/>
    <x v="1"/>
  </r>
  <r>
    <d v="2023-08-09T00:00:00"/>
    <x v="7"/>
    <x v="5"/>
    <x v="2"/>
    <x v="3291"/>
    <x v="3335"/>
    <s v="Card"/>
    <s v="REV100974"/>
    <x v="1"/>
  </r>
  <r>
    <d v="2023-08-09T00:00:00"/>
    <x v="7"/>
    <x v="6"/>
    <x v="1"/>
    <x v="1081"/>
    <x v="1175"/>
    <s v="Card"/>
    <s v="REV101193"/>
    <x v="1"/>
  </r>
  <r>
    <d v="2023-08-09T00:00:00"/>
    <x v="7"/>
    <x v="6"/>
    <x v="3"/>
    <x v="3292"/>
    <x v="1061"/>
    <s v="Card"/>
    <s v="REV101657"/>
    <x v="1"/>
  </r>
  <r>
    <d v="2023-08-09T00:00:00"/>
    <x v="7"/>
    <x v="6"/>
    <x v="0"/>
    <x v="3293"/>
    <x v="3336"/>
    <s v="Bank Transfer"/>
    <s v="REV101715"/>
    <x v="1"/>
  </r>
  <r>
    <d v="2023-08-10T00:00:00"/>
    <x v="7"/>
    <x v="0"/>
    <x v="3"/>
    <x v="3294"/>
    <x v="3337"/>
    <s v="Cash"/>
    <s v="TXN100141"/>
    <x v="0"/>
  </r>
  <r>
    <d v="2023-08-10T00:00:00"/>
    <x v="7"/>
    <x v="1"/>
    <x v="3"/>
    <x v="3295"/>
    <x v="3338"/>
    <s v="Card"/>
    <s v="TXN100905"/>
    <x v="0"/>
  </r>
  <r>
    <d v="2023-08-10T00:00:00"/>
    <x v="7"/>
    <x v="1"/>
    <x v="3"/>
    <x v="3296"/>
    <x v="3339"/>
    <s v="Card"/>
    <s v="TXN101181"/>
    <x v="0"/>
  </r>
  <r>
    <d v="2023-08-10T00:00:00"/>
    <x v="7"/>
    <x v="3"/>
    <x v="4"/>
    <x v="3297"/>
    <x v="3340"/>
    <s v="Cash"/>
    <s v="TXN101633"/>
    <x v="0"/>
  </r>
  <r>
    <d v="2023-08-10T00:00:00"/>
    <x v="7"/>
    <x v="7"/>
    <x v="1"/>
    <x v="3298"/>
    <x v="3341"/>
    <s v="Card"/>
    <s v="TXN102806"/>
    <x v="0"/>
  </r>
  <r>
    <d v="2023-08-10T00:00:00"/>
    <x v="7"/>
    <x v="2"/>
    <x v="1"/>
    <x v="3299"/>
    <x v="3342"/>
    <s v="Cash"/>
    <s v="TXN103705"/>
    <x v="0"/>
  </r>
  <r>
    <d v="2023-08-10T00:00:00"/>
    <x v="7"/>
    <x v="0"/>
    <x v="4"/>
    <x v="3300"/>
    <x v="3343"/>
    <s v="Cash"/>
    <s v="TXN104639"/>
    <x v="0"/>
  </r>
  <r>
    <d v="2023-08-10T00:00:00"/>
    <x v="7"/>
    <x v="0"/>
    <x v="4"/>
    <x v="3301"/>
    <x v="3344"/>
    <s v="Bank Transfer"/>
    <s v="TXN106530"/>
    <x v="0"/>
  </r>
  <r>
    <d v="2023-08-10T00:00:00"/>
    <x v="7"/>
    <x v="7"/>
    <x v="1"/>
    <x v="3302"/>
    <x v="3345"/>
    <s v="Cash"/>
    <s v="TXN109040"/>
    <x v="0"/>
  </r>
  <r>
    <d v="2023-08-10T00:00:00"/>
    <x v="7"/>
    <x v="0"/>
    <x v="3"/>
    <x v="3303"/>
    <x v="3346"/>
    <s v="UPI"/>
    <s v="TXN109763"/>
    <x v="0"/>
  </r>
  <r>
    <d v="2023-08-10T00:00:00"/>
    <x v="7"/>
    <x v="1"/>
    <x v="4"/>
    <x v="3304"/>
    <x v="3347"/>
    <s v="Cash"/>
    <s v="TXN109917"/>
    <x v="0"/>
  </r>
  <r>
    <d v="2023-08-10T00:00:00"/>
    <x v="7"/>
    <x v="6"/>
    <x v="3"/>
    <x v="3305"/>
    <x v="3348"/>
    <s v="Bank Transfer"/>
    <s v="REV100052"/>
    <x v="1"/>
  </r>
  <r>
    <d v="2023-08-10T00:00:00"/>
    <x v="7"/>
    <x v="6"/>
    <x v="3"/>
    <x v="2490"/>
    <x v="2801"/>
    <s v="Card"/>
    <s v="REV100333"/>
    <x v="1"/>
  </r>
  <r>
    <d v="2023-08-10T00:00:00"/>
    <x v="7"/>
    <x v="5"/>
    <x v="3"/>
    <x v="3306"/>
    <x v="3349"/>
    <s v="Bank Transfer"/>
    <s v="REV100434"/>
    <x v="1"/>
  </r>
  <r>
    <d v="2023-08-10T00:00:00"/>
    <x v="7"/>
    <x v="6"/>
    <x v="4"/>
    <x v="504"/>
    <x v="1152"/>
    <s v="Bank Transfer"/>
    <s v="REV100602"/>
    <x v="1"/>
  </r>
  <r>
    <d v="2023-08-10T00:00:00"/>
    <x v="7"/>
    <x v="6"/>
    <x v="1"/>
    <x v="668"/>
    <x v="949"/>
    <s v="Bank Transfer"/>
    <s v="REV100989"/>
    <x v="1"/>
  </r>
  <r>
    <d v="2023-08-10T00:00:00"/>
    <x v="7"/>
    <x v="5"/>
    <x v="1"/>
    <x v="3307"/>
    <x v="1388"/>
    <s v="Card"/>
    <s v="REV101274"/>
    <x v="1"/>
  </r>
  <r>
    <d v="2023-08-10T00:00:00"/>
    <x v="7"/>
    <x v="5"/>
    <x v="4"/>
    <x v="3308"/>
    <x v="3350"/>
    <s v="Card"/>
    <s v="REV101583"/>
    <x v="1"/>
  </r>
  <r>
    <d v="2023-08-10T00:00:00"/>
    <x v="7"/>
    <x v="5"/>
    <x v="4"/>
    <x v="3309"/>
    <x v="697"/>
    <s v="Card"/>
    <s v="REV102216"/>
    <x v="1"/>
  </r>
  <r>
    <d v="2023-08-10T00:00:00"/>
    <x v="7"/>
    <x v="5"/>
    <x v="1"/>
    <x v="2430"/>
    <x v="2241"/>
    <s v="Bank Transfer"/>
    <s v="REV103059"/>
    <x v="1"/>
  </r>
  <r>
    <d v="2023-08-10T00:00:00"/>
    <x v="7"/>
    <x v="6"/>
    <x v="3"/>
    <x v="1101"/>
    <x v="1173"/>
    <s v="Bank Transfer"/>
    <s v="REV103304"/>
    <x v="1"/>
  </r>
  <r>
    <d v="2023-08-10T00:00:00"/>
    <x v="7"/>
    <x v="5"/>
    <x v="4"/>
    <x v="673"/>
    <x v="96"/>
    <s v="UPI"/>
    <s v="REV103353"/>
    <x v="1"/>
  </r>
  <r>
    <d v="2023-08-11T00:00:00"/>
    <x v="7"/>
    <x v="0"/>
    <x v="2"/>
    <x v="3310"/>
    <x v="3351"/>
    <s v="Bank Transfer"/>
    <s v="TXN102306"/>
    <x v="0"/>
  </r>
  <r>
    <d v="2023-08-11T00:00:00"/>
    <x v="7"/>
    <x v="4"/>
    <x v="3"/>
    <x v="3311"/>
    <x v="3352"/>
    <s v="Cash"/>
    <s v="TXN103887"/>
    <x v="0"/>
  </r>
  <r>
    <d v="2023-08-11T00:00:00"/>
    <x v="7"/>
    <x v="1"/>
    <x v="3"/>
    <x v="3312"/>
    <x v="3353"/>
    <s v="Cash"/>
    <s v="TXN104204"/>
    <x v="0"/>
  </r>
  <r>
    <d v="2023-08-11T00:00:00"/>
    <x v="7"/>
    <x v="3"/>
    <x v="4"/>
    <x v="3313"/>
    <x v="3354"/>
    <s v="Bank Transfer"/>
    <s v="TXN108061"/>
    <x v="0"/>
  </r>
  <r>
    <d v="2023-08-11T00:00:00"/>
    <x v="7"/>
    <x v="0"/>
    <x v="1"/>
    <x v="3314"/>
    <x v="3355"/>
    <s v="Cash"/>
    <s v="TXN108666"/>
    <x v="0"/>
  </r>
  <r>
    <d v="2023-08-11T00:00:00"/>
    <x v="7"/>
    <x v="1"/>
    <x v="1"/>
    <x v="3315"/>
    <x v="3356"/>
    <s v="Card"/>
    <s v="TXN109248"/>
    <x v="0"/>
  </r>
  <r>
    <d v="2023-08-11T00:00:00"/>
    <x v="7"/>
    <x v="5"/>
    <x v="2"/>
    <x v="1355"/>
    <x v="264"/>
    <s v="Bank Transfer"/>
    <s v="REV100814"/>
    <x v="1"/>
  </r>
  <r>
    <d v="2023-08-11T00:00:00"/>
    <x v="7"/>
    <x v="5"/>
    <x v="3"/>
    <x v="3316"/>
    <x v="1885"/>
    <s v="Card"/>
    <s v="REV101343"/>
    <x v="1"/>
  </r>
  <r>
    <d v="2023-08-11T00:00:00"/>
    <x v="7"/>
    <x v="6"/>
    <x v="3"/>
    <x v="205"/>
    <x v="3357"/>
    <s v="Card"/>
    <s v="REV101460"/>
    <x v="1"/>
  </r>
  <r>
    <d v="2023-08-11T00:00:00"/>
    <x v="7"/>
    <x v="5"/>
    <x v="4"/>
    <x v="2903"/>
    <x v="2402"/>
    <s v="Bank Transfer"/>
    <s v="REV102739"/>
    <x v="1"/>
  </r>
  <r>
    <d v="2023-08-11T00:00:00"/>
    <x v="7"/>
    <x v="5"/>
    <x v="1"/>
    <x v="3317"/>
    <x v="2330"/>
    <s v="Bank Transfer"/>
    <s v="REV102943"/>
    <x v="1"/>
  </r>
  <r>
    <d v="2023-08-11T00:00:00"/>
    <x v="7"/>
    <x v="5"/>
    <x v="1"/>
    <x v="2334"/>
    <x v="1354"/>
    <s v="Bank Transfer"/>
    <s v="REV103120"/>
    <x v="1"/>
  </r>
  <r>
    <d v="2023-08-12T00:00:00"/>
    <x v="7"/>
    <x v="4"/>
    <x v="2"/>
    <x v="3318"/>
    <x v="3358"/>
    <s v="Bank Transfer"/>
    <s v="TXN100447"/>
    <x v="0"/>
  </r>
  <r>
    <d v="2023-08-12T00:00:00"/>
    <x v="7"/>
    <x v="4"/>
    <x v="4"/>
    <x v="3319"/>
    <x v="3359"/>
    <s v="UPI"/>
    <s v="TXN102179"/>
    <x v="0"/>
  </r>
  <r>
    <d v="2023-08-12T00:00:00"/>
    <x v="7"/>
    <x v="7"/>
    <x v="1"/>
    <x v="3320"/>
    <x v="3360"/>
    <s v="UPI"/>
    <s v="TXN104602"/>
    <x v="0"/>
  </r>
  <r>
    <d v="2023-08-12T00:00:00"/>
    <x v="7"/>
    <x v="7"/>
    <x v="3"/>
    <x v="3321"/>
    <x v="3361"/>
    <s v="Cash"/>
    <s v="TXN105172"/>
    <x v="0"/>
  </r>
  <r>
    <d v="2023-08-12T00:00:00"/>
    <x v="7"/>
    <x v="3"/>
    <x v="2"/>
    <x v="3322"/>
    <x v="1119"/>
    <s v="UPI"/>
    <s v="TXN105412"/>
    <x v="0"/>
  </r>
  <r>
    <d v="2023-08-12T00:00:00"/>
    <x v="7"/>
    <x v="7"/>
    <x v="3"/>
    <x v="3323"/>
    <x v="3362"/>
    <s v="Cash"/>
    <s v="TXN106127"/>
    <x v="0"/>
  </r>
  <r>
    <d v="2023-08-12T00:00:00"/>
    <x v="7"/>
    <x v="5"/>
    <x v="2"/>
    <x v="3324"/>
    <x v="3363"/>
    <s v="Card"/>
    <s v="REV100171"/>
    <x v="1"/>
  </r>
  <r>
    <d v="2023-08-12T00:00:00"/>
    <x v="7"/>
    <x v="6"/>
    <x v="4"/>
    <x v="1908"/>
    <x v="128"/>
    <s v="Card"/>
    <s v="REV100773"/>
    <x v="1"/>
  </r>
  <r>
    <d v="2023-08-12T00:00:00"/>
    <x v="7"/>
    <x v="5"/>
    <x v="1"/>
    <x v="362"/>
    <x v="1238"/>
    <s v="UPI"/>
    <s v="REV101572"/>
    <x v="1"/>
  </r>
  <r>
    <d v="2023-08-12T00:00:00"/>
    <x v="7"/>
    <x v="6"/>
    <x v="3"/>
    <x v="1043"/>
    <x v="412"/>
    <s v="Card"/>
    <s v="REV101753"/>
    <x v="1"/>
  </r>
  <r>
    <d v="2023-08-12T00:00:00"/>
    <x v="7"/>
    <x v="5"/>
    <x v="2"/>
    <x v="1652"/>
    <x v="3364"/>
    <s v="Bank Transfer"/>
    <s v="REV101840"/>
    <x v="1"/>
  </r>
  <r>
    <d v="2023-08-12T00:00:00"/>
    <x v="7"/>
    <x v="5"/>
    <x v="3"/>
    <x v="566"/>
    <x v="1442"/>
    <s v="Bank Transfer"/>
    <s v="REV102066"/>
    <x v="1"/>
  </r>
  <r>
    <d v="2023-08-13T00:00:00"/>
    <x v="7"/>
    <x v="1"/>
    <x v="0"/>
    <x v="3325"/>
    <x v="3365"/>
    <s v="Cash"/>
    <s v="TXN100169"/>
    <x v="0"/>
  </r>
  <r>
    <d v="2023-08-13T00:00:00"/>
    <x v="7"/>
    <x v="2"/>
    <x v="3"/>
    <x v="3326"/>
    <x v="3366"/>
    <s v="Card"/>
    <s v="TXN100220"/>
    <x v="0"/>
  </r>
  <r>
    <d v="2023-08-13T00:00:00"/>
    <x v="7"/>
    <x v="3"/>
    <x v="1"/>
    <x v="3327"/>
    <x v="3367"/>
    <s v="Bank Transfer"/>
    <s v="TXN100879"/>
    <x v="0"/>
  </r>
  <r>
    <d v="2023-08-13T00:00:00"/>
    <x v="7"/>
    <x v="0"/>
    <x v="0"/>
    <x v="3328"/>
    <x v="3368"/>
    <s v="UPI"/>
    <s v="TXN101189"/>
    <x v="0"/>
  </r>
  <r>
    <d v="2023-08-13T00:00:00"/>
    <x v="7"/>
    <x v="2"/>
    <x v="2"/>
    <x v="575"/>
    <x v="3369"/>
    <s v="UPI"/>
    <s v="TXN103542"/>
    <x v="0"/>
  </r>
  <r>
    <d v="2023-08-13T00:00:00"/>
    <x v="7"/>
    <x v="2"/>
    <x v="3"/>
    <x v="3329"/>
    <x v="3370"/>
    <s v="Bank Transfer"/>
    <s v="TXN103704"/>
    <x v="0"/>
  </r>
  <r>
    <d v="2023-08-13T00:00:00"/>
    <x v="7"/>
    <x v="0"/>
    <x v="3"/>
    <x v="3330"/>
    <x v="3371"/>
    <s v="Cash"/>
    <s v="TXN105779"/>
    <x v="0"/>
  </r>
  <r>
    <d v="2023-08-13T00:00:00"/>
    <x v="7"/>
    <x v="3"/>
    <x v="0"/>
    <x v="3331"/>
    <x v="1877"/>
    <s v="Card"/>
    <s v="TXN107380"/>
    <x v="0"/>
  </r>
  <r>
    <d v="2023-08-13T00:00:00"/>
    <x v="7"/>
    <x v="0"/>
    <x v="3"/>
    <x v="3332"/>
    <x v="3372"/>
    <s v="Bank Transfer"/>
    <s v="TXN108995"/>
    <x v="0"/>
  </r>
  <r>
    <d v="2023-08-13T00:00:00"/>
    <x v="7"/>
    <x v="1"/>
    <x v="1"/>
    <x v="3333"/>
    <x v="3373"/>
    <s v="Bank Transfer"/>
    <s v="TXN109693"/>
    <x v="0"/>
  </r>
  <r>
    <d v="2023-08-13T00:00:00"/>
    <x v="7"/>
    <x v="4"/>
    <x v="1"/>
    <x v="3334"/>
    <x v="3374"/>
    <s v="UPI"/>
    <s v="TXN109853"/>
    <x v="0"/>
  </r>
  <r>
    <d v="2023-08-13T00:00:00"/>
    <x v="7"/>
    <x v="5"/>
    <x v="0"/>
    <x v="129"/>
    <x v="3375"/>
    <s v="Bank Transfer"/>
    <s v="REV100061"/>
    <x v="1"/>
  </r>
  <r>
    <d v="2023-08-13T00:00:00"/>
    <x v="7"/>
    <x v="5"/>
    <x v="3"/>
    <x v="2506"/>
    <x v="697"/>
    <s v="Card"/>
    <s v="REV100078"/>
    <x v="1"/>
  </r>
  <r>
    <d v="2023-08-13T00:00:00"/>
    <x v="7"/>
    <x v="6"/>
    <x v="1"/>
    <x v="2393"/>
    <x v="1361"/>
    <s v="Card"/>
    <s v="REV100324"/>
    <x v="1"/>
  </r>
  <r>
    <d v="2023-08-13T00:00:00"/>
    <x v="7"/>
    <x v="6"/>
    <x v="0"/>
    <x v="3335"/>
    <x v="898"/>
    <s v="Card"/>
    <s v="REV100438"/>
    <x v="1"/>
  </r>
  <r>
    <d v="2023-08-13T00:00:00"/>
    <x v="7"/>
    <x v="6"/>
    <x v="2"/>
    <x v="312"/>
    <x v="1358"/>
    <s v="Bank Transfer"/>
    <s v="REV101210"/>
    <x v="1"/>
  </r>
  <r>
    <d v="2023-08-13T00:00:00"/>
    <x v="7"/>
    <x v="5"/>
    <x v="3"/>
    <x v="3336"/>
    <x v="3376"/>
    <s v="Bank Transfer"/>
    <s v="REV101273"/>
    <x v="1"/>
  </r>
  <r>
    <d v="2023-08-13T00:00:00"/>
    <x v="7"/>
    <x v="5"/>
    <x v="3"/>
    <x v="1138"/>
    <x v="1331"/>
    <s v="Bank Transfer"/>
    <s v="REV101957"/>
    <x v="1"/>
  </r>
  <r>
    <d v="2023-08-13T00:00:00"/>
    <x v="7"/>
    <x v="5"/>
    <x v="0"/>
    <x v="2550"/>
    <x v="425"/>
    <s v="Bank Transfer"/>
    <s v="REV102505"/>
    <x v="1"/>
  </r>
  <r>
    <d v="2023-08-13T00:00:00"/>
    <x v="7"/>
    <x v="6"/>
    <x v="3"/>
    <x v="3337"/>
    <x v="1826"/>
    <s v="Bank Transfer"/>
    <s v="REV103045"/>
    <x v="1"/>
  </r>
  <r>
    <d v="2023-08-13T00:00:00"/>
    <x v="7"/>
    <x v="5"/>
    <x v="1"/>
    <x v="3338"/>
    <x v="262"/>
    <s v="Bank Transfer"/>
    <s v="REV103276"/>
    <x v="1"/>
  </r>
  <r>
    <d v="2023-08-13T00:00:00"/>
    <x v="7"/>
    <x v="5"/>
    <x v="1"/>
    <x v="901"/>
    <x v="11"/>
    <s v="Card"/>
    <s v="REV103334"/>
    <x v="1"/>
  </r>
  <r>
    <d v="2023-08-14T00:00:00"/>
    <x v="7"/>
    <x v="4"/>
    <x v="1"/>
    <x v="3339"/>
    <x v="3377"/>
    <s v="Bank Transfer"/>
    <s v="TXN100012"/>
    <x v="0"/>
  </r>
  <r>
    <d v="2023-08-14T00:00:00"/>
    <x v="7"/>
    <x v="0"/>
    <x v="1"/>
    <x v="3340"/>
    <x v="3378"/>
    <s v="Card"/>
    <s v="TXN100043"/>
    <x v="0"/>
  </r>
  <r>
    <d v="2023-08-14T00:00:00"/>
    <x v="7"/>
    <x v="3"/>
    <x v="0"/>
    <x v="3341"/>
    <x v="3379"/>
    <s v="Bank Transfer"/>
    <s v="TXN101330"/>
    <x v="0"/>
  </r>
  <r>
    <d v="2023-08-14T00:00:00"/>
    <x v="7"/>
    <x v="2"/>
    <x v="3"/>
    <x v="3342"/>
    <x v="3380"/>
    <s v="Cash"/>
    <s v="TXN101432"/>
    <x v="0"/>
  </r>
  <r>
    <d v="2023-08-14T00:00:00"/>
    <x v="7"/>
    <x v="1"/>
    <x v="2"/>
    <x v="3343"/>
    <x v="3381"/>
    <s v="UPI"/>
    <s v="TXN101698"/>
    <x v="0"/>
  </r>
  <r>
    <d v="2023-08-14T00:00:00"/>
    <x v="7"/>
    <x v="3"/>
    <x v="0"/>
    <x v="3344"/>
    <x v="3382"/>
    <s v="Bank Transfer"/>
    <s v="TXN101903"/>
    <x v="0"/>
  </r>
  <r>
    <d v="2023-08-14T00:00:00"/>
    <x v="7"/>
    <x v="2"/>
    <x v="3"/>
    <x v="3345"/>
    <x v="3383"/>
    <s v="Bank Transfer"/>
    <s v="TXN104788"/>
    <x v="0"/>
  </r>
  <r>
    <d v="2023-08-14T00:00:00"/>
    <x v="7"/>
    <x v="7"/>
    <x v="1"/>
    <x v="3346"/>
    <x v="3384"/>
    <s v="UPI"/>
    <s v="TXN104843"/>
    <x v="0"/>
  </r>
  <r>
    <d v="2023-08-14T00:00:00"/>
    <x v="7"/>
    <x v="4"/>
    <x v="3"/>
    <x v="3347"/>
    <x v="3385"/>
    <s v="Card"/>
    <s v="TXN105131"/>
    <x v="0"/>
  </r>
  <r>
    <d v="2023-08-14T00:00:00"/>
    <x v="7"/>
    <x v="3"/>
    <x v="4"/>
    <x v="3348"/>
    <x v="3386"/>
    <s v="Cash"/>
    <s v="TXN107078"/>
    <x v="0"/>
  </r>
  <r>
    <d v="2023-08-14T00:00:00"/>
    <x v="7"/>
    <x v="2"/>
    <x v="1"/>
    <x v="3349"/>
    <x v="3387"/>
    <s v="Bank Transfer"/>
    <s v="TXN107507"/>
    <x v="0"/>
  </r>
  <r>
    <d v="2023-08-14T00:00:00"/>
    <x v="7"/>
    <x v="4"/>
    <x v="2"/>
    <x v="3350"/>
    <x v="3388"/>
    <s v="Bank Transfer"/>
    <s v="TXN109842"/>
    <x v="0"/>
  </r>
  <r>
    <d v="2023-08-14T00:00:00"/>
    <x v="7"/>
    <x v="2"/>
    <x v="3"/>
    <x v="3351"/>
    <x v="3389"/>
    <s v="Cash"/>
    <s v="TXN109958"/>
    <x v="0"/>
  </r>
  <r>
    <d v="2023-08-14T00:00:00"/>
    <x v="7"/>
    <x v="6"/>
    <x v="1"/>
    <x v="3352"/>
    <x v="2198"/>
    <s v="UPI"/>
    <s v="REV100005"/>
    <x v="1"/>
  </r>
  <r>
    <d v="2023-08-14T00:00:00"/>
    <x v="7"/>
    <x v="5"/>
    <x v="1"/>
    <x v="3353"/>
    <x v="641"/>
    <s v="Card"/>
    <s v="REV100016"/>
    <x v="1"/>
  </r>
  <r>
    <d v="2023-08-14T00:00:00"/>
    <x v="7"/>
    <x v="6"/>
    <x v="0"/>
    <x v="3354"/>
    <x v="3390"/>
    <s v="Card"/>
    <s v="REV100492"/>
    <x v="1"/>
  </r>
  <r>
    <d v="2023-08-14T00:00:00"/>
    <x v="7"/>
    <x v="6"/>
    <x v="3"/>
    <x v="1324"/>
    <x v="97"/>
    <s v="Bank Transfer"/>
    <s v="REV100526"/>
    <x v="1"/>
  </r>
  <r>
    <d v="2023-08-14T00:00:00"/>
    <x v="7"/>
    <x v="6"/>
    <x v="2"/>
    <x v="130"/>
    <x v="3391"/>
    <s v="Card"/>
    <s v="REV100624"/>
    <x v="1"/>
  </r>
  <r>
    <d v="2023-08-14T00:00:00"/>
    <x v="7"/>
    <x v="6"/>
    <x v="0"/>
    <x v="204"/>
    <x v="742"/>
    <s v="Bank Transfer"/>
    <s v="REV100684"/>
    <x v="1"/>
  </r>
  <r>
    <d v="2023-08-14T00:00:00"/>
    <x v="7"/>
    <x v="5"/>
    <x v="3"/>
    <x v="3355"/>
    <x v="3392"/>
    <s v="Bank Transfer"/>
    <s v="REV101635"/>
    <x v="1"/>
  </r>
  <r>
    <d v="2023-08-14T00:00:00"/>
    <x v="7"/>
    <x v="6"/>
    <x v="1"/>
    <x v="2724"/>
    <x v="381"/>
    <s v="Bank Transfer"/>
    <s v="REV101654"/>
    <x v="1"/>
  </r>
  <r>
    <d v="2023-08-14T00:00:00"/>
    <x v="7"/>
    <x v="6"/>
    <x v="3"/>
    <x v="3356"/>
    <x v="2684"/>
    <s v="UPI"/>
    <s v="REV101745"/>
    <x v="1"/>
  </r>
  <r>
    <d v="2023-08-14T00:00:00"/>
    <x v="7"/>
    <x v="6"/>
    <x v="4"/>
    <x v="3357"/>
    <x v="12"/>
    <s v="Bank Transfer"/>
    <s v="REV102404"/>
    <x v="1"/>
  </r>
  <r>
    <d v="2023-08-14T00:00:00"/>
    <x v="7"/>
    <x v="5"/>
    <x v="1"/>
    <x v="1244"/>
    <x v="2934"/>
    <s v="Bank Transfer"/>
    <s v="REV102543"/>
    <x v="1"/>
  </r>
  <r>
    <d v="2023-08-14T00:00:00"/>
    <x v="7"/>
    <x v="5"/>
    <x v="2"/>
    <x v="2547"/>
    <x v="3160"/>
    <s v="Bank Transfer"/>
    <s v="REV103331"/>
    <x v="1"/>
  </r>
  <r>
    <d v="2023-08-14T00:00:00"/>
    <x v="7"/>
    <x v="5"/>
    <x v="3"/>
    <x v="2614"/>
    <x v="2712"/>
    <s v="Bank Transfer"/>
    <s v="REV103365"/>
    <x v="1"/>
  </r>
  <r>
    <d v="2023-08-15T00:00:00"/>
    <x v="7"/>
    <x v="3"/>
    <x v="1"/>
    <x v="3358"/>
    <x v="3393"/>
    <s v="UPI"/>
    <s v="TXN100210"/>
    <x v="0"/>
  </r>
  <r>
    <d v="2023-08-15T00:00:00"/>
    <x v="7"/>
    <x v="3"/>
    <x v="1"/>
    <x v="3359"/>
    <x v="3394"/>
    <s v="Cash"/>
    <s v="TXN100374"/>
    <x v="0"/>
  </r>
  <r>
    <d v="2023-08-15T00:00:00"/>
    <x v="7"/>
    <x v="1"/>
    <x v="3"/>
    <x v="3360"/>
    <x v="3395"/>
    <s v="Card"/>
    <s v="TXN101060"/>
    <x v="0"/>
  </r>
  <r>
    <d v="2023-08-15T00:00:00"/>
    <x v="7"/>
    <x v="7"/>
    <x v="0"/>
    <x v="3361"/>
    <x v="3396"/>
    <s v="UPI"/>
    <s v="TXN101425"/>
    <x v="0"/>
  </r>
  <r>
    <d v="2023-08-15T00:00:00"/>
    <x v="7"/>
    <x v="0"/>
    <x v="3"/>
    <x v="3362"/>
    <x v="3397"/>
    <s v="UPI"/>
    <s v="TXN101494"/>
    <x v="0"/>
  </r>
  <r>
    <d v="2023-08-15T00:00:00"/>
    <x v="7"/>
    <x v="4"/>
    <x v="1"/>
    <x v="3363"/>
    <x v="3398"/>
    <s v="Card"/>
    <s v="TXN102480"/>
    <x v="0"/>
  </r>
  <r>
    <d v="2023-08-15T00:00:00"/>
    <x v="7"/>
    <x v="0"/>
    <x v="2"/>
    <x v="3364"/>
    <x v="3399"/>
    <s v="Bank Transfer"/>
    <s v="TXN103600"/>
    <x v="0"/>
  </r>
  <r>
    <d v="2023-08-15T00:00:00"/>
    <x v="7"/>
    <x v="3"/>
    <x v="3"/>
    <x v="3365"/>
    <x v="3400"/>
    <s v="Bank Transfer"/>
    <s v="TXN105459"/>
    <x v="0"/>
  </r>
  <r>
    <d v="2023-08-15T00:00:00"/>
    <x v="7"/>
    <x v="2"/>
    <x v="4"/>
    <x v="1788"/>
    <x v="3401"/>
    <s v="Cash"/>
    <s v="TXN107141"/>
    <x v="0"/>
  </r>
  <r>
    <d v="2023-08-15T00:00:00"/>
    <x v="7"/>
    <x v="7"/>
    <x v="3"/>
    <x v="3366"/>
    <x v="3402"/>
    <s v="UPI"/>
    <s v="TXN108094"/>
    <x v="0"/>
  </r>
  <r>
    <d v="2023-08-15T00:00:00"/>
    <x v="7"/>
    <x v="5"/>
    <x v="1"/>
    <x v="53"/>
    <x v="3403"/>
    <s v="UPI"/>
    <s v="REV100074"/>
    <x v="1"/>
  </r>
  <r>
    <d v="2023-08-15T00:00:00"/>
    <x v="7"/>
    <x v="5"/>
    <x v="1"/>
    <x v="286"/>
    <x v="775"/>
    <s v="UPI"/>
    <s v="REV100141"/>
    <x v="1"/>
  </r>
  <r>
    <d v="2023-08-15T00:00:00"/>
    <x v="7"/>
    <x v="5"/>
    <x v="3"/>
    <x v="1525"/>
    <x v="1124"/>
    <s v="UPI"/>
    <s v="REV100391"/>
    <x v="1"/>
  </r>
  <r>
    <d v="2023-08-15T00:00:00"/>
    <x v="7"/>
    <x v="6"/>
    <x v="0"/>
    <x v="2139"/>
    <x v="206"/>
    <s v="UPI"/>
    <s v="REV100523"/>
    <x v="1"/>
  </r>
  <r>
    <d v="2023-08-15T00:00:00"/>
    <x v="7"/>
    <x v="5"/>
    <x v="3"/>
    <x v="3367"/>
    <x v="3404"/>
    <s v="Bank Transfer"/>
    <s v="REV100546"/>
    <x v="1"/>
  </r>
  <r>
    <d v="2023-08-15T00:00:00"/>
    <x v="7"/>
    <x v="6"/>
    <x v="1"/>
    <x v="562"/>
    <x v="3405"/>
    <s v="Bank Transfer"/>
    <s v="REV100872"/>
    <x v="1"/>
  </r>
  <r>
    <d v="2023-08-15T00:00:00"/>
    <x v="7"/>
    <x v="5"/>
    <x v="2"/>
    <x v="3368"/>
    <x v="3406"/>
    <s v="Bank Transfer"/>
    <s v="REV101229"/>
    <x v="1"/>
  </r>
  <r>
    <d v="2023-08-15T00:00:00"/>
    <x v="7"/>
    <x v="5"/>
    <x v="3"/>
    <x v="2033"/>
    <x v="1535"/>
    <s v="Bank Transfer"/>
    <s v="REV101860"/>
    <x v="1"/>
  </r>
  <r>
    <d v="2023-08-15T00:00:00"/>
    <x v="7"/>
    <x v="5"/>
    <x v="4"/>
    <x v="3369"/>
    <x v="3407"/>
    <s v="Bank Transfer"/>
    <s v="REV102421"/>
    <x v="1"/>
  </r>
  <r>
    <d v="2023-08-15T00:00:00"/>
    <x v="7"/>
    <x v="6"/>
    <x v="3"/>
    <x v="1204"/>
    <x v="832"/>
    <s v="UPI"/>
    <s v="REV102751"/>
    <x v="1"/>
  </r>
  <r>
    <d v="2023-08-16T00:00:00"/>
    <x v="7"/>
    <x v="7"/>
    <x v="1"/>
    <x v="3370"/>
    <x v="3408"/>
    <s v="UPI"/>
    <s v="TXN100025"/>
    <x v="0"/>
  </r>
  <r>
    <d v="2023-08-16T00:00:00"/>
    <x v="7"/>
    <x v="1"/>
    <x v="3"/>
    <x v="3371"/>
    <x v="3409"/>
    <s v="Bank Transfer"/>
    <s v="TXN100027"/>
    <x v="0"/>
  </r>
  <r>
    <d v="2023-08-16T00:00:00"/>
    <x v="7"/>
    <x v="7"/>
    <x v="1"/>
    <x v="434"/>
    <x v="3410"/>
    <s v="Card"/>
    <s v="TXN100346"/>
    <x v="0"/>
  </r>
  <r>
    <d v="2023-08-16T00:00:00"/>
    <x v="7"/>
    <x v="4"/>
    <x v="2"/>
    <x v="3372"/>
    <x v="3411"/>
    <s v="Card"/>
    <s v="TXN100839"/>
    <x v="0"/>
  </r>
  <r>
    <d v="2023-08-16T00:00:00"/>
    <x v="7"/>
    <x v="0"/>
    <x v="2"/>
    <x v="3373"/>
    <x v="3412"/>
    <s v="Card"/>
    <s v="TXN101037"/>
    <x v="0"/>
  </r>
  <r>
    <d v="2023-08-16T00:00:00"/>
    <x v="7"/>
    <x v="1"/>
    <x v="1"/>
    <x v="3374"/>
    <x v="3413"/>
    <s v="Cash"/>
    <s v="TXN101121"/>
    <x v="0"/>
  </r>
  <r>
    <d v="2023-08-16T00:00:00"/>
    <x v="7"/>
    <x v="2"/>
    <x v="3"/>
    <x v="3375"/>
    <x v="3414"/>
    <s v="Card"/>
    <s v="TXN103420"/>
    <x v="0"/>
  </r>
  <r>
    <d v="2023-08-16T00:00:00"/>
    <x v="7"/>
    <x v="0"/>
    <x v="0"/>
    <x v="3376"/>
    <x v="3415"/>
    <s v="Card"/>
    <s v="TXN105305"/>
    <x v="0"/>
  </r>
  <r>
    <d v="2023-08-16T00:00:00"/>
    <x v="7"/>
    <x v="7"/>
    <x v="4"/>
    <x v="3377"/>
    <x v="3416"/>
    <s v="Cash"/>
    <s v="TXN105702"/>
    <x v="0"/>
  </r>
  <r>
    <d v="2023-08-16T00:00:00"/>
    <x v="7"/>
    <x v="3"/>
    <x v="1"/>
    <x v="3378"/>
    <x v="3417"/>
    <s v="Card"/>
    <s v="TXN107362"/>
    <x v="0"/>
  </r>
  <r>
    <d v="2023-08-16T00:00:00"/>
    <x v="7"/>
    <x v="0"/>
    <x v="4"/>
    <x v="3379"/>
    <x v="3418"/>
    <s v="Bank Transfer"/>
    <s v="TXN107377"/>
    <x v="0"/>
  </r>
  <r>
    <d v="2023-08-16T00:00:00"/>
    <x v="7"/>
    <x v="5"/>
    <x v="1"/>
    <x v="3380"/>
    <x v="3419"/>
    <s v="Bank Transfer"/>
    <s v="REV100010"/>
    <x v="1"/>
  </r>
  <r>
    <d v="2023-08-16T00:00:00"/>
    <x v="7"/>
    <x v="6"/>
    <x v="3"/>
    <x v="904"/>
    <x v="1024"/>
    <s v="Card"/>
    <s v="REV100011"/>
    <x v="1"/>
  </r>
  <r>
    <d v="2023-08-16T00:00:00"/>
    <x v="7"/>
    <x v="5"/>
    <x v="1"/>
    <x v="2218"/>
    <x v="1774"/>
    <s v="Bank Transfer"/>
    <s v="REV100130"/>
    <x v="1"/>
  </r>
  <r>
    <d v="2023-08-16T00:00:00"/>
    <x v="7"/>
    <x v="5"/>
    <x v="2"/>
    <x v="3381"/>
    <x v="3420"/>
    <s v="Card"/>
    <s v="REV100305"/>
    <x v="1"/>
  </r>
  <r>
    <d v="2023-08-16T00:00:00"/>
    <x v="7"/>
    <x v="5"/>
    <x v="2"/>
    <x v="673"/>
    <x v="3421"/>
    <s v="Card"/>
    <s v="REV100384"/>
    <x v="1"/>
  </r>
  <r>
    <d v="2023-08-16T00:00:00"/>
    <x v="7"/>
    <x v="5"/>
    <x v="1"/>
    <x v="3382"/>
    <x v="152"/>
    <s v="Bank Transfer"/>
    <s v="REV100414"/>
    <x v="1"/>
  </r>
  <r>
    <d v="2023-08-16T00:00:00"/>
    <x v="7"/>
    <x v="5"/>
    <x v="3"/>
    <x v="3383"/>
    <x v="700"/>
    <s v="Card"/>
    <s v="REV101172"/>
    <x v="1"/>
  </r>
  <r>
    <d v="2023-08-16T00:00:00"/>
    <x v="7"/>
    <x v="5"/>
    <x v="0"/>
    <x v="1499"/>
    <x v="1780"/>
    <s v="Bank Transfer"/>
    <s v="REV101797"/>
    <x v="1"/>
  </r>
  <r>
    <d v="2023-08-16T00:00:00"/>
    <x v="7"/>
    <x v="5"/>
    <x v="4"/>
    <x v="1082"/>
    <x v="897"/>
    <s v="Bank Transfer"/>
    <s v="REV101938"/>
    <x v="1"/>
  </r>
  <r>
    <d v="2023-08-16T00:00:00"/>
    <x v="7"/>
    <x v="5"/>
    <x v="1"/>
    <x v="2698"/>
    <x v="2177"/>
    <s v="Card"/>
    <s v="REV102497"/>
    <x v="1"/>
  </r>
  <r>
    <d v="2023-08-16T00:00:00"/>
    <x v="7"/>
    <x v="6"/>
    <x v="4"/>
    <x v="3384"/>
    <x v="3422"/>
    <s v="Card"/>
    <s v="REV102503"/>
    <x v="1"/>
  </r>
  <r>
    <d v="2023-08-17T00:00:00"/>
    <x v="7"/>
    <x v="1"/>
    <x v="0"/>
    <x v="3385"/>
    <x v="3423"/>
    <s v="Card"/>
    <s v="TXN100514"/>
    <x v="0"/>
  </r>
  <r>
    <d v="2023-08-17T00:00:00"/>
    <x v="7"/>
    <x v="3"/>
    <x v="0"/>
    <x v="3386"/>
    <x v="3424"/>
    <s v="Bank Transfer"/>
    <s v="TXN101629"/>
    <x v="0"/>
  </r>
  <r>
    <d v="2023-08-17T00:00:00"/>
    <x v="7"/>
    <x v="7"/>
    <x v="3"/>
    <x v="3387"/>
    <x v="3425"/>
    <s v="Cash"/>
    <s v="TXN102502"/>
    <x v="0"/>
  </r>
  <r>
    <d v="2023-08-17T00:00:00"/>
    <x v="7"/>
    <x v="1"/>
    <x v="0"/>
    <x v="3388"/>
    <x v="3426"/>
    <s v="UPI"/>
    <s v="TXN104146"/>
    <x v="0"/>
  </r>
  <r>
    <d v="2023-08-17T00:00:00"/>
    <x v="7"/>
    <x v="0"/>
    <x v="1"/>
    <x v="3389"/>
    <x v="3427"/>
    <s v="Card"/>
    <s v="TXN107673"/>
    <x v="0"/>
  </r>
  <r>
    <d v="2023-08-17T00:00:00"/>
    <x v="7"/>
    <x v="0"/>
    <x v="0"/>
    <x v="3390"/>
    <x v="3428"/>
    <s v="Card"/>
    <s v="TXN108518"/>
    <x v="0"/>
  </r>
  <r>
    <d v="2023-08-17T00:00:00"/>
    <x v="7"/>
    <x v="0"/>
    <x v="3"/>
    <x v="3391"/>
    <x v="3429"/>
    <s v="Bank Transfer"/>
    <s v="TXN108576"/>
    <x v="0"/>
  </r>
  <r>
    <d v="2023-08-17T00:00:00"/>
    <x v="7"/>
    <x v="5"/>
    <x v="0"/>
    <x v="2815"/>
    <x v="807"/>
    <s v="UPI"/>
    <s v="REV100198"/>
    <x v="1"/>
  </r>
  <r>
    <d v="2023-08-17T00:00:00"/>
    <x v="7"/>
    <x v="6"/>
    <x v="0"/>
    <x v="3262"/>
    <x v="400"/>
    <s v="Bank Transfer"/>
    <s v="REV100601"/>
    <x v="1"/>
  </r>
  <r>
    <d v="2023-08-17T00:00:00"/>
    <x v="7"/>
    <x v="5"/>
    <x v="3"/>
    <x v="3392"/>
    <x v="3430"/>
    <s v="Card"/>
    <s v="REV100879"/>
    <x v="1"/>
  </r>
  <r>
    <d v="2023-08-17T00:00:00"/>
    <x v="7"/>
    <x v="6"/>
    <x v="0"/>
    <x v="1478"/>
    <x v="614"/>
    <s v="Bank Transfer"/>
    <s v="REV101435"/>
    <x v="1"/>
  </r>
  <r>
    <d v="2023-08-17T00:00:00"/>
    <x v="7"/>
    <x v="5"/>
    <x v="1"/>
    <x v="1252"/>
    <x v="3300"/>
    <s v="Card"/>
    <s v="REV102614"/>
    <x v="1"/>
  </r>
  <r>
    <d v="2023-08-17T00:00:00"/>
    <x v="7"/>
    <x v="5"/>
    <x v="0"/>
    <x v="2380"/>
    <x v="2013"/>
    <s v="Bank Transfer"/>
    <s v="REV102885"/>
    <x v="1"/>
  </r>
  <r>
    <d v="2023-08-17T00:00:00"/>
    <x v="7"/>
    <x v="6"/>
    <x v="3"/>
    <x v="510"/>
    <x v="680"/>
    <s v="UPI"/>
    <s v="REV102910"/>
    <x v="1"/>
  </r>
  <r>
    <d v="2023-08-18T00:00:00"/>
    <x v="7"/>
    <x v="4"/>
    <x v="2"/>
    <x v="3393"/>
    <x v="3431"/>
    <s v="UPI"/>
    <s v="TXN100233"/>
    <x v="0"/>
  </r>
  <r>
    <d v="2023-08-18T00:00:00"/>
    <x v="7"/>
    <x v="4"/>
    <x v="3"/>
    <x v="3394"/>
    <x v="3432"/>
    <s v="Bank Transfer"/>
    <s v="TXN101319"/>
    <x v="0"/>
  </r>
  <r>
    <d v="2023-08-18T00:00:00"/>
    <x v="7"/>
    <x v="3"/>
    <x v="4"/>
    <x v="3395"/>
    <x v="3433"/>
    <s v="UPI"/>
    <s v="TXN102202"/>
    <x v="0"/>
  </r>
  <r>
    <d v="2023-08-18T00:00:00"/>
    <x v="7"/>
    <x v="0"/>
    <x v="3"/>
    <x v="3396"/>
    <x v="3434"/>
    <s v="Bank Transfer"/>
    <s v="TXN104021"/>
    <x v="0"/>
  </r>
  <r>
    <d v="2023-08-18T00:00:00"/>
    <x v="7"/>
    <x v="3"/>
    <x v="4"/>
    <x v="3397"/>
    <x v="3435"/>
    <s v="Bank Transfer"/>
    <s v="TXN105561"/>
    <x v="0"/>
  </r>
  <r>
    <d v="2023-08-18T00:00:00"/>
    <x v="7"/>
    <x v="0"/>
    <x v="4"/>
    <x v="3398"/>
    <x v="3436"/>
    <s v="UPI"/>
    <s v="TXN105724"/>
    <x v="0"/>
  </r>
  <r>
    <d v="2023-08-18T00:00:00"/>
    <x v="7"/>
    <x v="0"/>
    <x v="1"/>
    <x v="3399"/>
    <x v="3437"/>
    <s v="Card"/>
    <s v="TXN105917"/>
    <x v="0"/>
  </r>
  <r>
    <d v="2023-08-18T00:00:00"/>
    <x v="7"/>
    <x v="7"/>
    <x v="2"/>
    <x v="3400"/>
    <x v="3438"/>
    <s v="Cash"/>
    <s v="TXN106025"/>
    <x v="0"/>
  </r>
  <r>
    <d v="2023-08-18T00:00:00"/>
    <x v="7"/>
    <x v="0"/>
    <x v="3"/>
    <x v="3401"/>
    <x v="3439"/>
    <s v="Card"/>
    <s v="TXN108749"/>
    <x v="0"/>
  </r>
  <r>
    <d v="2023-08-18T00:00:00"/>
    <x v="7"/>
    <x v="7"/>
    <x v="3"/>
    <x v="3402"/>
    <x v="3440"/>
    <s v="UPI"/>
    <s v="TXN109306"/>
    <x v="0"/>
  </r>
  <r>
    <d v="2023-08-18T00:00:00"/>
    <x v="7"/>
    <x v="3"/>
    <x v="0"/>
    <x v="3403"/>
    <x v="3441"/>
    <s v="UPI"/>
    <s v="TXN109399"/>
    <x v="0"/>
  </r>
  <r>
    <d v="2023-08-18T00:00:00"/>
    <x v="7"/>
    <x v="5"/>
    <x v="2"/>
    <x v="1965"/>
    <x v="3442"/>
    <s v="Bank Transfer"/>
    <s v="REV100083"/>
    <x v="1"/>
  </r>
  <r>
    <d v="2023-08-18T00:00:00"/>
    <x v="7"/>
    <x v="5"/>
    <x v="3"/>
    <x v="3404"/>
    <x v="3443"/>
    <s v="UPI"/>
    <s v="REV100487"/>
    <x v="1"/>
  </r>
  <r>
    <d v="2023-08-18T00:00:00"/>
    <x v="7"/>
    <x v="5"/>
    <x v="4"/>
    <x v="1994"/>
    <x v="3444"/>
    <s v="Card"/>
    <s v="REV100780"/>
    <x v="1"/>
  </r>
  <r>
    <d v="2023-08-18T00:00:00"/>
    <x v="7"/>
    <x v="5"/>
    <x v="3"/>
    <x v="3405"/>
    <x v="3445"/>
    <s v="Card"/>
    <s v="REV101393"/>
    <x v="1"/>
  </r>
  <r>
    <d v="2023-08-18T00:00:00"/>
    <x v="7"/>
    <x v="6"/>
    <x v="4"/>
    <x v="2486"/>
    <x v="1385"/>
    <s v="Bank Transfer"/>
    <s v="REV101896"/>
    <x v="1"/>
  </r>
  <r>
    <d v="2023-08-18T00:00:00"/>
    <x v="7"/>
    <x v="6"/>
    <x v="4"/>
    <x v="36"/>
    <x v="190"/>
    <s v="Bank Transfer"/>
    <s v="REV101947"/>
    <x v="1"/>
  </r>
  <r>
    <d v="2023-08-18T00:00:00"/>
    <x v="7"/>
    <x v="6"/>
    <x v="1"/>
    <x v="3406"/>
    <x v="3446"/>
    <s v="Bank Transfer"/>
    <s v="REV101998"/>
    <x v="1"/>
  </r>
  <r>
    <d v="2023-08-18T00:00:00"/>
    <x v="7"/>
    <x v="6"/>
    <x v="2"/>
    <x v="3407"/>
    <x v="133"/>
    <s v="Card"/>
    <s v="REV102036"/>
    <x v="1"/>
  </r>
  <r>
    <d v="2023-08-18T00:00:00"/>
    <x v="7"/>
    <x v="5"/>
    <x v="3"/>
    <x v="411"/>
    <x v="2767"/>
    <s v="Bank Transfer"/>
    <s v="REV102972"/>
    <x v="1"/>
  </r>
  <r>
    <d v="2023-08-18T00:00:00"/>
    <x v="7"/>
    <x v="6"/>
    <x v="3"/>
    <x v="3408"/>
    <x v="3419"/>
    <s v="Card"/>
    <s v="REV103147"/>
    <x v="1"/>
  </r>
  <r>
    <d v="2023-08-18T00:00:00"/>
    <x v="7"/>
    <x v="6"/>
    <x v="0"/>
    <x v="3409"/>
    <x v="3447"/>
    <s v="Bank Transfer"/>
    <s v="REV103176"/>
    <x v="1"/>
  </r>
  <r>
    <d v="2023-08-19T00:00:00"/>
    <x v="7"/>
    <x v="4"/>
    <x v="0"/>
    <x v="3410"/>
    <x v="3448"/>
    <s v="Bank Transfer"/>
    <s v="TXN100099"/>
    <x v="0"/>
  </r>
  <r>
    <d v="2023-08-19T00:00:00"/>
    <x v="7"/>
    <x v="1"/>
    <x v="4"/>
    <x v="3411"/>
    <x v="3449"/>
    <s v="Bank Transfer"/>
    <s v="TXN102999"/>
    <x v="0"/>
  </r>
  <r>
    <d v="2023-08-19T00:00:00"/>
    <x v="7"/>
    <x v="7"/>
    <x v="3"/>
    <x v="3412"/>
    <x v="3450"/>
    <s v="UPI"/>
    <s v="TXN104974"/>
    <x v="0"/>
  </r>
  <r>
    <d v="2023-08-19T00:00:00"/>
    <x v="7"/>
    <x v="4"/>
    <x v="2"/>
    <x v="3413"/>
    <x v="3451"/>
    <s v="UPI"/>
    <s v="TXN108206"/>
    <x v="0"/>
  </r>
  <r>
    <d v="2023-08-19T00:00:00"/>
    <x v="7"/>
    <x v="7"/>
    <x v="0"/>
    <x v="3414"/>
    <x v="3452"/>
    <s v="Cash"/>
    <s v="TXN109697"/>
    <x v="0"/>
  </r>
  <r>
    <d v="2023-08-19T00:00:00"/>
    <x v="7"/>
    <x v="5"/>
    <x v="0"/>
    <x v="2218"/>
    <x v="2123"/>
    <s v="Card"/>
    <s v="REV100036"/>
    <x v="1"/>
  </r>
  <r>
    <d v="2023-08-19T00:00:00"/>
    <x v="7"/>
    <x v="5"/>
    <x v="4"/>
    <x v="1622"/>
    <x v="207"/>
    <s v="Bank Transfer"/>
    <s v="REV101040"/>
    <x v="1"/>
  </r>
  <r>
    <d v="2023-08-19T00:00:00"/>
    <x v="7"/>
    <x v="6"/>
    <x v="3"/>
    <x v="3180"/>
    <x v="2434"/>
    <s v="Card"/>
    <s v="REV101697"/>
    <x v="1"/>
  </r>
  <r>
    <d v="2023-08-19T00:00:00"/>
    <x v="7"/>
    <x v="5"/>
    <x v="2"/>
    <x v="2431"/>
    <x v="2495"/>
    <s v="Card"/>
    <s v="REV102789"/>
    <x v="1"/>
  </r>
  <r>
    <d v="2023-08-19T00:00:00"/>
    <x v="7"/>
    <x v="5"/>
    <x v="0"/>
    <x v="95"/>
    <x v="1467"/>
    <s v="Card"/>
    <s v="REV103277"/>
    <x v="1"/>
  </r>
  <r>
    <d v="2023-08-20T00:00:00"/>
    <x v="7"/>
    <x v="3"/>
    <x v="1"/>
    <x v="3415"/>
    <x v="3453"/>
    <s v="Card"/>
    <s v="TXN100265"/>
    <x v="0"/>
  </r>
  <r>
    <d v="2023-08-20T00:00:00"/>
    <x v="7"/>
    <x v="1"/>
    <x v="0"/>
    <x v="3416"/>
    <x v="3454"/>
    <s v="Cash"/>
    <s v="TXN101578"/>
    <x v="0"/>
  </r>
  <r>
    <d v="2023-08-20T00:00:00"/>
    <x v="7"/>
    <x v="4"/>
    <x v="4"/>
    <x v="3417"/>
    <x v="3455"/>
    <s v="Cash"/>
    <s v="TXN101937"/>
    <x v="0"/>
  </r>
  <r>
    <d v="2023-08-20T00:00:00"/>
    <x v="7"/>
    <x v="2"/>
    <x v="3"/>
    <x v="3418"/>
    <x v="3456"/>
    <s v="Cash"/>
    <s v="TXN103466"/>
    <x v="0"/>
  </r>
  <r>
    <d v="2023-08-20T00:00:00"/>
    <x v="7"/>
    <x v="2"/>
    <x v="3"/>
    <x v="3419"/>
    <x v="3457"/>
    <s v="Cash"/>
    <s v="TXN104114"/>
    <x v="0"/>
  </r>
  <r>
    <d v="2023-08-20T00:00:00"/>
    <x v="7"/>
    <x v="2"/>
    <x v="3"/>
    <x v="3420"/>
    <x v="3458"/>
    <s v="Card"/>
    <s v="TXN104326"/>
    <x v="0"/>
  </r>
  <r>
    <d v="2023-08-20T00:00:00"/>
    <x v="7"/>
    <x v="0"/>
    <x v="2"/>
    <x v="3421"/>
    <x v="2793"/>
    <s v="Card"/>
    <s v="TXN106333"/>
    <x v="0"/>
  </r>
  <r>
    <d v="2023-08-20T00:00:00"/>
    <x v="7"/>
    <x v="7"/>
    <x v="1"/>
    <x v="3422"/>
    <x v="3459"/>
    <s v="Bank Transfer"/>
    <s v="TXN106343"/>
    <x v="0"/>
  </r>
  <r>
    <d v="2023-08-20T00:00:00"/>
    <x v="7"/>
    <x v="3"/>
    <x v="4"/>
    <x v="3423"/>
    <x v="3460"/>
    <s v="Card"/>
    <s v="TXN106925"/>
    <x v="0"/>
  </r>
  <r>
    <d v="2023-08-20T00:00:00"/>
    <x v="7"/>
    <x v="5"/>
    <x v="1"/>
    <x v="503"/>
    <x v="1222"/>
    <s v="Bank Transfer"/>
    <s v="REV100093"/>
    <x v="1"/>
  </r>
  <r>
    <d v="2023-08-20T00:00:00"/>
    <x v="7"/>
    <x v="5"/>
    <x v="0"/>
    <x v="1594"/>
    <x v="1155"/>
    <s v="UPI"/>
    <s v="REV100583"/>
    <x v="1"/>
  </r>
  <r>
    <d v="2023-08-20T00:00:00"/>
    <x v="7"/>
    <x v="5"/>
    <x v="4"/>
    <x v="3382"/>
    <x v="1221"/>
    <s v="Bank Transfer"/>
    <s v="REV100693"/>
    <x v="1"/>
  </r>
  <r>
    <d v="2023-08-20T00:00:00"/>
    <x v="7"/>
    <x v="6"/>
    <x v="3"/>
    <x v="2673"/>
    <x v="1385"/>
    <s v="Bank Transfer"/>
    <s v="REV101185"/>
    <x v="1"/>
  </r>
  <r>
    <d v="2023-08-20T00:00:00"/>
    <x v="7"/>
    <x v="5"/>
    <x v="3"/>
    <x v="3249"/>
    <x v="3422"/>
    <s v="Card"/>
    <s v="REV101423"/>
    <x v="1"/>
  </r>
  <r>
    <d v="2023-08-20T00:00:00"/>
    <x v="7"/>
    <x v="5"/>
    <x v="3"/>
    <x v="3424"/>
    <x v="3461"/>
    <s v="Card"/>
    <s v="REV101498"/>
    <x v="1"/>
  </r>
  <r>
    <d v="2023-08-20T00:00:00"/>
    <x v="7"/>
    <x v="6"/>
    <x v="2"/>
    <x v="3425"/>
    <x v="3462"/>
    <s v="Bank Transfer"/>
    <s v="REV102138"/>
    <x v="1"/>
  </r>
  <r>
    <d v="2023-08-20T00:00:00"/>
    <x v="7"/>
    <x v="5"/>
    <x v="1"/>
    <x v="1373"/>
    <x v="3463"/>
    <s v="UPI"/>
    <s v="REV102141"/>
    <x v="1"/>
  </r>
  <r>
    <d v="2023-08-20T00:00:00"/>
    <x v="7"/>
    <x v="6"/>
    <x v="4"/>
    <x v="1134"/>
    <x v="3464"/>
    <s v="Card"/>
    <s v="REV102355"/>
    <x v="1"/>
  </r>
  <r>
    <d v="2023-08-21T00:00:00"/>
    <x v="7"/>
    <x v="7"/>
    <x v="2"/>
    <x v="3426"/>
    <x v="3465"/>
    <s v="Card"/>
    <s v="TXN101940"/>
    <x v="0"/>
  </r>
  <r>
    <d v="2023-08-21T00:00:00"/>
    <x v="7"/>
    <x v="2"/>
    <x v="3"/>
    <x v="3427"/>
    <x v="3466"/>
    <s v="Bank Transfer"/>
    <s v="TXN103123"/>
    <x v="0"/>
  </r>
  <r>
    <d v="2023-08-21T00:00:00"/>
    <x v="7"/>
    <x v="4"/>
    <x v="4"/>
    <x v="3428"/>
    <x v="3467"/>
    <s v="Bank Transfer"/>
    <s v="TXN103286"/>
    <x v="0"/>
  </r>
  <r>
    <d v="2023-08-21T00:00:00"/>
    <x v="7"/>
    <x v="7"/>
    <x v="4"/>
    <x v="3429"/>
    <x v="3468"/>
    <s v="Bank Transfer"/>
    <s v="TXN103343"/>
    <x v="0"/>
  </r>
  <r>
    <d v="2023-08-21T00:00:00"/>
    <x v="7"/>
    <x v="2"/>
    <x v="0"/>
    <x v="3430"/>
    <x v="3469"/>
    <s v="Cash"/>
    <s v="TXN104504"/>
    <x v="0"/>
  </r>
  <r>
    <d v="2023-08-21T00:00:00"/>
    <x v="7"/>
    <x v="3"/>
    <x v="1"/>
    <x v="3431"/>
    <x v="3470"/>
    <s v="Card"/>
    <s v="TXN105236"/>
    <x v="0"/>
  </r>
  <r>
    <d v="2023-08-21T00:00:00"/>
    <x v="7"/>
    <x v="2"/>
    <x v="2"/>
    <x v="3432"/>
    <x v="3471"/>
    <s v="Cash"/>
    <s v="TXN105304"/>
    <x v="0"/>
  </r>
  <r>
    <d v="2023-08-21T00:00:00"/>
    <x v="7"/>
    <x v="2"/>
    <x v="2"/>
    <x v="3433"/>
    <x v="3472"/>
    <s v="Card"/>
    <s v="TXN105518"/>
    <x v="0"/>
  </r>
  <r>
    <d v="2023-08-21T00:00:00"/>
    <x v="7"/>
    <x v="7"/>
    <x v="3"/>
    <x v="3434"/>
    <x v="1458"/>
    <s v="UPI"/>
    <s v="TXN109210"/>
    <x v="0"/>
  </r>
  <r>
    <d v="2023-08-21T00:00:00"/>
    <x v="7"/>
    <x v="2"/>
    <x v="0"/>
    <x v="3435"/>
    <x v="3473"/>
    <s v="Bank Transfer"/>
    <s v="TXN109686"/>
    <x v="0"/>
  </r>
  <r>
    <d v="2023-08-21T00:00:00"/>
    <x v="7"/>
    <x v="5"/>
    <x v="2"/>
    <x v="566"/>
    <x v="3474"/>
    <s v="UPI"/>
    <s v="REV100695"/>
    <x v="1"/>
  </r>
  <r>
    <d v="2023-08-21T00:00:00"/>
    <x v="7"/>
    <x v="5"/>
    <x v="3"/>
    <x v="87"/>
    <x v="3475"/>
    <s v="Card"/>
    <s v="REV101075"/>
    <x v="1"/>
  </r>
  <r>
    <d v="2023-08-21T00:00:00"/>
    <x v="7"/>
    <x v="6"/>
    <x v="4"/>
    <x v="3436"/>
    <x v="1603"/>
    <s v="Card"/>
    <s v="REV101129"/>
    <x v="1"/>
  </r>
  <r>
    <d v="2023-08-21T00:00:00"/>
    <x v="7"/>
    <x v="5"/>
    <x v="4"/>
    <x v="841"/>
    <x v="2996"/>
    <s v="Bank Transfer"/>
    <s v="REV101150"/>
    <x v="1"/>
  </r>
  <r>
    <d v="2023-08-21T00:00:00"/>
    <x v="7"/>
    <x v="5"/>
    <x v="0"/>
    <x v="3437"/>
    <x v="2865"/>
    <s v="Card"/>
    <s v="REV101549"/>
    <x v="1"/>
  </r>
  <r>
    <d v="2023-08-21T00:00:00"/>
    <x v="7"/>
    <x v="6"/>
    <x v="1"/>
    <x v="3438"/>
    <x v="3476"/>
    <s v="Bank Transfer"/>
    <s v="REV101774"/>
    <x v="1"/>
  </r>
  <r>
    <d v="2023-08-21T00:00:00"/>
    <x v="7"/>
    <x v="5"/>
    <x v="2"/>
    <x v="2922"/>
    <x v="1505"/>
    <s v="UPI"/>
    <s v="REV101796"/>
    <x v="1"/>
  </r>
  <r>
    <d v="2023-08-21T00:00:00"/>
    <x v="7"/>
    <x v="5"/>
    <x v="2"/>
    <x v="1820"/>
    <x v="3477"/>
    <s v="Card"/>
    <s v="REV101877"/>
    <x v="1"/>
  </r>
  <r>
    <d v="2023-08-21T00:00:00"/>
    <x v="7"/>
    <x v="5"/>
    <x v="3"/>
    <x v="2057"/>
    <x v="3478"/>
    <s v="Card"/>
    <s v="REV103106"/>
    <x v="1"/>
  </r>
  <r>
    <d v="2023-08-21T00:00:00"/>
    <x v="7"/>
    <x v="6"/>
    <x v="0"/>
    <x v="3439"/>
    <x v="681"/>
    <s v="Bank Transfer"/>
    <s v="REV103274"/>
    <x v="1"/>
  </r>
  <r>
    <d v="2023-08-22T00:00:00"/>
    <x v="7"/>
    <x v="0"/>
    <x v="2"/>
    <x v="3440"/>
    <x v="3479"/>
    <s v="Card"/>
    <s v="TXN101146"/>
    <x v="0"/>
  </r>
  <r>
    <d v="2023-08-22T00:00:00"/>
    <x v="7"/>
    <x v="1"/>
    <x v="1"/>
    <x v="3441"/>
    <x v="3480"/>
    <s v="UPI"/>
    <s v="TXN101613"/>
    <x v="0"/>
  </r>
  <r>
    <d v="2023-08-22T00:00:00"/>
    <x v="7"/>
    <x v="2"/>
    <x v="2"/>
    <x v="3442"/>
    <x v="3481"/>
    <s v="Bank Transfer"/>
    <s v="TXN101797"/>
    <x v="0"/>
  </r>
  <r>
    <d v="2023-08-22T00:00:00"/>
    <x v="7"/>
    <x v="2"/>
    <x v="3"/>
    <x v="3443"/>
    <x v="3482"/>
    <s v="Cash"/>
    <s v="TXN103347"/>
    <x v="0"/>
  </r>
  <r>
    <d v="2023-08-22T00:00:00"/>
    <x v="7"/>
    <x v="7"/>
    <x v="0"/>
    <x v="3444"/>
    <x v="3483"/>
    <s v="Card"/>
    <s v="TXN107748"/>
    <x v="0"/>
  </r>
  <r>
    <d v="2023-08-22T00:00:00"/>
    <x v="7"/>
    <x v="6"/>
    <x v="2"/>
    <x v="1905"/>
    <x v="269"/>
    <s v="Card"/>
    <s v="REV100420"/>
    <x v="1"/>
  </r>
  <r>
    <d v="2023-08-22T00:00:00"/>
    <x v="7"/>
    <x v="6"/>
    <x v="1"/>
    <x v="2993"/>
    <x v="1640"/>
    <s v="Bank Transfer"/>
    <s v="REV100596"/>
    <x v="1"/>
  </r>
  <r>
    <d v="2023-08-22T00:00:00"/>
    <x v="7"/>
    <x v="6"/>
    <x v="2"/>
    <x v="3445"/>
    <x v="2570"/>
    <s v="Card"/>
    <s v="REV100656"/>
    <x v="1"/>
  </r>
  <r>
    <d v="2023-08-22T00:00:00"/>
    <x v="7"/>
    <x v="5"/>
    <x v="3"/>
    <x v="460"/>
    <x v="3484"/>
    <s v="Bank Transfer"/>
    <s v="REV101152"/>
    <x v="1"/>
  </r>
  <r>
    <d v="2023-08-22T00:00:00"/>
    <x v="7"/>
    <x v="5"/>
    <x v="0"/>
    <x v="2680"/>
    <x v="80"/>
    <s v="Bank Transfer"/>
    <s v="REV102636"/>
    <x v="1"/>
  </r>
  <r>
    <d v="2023-08-23T00:00:00"/>
    <x v="7"/>
    <x v="7"/>
    <x v="3"/>
    <x v="3446"/>
    <x v="3485"/>
    <s v="Bank Transfer"/>
    <s v="TXN104257"/>
    <x v="0"/>
  </r>
  <r>
    <d v="2023-08-23T00:00:00"/>
    <x v="7"/>
    <x v="2"/>
    <x v="1"/>
    <x v="3447"/>
    <x v="3486"/>
    <s v="Card"/>
    <s v="TXN104385"/>
    <x v="0"/>
  </r>
  <r>
    <d v="2023-08-23T00:00:00"/>
    <x v="7"/>
    <x v="1"/>
    <x v="3"/>
    <x v="3448"/>
    <x v="3487"/>
    <s v="Cash"/>
    <s v="TXN104647"/>
    <x v="0"/>
  </r>
  <r>
    <d v="2023-08-23T00:00:00"/>
    <x v="7"/>
    <x v="2"/>
    <x v="1"/>
    <x v="3449"/>
    <x v="3488"/>
    <s v="Card"/>
    <s v="TXN106229"/>
    <x v="0"/>
  </r>
  <r>
    <d v="2023-08-23T00:00:00"/>
    <x v="7"/>
    <x v="3"/>
    <x v="1"/>
    <x v="3450"/>
    <x v="3489"/>
    <s v="Cash"/>
    <s v="TXN106288"/>
    <x v="0"/>
  </r>
  <r>
    <d v="2023-08-23T00:00:00"/>
    <x v="7"/>
    <x v="3"/>
    <x v="3"/>
    <x v="3451"/>
    <x v="3490"/>
    <s v="Cash"/>
    <s v="TXN107841"/>
    <x v="0"/>
  </r>
  <r>
    <d v="2023-08-23T00:00:00"/>
    <x v="7"/>
    <x v="3"/>
    <x v="4"/>
    <x v="3452"/>
    <x v="3491"/>
    <s v="UPI"/>
    <s v="TXN107939"/>
    <x v="0"/>
  </r>
  <r>
    <d v="2023-08-23T00:00:00"/>
    <x v="7"/>
    <x v="7"/>
    <x v="3"/>
    <x v="3453"/>
    <x v="3492"/>
    <s v="UPI"/>
    <s v="TXN107943"/>
    <x v="0"/>
  </r>
  <r>
    <d v="2023-08-23T00:00:00"/>
    <x v="7"/>
    <x v="2"/>
    <x v="4"/>
    <x v="3454"/>
    <x v="3493"/>
    <s v="Card"/>
    <s v="TXN108263"/>
    <x v="0"/>
  </r>
  <r>
    <d v="2023-08-23T00:00:00"/>
    <x v="7"/>
    <x v="5"/>
    <x v="3"/>
    <x v="2356"/>
    <x v="248"/>
    <s v="Bank Transfer"/>
    <s v="REV101479"/>
    <x v="1"/>
  </r>
  <r>
    <d v="2023-08-23T00:00:00"/>
    <x v="7"/>
    <x v="6"/>
    <x v="1"/>
    <x v="606"/>
    <x v="3494"/>
    <s v="Bank Transfer"/>
    <s v="REV101513"/>
    <x v="1"/>
  </r>
  <r>
    <d v="2023-08-23T00:00:00"/>
    <x v="7"/>
    <x v="5"/>
    <x v="3"/>
    <x v="3027"/>
    <x v="429"/>
    <s v="Bank Transfer"/>
    <s v="REV101586"/>
    <x v="1"/>
  </r>
  <r>
    <d v="2023-08-23T00:00:00"/>
    <x v="7"/>
    <x v="5"/>
    <x v="1"/>
    <x v="3455"/>
    <x v="107"/>
    <s v="UPI"/>
    <s v="REV102096"/>
    <x v="1"/>
  </r>
  <r>
    <d v="2023-08-23T00:00:00"/>
    <x v="7"/>
    <x v="5"/>
    <x v="1"/>
    <x v="440"/>
    <x v="1331"/>
    <s v="Bank Transfer"/>
    <s v="REV102119"/>
    <x v="1"/>
  </r>
  <r>
    <d v="2023-08-23T00:00:00"/>
    <x v="7"/>
    <x v="5"/>
    <x v="3"/>
    <x v="3456"/>
    <x v="3484"/>
    <s v="Bank Transfer"/>
    <s v="REV102662"/>
    <x v="1"/>
  </r>
  <r>
    <d v="2023-08-23T00:00:00"/>
    <x v="7"/>
    <x v="6"/>
    <x v="4"/>
    <x v="760"/>
    <x v="403"/>
    <s v="Bank Transfer"/>
    <s v="REV102694"/>
    <x v="1"/>
  </r>
  <r>
    <d v="2023-08-23T00:00:00"/>
    <x v="7"/>
    <x v="6"/>
    <x v="3"/>
    <x v="3115"/>
    <x v="1155"/>
    <s v="Card"/>
    <s v="REV102696"/>
    <x v="1"/>
  </r>
  <r>
    <d v="2023-08-23T00:00:00"/>
    <x v="7"/>
    <x v="5"/>
    <x v="4"/>
    <x v="3457"/>
    <x v="1468"/>
    <s v="Card"/>
    <s v="REV102806"/>
    <x v="1"/>
  </r>
  <r>
    <d v="2023-08-24T00:00:00"/>
    <x v="7"/>
    <x v="7"/>
    <x v="4"/>
    <x v="3458"/>
    <x v="3495"/>
    <s v="Cash"/>
    <s v="TXN102184"/>
    <x v="0"/>
  </r>
  <r>
    <d v="2023-08-24T00:00:00"/>
    <x v="7"/>
    <x v="4"/>
    <x v="4"/>
    <x v="3459"/>
    <x v="3496"/>
    <s v="UPI"/>
    <s v="TXN102268"/>
    <x v="0"/>
  </r>
  <r>
    <d v="2023-08-24T00:00:00"/>
    <x v="7"/>
    <x v="4"/>
    <x v="2"/>
    <x v="3460"/>
    <x v="3497"/>
    <s v="Cash"/>
    <s v="TXN107029"/>
    <x v="0"/>
  </r>
  <r>
    <d v="2023-08-24T00:00:00"/>
    <x v="7"/>
    <x v="3"/>
    <x v="3"/>
    <x v="3461"/>
    <x v="2844"/>
    <s v="Card"/>
    <s v="TXN108411"/>
    <x v="0"/>
  </r>
  <r>
    <d v="2023-08-24T00:00:00"/>
    <x v="7"/>
    <x v="3"/>
    <x v="3"/>
    <x v="3462"/>
    <x v="3498"/>
    <s v="UPI"/>
    <s v="TXN108822"/>
    <x v="0"/>
  </r>
  <r>
    <d v="2023-08-24T00:00:00"/>
    <x v="7"/>
    <x v="5"/>
    <x v="4"/>
    <x v="704"/>
    <x v="1939"/>
    <s v="Card"/>
    <s v="REV100774"/>
    <x v="1"/>
  </r>
  <r>
    <d v="2023-08-24T00:00:00"/>
    <x v="7"/>
    <x v="6"/>
    <x v="4"/>
    <x v="3463"/>
    <x v="403"/>
    <s v="UPI"/>
    <s v="REV100802"/>
    <x v="1"/>
  </r>
  <r>
    <d v="2023-08-24T00:00:00"/>
    <x v="7"/>
    <x v="6"/>
    <x v="2"/>
    <x v="2903"/>
    <x v="3336"/>
    <s v="Bank Transfer"/>
    <s v="REV102386"/>
    <x v="1"/>
  </r>
  <r>
    <d v="2023-08-24T00:00:00"/>
    <x v="7"/>
    <x v="6"/>
    <x v="3"/>
    <x v="3464"/>
    <x v="137"/>
    <s v="Bank Transfer"/>
    <s v="REV102856"/>
    <x v="1"/>
  </r>
  <r>
    <d v="2023-08-24T00:00:00"/>
    <x v="7"/>
    <x v="6"/>
    <x v="3"/>
    <x v="928"/>
    <x v="860"/>
    <s v="Bank Transfer"/>
    <s v="REV102990"/>
    <x v="1"/>
  </r>
  <r>
    <d v="2023-08-25T00:00:00"/>
    <x v="7"/>
    <x v="4"/>
    <x v="0"/>
    <x v="3465"/>
    <x v="3499"/>
    <s v="Card"/>
    <s v="TXN100893"/>
    <x v="0"/>
  </r>
  <r>
    <d v="2023-08-25T00:00:00"/>
    <x v="7"/>
    <x v="1"/>
    <x v="4"/>
    <x v="3466"/>
    <x v="3500"/>
    <s v="Bank Transfer"/>
    <s v="TXN104896"/>
    <x v="0"/>
  </r>
  <r>
    <d v="2023-08-25T00:00:00"/>
    <x v="7"/>
    <x v="7"/>
    <x v="4"/>
    <x v="3467"/>
    <x v="3501"/>
    <s v="Cash"/>
    <s v="TXN106043"/>
    <x v="0"/>
  </r>
  <r>
    <d v="2023-08-25T00:00:00"/>
    <x v="7"/>
    <x v="3"/>
    <x v="0"/>
    <x v="3468"/>
    <x v="3502"/>
    <s v="UPI"/>
    <s v="TXN106839"/>
    <x v="0"/>
  </r>
  <r>
    <d v="2023-08-25T00:00:00"/>
    <x v="7"/>
    <x v="0"/>
    <x v="2"/>
    <x v="3469"/>
    <x v="3503"/>
    <s v="Bank Transfer"/>
    <s v="TXN106901"/>
    <x v="0"/>
  </r>
  <r>
    <d v="2023-08-25T00:00:00"/>
    <x v="7"/>
    <x v="3"/>
    <x v="3"/>
    <x v="3470"/>
    <x v="3504"/>
    <s v="Bank Transfer"/>
    <s v="TXN106923"/>
    <x v="0"/>
  </r>
  <r>
    <d v="2023-08-25T00:00:00"/>
    <x v="7"/>
    <x v="7"/>
    <x v="4"/>
    <x v="3471"/>
    <x v="3505"/>
    <s v="Bank Transfer"/>
    <s v="TXN107106"/>
    <x v="0"/>
  </r>
  <r>
    <d v="2023-08-25T00:00:00"/>
    <x v="7"/>
    <x v="1"/>
    <x v="1"/>
    <x v="3472"/>
    <x v="3506"/>
    <s v="Cash"/>
    <s v="TXN107706"/>
    <x v="0"/>
  </r>
  <r>
    <d v="2023-08-25T00:00:00"/>
    <x v="7"/>
    <x v="3"/>
    <x v="4"/>
    <x v="3473"/>
    <x v="3507"/>
    <s v="Bank Transfer"/>
    <s v="TXN109418"/>
    <x v="0"/>
  </r>
  <r>
    <d v="2023-08-25T00:00:00"/>
    <x v="7"/>
    <x v="2"/>
    <x v="0"/>
    <x v="3474"/>
    <x v="3508"/>
    <s v="Bank Transfer"/>
    <s v="TXN109782"/>
    <x v="0"/>
  </r>
  <r>
    <d v="2023-08-25T00:00:00"/>
    <x v="7"/>
    <x v="1"/>
    <x v="4"/>
    <x v="3475"/>
    <x v="3509"/>
    <s v="Cash"/>
    <s v="TXN109993"/>
    <x v="0"/>
  </r>
  <r>
    <d v="2023-08-25T00:00:00"/>
    <x v="7"/>
    <x v="5"/>
    <x v="0"/>
    <x v="55"/>
    <x v="1282"/>
    <s v="UPI"/>
    <s v="REV100329"/>
    <x v="1"/>
  </r>
  <r>
    <d v="2023-08-25T00:00:00"/>
    <x v="7"/>
    <x v="6"/>
    <x v="4"/>
    <x v="3476"/>
    <x v="3096"/>
    <s v="Bank Transfer"/>
    <s v="REV101671"/>
    <x v="1"/>
  </r>
  <r>
    <d v="2023-08-25T00:00:00"/>
    <x v="7"/>
    <x v="6"/>
    <x v="4"/>
    <x v="2790"/>
    <x v="269"/>
    <s v="Bank Transfer"/>
    <s v="REV102042"/>
    <x v="1"/>
  </r>
  <r>
    <d v="2023-08-25T00:00:00"/>
    <x v="7"/>
    <x v="5"/>
    <x v="0"/>
    <x v="3477"/>
    <x v="3510"/>
    <s v="Bank Transfer"/>
    <s v="REV102326"/>
    <x v="1"/>
  </r>
  <r>
    <d v="2023-08-25T00:00:00"/>
    <x v="7"/>
    <x v="6"/>
    <x v="2"/>
    <x v="3478"/>
    <x v="3511"/>
    <s v="Card"/>
    <s v="REV102346"/>
    <x v="1"/>
  </r>
  <r>
    <d v="2023-08-25T00:00:00"/>
    <x v="7"/>
    <x v="5"/>
    <x v="3"/>
    <x v="245"/>
    <x v="641"/>
    <s v="Bank Transfer"/>
    <s v="REV102354"/>
    <x v="1"/>
  </r>
  <r>
    <d v="2023-08-25T00:00:00"/>
    <x v="7"/>
    <x v="5"/>
    <x v="4"/>
    <x v="3479"/>
    <x v="2097"/>
    <s v="Card"/>
    <s v="REV102412"/>
    <x v="1"/>
  </r>
  <r>
    <d v="2023-08-25T00:00:00"/>
    <x v="7"/>
    <x v="5"/>
    <x v="1"/>
    <x v="3480"/>
    <x v="3512"/>
    <s v="Card"/>
    <s v="REV102624"/>
    <x v="1"/>
  </r>
  <r>
    <d v="2023-08-25T00:00:00"/>
    <x v="7"/>
    <x v="5"/>
    <x v="4"/>
    <x v="3481"/>
    <x v="3105"/>
    <s v="Bank Transfer"/>
    <s v="REV103183"/>
    <x v="1"/>
  </r>
  <r>
    <d v="2023-08-25T00:00:00"/>
    <x v="7"/>
    <x v="5"/>
    <x v="0"/>
    <x v="441"/>
    <x v="2546"/>
    <s v="Card"/>
    <s v="REV103309"/>
    <x v="1"/>
  </r>
  <r>
    <d v="2023-08-25T00:00:00"/>
    <x v="7"/>
    <x v="5"/>
    <x v="4"/>
    <x v="455"/>
    <x v="3513"/>
    <s v="UPI"/>
    <s v="REV103384"/>
    <x v="1"/>
  </r>
  <r>
    <d v="2023-08-26T00:00:00"/>
    <x v="7"/>
    <x v="0"/>
    <x v="1"/>
    <x v="3482"/>
    <x v="3514"/>
    <s v="Card"/>
    <s v="TXN100499"/>
    <x v="0"/>
  </r>
  <r>
    <d v="2023-08-26T00:00:00"/>
    <x v="7"/>
    <x v="3"/>
    <x v="4"/>
    <x v="3483"/>
    <x v="3515"/>
    <s v="Bank Transfer"/>
    <s v="TXN101575"/>
    <x v="0"/>
  </r>
  <r>
    <d v="2023-08-26T00:00:00"/>
    <x v="7"/>
    <x v="3"/>
    <x v="0"/>
    <x v="3484"/>
    <x v="2093"/>
    <s v="UPI"/>
    <s v="TXN102328"/>
    <x v="0"/>
  </r>
  <r>
    <d v="2023-08-26T00:00:00"/>
    <x v="7"/>
    <x v="0"/>
    <x v="4"/>
    <x v="3485"/>
    <x v="3516"/>
    <s v="Card"/>
    <s v="TXN103936"/>
    <x v="0"/>
  </r>
  <r>
    <d v="2023-08-26T00:00:00"/>
    <x v="7"/>
    <x v="4"/>
    <x v="2"/>
    <x v="3486"/>
    <x v="3367"/>
    <s v="UPI"/>
    <s v="TXN106544"/>
    <x v="0"/>
  </r>
  <r>
    <d v="2023-08-26T00:00:00"/>
    <x v="7"/>
    <x v="3"/>
    <x v="1"/>
    <x v="3487"/>
    <x v="3517"/>
    <s v="Cash"/>
    <s v="TXN109169"/>
    <x v="0"/>
  </r>
  <r>
    <d v="2023-08-26T00:00:00"/>
    <x v="7"/>
    <x v="7"/>
    <x v="0"/>
    <x v="3488"/>
    <x v="3518"/>
    <s v="UPI"/>
    <s v="TXN109263"/>
    <x v="0"/>
  </r>
  <r>
    <d v="2023-08-26T00:00:00"/>
    <x v="7"/>
    <x v="5"/>
    <x v="1"/>
    <x v="50"/>
    <x v="1757"/>
    <s v="Card"/>
    <s v="REV100192"/>
    <x v="1"/>
  </r>
  <r>
    <d v="2023-08-26T00:00:00"/>
    <x v="7"/>
    <x v="5"/>
    <x v="4"/>
    <x v="785"/>
    <x v="1827"/>
    <s v="Bank Transfer"/>
    <s v="REV100580"/>
    <x v="1"/>
  </r>
  <r>
    <d v="2023-08-26T00:00:00"/>
    <x v="7"/>
    <x v="6"/>
    <x v="0"/>
    <x v="3489"/>
    <x v="3519"/>
    <s v="Bank Transfer"/>
    <s v="REV100823"/>
    <x v="1"/>
  </r>
  <r>
    <d v="2023-08-26T00:00:00"/>
    <x v="7"/>
    <x v="5"/>
    <x v="4"/>
    <x v="2710"/>
    <x v="3520"/>
    <s v="Bank Transfer"/>
    <s v="REV101361"/>
    <x v="1"/>
  </r>
  <r>
    <d v="2023-08-26T00:00:00"/>
    <x v="7"/>
    <x v="5"/>
    <x v="2"/>
    <x v="908"/>
    <x v="1476"/>
    <s v="Bank Transfer"/>
    <s v="REV102221"/>
    <x v="1"/>
  </r>
  <r>
    <d v="2023-08-26T00:00:00"/>
    <x v="7"/>
    <x v="5"/>
    <x v="1"/>
    <x v="3490"/>
    <x v="3357"/>
    <s v="Bank Transfer"/>
    <s v="REV103097"/>
    <x v="1"/>
  </r>
  <r>
    <d v="2023-08-26T00:00:00"/>
    <x v="7"/>
    <x v="5"/>
    <x v="0"/>
    <x v="2611"/>
    <x v="2058"/>
    <s v="Card"/>
    <s v="REV103126"/>
    <x v="1"/>
  </r>
  <r>
    <d v="2023-08-27T00:00:00"/>
    <x v="7"/>
    <x v="7"/>
    <x v="4"/>
    <x v="3491"/>
    <x v="3521"/>
    <s v="Cash"/>
    <s v="TXN100864"/>
    <x v="0"/>
  </r>
  <r>
    <d v="2023-08-27T00:00:00"/>
    <x v="7"/>
    <x v="4"/>
    <x v="1"/>
    <x v="3492"/>
    <x v="3522"/>
    <s v="Bank Transfer"/>
    <s v="TXN101496"/>
    <x v="0"/>
  </r>
  <r>
    <d v="2023-08-27T00:00:00"/>
    <x v="7"/>
    <x v="2"/>
    <x v="3"/>
    <x v="3493"/>
    <x v="3523"/>
    <s v="UPI"/>
    <s v="TXN101671"/>
    <x v="0"/>
  </r>
  <r>
    <d v="2023-08-27T00:00:00"/>
    <x v="7"/>
    <x v="2"/>
    <x v="3"/>
    <x v="3494"/>
    <x v="3524"/>
    <s v="UPI"/>
    <s v="TXN101754"/>
    <x v="0"/>
  </r>
  <r>
    <d v="2023-08-27T00:00:00"/>
    <x v="7"/>
    <x v="2"/>
    <x v="3"/>
    <x v="3495"/>
    <x v="3525"/>
    <s v="Bank Transfer"/>
    <s v="TXN105544"/>
    <x v="0"/>
  </r>
  <r>
    <d v="2023-08-27T00:00:00"/>
    <x v="7"/>
    <x v="4"/>
    <x v="2"/>
    <x v="3496"/>
    <x v="3526"/>
    <s v="UPI"/>
    <s v="TXN106703"/>
    <x v="0"/>
  </r>
  <r>
    <d v="2023-08-27T00:00:00"/>
    <x v="7"/>
    <x v="2"/>
    <x v="1"/>
    <x v="3497"/>
    <x v="3527"/>
    <s v="Bank Transfer"/>
    <s v="TXN107231"/>
    <x v="0"/>
  </r>
  <r>
    <d v="2023-08-27T00:00:00"/>
    <x v="7"/>
    <x v="3"/>
    <x v="0"/>
    <x v="3498"/>
    <x v="3528"/>
    <s v="Card"/>
    <s v="TXN108563"/>
    <x v="0"/>
  </r>
  <r>
    <d v="2023-08-27T00:00:00"/>
    <x v="7"/>
    <x v="2"/>
    <x v="2"/>
    <x v="3499"/>
    <x v="3529"/>
    <s v="Cash"/>
    <s v="TXN109057"/>
    <x v="0"/>
  </r>
  <r>
    <d v="2023-08-27T00:00:00"/>
    <x v="7"/>
    <x v="7"/>
    <x v="3"/>
    <x v="3500"/>
    <x v="3530"/>
    <s v="Card"/>
    <s v="TXN109572"/>
    <x v="0"/>
  </r>
  <r>
    <d v="2023-08-27T00:00:00"/>
    <x v="7"/>
    <x v="5"/>
    <x v="4"/>
    <x v="615"/>
    <x v="3531"/>
    <s v="Card"/>
    <s v="REV100321"/>
    <x v="1"/>
  </r>
  <r>
    <d v="2023-08-27T00:00:00"/>
    <x v="7"/>
    <x v="5"/>
    <x v="1"/>
    <x v="1470"/>
    <x v="3532"/>
    <s v="UPI"/>
    <s v="REV100547"/>
    <x v="1"/>
  </r>
  <r>
    <d v="2023-08-27T00:00:00"/>
    <x v="7"/>
    <x v="6"/>
    <x v="3"/>
    <x v="1066"/>
    <x v="3533"/>
    <s v="UPI"/>
    <s v="REV100615"/>
    <x v="1"/>
  </r>
  <r>
    <d v="2023-08-27T00:00:00"/>
    <x v="7"/>
    <x v="6"/>
    <x v="3"/>
    <x v="3154"/>
    <x v="1208"/>
    <s v="UPI"/>
    <s v="REV100640"/>
    <x v="1"/>
  </r>
  <r>
    <d v="2023-08-27T00:00:00"/>
    <x v="7"/>
    <x v="5"/>
    <x v="3"/>
    <x v="3501"/>
    <x v="3534"/>
    <s v="Bank Transfer"/>
    <s v="REV101889"/>
    <x v="1"/>
  </r>
  <r>
    <d v="2023-08-27T00:00:00"/>
    <x v="7"/>
    <x v="5"/>
    <x v="2"/>
    <x v="344"/>
    <x v="2465"/>
    <s v="Bank Transfer"/>
    <s v="REV102281"/>
    <x v="1"/>
  </r>
  <r>
    <d v="2023-08-27T00:00:00"/>
    <x v="7"/>
    <x v="6"/>
    <x v="1"/>
    <x v="3502"/>
    <x v="995"/>
    <s v="Bank Transfer"/>
    <s v="REV102454"/>
    <x v="1"/>
  </r>
  <r>
    <d v="2023-08-27T00:00:00"/>
    <x v="7"/>
    <x v="6"/>
    <x v="0"/>
    <x v="436"/>
    <x v="2017"/>
    <s v="Bank Transfer"/>
    <s v="REV102905"/>
    <x v="1"/>
  </r>
  <r>
    <d v="2023-08-27T00:00:00"/>
    <x v="7"/>
    <x v="5"/>
    <x v="2"/>
    <x v="3503"/>
    <x v="3535"/>
    <s v="UPI"/>
    <s v="REV103065"/>
    <x v="1"/>
  </r>
  <r>
    <d v="2023-08-27T00:00:00"/>
    <x v="7"/>
    <x v="5"/>
    <x v="3"/>
    <x v="1418"/>
    <x v="428"/>
    <s v="UPI"/>
    <s v="REV103233"/>
    <x v="1"/>
  </r>
  <r>
    <d v="2023-08-28T00:00:00"/>
    <x v="7"/>
    <x v="3"/>
    <x v="4"/>
    <x v="3504"/>
    <x v="3536"/>
    <s v="Card"/>
    <s v="TXN100388"/>
    <x v="0"/>
  </r>
  <r>
    <d v="2023-08-28T00:00:00"/>
    <x v="7"/>
    <x v="7"/>
    <x v="4"/>
    <x v="3505"/>
    <x v="3537"/>
    <s v="Cash"/>
    <s v="TXN104238"/>
    <x v="0"/>
  </r>
  <r>
    <d v="2023-08-28T00:00:00"/>
    <x v="7"/>
    <x v="7"/>
    <x v="2"/>
    <x v="3506"/>
    <x v="3538"/>
    <s v="Card"/>
    <s v="TXN105813"/>
    <x v="0"/>
  </r>
  <r>
    <d v="2023-08-28T00:00:00"/>
    <x v="7"/>
    <x v="2"/>
    <x v="1"/>
    <x v="3507"/>
    <x v="3539"/>
    <s v="UPI"/>
    <s v="TXN105918"/>
    <x v="0"/>
  </r>
  <r>
    <d v="2023-08-28T00:00:00"/>
    <x v="7"/>
    <x v="0"/>
    <x v="4"/>
    <x v="3508"/>
    <x v="3540"/>
    <s v="Card"/>
    <s v="TXN105933"/>
    <x v="0"/>
  </r>
  <r>
    <d v="2023-08-28T00:00:00"/>
    <x v="7"/>
    <x v="7"/>
    <x v="3"/>
    <x v="3509"/>
    <x v="3541"/>
    <s v="Bank Transfer"/>
    <s v="TXN108422"/>
    <x v="0"/>
  </r>
  <r>
    <d v="2023-08-28T00:00:00"/>
    <x v="7"/>
    <x v="2"/>
    <x v="1"/>
    <x v="3510"/>
    <x v="3542"/>
    <s v="Card"/>
    <s v="TXN108505"/>
    <x v="0"/>
  </r>
  <r>
    <d v="2023-08-28T00:00:00"/>
    <x v="7"/>
    <x v="2"/>
    <x v="4"/>
    <x v="3511"/>
    <x v="3543"/>
    <s v="Card"/>
    <s v="TXN109030"/>
    <x v="0"/>
  </r>
  <r>
    <d v="2023-08-28T00:00:00"/>
    <x v="7"/>
    <x v="5"/>
    <x v="4"/>
    <x v="1326"/>
    <x v="1063"/>
    <s v="Bank Transfer"/>
    <s v="REV100146"/>
    <x v="1"/>
  </r>
  <r>
    <d v="2023-08-28T00:00:00"/>
    <x v="7"/>
    <x v="6"/>
    <x v="4"/>
    <x v="3512"/>
    <x v="301"/>
    <s v="Bank Transfer"/>
    <s v="REV101470"/>
    <x v="1"/>
  </r>
  <r>
    <d v="2023-08-28T00:00:00"/>
    <x v="7"/>
    <x v="5"/>
    <x v="2"/>
    <x v="1357"/>
    <x v="3544"/>
    <s v="Bank Transfer"/>
    <s v="REV101968"/>
    <x v="1"/>
  </r>
  <r>
    <d v="2023-08-28T00:00:00"/>
    <x v="7"/>
    <x v="5"/>
    <x v="1"/>
    <x v="1152"/>
    <x v="96"/>
    <s v="Card"/>
    <s v="REV101999"/>
    <x v="1"/>
  </r>
  <r>
    <d v="2023-08-28T00:00:00"/>
    <x v="7"/>
    <x v="6"/>
    <x v="4"/>
    <x v="3513"/>
    <x v="2193"/>
    <s v="UPI"/>
    <s v="REV102003"/>
    <x v="1"/>
  </r>
  <r>
    <d v="2023-08-28T00:00:00"/>
    <x v="7"/>
    <x v="6"/>
    <x v="3"/>
    <x v="3226"/>
    <x v="718"/>
    <s v="Card"/>
    <s v="REV102858"/>
    <x v="1"/>
  </r>
  <r>
    <d v="2023-08-28T00:00:00"/>
    <x v="7"/>
    <x v="5"/>
    <x v="1"/>
    <x v="3514"/>
    <x v="3324"/>
    <s v="UPI"/>
    <s v="REV102880"/>
    <x v="1"/>
  </r>
  <r>
    <d v="2023-08-28T00:00:00"/>
    <x v="7"/>
    <x v="5"/>
    <x v="4"/>
    <x v="2993"/>
    <x v="1371"/>
    <s v="Bank Transfer"/>
    <s v="REV103055"/>
    <x v="1"/>
  </r>
  <r>
    <d v="2023-08-29T00:00:00"/>
    <x v="7"/>
    <x v="0"/>
    <x v="3"/>
    <x v="3515"/>
    <x v="3545"/>
    <s v="UPI"/>
    <s v="TXN100495"/>
    <x v="0"/>
  </r>
  <r>
    <d v="2023-08-29T00:00:00"/>
    <x v="7"/>
    <x v="3"/>
    <x v="4"/>
    <x v="3516"/>
    <x v="3546"/>
    <s v="Card"/>
    <s v="TXN101397"/>
    <x v="0"/>
  </r>
  <r>
    <d v="2023-08-29T00:00:00"/>
    <x v="7"/>
    <x v="0"/>
    <x v="2"/>
    <x v="3517"/>
    <x v="3547"/>
    <s v="Bank Transfer"/>
    <s v="TXN101555"/>
    <x v="0"/>
  </r>
  <r>
    <d v="2023-08-29T00:00:00"/>
    <x v="7"/>
    <x v="4"/>
    <x v="0"/>
    <x v="3518"/>
    <x v="3548"/>
    <s v="Card"/>
    <s v="TXN102089"/>
    <x v="0"/>
  </r>
  <r>
    <d v="2023-08-29T00:00:00"/>
    <x v="7"/>
    <x v="2"/>
    <x v="2"/>
    <x v="3519"/>
    <x v="3549"/>
    <s v="Card"/>
    <s v="TXN105427"/>
    <x v="0"/>
  </r>
  <r>
    <d v="2023-08-29T00:00:00"/>
    <x v="7"/>
    <x v="2"/>
    <x v="1"/>
    <x v="3520"/>
    <x v="3550"/>
    <s v="Bank Transfer"/>
    <s v="TXN107417"/>
    <x v="0"/>
  </r>
  <r>
    <d v="2023-08-29T00:00:00"/>
    <x v="7"/>
    <x v="7"/>
    <x v="1"/>
    <x v="3521"/>
    <x v="3551"/>
    <s v="Bank Transfer"/>
    <s v="TXN109105"/>
    <x v="0"/>
  </r>
  <r>
    <d v="2023-08-29T00:00:00"/>
    <x v="7"/>
    <x v="6"/>
    <x v="3"/>
    <x v="648"/>
    <x v="3552"/>
    <s v="Card"/>
    <s v="REV100188"/>
    <x v="1"/>
  </r>
  <r>
    <d v="2023-08-29T00:00:00"/>
    <x v="7"/>
    <x v="5"/>
    <x v="4"/>
    <x v="1023"/>
    <x v="171"/>
    <s v="Card"/>
    <s v="REV100510"/>
    <x v="1"/>
  </r>
  <r>
    <d v="2023-08-29T00:00:00"/>
    <x v="7"/>
    <x v="6"/>
    <x v="2"/>
    <x v="913"/>
    <x v="223"/>
    <s v="Card"/>
    <s v="REV100571"/>
    <x v="1"/>
  </r>
  <r>
    <d v="2023-08-29T00:00:00"/>
    <x v="7"/>
    <x v="5"/>
    <x v="0"/>
    <x v="281"/>
    <x v="1490"/>
    <s v="Bank Transfer"/>
    <s v="REV100745"/>
    <x v="1"/>
  </r>
  <r>
    <d v="2023-08-29T00:00:00"/>
    <x v="7"/>
    <x v="6"/>
    <x v="2"/>
    <x v="1041"/>
    <x v="3553"/>
    <s v="Card"/>
    <s v="REV101847"/>
    <x v="1"/>
  </r>
  <r>
    <d v="2023-08-29T00:00:00"/>
    <x v="7"/>
    <x v="5"/>
    <x v="1"/>
    <x v="64"/>
    <x v="934"/>
    <s v="UPI"/>
    <s v="REV102519"/>
    <x v="1"/>
  </r>
  <r>
    <d v="2023-08-29T00:00:00"/>
    <x v="7"/>
    <x v="5"/>
    <x v="1"/>
    <x v="3522"/>
    <x v="760"/>
    <s v="Bank Transfer"/>
    <s v="REV103080"/>
    <x v="1"/>
  </r>
  <r>
    <d v="2023-08-30T00:00:00"/>
    <x v="7"/>
    <x v="1"/>
    <x v="2"/>
    <x v="3523"/>
    <x v="3554"/>
    <s v="Cash"/>
    <s v="TXN100285"/>
    <x v="0"/>
  </r>
  <r>
    <d v="2023-08-30T00:00:00"/>
    <x v="7"/>
    <x v="7"/>
    <x v="0"/>
    <x v="3524"/>
    <x v="3555"/>
    <s v="Cash"/>
    <s v="TXN100501"/>
    <x v="0"/>
  </r>
  <r>
    <d v="2023-08-30T00:00:00"/>
    <x v="7"/>
    <x v="1"/>
    <x v="1"/>
    <x v="3525"/>
    <x v="3556"/>
    <s v="Card"/>
    <s v="TXN101484"/>
    <x v="0"/>
  </r>
  <r>
    <d v="2023-08-30T00:00:00"/>
    <x v="7"/>
    <x v="7"/>
    <x v="4"/>
    <x v="3526"/>
    <x v="3557"/>
    <s v="Cash"/>
    <s v="TXN103776"/>
    <x v="0"/>
  </r>
  <r>
    <d v="2023-08-30T00:00:00"/>
    <x v="7"/>
    <x v="3"/>
    <x v="1"/>
    <x v="3527"/>
    <x v="3558"/>
    <s v="Card"/>
    <s v="TXN105433"/>
    <x v="0"/>
  </r>
  <r>
    <d v="2023-08-30T00:00:00"/>
    <x v="7"/>
    <x v="2"/>
    <x v="2"/>
    <x v="3528"/>
    <x v="3559"/>
    <s v="Bank Transfer"/>
    <s v="TXN105516"/>
    <x v="0"/>
  </r>
  <r>
    <d v="2023-08-30T00:00:00"/>
    <x v="7"/>
    <x v="1"/>
    <x v="1"/>
    <x v="3529"/>
    <x v="3560"/>
    <s v="UPI"/>
    <s v="TXN107010"/>
    <x v="0"/>
  </r>
  <r>
    <d v="2023-08-30T00:00:00"/>
    <x v="7"/>
    <x v="7"/>
    <x v="2"/>
    <x v="3530"/>
    <x v="3561"/>
    <s v="UPI"/>
    <s v="TXN107851"/>
    <x v="0"/>
  </r>
  <r>
    <d v="2023-08-30T00:00:00"/>
    <x v="7"/>
    <x v="2"/>
    <x v="4"/>
    <x v="3531"/>
    <x v="3562"/>
    <s v="Card"/>
    <s v="TXN108796"/>
    <x v="0"/>
  </r>
  <r>
    <d v="2023-08-30T00:00:00"/>
    <x v="7"/>
    <x v="4"/>
    <x v="3"/>
    <x v="3532"/>
    <x v="3563"/>
    <s v="Bank Transfer"/>
    <s v="TXN109894"/>
    <x v="0"/>
  </r>
  <r>
    <d v="2023-08-30T00:00:00"/>
    <x v="7"/>
    <x v="6"/>
    <x v="2"/>
    <x v="3533"/>
    <x v="3564"/>
    <s v="Bank Transfer"/>
    <s v="REV100100"/>
    <x v="1"/>
  </r>
  <r>
    <d v="2023-08-30T00:00:00"/>
    <x v="7"/>
    <x v="6"/>
    <x v="0"/>
    <x v="1166"/>
    <x v="1400"/>
    <s v="Bank Transfer"/>
    <s v="REV100193"/>
    <x v="1"/>
  </r>
  <r>
    <d v="2023-08-30T00:00:00"/>
    <x v="7"/>
    <x v="5"/>
    <x v="1"/>
    <x v="3534"/>
    <x v="3565"/>
    <s v="Bank Transfer"/>
    <s v="REV100544"/>
    <x v="1"/>
  </r>
  <r>
    <d v="2023-08-30T00:00:00"/>
    <x v="7"/>
    <x v="5"/>
    <x v="4"/>
    <x v="2486"/>
    <x v="3566"/>
    <s v="UPI"/>
    <s v="REV101300"/>
    <x v="1"/>
  </r>
  <r>
    <d v="2023-08-30T00:00:00"/>
    <x v="7"/>
    <x v="6"/>
    <x v="1"/>
    <x v="3049"/>
    <x v="1884"/>
    <s v="UPI"/>
    <s v="REV101849"/>
    <x v="1"/>
  </r>
  <r>
    <d v="2023-08-30T00:00:00"/>
    <x v="7"/>
    <x v="5"/>
    <x v="2"/>
    <x v="3535"/>
    <x v="3567"/>
    <s v="Bank Transfer"/>
    <s v="REV101876"/>
    <x v="1"/>
  </r>
  <r>
    <d v="2023-08-30T00:00:00"/>
    <x v="7"/>
    <x v="5"/>
    <x v="1"/>
    <x v="3536"/>
    <x v="34"/>
    <s v="Bank Transfer"/>
    <s v="REV102378"/>
    <x v="1"/>
  </r>
  <r>
    <d v="2023-08-30T00:00:00"/>
    <x v="7"/>
    <x v="5"/>
    <x v="2"/>
    <x v="1261"/>
    <x v="3568"/>
    <s v="Card"/>
    <s v="REV102667"/>
    <x v="1"/>
  </r>
  <r>
    <d v="2023-08-30T00:00:00"/>
    <x v="7"/>
    <x v="5"/>
    <x v="4"/>
    <x v="245"/>
    <x v="3569"/>
    <s v="UPI"/>
    <s v="REV102987"/>
    <x v="1"/>
  </r>
  <r>
    <d v="2023-08-30T00:00:00"/>
    <x v="7"/>
    <x v="6"/>
    <x v="3"/>
    <x v="3006"/>
    <x v="3570"/>
    <s v="Bank Transfer"/>
    <s v="REV103346"/>
    <x v="1"/>
  </r>
  <r>
    <d v="2023-08-31T00:00:00"/>
    <x v="7"/>
    <x v="2"/>
    <x v="2"/>
    <x v="3537"/>
    <x v="3571"/>
    <s v="UPI"/>
    <s v="TXN100133"/>
    <x v="0"/>
  </r>
  <r>
    <d v="2023-08-31T00:00:00"/>
    <x v="7"/>
    <x v="7"/>
    <x v="1"/>
    <x v="3538"/>
    <x v="3572"/>
    <s v="UPI"/>
    <s v="TXN101197"/>
    <x v="0"/>
  </r>
  <r>
    <d v="2023-08-31T00:00:00"/>
    <x v="7"/>
    <x v="7"/>
    <x v="0"/>
    <x v="3539"/>
    <x v="3573"/>
    <s v="Card"/>
    <s v="TXN101199"/>
    <x v="0"/>
  </r>
  <r>
    <d v="2023-08-31T00:00:00"/>
    <x v="7"/>
    <x v="3"/>
    <x v="2"/>
    <x v="3540"/>
    <x v="3574"/>
    <s v="UPI"/>
    <s v="TXN102106"/>
    <x v="0"/>
  </r>
  <r>
    <d v="2023-08-31T00:00:00"/>
    <x v="7"/>
    <x v="0"/>
    <x v="1"/>
    <x v="3541"/>
    <x v="3575"/>
    <s v="UPI"/>
    <s v="TXN102860"/>
    <x v="0"/>
  </r>
  <r>
    <d v="2023-08-31T00:00:00"/>
    <x v="7"/>
    <x v="3"/>
    <x v="1"/>
    <x v="3542"/>
    <x v="3576"/>
    <s v="Bank Transfer"/>
    <s v="TXN103684"/>
    <x v="0"/>
  </r>
  <r>
    <d v="2023-08-31T00:00:00"/>
    <x v="7"/>
    <x v="1"/>
    <x v="4"/>
    <x v="3543"/>
    <x v="3577"/>
    <s v="UPI"/>
    <s v="TXN104156"/>
    <x v="0"/>
  </r>
  <r>
    <d v="2023-08-31T00:00:00"/>
    <x v="7"/>
    <x v="4"/>
    <x v="3"/>
    <x v="3544"/>
    <x v="3578"/>
    <s v="UPI"/>
    <s v="TXN104676"/>
    <x v="0"/>
  </r>
  <r>
    <d v="2023-08-31T00:00:00"/>
    <x v="7"/>
    <x v="2"/>
    <x v="3"/>
    <x v="3545"/>
    <x v="3579"/>
    <s v="Bank Transfer"/>
    <s v="TXN104863"/>
    <x v="0"/>
  </r>
  <r>
    <d v="2023-08-31T00:00:00"/>
    <x v="7"/>
    <x v="4"/>
    <x v="0"/>
    <x v="3546"/>
    <x v="3580"/>
    <s v="Bank Transfer"/>
    <s v="TXN104924"/>
    <x v="0"/>
  </r>
  <r>
    <d v="2023-08-31T00:00:00"/>
    <x v="7"/>
    <x v="0"/>
    <x v="4"/>
    <x v="3547"/>
    <x v="3581"/>
    <s v="Cash"/>
    <s v="TXN104994"/>
    <x v="0"/>
  </r>
  <r>
    <d v="2023-08-31T00:00:00"/>
    <x v="7"/>
    <x v="7"/>
    <x v="3"/>
    <x v="3548"/>
    <x v="3582"/>
    <s v="Cash"/>
    <s v="TXN105650"/>
    <x v="0"/>
  </r>
  <r>
    <d v="2023-08-31T00:00:00"/>
    <x v="7"/>
    <x v="3"/>
    <x v="0"/>
    <x v="3549"/>
    <x v="3583"/>
    <s v="Cash"/>
    <s v="TXN107279"/>
    <x v="0"/>
  </r>
  <r>
    <d v="2023-08-31T00:00:00"/>
    <x v="7"/>
    <x v="7"/>
    <x v="4"/>
    <x v="3550"/>
    <x v="3584"/>
    <s v="Card"/>
    <s v="TXN109251"/>
    <x v="0"/>
  </r>
  <r>
    <d v="2023-08-31T00:00:00"/>
    <x v="7"/>
    <x v="1"/>
    <x v="3"/>
    <x v="1782"/>
    <x v="3585"/>
    <s v="Card"/>
    <s v="TXN109657"/>
    <x v="0"/>
  </r>
  <r>
    <d v="2023-08-31T00:00:00"/>
    <x v="7"/>
    <x v="5"/>
    <x v="2"/>
    <x v="1084"/>
    <x v="3586"/>
    <s v="Bank Transfer"/>
    <s v="REV100051"/>
    <x v="1"/>
  </r>
  <r>
    <d v="2023-08-31T00:00:00"/>
    <x v="7"/>
    <x v="6"/>
    <x v="1"/>
    <x v="3180"/>
    <x v="514"/>
    <s v="Card"/>
    <s v="REV100442"/>
    <x v="1"/>
  </r>
  <r>
    <d v="2023-08-31T00:00:00"/>
    <x v="7"/>
    <x v="5"/>
    <x v="0"/>
    <x v="2644"/>
    <x v="3587"/>
    <s v="Bank Transfer"/>
    <s v="REV100444"/>
    <x v="1"/>
  </r>
  <r>
    <d v="2023-08-31T00:00:00"/>
    <x v="7"/>
    <x v="6"/>
    <x v="2"/>
    <x v="1741"/>
    <x v="950"/>
    <s v="Bank Transfer"/>
    <s v="REV100749"/>
    <x v="1"/>
  </r>
  <r>
    <d v="2023-08-31T00:00:00"/>
    <x v="7"/>
    <x v="6"/>
    <x v="1"/>
    <x v="3551"/>
    <x v="3588"/>
    <s v="Card"/>
    <s v="REV101004"/>
    <x v="1"/>
  </r>
  <r>
    <d v="2023-08-31T00:00:00"/>
    <x v="7"/>
    <x v="5"/>
    <x v="1"/>
    <x v="2977"/>
    <x v="374"/>
    <s v="Bank Transfer"/>
    <s v="REV101260"/>
    <x v="1"/>
  </r>
  <r>
    <d v="2023-08-31T00:00:00"/>
    <x v="7"/>
    <x v="5"/>
    <x v="4"/>
    <x v="3552"/>
    <x v="3589"/>
    <s v="Bank Transfer"/>
    <s v="REV101441"/>
    <x v="1"/>
  </r>
  <r>
    <d v="2023-08-31T00:00:00"/>
    <x v="7"/>
    <x v="6"/>
    <x v="3"/>
    <x v="2125"/>
    <x v="395"/>
    <s v="Card"/>
    <s v="REV101600"/>
    <x v="1"/>
  </r>
  <r>
    <d v="2023-08-31T00:00:00"/>
    <x v="7"/>
    <x v="6"/>
    <x v="3"/>
    <x v="3291"/>
    <x v="3587"/>
    <s v="Bank Transfer"/>
    <s v="REV101661"/>
    <x v="1"/>
  </r>
  <r>
    <d v="2023-08-31T00:00:00"/>
    <x v="7"/>
    <x v="6"/>
    <x v="0"/>
    <x v="1054"/>
    <x v="1694"/>
    <s v="Card"/>
    <s v="REV101678"/>
    <x v="1"/>
  </r>
  <r>
    <d v="2023-08-31T00:00:00"/>
    <x v="7"/>
    <x v="6"/>
    <x v="4"/>
    <x v="193"/>
    <x v="32"/>
    <s v="UPI"/>
    <s v="REV101703"/>
    <x v="1"/>
  </r>
  <r>
    <d v="2023-08-31T00:00:00"/>
    <x v="7"/>
    <x v="5"/>
    <x v="3"/>
    <x v="1339"/>
    <x v="3590"/>
    <s v="Card"/>
    <s v="REV101923"/>
    <x v="1"/>
  </r>
  <r>
    <d v="2023-08-31T00:00:00"/>
    <x v="7"/>
    <x v="6"/>
    <x v="0"/>
    <x v="380"/>
    <x v="96"/>
    <s v="Bank Transfer"/>
    <s v="REV102471"/>
    <x v="1"/>
  </r>
  <r>
    <d v="2023-08-31T00:00:00"/>
    <x v="7"/>
    <x v="5"/>
    <x v="4"/>
    <x v="3553"/>
    <x v="3591"/>
    <s v="Card"/>
    <s v="REV103121"/>
    <x v="1"/>
  </r>
  <r>
    <d v="2023-08-31T00:00:00"/>
    <x v="7"/>
    <x v="5"/>
    <x v="3"/>
    <x v="83"/>
    <x v="1575"/>
    <s v="Bank Transfer"/>
    <s v="REV103266"/>
    <x v="1"/>
  </r>
  <r>
    <d v="2023-09-01T00:00:00"/>
    <x v="8"/>
    <x v="4"/>
    <x v="1"/>
    <x v="3554"/>
    <x v="3592"/>
    <s v="UPI"/>
    <s v="TXN101294"/>
    <x v="0"/>
  </r>
  <r>
    <d v="2023-09-01T00:00:00"/>
    <x v="8"/>
    <x v="7"/>
    <x v="3"/>
    <x v="3555"/>
    <x v="3593"/>
    <s v="UPI"/>
    <s v="TXN101576"/>
    <x v="0"/>
  </r>
  <r>
    <d v="2023-09-01T00:00:00"/>
    <x v="8"/>
    <x v="1"/>
    <x v="4"/>
    <x v="3556"/>
    <x v="3594"/>
    <s v="Cash"/>
    <s v="TXN102646"/>
    <x v="0"/>
  </r>
  <r>
    <d v="2023-09-01T00:00:00"/>
    <x v="8"/>
    <x v="4"/>
    <x v="2"/>
    <x v="3557"/>
    <x v="3595"/>
    <s v="Bank Transfer"/>
    <s v="TXN102717"/>
    <x v="0"/>
  </r>
  <r>
    <d v="2023-09-01T00:00:00"/>
    <x v="8"/>
    <x v="7"/>
    <x v="0"/>
    <x v="3558"/>
    <x v="3596"/>
    <s v="Bank Transfer"/>
    <s v="TXN103331"/>
    <x v="0"/>
  </r>
  <r>
    <d v="2023-09-01T00:00:00"/>
    <x v="8"/>
    <x v="7"/>
    <x v="0"/>
    <x v="3559"/>
    <x v="3597"/>
    <s v="Cash"/>
    <s v="TXN103405"/>
    <x v="0"/>
  </r>
  <r>
    <d v="2023-09-01T00:00:00"/>
    <x v="8"/>
    <x v="2"/>
    <x v="1"/>
    <x v="3560"/>
    <x v="3598"/>
    <s v="Cash"/>
    <s v="TXN103885"/>
    <x v="0"/>
  </r>
  <r>
    <d v="2023-09-01T00:00:00"/>
    <x v="8"/>
    <x v="7"/>
    <x v="2"/>
    <x v="3561"/>
    <x v="3599"/>
    <s v="Cash"/>
    <s v="TXN104942"/>
    <x v="0"/>
  </r>
  <r>
    <d v="2023-09-01T00:00:00"/>
    <x v="8"/>
    <x v="3"/>
    <x v="2"/>
    <x v="3562"/>
    <x v="3600"/>
    <s v="UPI"/>
    <s v="TXN107517"/>
    <x v="0"/>
  </r>
  <r>
    <d v="2023-09-01T00:00:00"/>
    <x v="8"/>
    <x v="7"/>
    <x v="3"/>
    <x v="3563"/>
    <x v="3601"/>
    <s v="Cash"/>
    <s v="TXN107698"/>
    <x v="0"/>
  </r>
  <r>
    <d v="2023-09-01T00:00:00"/>
    <x v="8"/>
    <x v="5"/>
    <x v="1"/>
    <x v="2611"/>
    <x v="2111"/>
    <s v="Card"/>
    <s v="REV100474"/>
    <x v="1"/>
  </r>
  <r>
    <d v="2023-09-01T00:00:00"/>
    <x v="8"/>
    <x v="5"/>
    <x v="3"/>
    <x v="222"/>
    <x v="686"/>
    <s v="Bank Transfer"/>
    <s v="REV100581"/>
    <x v="1"/>
  </r>
  <r>
    <d v="2023-09-01T00:00:00"/>
    <x v="8"/>
    <x v="5"/>
    <x v="4"/>
    <x v="2140"/>
    <x v="3602"/>
    <s v="Card"/>
    <s v="REV100926"/>
    <x v="1"/>
  </r>
  <r>
    <d v="2023-09-01T00:00:00"/>
    <x v="8"/>
    <x v="6"/>
    <x v="2"/>
    <x v="2013"/>
    <x v="3211"/>
    <s v="Bank Transfer"/>
    <s v="REV100948"/>
    <x v="1"/>
  </r>
  <r>
    <d v="2023-09-01T00:00:00"/>
    <x v="8"/>
    <x v="5"/>
    <x v="0"/>
    <x v="2558"/>
    <x v="3603"/>
    <s v="Card"/>
    <s v="REV101144"/>
    <x v="1"/>
  </r>
  <r>
    <d v="2023-09-01T00:00:00"/>
    <x v="8"/>
    <x v="5"/>
    <x v="0"/>
    <x v="989"/>
    <x v="3604"/>
    <s v="Bank Transfer"/>
    <s v="REV101167"/>
    <x v="1"/>
  </r>
  <r>
    <d v="2023-09-01T00:00:00"/>
    <x v="8"/>
    <x v="6"/>
    <x v="1"/>
    <x v="3564"/>
    <x v="3605"/>
    <s v="Card"/>
    <s v="REV101341"/>
    <x v="1"/>
  </r>
  <r>
    <d v="2023-09-01T00:00:00"/>
    <x v="8"/>
    <x v="5"/>
    <x v="2"/>
    <x v="3565"/>
    <x v="3606"/>
    <s v="Card"/>
    <s v="REV101686"/>
    <x v="1"/>
  </r>
  <r>
    <d v="2023-09-01T00:00:00"/>
    <x v="8"/>
    <x v="5"/>
    <x v="2"/>
    <x v="2061"/>
    <x v="3607"/>
    <s v="Bank Transfer"/>
    <s v="REV102550"/>
    <x v="1"/>
  </r>
  <r>
    <d v="2023-09-01T00:00:00"/>
    <x v="8"/>
    <x v="6"/>
    <x v="3"/>
    <x v="1036"/>
    <x v="2781"/>
    <s v="Bank Transfer"/>
    <s v="REV102621"/>
    <x v="1"/>
  </r>
  <r>
    <d v="2023-09-02T00:00:00"/>
    <x v="8"/>
    <x v="7"/>
    <x v="0"/>
    <x v="3566"/>
    <x v="3608"/>
    <s v="Cash"/>
    <s v="TXN101191"/>
    <x v="0"/>
  </r>
  <r>
    <d v="2023-09-02T00:00:00"/>
    <x v="8"/>
    <x v="4"/>
    <x v="0"/>
    <x v="3567"/>
    <x v="907"/>
    <s v="Cash"/>
    <s v="TXN101589"/>
    <x v="0"/>
  </r>
  <r>
    <d v="2023-09-02T00:00:00"/>
    <x v="8"/>
    <x v="0"/>
    <x v="4"/>
    <x v="3568"/>
    <x v="3609"/>
    <s v="Cash"/>
    <s v="TXN103571"/>
    <x v="0"/>
  </r>
  <r>
    <d v="2023-09-02T00:00:00"/>
    <x v="8"/>
    <x v="1"/>
    <x v="4"/>
    <x v="3569"/>
    <x v="3610"/>
    <s v="Card"/>
    <s v="TXN103982"/>
    <x v="0"/>
  </r>
  <r>
    <d v="2023-09-02T00:00:00"/>
    <x v="8"/>
    <x v="2"/>
    <x v="2"/>
    <x v="3570"/>
    <x v="3611"/>
    <s v="UPI"/>
    <s v="TXN104615"/>
    <x v="0"/>
  </r>
  <r>
    <d v="2023-09-02T00:00:00"/>
    <x v="8"/>
    <x v="2"/>
    <x v="3"/>
    <x v="3571"/>
    <x v="3612"/>
    <s v="UPI"/>
    <s v="TXN105099"/>
    <x v="0"/>
  </r>
  <r>
    <d v="2023-09-02T00:00:00"/>
    <x v="8"/>
    <x v="0"/>
    <x v="3"/>
    <x v="3572"/>
    <x v="3613"/>
    <s v="UPI"/>
    <s v="TXN106232"/>
    <x v="0"/>
  </r>
  <r>
    <d v="2023-09-02T00:00:00"/>
    <x v="8"/>
    <x v="7"/>
    <x v="1"/>
    <x v="3573"/>
    <x v="3614"/>
    <s v="Bank Transfer"/>
    <s v="TXN106572"/>
    <x v="0"/>
  </r>
  <r>
    <d v="2023-09-02T00:00:00"/>
    <x v="8"/>
    <x v="3"/>
    <x v="4"/>
    <x v="3574"/>
    <x v="3615"/>
    <s v="Bank Transfer"/>
    <s v="TXN106805"/>
    <x v="0"/>
  </r>
  <r>
    <d v="2023-09-02T00:00:00"/>
    <x v="8"/>
    <x v="1"/>
    <x v="1"/>
    <x v="3575"/>
    <x v="3616"/>
    <s v="Card"/>
    <s v="TXN107861"/>
    <x v="0"/>
  </r>
  <r>
    <d v="2023-09-02T00:00:00"/>
    <x v="8"/>
    <x v="2"/>
    <x v="2"/>
    <x v="1943"/>
    <x v="3617"/>
    <s v="Bank Transfer"/>
    <s v="TXN108336"/>
    <x v="0"/>
  </r>
  <r>
    <d v="2023-09-02T00:00:00"/>
    <x v="8"/>
    <x v="6"/>
    <x v="0"/>
    <x v="1117"/>
    <x v="640"/>
    <s v="UPI"/>
    <s v="REV100440"/>
    <x v="1"/>
  </r>
  <r>
    <d v="2023-09-02T00:00:00"/>
    <x v="8"/>
    <x v="5"/>
    <x v="0"/>
    <x v="3576"/>
    <x v="3618"/>
    <s v="Bank Transfer"/>
    <s v="REV100587"/>
    <x v="1"/>
  </r>
  <r>
    <d v="2023-09-02T00:00:00"/>
    <x v="8"/>
    <x v="5"/>
    <x v="4"/>
    <x v="627"/>
    <x v="3619"/>
    <s v="Card"/>
    <s v="REV101220"/>
    <x v="1"/>
  </r>
  <r>
    <d v="2023-09-02T00:00:00"/>
    <x v="8"/>
    <x v="6"/>
    <x v="4"/>
    <x v="3456"/>
    <x v="3183"/>
    <s v="Card"/>
    <s v="REV101378"/>
    <x v="1"/>
  </r>
  <r>
    <d v="2023-09-02T00:00:00"/>
    <x v="8"/>
    <x v="6"/>
    <x v="2"/>
    <x v="234"/>
    <x v="3106"/>
    <s v="Bank Transfer"/>
    <s v="REV101577"/>
    <x v="1"/>
  </r>
  <r>
    <d v="2023-09-02T00:00:00"/>
    <x v="8"/>
    <x v="5"/>
    <x v="3"/>
    <x v="35"/>
    <x v="3620"/>
    <s v="UPI"/>
    <s v="REV101737"/>
    <x v="1"/>
  </r>
  <r>
    <d v="2023-09-02T00:00:00"/>
    <x v="8"/>
    <x v="5"/>
    <x v="3"/>
    <x v="50"/>
    <x v="1982"/>
    <s v="Card"/>
    <s v="REV102097"/>
    <x v="1"/>
  </r>
  <r>
    <d v="2023-09-02T00:00:00"/>
    <x v="8"/>
    <x v="5"/>
    <x v="1"/>
    <x v="3577"/>
    <x v="10"/>
    <s v="Bank Transfer"/>
    <s v="REV102232"/>
    <x v="1"/>
  </r>
  <r>
    <d v="2023-09-02T00:00:00"/>
    <x v="8"/>
    <x v="5"/>
    <x v="4"/>
    <x v="138"/>
    <x v="2178"/>
    <s v="Card"/>
    <s v="REV102316"/>
    <x v="1"/>
  </r>
  <r>
    <d v="2023-09-02T00:00:00"/>
    <x v="8"/>
    <x v="5"/>
    <x v="1"/>
    <x v="62"/>
    <x v="3209"/>
    <s v="Bank Transfer"/>
    <s v="REV102671"/>
    <x v="1"/>
  </r>
  <r>
    <d v="2023-09-02T00:00:00"/>
    <x v="8"/>
    <x v="6"/>
    <x v="2"/>
    <x v="3464"/>
    <x v="96"/>
    <s v="UPI"/>
    <s v="REV102833"/>
    <x v="1"/>
  </r>
  <r>
    <d v="2023-09-03T00:00:00"/>
    <x v="8"/>
    <x v="3"/>
    <x v="2"/>
    <x v="3578"/>
    <x v="3621"/>
    <s v="UPI"/>
    <s v="TXN100023"/>
    <x v="0"/>
  </r>
  <r>
    <d v="2023-09-03T00:00:00"/>
    <x v="8"/>
    <x v="0"/>
    <x v="0"/>
    <x v="3579"/>
    <x v="3622"/>
    <s v="Card"/>
    <s v="TXN101068"/>
    <x v="0"/>
  </r>
  <r>
    <d v="2023-09-03T00:00:00"/>
    <x v="8"/>
    <x v="7"/>
    <x v="0"/>
    <x v="3580"/>
    <x v="3623"/>
    <s v="Card"/>
    <s v="TXN103702"/>
    <x v="0"/>
  </r>
  <r>
    <d v="2023-09-03T00:00:00"/>
    <x v="8"/>
    <x v="0"/>
    <x v="0"/>
    <x v="3581"/>
    <x v="3624"/>
    <s v="UPI"/>
    <s v="TXN104120"/>
    <x v="0"/>
  </r>
  <r>
    <d v="2023-09-03T00:00:00"/>
    <x v="8"/>
    <x v="7"/>
    <x v="1"/>
    <x v="3582"/>
    <x v="3625"/>
    <s v="Bank Transfer"/>
    <s v="TXN106691"/>
    <x v="0"/>
  </r>
  <r>
    <d v="2023-09-03T00:00:00"/>
    <x v="8"/>
    <x v="0"/>
    <x v="4"/>
    <x v="3583"/>
    <x v="3626"/>
    <s v="Cash"/>
    <s v="TXN106828"/>
    <x v="0"/>
  </r>
  <r>
    <d v="2023-09-03T00:00:00"/>
    <x v="8"/>
    <x v="7"/>
    <x v="1"/>
    <x v="3584"/>
    <x v="3627"/>
    <s v="Cash"/>
    <s v="TXN107187"/>
    <x v="0"/>
  </r>
  <r>
    <d v="2023-09-03T00:00:00"/>
    <x v="8"/>
    <x v="3"/>
    <x v="1"/>
    <x v="3585"/>
    <x v="3628"/>
    <s v="Card"/>
    <s v="TXN109081"/>
    <x v="0"/>
  </r>
  <r>
    <d v="2023-09-03T00:00:00"/>
    <x v="8"/>
    <x v="3"/>
    <x v="4"/>
    <x v="3586"/>
    <x v="3629"/>
    <s v="Card"/>
    <s v="TXN109857"/>
    <x v="0"/>
  </r>
  <r>
    <d v="2023-09-03T00:00:00"/>
    <x v="8"/>
    <x v="1"/>
    <x v="0"/>
    <x v="3587"/>
    <x v="3630"/>
    <s v="UPI"/>
    <s v="TXN109924"/>
    <x v="0"/>
  </r>
  <r>
    <d v="2023-09-03T00:00:00"/>
    <x v="8"/>
    <x v="5"/>
    <x v="2"/>
    <x v="64"/>
    <x v="677"/>
    <s v="Card"/>
    <s v="REV100009"/>
    <x v="1"/>
  </r>
  <r>
    <d v="2023-09-03T00:00:00"/>
    <x v="8"/>
    <x v="6"/>
    <x v="0"/>
    <x v="3076"/>
    <x v="2643"/>
    <s v="Bank Transfer"/>
    <s v="REV100393"/>
    <x v="1"/>
  </r>
  <r>
    <d v="2023-09-03T00:00:00"/>
    <x v="8"/>
    <x v="5"/>
    <x v="0"/>
    <x v="1234"/>
    <x v="1671"/>
    <s v="UPI"/>
    <s v="REV101271"/>
    <x v="1"/>
  </r>
  <r>
    <d v="2023-09-03T00:00:00"/>
    <x v="8"/>
    <x v="5"/>
    <x v="0"/>
    <x v="1039"/>
    <x v="3631"/>
    <s v="Bank Transfer"/>
    <s v="REV101426"/>
    <x v="1"/>
  </r>
  <r>
    <d v="2023-09-03T00:00:00"/>
    <x v="8"/>
    <x v="5"/>
    <x v="1"/>
    <x v="3588"/>
    <x v="3632"/>
    <s v="Card"/>
    <s v="REV102275"/>
    <x v="1"/>
  </r>
  <r>
    <d v="2023-09-03T00:00:00"/>
    <x v="8"/>
    <x v="5"/>
    <x v="4"/>
    <x v="109"/>
    <x v="2178"/>
    <s v="Card"/>
    <s v="REV102321"/>
    <x v="1"/>
  </r>
  <r>
    <d v="2023-09-03T00:00:00"/>
    <x v="8"/>
    <x v="5"/>
    <x v="1"/>
    <x v="706"/>
    <x v="1886"/>
    <s v="Bank Transfer"/>
    <s v="REV102438"/>
    <x v="1"/>
  </r>
  <r>
    <d v="2023-09-03T00:00:00"/>
    <x v="8"/>
    <x v="6"/>
    <x v="1"/>
    <x v="987"/>
    <x v="3633"/>
    <s v="Bank Transfer"/>
    <s v="REV103072"/>
    <x v="1"/>
  </r>
  <r>
    <d v="2023-09-03T00:00:00"/>
    <x v="8"/>
    <x v="5"/>
    <x v="4"/>
    <x v="3589"/>
    <x v="1743"/>
    <s v="Bank Transfer"/>
    <s v="REV103336"/>
    <x v="1"/>
  </r>
  <r>
    <d v="2023-09-03T00:00:00"/>
    <x v="8"/>
    <x v="5"/>
    <x v="0"/>
    <x v="1139"/>
    <x v="2938"/>
    <s v="UPI"/>
    <s v="REV103357"/>
    <x v="1"/>
  </r>
  <r>
    <d v="2023-09-04T00:00:00"/>
    <x v="8"/>
    <x v="0"/>
    <x v="2"/>
    <x v="3590"/>
    <x v="3634"/>
    <s v="Card"/>
    <s v="TXN102406"/>
    <x v="0"/>
  </r>
  <r>
    <d v="2023-09-04T00:00:00"/>
    <x v="8"/>
    <x v="0"/>
    <x v="4"/>
    <x v="3591"/>
    <x v="3635"/>
    <s v="Card"/>
    <s v="TXN102627"/>
    <x v="0"/>
  </r>
  <r>
    <d v="2023-09-04T00:00:00"/>
    <x v="8"/>
    <x v="0"/>
    <x v="4"/>
    <x v="3592"/>
    <x v="3636"/>
    <s v="Card"/>
    <s v="TXN103090"/>
    <x v="0"/>
  </r>
  <r>
    <d v="2023-09-04T00:00:00"/>
    <x v="8"/>
    <x v="1"/>
    <x v="0"/>
    <x v="3593"/>
    <x v="3637"/>
    <s v="UPI"/>
    <s v="TXN103925"/>
    <x v="0"/>
  </r>
  <r>
    <d v="2023-09-04T00:00:00"/>
    <x v="8"/>
    <x v="1"/>
    <x v="2"/>
    <x v="3594"/>
    <x v="3638"/>
    <s v="UPI"/>
    <s v="TXN105001"/>
    <x v="0"/>
  </r>
  <r>
    <d v="2023-09-04T00:00:00"/>
    <x v="8"/>
    <x v="7"/>
    <x v="4"/>
    <x v="3595"/>
    <x v="1672"/>
    <s v="Cash"/>
    <s v="TXN106564"/>
    <x v="0"/>
  </r>
  <r>
    <d v="2023-09-04T00:00:00"/>
    <x v="8"/>
    <x v="3"/>
    <x v="2"/>
    <x v="3596"/>
    <x v="3639"/>
    <s v="Cash"/>
    <s v="TXN106782"/>
    <x v="0"/>
  </r>
  <r>
    <d v="2023-09-04T00:00:00"/>
    <x v="8"/>
    <x v="0"/>
    <x v="4"/>
    <x v="3597"/>
    <x v="3640"/>
    <s v="Cash"/>
    <s v="TXN107749"/>
    <x v="0"/>
  </r>
  <r>
    <d v="2023-09-04T00:00:00"/>
    <x v="8"/>
    <x v="0"/>
    <x v="4"/>
    <x v="3598"/>
    <x v="3641"/>
    <s v="Card"/>
    <s v="TXN108004"/>
    <x v="0"/>
  </r>
  <r>
    <d v="2023-09-04T00:00:00"/>
    <x v="8"/>
    <x v="4"/>
    <x v="0"/>
    <x v="3599"/>
    <x v="3642"/>
    <s v="Bank Transfer"/>
    <s v="TXN109016"/>
    <x v="0"/>
  </r>
  <r>
    <d v="2023-09-04T00:00:00"/>
    <x v="8"/>
    <x v="1"/>
    <x v="2"/>
    <x v="3600"/>
    <x v="3643"/>
    <s v="UPI"/>
    <s v="TXN109244"/>
    <x v="0"/>
  </r>
  <r>
    <d v="2023-09-04T00:00:00"/>
    <x v="8"/>
    <x v="5"/>
    <x v="2"/>
    <x v="3601"/>
    <x v="714"/>
    <s v="Bank Transfer"/>
    <s v="REV100851"/>
    <x v="1"/>
  </r>
  <r>
    <d v="2023-09-04T00:00:00"/>
    <x v="8"/>
    <x v="5"/>
    <x v="4"/>
    <x v="1518"/>
    <x v="996"/>
    <s v="Bank Transfer"/>
    <s v="REV100918"/>
    <x v="1"/>
  </r>
  <r>
    <d v="2023-09-04T00:00:00"/>
    <x v="8"/>
    <x v="5"/>
    <x v="4"/>
    <x v="1472"/>
    <x v="1303"/>
    <s v="Bank Transfer"/>
    <s v="REV101066"/>
    <x v="1"/>
  </r>
  <r>
    <d v="2023-09-04T00:00:00"/>
    <x v="8"/>
    <x v="5"/>
    <x v="0"/>
    <x v="2613"/>
    <x v="641"/>
    <s v="Bank Transfer"/>
    <s v="REV101357"/>
    <x v="1"/>
  </r>
  <r>
    <d v="2023-09-04T00:00:00"/>
    <x v="8"/>
    <x v="5"/>
    <x v="2"/>
    <x v="2154"/>
    <x v="2135"/>
    <s v="Card"/>
    <s v="REV101704"/>
    <x v="1"/>
  </r>
  <r>
    <d v="2023-09-04T00:00:00"/>
    <x v="8"/>
    <x v="5"/>
    <x v="4"/>
    <x v="535"/>
    <x v="3164"/>
    <s v="Bank Transfer"/>
    <s v="REV102227"/>
    <x v="1"/>
  </r>
  <r>
    <d v="2023-09-04T00:00:00"/>
    <x v="8"/>
    <x v="6"/>
    <x v="2"/>
    <x v="953"/>
    <x v="1906"/>
    <s v="Bank Transfer"/>
    <s v="REV102309"/>
    <x v="1"/>
  </r>
  <r>
    <d v="2023-09-04T00:00:00"/>
    <x v="8"/>
    <x v="5"/>
    <x v="4"/>
    <x v="1150"/>
    <x v="3260"/>
    <s v="Card"/>
    <s v="REV102637"/>
    <x v="1"/>
  </r>
  <r>
    <d v="2023-09-04T00:00:00"/>
    <x v="8"/>
    <x v="5"/>
    <x v="4"/>
    <x v="3602"/>
    <x v="1444"/>
    <s v="Bank Transfer"/>
    <s v="REV102719"/>
    <x v="1"/>
  </r>
  <r>
    <d v="2023-09-04T00:00:00"/>
    <x v="8"/>
    <x v="6"/>
    <x v="0"/>
    <x v="605"/>
    <x v="638"/>
    <s v="UPI"/>
    <s v="REV103052"/>
    <x v="1"/>
  </r>
  <r>
    <d v="2023-09-04T00:00:00"/>
    <x v="8"/>
    <x v="5"/>
    <x v="2"/>
    <x v="1005"/>
    <x v="2367"/>
    <s v="Card"/>
    <s v="REV103118"/>
    <x v="1"/>
  </r>
  <r>
    <d v="2023-09-05T00:00:00"/>
    <x v="8"/>
    <x v="0"/>
    <x v="2"/>
    <x v="2271"/>
    <x v="3644"/>
    <s v="Card"/>
    <s v="TXN100403"/>
    <x v="0"/>
  </r>
  <r>
    <d v="2023-09-05T00:00:00"/>
    <x v="8"/>
    <x v="2"/>
    <x v="4"/>
    <x v="3603"/>
    <x v="3645"/>
    <s v="Card"/>
    <s v="TXN101398"/>
    <x v="0"/>
  </r>
  <r>
    <d v="2023-09-05T00:00:00"/>
    <x v="8"/>
    <x v="1"/>
    <x v="3"/>
    <x v="1453"/>
    <x v="3646"/>
    <s v="Cash"/>
    <s v="TXN101739"/>
    <x v="0"/>
  </r>
  <r>
    <d v="2023-09-05T00:00:00"/>
    <x v="8"/>
    <x v="3"/>
    <x v="0"/>
    <x v="3604"/>
    <x v="3647"/>
    <s v="Card"/>
    <s v="TXN104194"/>
    <x v="0"/>
  </r>
  <r>
    <d v="2023-09-05T00:00:00"/>
    <x v="8"/>
    <x v="1"/>
    <x v="3"/>
    <x v="3605"/>
    <x v="3648"/>
    <s v="Bank Transfer"/>
    <s v="TXN106039"/>
    <x v="0"/>
  </r>
  <r>
    <d v="2023-09-05T00:00:00"/>
    <x v="8"/>
    <x v="0"/>
    <x v="3"/>
    <x v="3606"/>
    <x v="3649"/>
    <s v="Card"/>
    <s v="TXN106171"/>
    <x v="0"/>
  </r>
  <r>
    <d v="2023-09-05T00:00:00"/>
    <x v="8"/>
    <x v="1"/>
    <x v="2"/>
    <x v="3607"/>
    <x v="3650"/>
    <s v="UPI"/>
    <s v="TXN106411"/>
    <x v="0"/>
  </r>
  <r>
    <d v="2023-09-05T00:00:00"/>
    <x v="8"/>
    <x v="5"/>
    <x v="2"/>
    <x v="567"/>
    <x v="3651"/>
    <s v="Bank Transfer"/>
    <s v="REV100153"/>
    <x v="1"/>
  </r>
  <r>
    <d v="2023-09-05T00:00:00"/>
    <x v="8"/>
    <x v="6"/>
    <x v="4"/>
    <x v="155"/>
    <x v="3652"/>
    <s v="Card"/>
    <s v="REV100511"/>
    <x v="1"/>
  </r>
  <r>
    <d v="2023-09-05T00:00:00"/>
    <x v="8"/>
    <x v="5"/>
    <x v="3"/>
    <x v="3608"/>
    <x v="2800"/>
    <s v="Bank Transfer"/>
    <s v="REV100632"/>
    <x v="1"/>
  </r>
  <r>
    <d v="2023-09-05T00:00:00"/>
    <x v="8"/>
    <x v="5"/>
    <x v="0"/>
    <x v="3609"/>
    <x v="1061"/>
    <s v="Bank Transfer"/>
    <s v="REV101456"/>
    <x v="1"/>
  </r>
  <r>
    <d v="2023-09-05T00:00:00"/>
    <x v="8"/>
    <x v="5"/>
    <x v="3"/>
    <x v="573"/>
    <x v="226"/>
    <s v="Card"/>
    <s v="REV102040"/>
    <x v="1"/>
  </r>
  <r>
    <d v="2023-09-05T00:00:00"/>
    <x v="8"/>
    <x v="5"/>
    <x v="3"/>
    <x v="671"/>
    <x v="3652"/>
    <s v="Bank Transfer"/>
    <s v="REV102078"/>
    <x v="1"/>
  </r>
  <r>
    <d v="2023-09-05T00:00:00"/>
    <x v="8"/>
    <x v="5"/>
    <x v="2"/>
    <x v="2367"/>
    <x v="829"/>
    <s v="UPI"/>
    <s v="REV102169"/>
    <x v="1"/>
  </r>
  <r>
    <d v="2023-09-06T00:00:00"/>
    <x v="8"/>
    <x v="7"/>
    <x v="1"/>
    <x v="3610"/>
    <x v="3653"/>
    <s v="Cash"/>
    <s v="TXN102789"/>
    <x v="0"/>
  </r>
  <r>
    <d v="2023-09-06T00:00:00"/>
    <x v="8"/>
    <x v="4"/>
    <x v="0"/>
    <x v="3611"/>
    <x v="3654"/>
    <s v="UPI"/>
    <s v="TXN103804"/>
    <x v="0"/>
  </r>
  <r>
    <d v="2023-09-06T00:00:00"/>
    <x v="8"/>
    <x v="0"/>
    <x v="1"/>
    <x v="3612"/>
    <x v="3655"/>
    <s v="UPI"/>
    <s v="TXN104149"/>
    <x v="0"/>
  </r>
  <r>
    <d v="2023-09-06T00:00:00"/>
    <x v="8"/>
    <x v="0"/>
    <x v="3"/>
    <x v="3613"/>
    <x v="3656"/>
    <s v="Cash"/>
    <s v="TXN104842"/>
    <x v="0"/>
  </r>
  <r>
    <d v="2023-09-06T00:00:00"/>
    <x v="8"/>
    <x v="0"/>
    <x v="1"/>
    <x v="3614"/>
    <x v="3657"/>
    <s v="UPI"/>
    <s v="TXN107113"/>
    <x v="0"/>
  </r>
  <r>
    <d v="2023-09-06T00:00:00"/>
    <x v="8"/>
    <x v="0"/>
    <x v="2"/>
    <x v="3615"/>
    <x v="3658"/>
    <s v="UPI"/>
    <s v="TXN107818"/>
    <x v="0"/>
  </r>
  <r>
    <d v="2023-09-06T00:00:00"/>
    <x v="8"/>
    <x v="7"/>
    <x v="4"/>
    <x v="3616"/>
    <x v="3659"/>
    <s v="Bank Transfer"/>
    <s v="TXN109587"/>
    <x v="0"/>
  </r>
  <r>
    <d v="2023-09-06T00:00:00"/>
    <x v="8"/>
    <x v="5"/>
    <x v="1"/>
    <x v="107"/>
    <x v="358"/>
    <s v="Bank Transfer"/>
    <s v="REV100979"/>
    <x v="1"/>
  </r>
  <r>
    <d v="2023-09-06T00:00:00"/>
    <x v="8"/>
    <x v="5"/>
    <x v="0"/>
    <x v="2789"/>
    <x v="3013"/>
    <s v="UPI"/>
    <s v="REV101314"/>
    <x v="1"/>
  </r>
  <r>
    <d v="2023-09-06T00:00:00"/>
    <x v="8"/>
    <x v="6"/>
    <x v="1"/>
    <x v="3617"/>
    <x v="3660"/>
    <s v="Bank Transfer"/>
    <s v="REV101438"/>
    <x v="1"/>
  </r>
  <r>
    <d v="2023-09-06T00:00:00"/>
    <x v="8"/>
    <x v="5"/>
    <x v="3"/>
    <x v="3163"/>
    <x v="3661"/>
    <s v="Card"/>
    <s v="REV101653"/>
    <x v="1"/>
  </r>
  <r>
    <d v="2023-09-06T00:00:00"/>
    <x v="8"/>
    <x v="5"/>
    <x v="1"/>
    <x v="3618"/>
    <x v="3662"/>
    <s v="UPI"/>
    <s v="REV102414"/>
    <x v="1"/>
  </r>
  <r>
    <d v="2023-09-06T00:00:00"/>
    <x v="8"/>
    <x v="6"/>
    <x v="2"/>
    <x v="155"/>
    <x v="2724"/>
    <s v="UPI"/>
    <s v="REV102655"/>
    <x v="1"/>
  </r>
  <r>
    <d v="2023-09-06T00:00:00"/>
    <x v="8"/>
    <x v="5"/>
    <x v="4"/>
    <x v="3619"/>
    <x v="3663"/>
    <s v="Card"/>
    <s v="REV103238"/>
    <x v="1"/>
  </r>
  <r>
    <d v="2023-09-07T00:00:00"/>
    <x v="8"/>
    <x v="0"/>
    <x v="1"/>
    <x v="3620"/>
    <x v="3664"/>
    <s v="Bank Transfer"/>
    <s v="TXN101728"/>
    <x v="0"/>
  </r>
  <r>
    <d v="2023-09-07T00:00:00"/>
    <x v="8"/>
    <x v="7"/>
    <x v="1"/>
    <x v="3621"/>
    <x v="3665"/>
    <s v="Bank Transfer"/>
    <s v="TXN102366"/>
    <x v="0"/>
  </r>
  <r>
    <d v="2023-09-07T00:00:00"/>
    <x v="8"/>
    <x v="4"/>
    <x v="4"/>
    <x v="3622"/>
    <x v="3666"/>
    <s v="Bank Transfer"/>
    <s v="TXN102884"/>
    <x v="0"/>
  </r>
  <r>
    <d v="2023-09-07T00:00:00"/>
    <x v="8"/>
    <x v="4"/>
    <x v="0"/>
    <x v="3623"/>
    <x v="3667"/>
    <s v="Card"/>
    <s v="TXN102988"/>
    <x v="0"/>
  </r>
  <r>
    <d v="2023-09-07T00:00:00"/>
    <x v="8"/>
    <x v="1"/>
    <x v="2"/>
    <x v="1089"/>
    <x v="3668"/>
    <s v="Cash"/>
    <s v="TXN108025"/>
    <x v="0"/>
  </r>
  <r>
    <d v="2023-09-07T00:00:00"/>
    <x v="8"/>
    <x v="4"/>
    <x v="4"/>
    <x v="3624"/>
    <x v="3669"/>
    <s v="UPI"/>
    <s v="TXN109242"/>
    <x v="0"/>
  </r>
  <r>
    <d v="2023-09-07T00:00:00"/>
    <x v="8"/>
    <x v="6"/>
    <x v="1"/>
    <x v="1233"/>
    <x v="2601"/>
    <s v="Bank Transfer"/>
    <s v="REV100631"/>
    <x v="1"/>
  </r>
  <r>
    <d v="2023-09-07T00:00:00"/>
    <x v="8"/>
    <x v="5"/>
    <x v="1"/>
    <x v="3625"/>
    <x v="3244"/>
    <s v="Card"/>
    <s v="REV100832"/>
    <x v="1"/>
  </r>
  <r>
    <d v="2023-09-07T00:00:00"/>
    <x v="8"/>
    <x v="5"/>
    <x v="4"/>
    <x v="3384"/>
    <x v="2151"/>
    <s v="Bank Transfer"/>
    <s v="REV101009"/>
    <x v="1"/>
  </r>
  <r>
    <d v="2023-09-07T00:00:00"/>
    <x v="8"/>
    <x v="5"/>
    <x v="0"/>
    <x v="3626"/>
    <x v="3670"/>
    <s v="UPI"/>
    <s v="REV101037"/>
    <x v="1"/>
  </r>
  <r>
    <d v="2023-09-07T00:00:00"/>
    <x v="8"/>
    <x v="5"/>
    <x v="2"/>
    <x v="327"/>
    <x v="2699"/>
    <s v="Card"/>
    <s v="REV102728"/>
    <x v="1"/>
  </r>
  <r>
    <d v="2023-09-07T00:00:00"/>
    <x v="8"/>
    <x v="5"/>
    <x v="4"/>
    <x v="603"/>
    <x v="200"/>
    <s v="UPI"/>
    <s v="REV103116"/>
    <x v="1"/>
  </r>
  <r>
    <d v="2023-09-08T00:00:00"/>
    <x v="8"/>
    <x v="4"/>
    <x v="4"/>
    <x v="104"/>
    <x v="3671"/>
    <s v="Bank Transfer"/>
    <s v="TXN100256"/>
    <x v="0"/>
  </r>
  <r>
    <d v="2023-09-08T00:00:00"/>
    <x v="8"/>
    <x v="3"/>
    <x v="2"/>
    <x v="3627"/>
    <x v="3672"/>
    <s v="UPI"/>
    <s v="TXN101014"/>
    <x v="0"/>
  </r>
  <r>
    <d v="2023-09-08T00:00:00"/>
    <x v="8"/>
    <x v="4"/>
    <x v="1"/>
    <x v="3628"/>
    <x v="3673"/>
    <s v="UPI"/>
    <s v="TXN101077"/>
    <x v="0"/>
  </r>
  <r>
    <d v="2023-09-08T00:00:00"/>
    <x v="8"/>
    <x v="4"/>
    <x v="4"/>
    <x v="3629"/>
    <x v="3674"/>
    <s v="Bank Transfer"/>
    <s v="TXN102300"/>
    <x v="0"/>
  </r>
  <r>
    <d v="2023-09-08T00:00:00"/>
    <x v="8"/>
    <x v="0"/>
    <x v="2"/>
    <x v="3630"/>
    <x v="3675"/>
    <s v="UPI"/>
    <s v="TXN103786"/>
    <x v="0"/>
  </r>
  <r>
    <d v="2023-09-08T00:00:00"/>
    <x v="8"/>
    <x v="4"/>
    <x v="3"/>
    <x v="3631"/>
    <x v="3676"/>
    <s v="UPI"/>
    <s v="TXN104228"/>
    <x v="0"/>
  </r>
  <r>
    <d v="2023-09-08T00:00:00"/>
    <x v="8"/>
    <x v="0"/>
    <x v="1"/>
    <x v="3632"/>
    <x v="3677"/>
    <s v="Bank Transfer"/>
    <s v="TXN105341"/>
    <x v="0"/>
  </r>
  <r>
    <d v="2023-09-08T00:00:00"/>
    <x v="8"/>
    <x v="2"/>
    <x v="2"/>
    <x v="3633"/>
    <x v="3678"/>
    <s v="Cash"/>
    <s v="TXN107569"/>
    <x v="0"/>
  </r>
  <r>
    <d v="2023-09-08T00:00:00"/>
    <x v="8"/>
    <x v="1"/>
    <x v="3"/>
    <x v="3634"/>
    <x v="3679"/>
    <s v="UPI"/>
    <s v="TXN107574"/>
    <x v="0"/>
  </r>
  <r>
    <d v="2023-09-08T00:00:00"/>
    <x v="8"/>
    <x v="7"/>
    <x v="1"/>
    <x v="3635"/>
    <x v="3680"/>
    <s v="Cash"/>
    <s v="TXN109531"/>
    <x v="0"/>
  </r>
  <r>
    <d v="2023-09-08T00:00:00"/>
    <x v="8"/>
    <x v="5"/>
    <x v="4"/>
    <x v="2079"/>
    <x v="3681"/>
    <s v="Bank Transfer"/>
    <s v="REV100090"/>
    <x v="1"/>
  </r>
  <r>
    <d v="2023-09-08T00:00:00"/>
    <x v="8"/>
    <x v="6"/>
    <x v="2"/>
    <x v="1774"/>
    <x v="3464"/>
    <s v="Bank Transfer"/>
    <s v="REV100376"/>
    <x v="1"/>
  </r>
  <r>
    <d v="2023-09-08T00:00:00"/>
    <x v="8"/>
    <x v="6"/>
    <x v="1"/>
    <x v="3636"/>
    <x v="641"/>
    <s v="UPI"/>
    <s v="REV100396"/>
    <x v="1"/>
  </r>
  <r>
    <d v="2023-09-08T00:00:00"/>
    <x v="8"/>
    <x v="6"/>
    <x v="4"/>
    <x v="3637"/>
    <x v="638"/>
    <s v="Card"/>
    <s v="REV100812"/>
    <x v="1"/>
  </r>
  <r>
    <d v="2023-09-08T00:00:00"/>
    <x v="8"/>
    <x v="6"/>
    <x v="2"/>
    <x v="818"/>
    <x v="2968"/>
    <s v="Card"/>
    <s v="REV101305"/>
    <x v="1"/>
  </r>
  <r>
    <d v="2023-09-08T00:00:00"/>
    <x v="8"/>
    <x v="5"/>
    <x v="3"/>
    <x v="3638"/>
    <x v="2067"/>
    <s v="Card"/>
    <s v="REV101466"/>
    <x v="1"/>
  </r>
  <r>
    <d v="2023-09-08T00:00:00"/>
    <x v="8"/>
    <x v="5"/>
    <x v="1"/>
    <x v="3639"/>
    <x v="3682"/>
    <s v="Bank Transfer"/>
    <s v="REV101815"/>
    <x v="1"/>
  </r>
  <r>
    <d v="2023-09-08T00:00:00"/>
    <x v="8"/>
    <x v="5"/>
    <x v="2"/>
    <x v="2291"/>
    <x v="3683"/>
    <s v="UPI"/>
    <s v="REV102570"/>
    <x v="1"/>
  </r>
  <r>
    <d v="2023-09-08T00:00:00"/>
    <x v="8"/>
    <x v="6"/>
    <x v="3"/>
    <x v="1443"/>
    <x v="488"/>
    <s v="UPI"/>
    <s v="REV102573"/>
    <x v="1"/>
  </r>
  <r>
    <d v="2023-09-08T00:00:00"/>
    <x v="8"/>
    <x v="5"/>
    <x v="1"/>
    <x v="1517"/>
    <x v="1074"/>
    <s v="UPI"/>
    <s v="REV103218"/>
    <x v="1"/>
  </r>
  <r>
    <d v="2023-09-09T00:00:00"/>
    <x v="8"/>
    <x v="4"/>
    <x v="4"/>
    <x v="3640"/>
    <x v="3684"/>
    <s v="Cash"/>
    <s v="TXN100161"/>
    <x v="0"/>
  </r>
  <r>
    <d v="2023-09-09T00:00:00"/>
    <x v="8"/>
    <x v="7"/>
    <x v="0"/>
    <x v="3641"/>
    <x v="3685"/>
    <s v="Bank Transfer"/>
    <s v="TXN101106"/>
    <x v="0"/>
  </r>
  <r>
    <d v="2023-09-09T00:00:00"/>
    <x v="8"/>
    <x v="0"/>
    <x v="1"/>
    <x v="3642"/>
    <x v="3686"/>
    <s v="UPI"/>
    <s v="TXN101844"/>
    <x v="0"/>
  </r>
  <r>
    <d v="2023-09-09T00:00:00"/>
    <x v="8"/>
    <x v="2"/>
    <x v="2"/>
    <x v="3643"/>
    <x v="3687"/>
    <s v="Cash"/>
    <s v="TXN102294"/>
    <x v="0"/>
  </r>
  <r>
    <d v="2023-09-09T00:00:00"/>
    <x v="8"/>
    <x v="7"/>
    <x v="1"/>
    <x v="3644"/>
    <x v="3688"/>
    <s v="Card"/>
    <s v="TXN104063"/>
    <x v="0"/>
  </r>
  <r>
    <d v="2023-09-09T00:00:00"/>
    <x v="8"/>
    <x v="3"/>
    <x v="1"/>
    <x v="3645"/>
    <x v="3689"/>
    <s v="Bank Transfer"/>
    <s v="TXN105029"/>
    <x v="0"/>
  </r>
  <r>
    <d v="2023-09-09T00:00:00"/>
    <x v="8"/>
    <x v="2"/>
    <x v="2"/>
    <x v="3646"/>
    <x v="3690"/>
    <s v="Card"/>
    <s v="TXN105432"/>
    <x v="0"/>
  </r>
  <r>
    <d v="2023-09-09T00:00:00"/>
    <x v="8"/>
    <x v="3"/>
    <x v="1"/>
    <x v="3647"/>
    <x v="3691"/>
    <s v="Cash"/>
    <s v="TXN106024"/>
    <x v="0"/>
  </r>
  <r>
    <d v="2023-09-09T00:00:00"/>
    <x v="8"/>
    <x v="1"/>
    <x v="4"/>
    <x v="3648"/>
    <x v="3692"/>
    <s v="UPI"/>
    <s v="TXN107237"/>
    <x v="0"/>
  </r>
  <r>
    <d v="2023-09-09T00:00:00"/>
    <x v="8"/>
    <x v="7"/>
    <x v="1"/>
    <x v="3649"/>
    <x v="3693"/>
    <s v="Cash"/>
    <s v="TXN107353"/>
    <x v="0"/>
  </r>
  <r>
    <d v="2023-09-09T00:00:00"/>
    <x v="8"/>
    <x v="7"/>
    <x v="0"/>
    <x v="3650"/>
    <x v="3694"/>
    <s v="Bank Transfer"/>
    <s v="TXN107694"/>
    <x v="0"/>
  </r>
  <r>
    <d v="2023-09-09T00:00:00"/>
    <x v="8"/>
    <x v="3"/>
    <x v="0"/>
    <x v="3651"/>
    <x v="3695"/>
    <s v="UPI"/>
    <s v="TXN109231"/>
    <x v="0"/>
  </r>
  <r>
    <d v="2023-09-09T00:00:00"/>
    <x v="8"/>
    <x v="4"/>
    <x v="3"/>
    <x v="3652"/>
    <x v="3696"/>
    <s v="UPI"/>
    <s v="TXN109315"/>
    <x v="0"/>
  </r>
  <r>
    <d v="2023-09-09T00:00:00"/>
    <x v="8"/>
    <x v="5"/>
    <x v="4"/>
    <x v="110"/>
    <x v="540"/>
    <s v="Card"/>
    <s v="REV100058"/>
    <x v="1"/>
  </r>
  <r>
    <d v="2023-09-09T00:00:00"/>
    <x v="8"/>
    <x v="6"/>
    <x v="0"/>
    <x v="440"/>
    <x v="744"/>
    <s v="Bank Transfer"/>
    <s v="REV100407"/>
    <x v="1"/>
  </r>
  <r>
    <d v="2023-09-09T00:00:00"/>
    <x v="8"/>
    <x v="6"/>
    <x v="1"/>
    <x v="1727"/>
    <x v="2352"/>
    <s v="Bank Transfer"/>
    <s v="REV100672"/>
    <x v="1"/>
  </r>
  <r>
    <d v="2023-09-09T00:00:00"/>
    <x v="8"/>
    <x v="5"/>
    <x v="2"/>
    <x v="992"/>
    <x v="1153"/>
    <s v="Bank Transfer"/>
    <s v="REV100810"/>
    <x v="1"/>
  </r>
  <r>
    <d v="2023-09-09T00:00:00"/>
    <x v="8"/>
    <x v="5"/>
    <x v="1"/>
    <x v="540"/>
    <x v="1049"/>
    <s v="Bank Transfer"/>
    <s v="REV101403"/>
    <x v="1"/>
  </r>
  <r>
    <d v="2023-09-09T00:00:00"/>
    <x v="8"/>
    <x v="5"/>
    <x v="1"/>
    <x v="3653"/>
    <x v="3164"/>
    <s v="Bank Transfer"/>
    <s v="REV101714"/>
    <x v="1"/>
  </r>
  <r>
    <d v="2023-09-09T00:00:00"/>
    <x v="8"/>
    <x v="5"/>
    <x v="2"/>
    <x v="1078"/>
    <x v="296"/>
    <s v="Card"/>
    <s v="REV101848"/>
    <x v="1"/>
  </r>
  <r>
    <d v="2023-09-09T00:00:00"/>
    <x v="8"/>
    <x v="6"/>
    <x v="1"/>
    <x v="3654"/>
    <x v="1793"/>
    <s v="Card"/>
    <s v="REV102035"/>
    <x v="1"/>
  </r>
  <r>
    <d v="2023-09-09T00:00:00"/>
    <x v="8"/>
    <x v="5"/>
    <x v="4"/>
    <x v="3655"/>
    <x v="956"/>
    <s v="Bank Transfer"/>
    <s v="REV102458"/>
    <x v="1"/>
  </r>
  <r>
    <d v="2023-09-09T00:00:00"/>
    <x v="8"/>
    <x v="6"/>
    <x v="1"/>
    <x v="762"/>
    <x v="3697"/>
    <s v="Card"/>
    <s v="REV102494"/>
    <x v="1"/>
  </r>
  <r>
    <d v="2023-09-09T00:00:00"/>
    <x v="8"/>
    <x v="6"/>
    <x v="0"/>
    <x v="49"/>
    <x v="152"/>
    <s v="Bank Transfer"/>
    <s v="REV102617"/>
    <x v="1"/>
  </r>
  <r>
    <d v="2023-09-09T00:00:00"/>
    <x v="8"/>
    <x v="6"/>
    <x v="0"/>
    <x v="3656"/>
    <x v="317"/>
    <s v="Card"/>
    <s v="REV103112"/>
    <x v="1"/>
  </r>
  <r>
    <d v="2023-09-09T00:00:00"/>
    <x v="8"/>
    <x v="5"/>
    <x v="3"/>
    <x v="3657"/>
    <x v="3698"/>
    <s v="Bank Transfer"/>
    <s v="REV103149"/>
    <x v="1"/>
  </r>
  <r>
    <d v="2023-09-10T00:00:00"/>
    <x v="8"/>
    <x v="3"/>
    <x v="2"/>
    <x v="3658"/>
    <x v="3699"/>
    <s v="Bank Transfer"/>
    <s v="TXN100857"/>
    <x v="0"/>
  </r>
  <r>
    <d v="2023-09-10T00:00:00"/>
    <x v="8"/>
    <x v="1"/>
    <x v="1"/>
    <x v="3659"/>
    <x v="3700"/>
    <s v="UPI"/>
    <s v="TXN101102"/>
    <x v="0"/>
  </r>
  <r>
    <d v="2023-09-10T00:00:00"/>
    <x v="8"/>
    <x v="3"/>
    <x v="2"/>
    <x v="3660"/>
    <x v="3701"/>
    <s v="Cash"/>
    <s v="TXN101822"/>
    <x v="0"/>
  </r>
  <r>
    <d v="2023-09-10T00:00:00"/>
    <x v="8"/>
    <x v="0"/>
    <x v="2"/>
    <x v="3661"/>
    <x v="3702"/>
    <s v="Bank Transfer"/>
    <s v="TXN102868"/>
    <x v="0"/>
  </r>
  <r>
    <d v="2023-09-10T00:00:00"/>
    <x v="8"/>
    <x v="4"/>
    <x v="2"/>
    <x v="3662"/>
    <x v="3703"/>
    <s v="Bank Transfer"/>
    <s v="TXN105630"/>
    <x v="0"/>
  </r>
  <r>
    <d v="2023-09-10T00:00:00"/>
    <x v="8"/>
    <x v="0"/>
    <x v="2"/>
    <x v="3663"/>
    <x v="3704"/>
    <s v="UPI"/>
    <s v="TXN108133"/>
    <x v="0"/>
  </r>
  <r>
    <d v="2023-09-10T00:00:00"/>
    <x v="8"/>
    <x v="2"/>
    <x v="2"/>
    <x v="3664"/>
    <x v="3705"/>
    <s v="Card"/>
    <s v="TXN108260"/>
    <x v="0"/>
  </r>
  <r>
    <d v="2023-09-10T00:00:00"/>
    <x v="8"/>
    <x v="7"/>
    <x v="2"/>
    <x v="3665"/>
    <x v="3706"/>
    <s v="Bank Transfer"/>
    <s v="TXN108366"/>
    <x v="0"/>
  </r>
  <r>
    <d v="2023-09-10T00:00:00"/>
    <x v="8"/>
    <x v="6"/>
    <x v="2"/>
    <x v="1837"/>
    <x v="1822"/>
    <s v="Card"/>
    <s v="REV100317"/>
    <x v="1"/>
  </r>
  <r>
    <d v="2023-09-10T00:00:00"/>
    <x v="8"/>
    <x v="5"/>
    <x v="1"/>
    <x v="3000"/>
    <x v="3707"/>
    <s v="Bank Transfer"/>
    <s v="REV100406"/>
    <x v="1"/>
  </r>
  <r>
    <d v="2023-09-10T00:00:00"/>
    <x v="8"/>
    <x v="5"/>
    <x v="2"/>
    <x v="3666"/>
    <x v="2878"/>
    <s v="Bank Transfer"/>
    <s v="REV100664"/>
    <x v="1"/>
  </r>
  <r>
    <d v="2023-09-10T00:00:00"/>
    <x v="8"/>
    <x v="6"/>
    <x v="2"/>
    <x v="3667"/>
    <x v="1566"/>
    <s v="Bank Transfer"/>
    <s v="REV101006"/>
    <x v="1"/>
  </r>
  <r>
    <d v="2023-09-10T00:00:00"/>
    <x v="8"/>
    <x v="5"/>
    <x v="2"/>
    <x v="3601"/>
    <x v="1106"/>
    <s v="Bank Transfer"/>
    <s v="REV101918"/>
    <x v="1"/>
  </r>
  <r>
    <d v="2023-09-10T00:00:00"/>
    <x v="8"/>
    <x v="5"/>
    <x v="2"/>
    <x v="1521"/>
    <x v="3708"/>
    <s v="Bank Transfer"/>
    <s v="REV102762"/>
    <x v="1"/>
  </r>
  <r>
    <d v="2023-09-10T00:00:00"/>
    <x v="8"/>
    <x v="5"/>
    <x v="2"/>
    <x v="1465"/>
    <x v="2307"/>
    <s v="Bank Transfer"/>
    <s v="REV102805"/>
    <x v="1"/>
  </r>
  <r>
    <d v="2023-09-10T00:00:00"/>
    <x v="8"/>
    <x v="5"/>
    <x v="2"/>
    <x v="2935"/>
    <x v="2265"/>
    <s v="Card"/>
    <s v="REV102847"/>
    <x v="1"/>
  </r>
  <r>
    <d v="2023-09-11T00:00:00"/>
    <x v="8"/>
    <x v="1"/>
    <x v="1"/>
    <x v="3668"/>
    <x v="3709"/>
    <s v="Bank Transfer"/>
    <s v="TXN100597"/>
    <x v="0"/>
  </r>
  <r>
    <d v="2023-09-11T00:00:00"/>
    <x v="8"/>
    <x v="0"/>
    <x v="0"/>
    <x v="3669"/>
    <x v="3710"/>
    <s v="Cash"/>
    <s v="TXN100608"/>
    <x v="0"/>
  </r>
  <r>
    <d v="2023-09-11T00:00:00"/>
    <x v="8"/>
    <x v="7"/>
    <x v="4"/>
    <x v="3670"/>
    <x v="3711"/>
    <s v="Card"/>
    <s v="TXN101190"/>
    <x v="0"/>
  </r>
  <r>
    <d v="2023-09-11T00:00:00"/>
    <x v="8"/>
    <x v="4"/>
    <x v="3"/>
    <x v="3671"/>
    <x v="3712"/>
    <s v="Cash"/>
    <s v="TXN101643"/>
    <x v="0"/>
  </r>
  <r>
    <d v="2023-09-11T00:00:00"/>
    <x v="8"/>
    <x v="0"/>
    <x v="3"/>
    <x v="3672"/>
    <x v="3713"/>
    <s v="UPI"/>
    <s v="TXN102160"/>
    <x v="0"/>
  </r>
  <r>
    <d v="2023-09-11T00:00:00"/>
    <x v="8"/>
    <x v="1"/>
    <x v="0"/>
    <x v="3673"/>
    <x v="3714"/>
    <s v="Card"/>
    <s v="TXN103985"/>
    <x v="0"/>
  </r>
  <r>
    <d v="2023-09-11T00:00:00"/>
    <x v="8"/>
    <x v="2"/>
    <x v="2"/>
    <x v="3674"/>
    <x v="3715"/>
    <s v="Bank Transfer"/>
    <s v="TXN104925"/>
    <x v="0"/>
  </r>
  <r>
    <d v="2023-09-11T00:00:00"/>
    <x v="8"/>
    <x v="2"/>
    <x v="0"/>
    <x v="3675"/>
    <x v="3716"/>
    <s v="Card"/>
    <s v="TXN105166"/>
    <x v="0"/>
  </r>
  <r>
    <d v="2023-09-11T00:00:00"/>
    <x v="8"/>
    <x v="4"/>
    <x v="0"/>
    <x v="3676"/>
    <x v="3717"/>
    <s v="Cash"/>
    <s v="TXN106927"/>
    <x v="0"/>
  </r>
  <r>
    <d v="2023-09-11T00:00:00"/>
    <x v="8"/>
    <x v="7"/>
    <x v="3"/>
    <x v="3677"/>
    <x v="3718"/>
    <s v="Bank Transfer"/>
    <s v="TXN108777"/>
    <x v="0"/>
  </r>
  <r>
    <d v="2023-09-11T00:00:00"/>
    <x v="8"/>
    <x v="7"/>
    <x v="3"/>
    <x v="3678"/>
    <x v="3719"/>
    <s v="Cash"/>
    <s v="TXN108828"/>
    <x v="0"/>
  </r>
  <r>
    <d v="2023-09-11T00:00:00"/>
    <x v="8"/>
    <x v="3"/>
    <x v="2"/>
    <x v="3679"/>
    <x v="3720"/>
    <s v="Bank Transfer"/>
    <s v="TXN109632"/>
    <x v="0"/>
  </r>
  <r>
    <d v="2023-09-11T00:00:00"/>
    <x v="8"/>
    <x v="5"/>
    <x v="1"/>
    <x v="2305"/>
    <x v="358"/>
    <s v="Card"/>
    <s v="REV100231"/>
    <x v="1"/>
  </r>
  <r>
    <d v="2023-09-11T00:00:00"/>
    <x v="8"/>
    <x v="6"/>
    <x v="0"/>
    <x v="787"/>
    <x v="635"/>
    <s v="Bank Transfer"/>
    <s v="REV100237"/>
    <x v="1"/>
  </r>
  <r>
    <d v="2023-09-11T00:00:00"/>
    <x v="8"/>
    <x v="6"/>
    <x v="4"/>
    <x v="3680"/>
    <x v="953"/>
    <s v="Bank Transfer"/>
    <s v="REV100439"/>
    <x v="1"/>
  </r>
  <r>
    <d v="2023-09-11T00:00:00"/>
    <x v="8"/>
    <x v="6"/>
    <x v="3"/>
    <x v="261"/>
    <x v="3721"/>
    <s v="Bank Transfer"/>
    <s v="REV100606"/>
    <x v="1"/>
  </r>
  <r>
    <d v="2023-09-11T00:00:00"/>
    <x v="8"/>
    <x v="5"/>
    <x v="3"/>
    <x v="1323"/>
    <x v="925"/>
    <s v="Card"/>
    <s v="REV100768"/>
    <x v="1"/>
  </r>
  <r>
    <d v="2023-09-11T00:00:00"/>
    <x v="8"/>
    <x v="5"/>
    <x v="0"/>
    <x v="286"/>
    <x v="394"/>
    <s v="Bank Transfer"/>
    <s v="REV101381"/>
    <x v="1"/>
  </r>
  <r>
    <d v="2023-09-11T00:00:00"/>
    <x v="8"/>
    <x v="5"/>
    <x v="2"/>
    <x v="3681"/>
    <x v="791"/>
    <s v="Bank Transfer"/>
    <s v="REV101679"/>
    <x v="1"/>
  </r>
  <r>
    <d v="2023-09-11T00:00:00"/>
    <x v="8"/>
    <x v="6"/>
    <x v="0"/>
    <x v="3682"/>
    <x v="1112"/>
    <s v="Bank Transfer"/>
    <s v="REV101750"/>
    <x v="1"/>
  </r>
  <r>
    <d v="2023-09-11T00:00:00"/>
    <x v="8"/>
    <x v="5"/>
    <x v="0"/>
    <x v="3409"/>
    <x v="1658"/>
    <s v="Bank Transfer"/>
    <s v="REV102356"/>
    <x v="1"/>
  </r>
  <r>
    <d v="2023-09-11T00:00:00"/>
    <x v="8"/>
    <x v="5"/>
    <x v="3"/>
    <x v="3478"/>
    <x v="1265"/>
    <s v="Bank Transfer"/>
    <s v="REV102981"/>
    <x v="1"/>
  </r>
  <r>
    <d v="2023-09-11T00:00:00"/>
    <x v="8"/>
    <x v="6"/>
    <x v="3"/>
    <x v="3683"/>
    <x v="3722"/>
    <s v="Card"/>
    <s v="REV102991"/>
    <x v="1"/>
  </r>
  <r>
    <d v="2023-09-11T00:00:00"/>
    <x v="8"/>
    <x v="5"/>
    <x v="2"/>
    <x v="3479"/>
    <x v="1373"/>
    <s v="Bank Transfer"/>
    <s v="REV103260"/>
    <x v="1"/>
  </r>
  <r>
    <d v="2023-09-12T00:00:00"/>
    <x v="8"/>
    <x v="4"/>
    <x v="0"/>
    <x v="3684"/>
    <x v="3723"/>
    <s v="UPI"/>
    <s v="TXN100840"/>
    <x v="0"/>
  </r>
  <r>
    <d v="2023-09-12T00:00:00"/>
    <x v="8"/>
    <x v="4"/>
    <x v="2"/>
    <x v="3685"/>
    <x v="3724"/>
    <s v="Card"/>
    <s v="TXN101312"/>
    <x v="0"/>
  </r>
  <r>
    <d v="2023-09-12T00:00:00"/>
    <x v="8"/>
    <x v="2"/>
    <x v="3"/>
    <x v="3686"/>
    <x v="3725"/>
    <s v="Cash"/>
    <s v="TXN101966"/>
    <x v="0"/>
  </r>
  <r>
    <d v="2023-09-12T00:00:00"/>
    <x v="8"/>
    <x v="0"/>
    <x v="4"/>
    <x v="3687"/>
    <x v="3726"/>
    <s v="Cash"/>
    <s v="TXN102129"/>
    <x v="0"/>
  </r>
  <r>
    <d v="2023-09-12T00:00:00"/>
    <x v="8"/>
    <x v="4"/>
    <x v="2"/>
    <x v="3688"/>
    <x v="3727"/>
    <s v="Cash"/>
    <s v="TXN103973"/>
    <x v="0"/>
  </r>
  <r>
    <d v="2023-09-12T00:00:00"/>
    <x v="8"/>
    <x v="7"/>
    <x v="2"/>
    <x v="3689"/>
    <x v="3728"/>
    <s v="Card"/>
    <s v="TXN105046"/>
    <x v="0"/>
  </r>
  <r>
    <d v="2023-09-12T00:00:00"/>
    <x v="8"/>
    <x v="0"/>
    <x v="2"/>
    <x v="3690"/>
    <x v="3729"/>
    <s v="Card"/>
    <s v="TXN106131"/>
    <x v="0"/>
  </r>
  <r>
    <d v="2023-09-12T00:00:00"/>
    <x v="8"/>
    <x v="1"/>
    <x v="1"/>
    <x v="3691"/>
    <x v="3730"/>
    <s v="Cash"/>
    <s v="TXN107393"/>
    <x v="0"/>
  </r>
  <r>
    <d v="2023-09-12T00:00:00"/>
    <x v="8"/>
    <x v="3"/>
    <x v="3"/>
    <x v="3692"/>
    <x v="3731"/>
    <s v="Bank Transfer"/>
    <s v="TXN107915"/>
    <x v="0"/>
  </r>
  <r>
    <d v="2023-09-12T00:00:00"/>
    <x v="8"/>
    <x v="7"/>
    <x v="3"/>
    <x v="3693"/>
    <x v="3732"/>
    <s v="Cash"/>
    <s v="TXN109491"/>
    <x v="0"/>
  </r>
  <r>
    <d v="2023-09-12T00:00:00"/>
    <x v="8"/>
    <x v="1"/>
    <x v="0"/>
    <x v="3694"/>
    <x v="3733"/>
    <s v="Card"/>
    <s v="TXN109844"/>
    <x v="0"/>
  </r>
  <r>
    <d v="2023-09-12T00:00:00"/>
    <x v="8"/>
    <x v="5"/>
    <x v="0"/>
    <x v="3695"/>
    <x v="3734"/>
    <s v="UPI"/>
    <s v="REV100306"/>
    <x v="1"/>
  </r>
  <r>
    <d v="2023-09-12T00:00:00"/>
    <x v="8"/>
    <x v="5"/>
    <x v="2"/>
    <x v="55"/>
    <x v="590"/>
    <s v="Card"/>
    <s v="REV100485"/>
    <x v="1"/>
  </r>
  <r>
    <d v="2023-09-12T00:00:00"/>
    <x v="8"/>
    <x v="5"/>
    <x v="3"/>
    <x v="759"/>
    <x v="2227"/>
    <s v="Bank Transfer"/>
    <s v="REV100704"/>
    <x v="1"/>
  </r>
  <r>
    <d v="2023-09-12T00:00:00"/>
    <x v="8"/>
    <x v="5"/>
    <x v="4"/>
    <x v="616"/>
    <x v="2086"/>
    <s v="Card"/>
    <s v="REV100758"/>
    <x v="1"/>
  </r>
  <r>
    <d v="2023-09-12T00:00:00"/>
    <x v="8"/>
    <x v="6"/>
    <x v="2"/>
    <x v="3637"/>
    <x v="3735"/>
    <s v="Bank Transfer"/>
    <s v="REV101373"/>
    <x v="1"/>
  </r>
  <r>
    <d v="2023-09-12T00:00:00"/>
    <x v="8"/>
    <x v="6"/>
    <x v="2"/>
    <x v="237"/>
    <x v="3736"/>
    <s v="Bank Transfer"/>
    <s v="REV101717"/>
    <x v="1"/>
  </r>
  <r>
    <d v="2023-09-12T00:00:00"/>
    <x v="8"/>
    <x v="6"/>
    <x v="2"/>
    <x v="240"/>
    <x v="97"/>
    <s v="Bank Transfer"/>
    <s v="REV102067"/>
    <x v="1"/>
  </r>
  <r>
    <d v="2023-09-12T00:00:00"/>
    <x v="8"/>
    <x v="5"/>
    <x v="1"/>
    <x v="1306"/>
    <x v="1388"/>
    <s v="Card"/>
    <s v="REV102512"/>
    <x v="1"/>
  </r>
  <r>
    <d v="2023-09-12T00:00:00"/>
    <x v="8"/>
    <x v="5"/>
    <x v="3"/>
    <x v="2277"/>
    <x v="2414"/>
    <s v="Bank Transfer"/>
    <s v="REV102688"/>
    <x v="1"/>
  </r>
  <r>
    <d v="2023-09-12T00:00:00"/>
    <x v="8"/>
    <x v="5"/>
    <x v="3"/>
    <x v="2049"/>
    <x v="3737"/>
    <s v="Bank Transfer"/>
    <s v="REV103205"/>
    <x v="1"/>
  </r>
  <r>
    <d v="2023-09-12T00:00:00"/>
    <x v="8"/>
    <x v="5"/>
    <x v="0"/>
    <x v="1065"/>
    <x v="1046"/>
    <s v="Card"/>
    <s v="REV103332"/>
    <x v="1"/>
  </r>
  <r>
    <d v="2023-09-13T00:00:00"/>
    <x v="8"/>
    <x v="2"/>
    <x v="1"/>
    <x v="3696"/>
    <x v="3738"/>
    <s v="Cash"/>
    <s v="TXN101100"/>
    <x v="0"/>
  </r>
  <r>
    <d v="2023-09-13T00:00:00"/>
    <x v="8"/>
    <x v="4"/>
    <x v="0"/>
    <x v="3697"/>
    <x v="3739"/>
    <s v="UPI"/>
    <s v="TXN102297"/>
    <x v="0"/>
  </r>
  <r>
    <d v="2023-09-13T00:00:00"/>
    <x v="8"/>
    <x v="4"/>
    <x v="0"/>
    <x v="3698"/>
    <x v="3740"/>
    <s v="UPI"/>
    <s v="TXN102520"/>
    <x v="0"/>
  </r>
  <r>
    <d v="2023-09-13T00:00:00"/>
    <x v="8"/>
    <x v="1"/>
    <x v="4"/>
    <x v="3699"/>
    <x v="3741"/>
    <s v="Cash"/>
    <s v="TXN103693"/>
    <x v="0"/>
  </r>
  <r>
    <d v="2023-09-13T00:00:00"/>
    <x v="8"/>
    <x v="3"/>
    <x v="4"/>
    <x v="3700"/>
    <x v="3742"/>
    <s v="UPI"/>
    <s v="TXN104068"/>
    <x v="0"/>
  </r>
  <r>
    <d v="2023-09-13T00:00:00"/>
    <x v="8"/>
    <x v="7"/>
    <x v="4"/>
    <x v="3701"/>
    <x v="3743"/>
    <s v="Cash"/>
    <s v="TXN105148"/>
    <x v="0"/>
  </r>
  <r>
    <d v="2023-09-13T00:00:00"/>
    <x v="8"/>
    <x v="0"/>
    <x v="1"/>
    <x v="3702"/>
    <x v="3744"/>
    <s v="UPI"/>
    <s v="TXN105437"/>
    <x v="0"/>
  </r>
  <r>
    <d v="2023-09-13T00:00:00"/>
    <x v="8"/>
    <x v="0"/>
    <x v="1"/>
    <x v="3702"/>
    <x v="3744"/>
    <s v="UPI"/>
    <s v="TXN105437"/>
    <x v="0"/>
  </r>
  <r>
    <d v="2023-09-13T00:00:00"/>
    <x v="8"/>
    <x v="2"/>
    <x v="3"/>
    <x v="3703"/>
    <x v="3745"/>
    <s v="UPI"/>
    <s v="TXN106191"/>
    <x v="0"/>
  </r>
  <r>
    <d v="2023-09-13T00:00:00"/>
    <x v="8"/>
    <x v="3"/>
    <x v="4"/>
    <x v="3704"/>
    <x v="3746"/>
    <s v="UPI"/>
    <s v="TXN107628"/>
    <x v="0"/>
  </r>
  <r>
    <d v="2023-09-13T00:00:00"/>
    <x v="8"/>
    <x v="7"/>
    <x v="3"/>
    <x v="3705"/>
    <x v="3747"/>
    <s v="Cash"/>
    <s v="TXN108014"/>
    <x v="0"/>
  </r>
  <r>
    <d v="2023-09-13T00:00:00"/>
    <x v="8"/>
    <x v="4"/>
    <x v="2"/>
    <x v="3706"/>
    <x v="3748"/>
    <s v="Bank Transfer"/>
    <s v="TXN108197"/>
    <x v="0"/>
  </r>
  <r>
    <d v="2023-09-13T00:00:00"/>
    <x v="8"/>
    <x v="2"/>
    <x v="2"/>
    <x v="3707"/>
    <x v="3749"/>
    <s v="UPI"/>
    <s v="TXN108578"/>
    <x v="0"/>
  </r>
  <r>
    <d v="2023-09-13T00:00:00"/>
    <x v="8"/>
    <x v="0"/>
    <x v="1"/>
    <x v="3708"/>
    <x v="3750"/>
    <s v="Bank Transfer"/>
    <s v="TXN108916"/>
    <x v="0"/>
  </r>
  <r>
    <d v="2023-09-13T00:00:00"/>
    <x v="8"/>
    <x v="3"/>
    <x v="2"/>
    <x v="3709"/>
    <x v="3751"/>
    <s v="UPI"/>
    <s v="TXN109989"/>
    <x v="0"/>
  </r>
  <r>
    <d v="2023-09-13T00:00:00"/>
    <x v="8"/>
    <x v="6"/>
    <x v="1"/>
    <x v="1804"/>
    <x v="1774"/>
    <s v="Bank Transfer"/>
    <s v="REV100405"/>
    <x v="1"/>
  </r>
  <r>
    <d v="2023-09-13T00:00:00"/>
    <x v="8"/>
    <x v="5"/>
    <x v="0"/>
    <x v="3710"/>
    <x v="3305"/>
    <s v="Bank Transfer"/>
    <s v="REV100811"/>
    <x v="1"/>
  </r>
  <r>
    <d v="2023-09-13T00:00:00"/>
    <x v="8"/>
    <x v="6"/>
    <x v="0"/>
    <x v="969"/>
    <x v="516"/>
    <s v="Bank Transfer"/>
    <s v="REV100882"/>
    <x v="1"/>
  </r>
  <r>
    <d v="2023-09-13T00:00:00"/>
    <x v="8"/>
    <x v="6"/>
    <x v="4"/>
    <x v="3424"/>
    <x v="2753"/>
    <s v="Bank Transfer"/>
    <s v="REV101267"/>
    <x v="1"/>
  </r>
  <r>
    <d v="2023-09-13T00:00:00"/>
    <x v="8"/>
    <x v="5"/>
    <x v="4"/>
    <x v="2660"/>
    <x v="2537"/>
    <s v="UPI"/>
    <s v="REV101405"/>
    <x v="1"/>
  </r>
  <r>
    <d v="2023-09-13T00:00:00"/>
    <x v="8"/>
    <x v="6"/>
    <x v="4"/>
    <x v="513"/>
    <x v="1281"/>
    <s v="Bank Transfer"/>
    <s v="REV101746"/>
    <x v="1"/>
  </r>
  <r>
    <d v="2023-09-13T00:00:00"/>
    <x v="8"/>
    <x v="6"/>
    <x v="1"/>
    <x v="760"/>
    <x v="898"/>
    <s v="Bank Transfer"/>
    <s v="REV101851"/>
    <x v="1"/>
  </r>
  <r>
    <d v="2023-09-13T00:00:00"/>
    <x v="8"/>
    <x v="5"/>
    <x v="3"/>
    <x v="357"/>
    <x v="401"/>
    <s v="Bank Transfer"/>
    <s v="REV102086"/>
    <x v="1"/>
  </r>
  <r>
    <d v="2023-09-13T00:00:00"/>
    <x v="8"/>
    <x v="6"/>
    <x v="4"/>
    <x v="1747"/>
    <x v="2281"/>
    <s v="Bank Transfer"/>
    <s v="REV102591"/>
    <x v="1"/>
  </r>
  <r>
    <d v="2023-09-13T00:00:00"/>
    <x v="8"/>
    <x v="5"/>
    <x v="3"/>
    <x v="2050"/>
    <x v="3752"/>
    <s v="Card"/>
    <s v="REV102723"/>
    <x v="1"/>
  </r>
  <r>
    <d v="2023-09-13T00:00:00"/>
    <x v="8"/>
    <x v="5"/>
    <x v="2"/>
    <x v="604"/>
    <x v="594"/>
    <s v="Bank Transfer"/>
    <s v="REV102784"/>
    <x v="1"/>
  </r>
  <r>
    <d v="2023-09-13T00:00:00"/>
    <x v="8"/>
    <x v="5"/>
    <x v="2"/>
    <x v="206"/>
    <x v="2813"/>
    <s v="Card"/>
    <s v="REV102912"/>
    <x v="1"/>
  </r>
  <r>
    <d v="2023-09-13T00:00:00"/>
    <x v="8"/>
    <x v="5"/>
    <x v="1"/>
    <x v="3711"/>
    <x v="1602"/>
    <s v="UPI"/>
    <s v="REV103019"/>
    <x v="1"/>
  </r>
  <r>
    <d v="2023-09-13T00:00:00"/>
    <x v="8"/>
    <x v="6"/>
    <x v="2"/>
    <x v="12"/>
    <x v="3753"/>
    <s v="Card"/>
    <s v="REV103382"/>
    <x v="1"/>
  </r>
  <r>
    <d v="2023-09-13T00:00:00"/>
    <x v="8"/>
    <x v="5"/>
    <x v="1"/>
    <x v="541"/>
    <x v="2107"/>
    <s v="Bank Transfer"/>
    <s v="REV103386"/>
    <x v="1"/>
  </r>
  <r>
    <d v="2023-09-14T00:00:00"/>
    <x v="8"/>
    <x v="7"/>
    <x v="2"/>
    <x v="3712"/>
    <x v="3754"/>
    <s v="UPI"/>
    <s v="TXN101539"/>
    <x v="0"/>
  </r>
  <r>
    <d v="2023-09-14T00:00:00"/>
    <x v="8"/>
    <x v="7"/>
    <x v="1"/>
    <x v="3713"/>
    <x v="3755"/>
    <s v="Cash"/>
    <s v="TXN104439"/>
    <x v="0"/>
  </r>
  <r>
    <d v="2023-09-14T00:00:00"/>
    <x v="8"/>
    <x v="1"/>
    <x v="2"/>
    <x v="599"/>
    <x v="3756"/>
    <s v="Card"/>
    <s v="TXN107171"/>
    <x v="0"/>
  </r>
  <r>
    <d v="2023-09-14T00:00:00"/>
    <x v="8"/>
    <x v="3"/>
    <x v="4"/>
    <x v="3714"/>
    <x v="3757"/>
    <s v="Cash"/>
    <s v="TXN107646"/>
    <x v="0"/>
  </r>
  <r>
    <d v="2023-09-14T00:00:00"/>
    <x v="8"/>
    <x v="2"/>
    <x v="3"/>
    <x v="3715"/>
    <x v="3758"/>
    <s v="UPI"/>
    <s v="TXN107776"/>
    <x v="0"/>
  </r>
  <r>
    <d v="2023-09-14T00:00:00"/>
    <x v="8"/>
    <x v="0"/>
    <x v="4"/>
    <x v="3716"/>
    <x v="1608"/>
    <s v="Bank Transfer"/>
    <s v="TXN108447"/>
    <x v="0"/>
  </r>
  <r>
    <d v="2023-09-14T00:00:00"/>
    <x v="8"/>
    <x v="7"/>
    <x v="3"/>
    <x v="3717"/>
    <x v="3759"/>
    <s v="Card"/>
    <s v="TXN109899"/>
    <x v="0"/>
  </r>
  <r>
    <d v="2023-09-14T00:00:00"/>
    <x v="8"/>
    <x v="6"/>
    <x v="2"/>
    <x v="1386"/>
    <x v="287"/>
    <s v="UPI"/>
    <s v="REV100563"/>
    <x v="1"/>
  </r>
  <r>
    <d v="2023-09-14T00:00:00"/>
    <x v="8"/>
    <x v="5"/>
    <x v="1"/>
    <x v="1102"/>
    <x v="344"/>
    <s v="UPI"/>
    <s v="REV101528"/>
    <x v="1"/>
  </r>
  <r>
    <d v="2023-09-14T00:00:00"/>
    <x v="8"/>
    <x v="6"/>
    <x v="2"/>
    <x v="3049"/>
    <x v="1674"/>
    <s v="Bank Transfer"/>
    <s v="REV102431"/>
    <x v="1"/>
  </r>
  <r>
    <d v="2023-09-14T00:00:00"/>
    <x v="8"/>
    <x v="6"/>
    <x v="4"/>
    <x v="738"/>
    <x v="3752"/>
    <s v="Card"/>
    <s v="REV102598"/>
    <x v="1"/>
  </r>
  <r>
    <d v="2023-09-14T00:00:00"/>
    <x v="8"/>
    <x v="5"/>
    <x v="3"/>
    <x v="1988"/>
    <x v="3760"/>
    <s v="Bank Transfer"/>
    <s v="REV102644"/>
    <x v="1"/>
  </r>
  <r>
    <d v="2023-09-14T00:00:00"/>
    <x v="8"/>
    <x v="5"/>
    <x v="4"/>
    <x v="868"/>
    <x v="62"/>
    <s v="Card"/>
    <s v="REV102864"/>
    <x v="1"/>
  </r>
  <r>
    <d v="2023-09-14T00:00:00"/>
    <x v="8"/>
    <x v="5"/>
    <x v="3"/>
    <x v="3718"/>
    <x v="3761"/>
    <s v="Card"/>
    <s v="REV103349"/>
    <x v="1"/>
  </r>
  <r>
    <d v="2023-09-15T00:00:00"/>
    <x v="8"/>
    <x v="0"/>
    <x v="4"/>
    <x v="3719"/>
    <x v="3762"/>
    <s v="UPI"/>
    <s v="TXN100919"/>
    <x v="0"/>
  </r>
  <r>
    <d v="2023-09-15T00:00:00"/>
    <x v="8"/>
    <x v="2"/>
    <x v="0"/>
    <x v="1327"/>
    <x v="3763"/>
    <s v="Cash"/>
    <s v="TXN101183"/>
    <x v="0"/>
  </r>
  <r>
    <d v="2023-09-15T00:00:00"/>
    <x v="8"/>
    <x v="7"/>
    <x v="0"/>
    <x v="3720"/>
    <x v="3764"/>
    <s v="Cash"/>
    <s v="TXN101669"/>
    <x v="0"/>
  </r>
  <r>
    <d v="2023-09-15T00:00:00"/>
    <x v="8"/>
    <x v="0"/>
    <x v="4"/>
    <x v="3721"/>
    <x v="3765"/>
    <s v="Card"/>
    <s v="TXN102391"/>
    <x v="0"/>
  </r>
  <r>
    <d v="2023-09-15T00:00:00"/>
    <x v="8"/>
    <x v="1"/>
    <x v="4"/>
    <x v="3722"/>
    <x v="3766"/>
    <s v="Card"/>
    <s v="TXN102484"/>
    <x v="0"/>
  </r>
  <r>
    <d v="2023-09-15T00:00:00"/>
    <x v="8"/>
    <x v="3"/>
    <x v="0"/>
    <x v="3723"/>
    <x v="3767"/>
    <s v="Card"/>
    <s v="TXN103328"/>
    <x v="0"/>
  </r>
  <r>
    <d v="2023-09-15T00:00:00"/>
    <x v="8"/>
    <x v="4"/>
    <x v="1"/>
    <x v="3724"/>
    <x v="3768"/>
    <s v="Bank Transfer"/>
    <s v="TXN105062"/>
    <x v="0"/>
  </r>
  <r>
    <d v="2023-09-15T00:00:00"/>
    <x v="8"/>
    <x v="4"/>
    <x v="3"/>
    <x v="3725"/>
    <x v="3769"/>
    <s v="Cash"/>
    <s v="TXN105193"/>
    <x v="0"/>
  </r>
  <r>
    <d v="2023-09-15T00:00:00"/>
    <x v="8"/>
    <x v="3"/>
    <x v="0"/>
    <x v="3726"/>
    <x v="812"/>
    <s v="Cash"/>
    <s v="TXN105876"/>
    <x v="0"/>
  </r>
  <r>
    <d v="2023-09-15T00:00:00"/>
    <x v="8"/>
    <x v="2"/>
    <x v="3"/>
    <x v="3727"/>
    <x v="3770"/>
    <s v="Cash"/>
    <s v="TXN105987"/>
    <x v="0"/>
  </r>
  <r>
    <d v="2023-09-15T00:00:00"/>
    <x v="8"/>
    <x v="0"/>
    <x v="0"/>
    <x v="3728"/>
    <x v="3771"/>
    <s v="Cash"/>
    <s v="TXN106249"/>
    <x v="0"/>
  </r>
  <r>
    <d v="2023-09-15T00:00:00"/>
    <x v="8"/>
    <x v="3"/>
    <x v="1"/>
    <x v="3729"/>
    <x v="3772"/>
    <s v="UPI"/>
    <s v="TXN107484"/>
    <x v="0"/>
  </r>
  <r>
    <d v="2023-09-15T00:00:00"/>
    <x v="8"/>
    <x v="2"/>
    <x v="2"/>
    <x v="3730"/>
    <x v="3773"/>
    <s v="Bank Transfer"/>
    <s v="TXN107721"/>
    <x v="0"/>
  </r>
  <r>
    <d v="2023-09-15T00:00:00"/>
    <x v="8"/>
    <x v="4"/>
    <x v="4"/>
    <x v="3731"/>
    <x v="3774"/>
    <s v="UPI"/>
    <s v="TXN109293"/>
    <x v="0"/>
  </r>
  <r>
    <d v="2023-09-15T00:00:00"/>
    <x v="8"/>
    <x v="6"/>
    <x v="4"/>
    <x v="3732"/>
    <x v="3775"/>
    <s v="Card"/>
    <s v="REV100337"/>
    <x v="1"/>
  </r>
  <r>
    <d v="2023-09-15T00:00:00"/>
    <x v="8"/>
    <x v="5"/>
    <x v="0"/>
    <x v="2261"/>
    <x v="2802"/>
    <s v="Card"/>
    <s v="REV100435"/>
    <x v="1"/>
  </r>
  <r>
    <d v="2023-09-15T00:00:00"/>
    <x v="8"/>
    <x v="5"/>
    <x v="0"/>
    <x v="2898"/>
    <x v="35"/>
    <s v="Card"/>
    <s v="REV100614"/>
    <x v="1"/>
  </r>
  <r>
    <d v="2023-09-15T00:00:00"/>
    <x v="8"/>
    <x v="5"/>
    <x v="4"/>
    <x v="392"/>
    <x v="3776"/>
    <s v="Bank Transfer"/>
    <s v="REV100843"/>
    <x v="1"/>
  </r>
  <r>
    <d v="2023-09-15T00:00:00"/>
    <x v="8"/>
    <x v="5"/>
    <x v="4"/>
    <x v="680"/>
    <x v="3421"/>
    <s v="Card"/>
    <s v="REV100873"/>
    <x v="1"/>
  </r>
  <r>
    <d v="2023-09-15T00:00:00"/>
    <x v="8"/>
    <x v="6"/>
    <x v="0"/>
    <x v="138"/>
    <x v="2567"/>
    <s v="Bank Transfer"/>
    <s v="REV101141"/>
    <x v="1"/>
  </r>
  <r>
    <d v="2023-09-15T00:00:00"/>
    <x v="8"/>
    <x v="5"/>
    <x v="1"/>
    <x v="3733"/>
    <x v="3777"/>
    <s v="UPI"/>
    <s v="REV101725"/>
    <x v="1"/>
  </r>
  <r>
    <d v="2023-09-15T00:00:00"/>
    <x v="8"/>
    <x v="6"/>
    <x v="3"/>
    <x v="81"/>
    <x v="3778"/>
    <s v="UPI"/>
    <s v="REV101759"/>
    <x v="1"/>
  </r>
  <r>
    <d v="2023-09-15T00:00:00"/>
    <x v="8"/>
    <x v="6"/>
    <x v="0"/>
    <x v="585"/>
    <x v="443"/>
    <s v="Bank Transfer"/>
    <s v="REV101984"/>
    <x v="1"/>
  </r>
  <r>
    <d v="2023-09-15T00:00:00"/>
    <x v="8"/>
    <x v="6"/>
    <x v="3"/>
    <x v="3226"/>
    <x v="286"/>
    <s v="Card"/>
    <s v="REV102020"/>
    <x v="1"/>
  </r>
  <r>
    <d v="2023-09-15T00:00:00"/>
    <x v="8"/>
    <x v="6"/>
    <x v="0"/>
    <x v="435"/>
    <x v="3779"/>
    <s v="Bank Transfer"/>
    <s v="REV102102"/>
    <x v="1"/>
  </r>
  <r>
    <d v="2023-09-15T00:00:00"/>
    <x v="8"/>
    <x v="5"/>
    <x v="1"/>
    <x v="3514"/>
    <x v="3442"/>
    <s v="UPI"/>
    <s v="REV102535"/>
    <x v="1"/>
  </r>
  <r>
    <d v="2023-09-15T00:00:00"/>
    <x v="8"/>
    <x v="5"/>
    <x v="2"/>
    <x v="942"/>
    <x v="793"/>
    <s v="Bank Transfer"/>
    <s v="REV102628"/>
    <x v="1"/>
  </r>
  <r>
    <d v="2023-09-15T00:00:00"/>
    <x v="8"/>
    <x v="5"/>
    <x v="4"/>
    <x v="3181"/>
    <x v="2800"/>
    <s v="Bank Transfer"/>
    <s v="REV103141"/>
    <x v="1"/>
  </r>
  <r>
    <d v="2023-09-16T00:00:00"/>
    <x v="8"/>
    <x v="1"/>
    <x v="3"/>
    <x v="3734"/>
    <x v="3780"/>
    <s v="Bank Transfer"/>
    <s v="TXN101253"/>
    <x v="0"/>
  </r>
  <r>
    <d v="2023-09-16T00:00:00"/>
    <x v="8"/>
    <x v="3"/>
    <x v="3"/>
    <x v="3735"/>
    <x v="3781"/>
    <s v="Cash"/>
    <s v="TXN101298"/>
    <x v="0"/>
  </r>
  <r>
    <d v="2023-09-16T00:00:00"/>
    <x v="8"/>
    <x v="1"/>
    <x v="4"/>
    <x v="3736"/>
    <x v="3782"/>
    <s v="Card"/>
    <s v="TXN101804"/>
    <x v="0"/>
  </r>
  <r>
    <d v="2023-09-16T00:00:00"/>
    <x v="8"/>
    <x v="1"/>
    <x v="4"/>
    <x v="3737"/>
    <x v="3783"/>
    <s v="Card"/>
    <s v="TXN104281"/>
    <x v="0"/>
  </r>
  <r>
    <d v="2023-09-16T00:00:00"/>
    <x v="8"/>
    <x v="0"/>
    <x v="4"/>
    <x v="3738"/>
    <x v="3784"/>
    <s v="Cash"/>
    <s v="TXN105034"/>
    <x v="0"/>
  </r>
  <r>
    <d v="2023-09-16T00:00:00"/>
    <x v="8"/>
    <x v="1"/>
    <x v="4"/>
    <x v="3739"/>
    <x v="3785"/>
    <s v="Cash"/>
    <s v="TXN105709"/>
    <x v="0"/>
  </r>
  <r>
    <d v="2023-09-16T00:00:00"/>
    <x v="8"/>
    <x v="1"/>
    <x v="0"/>
    <x v="3740"/>
    <x v="3786"/>
    <s v="Bank Transfer"/>
    <s v="TXN106912"/>
    <x v="0"/>
  </r>
  <r>
    <d v="2023-09-16T00:00:00"/>
    <x v="8"/>
    <x v="2"/>
    <x v="0"/>
    <x v="3741"/>
    <x v="3787"/>
    <s v="UPI"/>
    <s v="TXN107513"/>
    <x v="0"/>
  </r>
  <r>
    <d v="2023-09-16T00:00:00"/>
    <x v="8"/>
    <x v="2"/>
    <x v="1"/>
    <x v="3742"/>
    <x v="3788"/>
    <s v="Card"/>
    <s v="TXN107884"/>
    <x v="0"/>
  </r>
  <r>
    <d v="2023-09-16T00:00:00"/>
    <x v="8"/>
    <x v="7"/>
    <x v="4"/>
    <x v="3743"/>
    <x v="3789"/>
    <s v="UPI"/>
    <s v="TXN108178"/>
    <x v="0"/>
  </r>
  <r>
    <d v="2023-09-16T00:00:00"/>
    <x v="8"/>
    <x v="2"/>
    <x v="3"/>
    <x v="3744"/>
    <x v="3790"/>
    <s v="Bank Transfer"/>
    <s v="TXN108572"/>
    <x v="0"/>
  </r>
  <r>
    <d v="2023-09-16T00:00:00"/>
    <x v="8"/>
    <x v="3"/>
    <x v="4"/>
    <x v="3745"/>
    <x v="3791"/>
    <s v="Bank Transfer"/>
    <s v="TXN109166"/>
    <x v="0"/>
  </r>
  <r>
    <d v="2023-09-16T00:00:00"/>
    <x v="8"/>
    <x v="5"/>
    <x v="3"/>
    <x v="1965"/>
    <x v="1547"/>
    <s v="Bank Transfer"/>
    <s v="REV100457"/>
    <x v="1"/>
  </r>
  <r>
    <d v="2023-09-16T00:00:00"/>
    <x v="8"/>
    <x v="6"/>
    <x v="3"/>
    <x v="3746"/>
    <x v="925"/>
    <s v="Bank Transfer"/>
    <s v="REV100478"/>
    <x v="1"/>
  </r>
  <r>
    <d v="2023-09-16T00:00:00"/>
    <x v="8"/>
    <x v="5"/>
    <x v="4"/>
    <x v="3512"/>
    <x v="3095"/>
    <s v="UPI"/>
    <s v="REV100659"/>
    <x v="1"/>
  </r>
  <r>
    <d v="2023-09-16T00:00:00"/>
    <x v="8"/>
    <x v="5"/>
    <x v="4"/>
    <x v="378"/>
    <x v="3792"/>
    <s v="UPI"/>
    <s v="REV101489"/>
    <x v="1"/>
  </r>
  <r>
    <d v="2023-09-16T00:00:00"/>
    <x v="8"/>
    <x v="5"/>
    <x v="4"/>
    <x v="3049"/>
    <x v="2700"/>
    <s v="Bank Transfer"/>
    <s v="REV101716"/>
    <x v="1"/>
  </r>
  <r>
    <d v="2023-09-16T00:00:00"/>
    <x v="8"/>
    <x v="5"/>
    <x v="4"/>
    <x v="615"/>
    <x v="1171"/>
    <s v="Bank Transfer"/>
    <s v="REV101942"/>
    <x v="1"/>
  </r>
  <r>
    <d v="2023-09-16T00:00:00"/>
    <x v="8"/>
    <x v="5"/>
    <x v="0"/>
    <x v="3747"/>
    <x v="3793"/>
    <s v="UPI"/>
    <s v="REV102349"/>
    <x v="1"/>
  </r>
  <r>
    <d v="2023-09-16T00:00:00"/>
    <x v="8"/>
    <x v="5"/>
    <x v="0"/>
    <x v="1907"/>
    <x v="2549"/>
    <s v="Bank Transfer"/>
    <s v="REV102547"/>
    <x v="1"/>
  </r>
  <r>
    <d v="2023-09-16T00:00:00"/>
    <x v="8"/>
    <x v="6"/>
    <x v="1"/>
    <x v="1690"/>
    <x v="1561"/>
    <s v="Bank Transfer"/>
    <s v="REV102678"/>
    <x v="1"/>
  </r>
  <r>
    <d v="2023-09-16T00:00:00"/>
    <x v="8"/>
    <x v="5"/>
    <x v="4"/>
    <x v="3196"/>
    <x v="3794"/>
    <s v="UPI"/>
    <s v="REV102778"/>
    <x v="1"/>
  </r>
  <r>
    <d v="2023-09-16T00:00:00"/>
    <x v="8"/>
    <x v="6"/>
    <x v="3"/>
    <x v="205"/>
    <x v="3795"/>
    <s v="Card"/>
    <s v="REV102908"/>
    <x v="1"/>
  </r>
  <r>
    <d v="2023-09-16T00:00:00"/>
    <x v="8"/>
    <x v="5"/>
    <x v="4"/>
    <x v="64"/>
    <x v="3796"/>
    <s v="Bank Transfer"/>
    <s v="REV103095"/>
    <x v="1"/>
  </r>
  <r>
    <d v="2023-09-17T00:00:00"/>
    <x v="8"/>
    <x v="7"/>
    <x v="4"/>
    <x v="3748"/>
    <x v="3797"/>
    <s v="Bank Transfer"/>
    <s v="TXN100576"/>
    <x v="0"/>
  </r>
  <r>
    <d v="2023-09-17T00:00:00"/>
    <x v="8"/>
    <x v="7"/>
    <x v="1"/>
    <x v="3749"/>
    <x v="3798"/>
    <s v="Bank Transfer"/>
    <s v="TXN100902"/>
    <x v="0"/>
  </r>
  <r>
    <d v="2023-09-17T00:00:00"/>
    <x v="8"/>
    <x v="0"/>
    <x v="1"/>
    <x v="3750"/>
    <x v="3799"/>
    <s v="Card"/>
    <s v="TXN101088"/>
    <x v="0"/>
  </r>
  <r>
    <d v="2023-09-17T00:00:00"/>
    <x v="8"/>
    <x v="2"/>
    <x v="0"/>
    <x v="369"/>
    <x v="3800"/>
    <s v="Card"/>
    <s v="TXN102267"/>
    <x v="0"/>
  </r>
  <r>
    <d v="2023-09-17T00:00:00"/>
    <x v="8"/>
    <x v="3"/>
    <x v="3"/>
    <x v="3751"/>
    <x v="3801"/>
    <s v="Bank Transfer"/>
    <s v="TXN102492"/>
    <x v="0"/>
  </r>
  <r>
    <d v="2023-09-17T00:00:00"/>
    <x v="8"/>
    <x v="3"/>
    <x v="1"/>
    <x v="3752"/>
    <x v="3802"/>
    <s v="Cash"/>
    <s v="TXN102924"/>
    <x v="0"/>
  </r>
  <r>
    <d v="2023-09-17T00:00:00"/>
    <x v="8"/>
    <x v="4"/>
    <x v="1"/>
    <x v="3753"/>
    <x v="3803"/>
    <s v="UPI"/>
    <s v="TXN103564"/>
    <x v="0"/>
  </r>
  <r>
    <d v="2023-09-17T00:00:00"/>
    <x v="8"/>
    <x v="7"/>
    <x v="3"/>
    <x v="3754"/>
    <x v="3804"/>
    <s v="Cash"/>
    <s v="TXN104813"/>
    <x v="0"/>
  </r>
  <r>
    <d v="2023-09-17T00:00:00"/>
    <x v="8"/>
    <x v="3"/>
    <x v="2"/>
    <x v="3755"/>
    <x v="3805"/>
    <s v="Cash"/>
    <s v="TXN105468"/>
    <x v="0"/>
  </r>
  <r>
    <d v="2023-09-17T00:00:00"/>
    <x v="8"/>
    <x v="0"/>
    <x v="3"/>
    <x v="3756"/>
    <x v="3806"/>
    <s v="Cash"/>
    <s v="TXN105748"/>
    <x v="0"/>
  </r>
  <r>
    <d v="2023-09-17T00:00:00"/>
    <x v="8"/>
    <x v="7"/>
    <x v="1"/>
    <x v="3757"/>
    <x v="3807"/>
    <s v="Bank Transfer"/>
    <s v="TXN106502"/>
    <x v="0"/>
  </r>
  <r>
    <d v="2023-09-17T00:00:00"/>
    <x v="8"/>
    <x v="0"/>
    <x v="2"/>
    <x v="3758"/>
    <x v="3808"/>
    <s v="Bank Transfer"/>
    <s v="TXN108304"/>
    <x v="0"/>
  </r>
  <r>
    <d v="2023-09-17T00:00:00"/>
    <x v="8"/>
    <x v="1"/>
    <x v="3"/>
    <x v="3759"/>
    <x v="3809"/>
    <s v="Card"/>
    <s v="TXN109109"/>
    <x v="0"/>
  </r>
  <r>
    <d v="2023-09-17T00:00:00"/>
    <x v="8"/>
    <x v="5"/>
    <x v="4"/>
    <x v="2590"/>
    <x v="3603"/>
    <s v="Card"/>
    <s v="REV100221"/>
    <x v="1"/>
  </r>
  <r>
    <d v="2023-09-17T00:00:00"/>
    <x v="8"/>
    <x v="6"/>
    <x v="1"/>
    <x v="3225"/>
    <x v="263"/>
    <s v="Bank Transfer"/>
    <s v="REV100332"/>
    <x v="1"/>
  </r>
  <r>
    <d v="2023-09-17T00:00:00"/>
    <x v="8"/>
    <x v="5"/>
    <x v="1"/>
    <x v="3760"/>
    <x v="1286"/>
    <s v="Card"/>
    <s v="REV100399"/>
    <x v="1"/>
  </r>
  <r>
    <d v="2023-09-17T00:00:00"/>
    <x v="8"/>
    <x v="5"/>
    <x v="0"/>
    <x v="3761"/>
    <x v="1358"/>
    <s v="Card"/>
    <s v="REV100801"/>
    <x v="1"/>
  </r>
  <r>
    <d v="2023-09-17T00:00:00"/>
    <x v="8"/>
    <x v="5"/>
    <x v="3"/>
    <x v="3762"/>
    <x v="1761"/>
    <s v="Card"/>
    <s v="REV100877"/>
    <x v="1"/>
  </r>
  <r>
    <d v="2023-09-17T00:00:00"/>
    <x v="8"/>
    <x v="5"/>
    <x v="1"/>
    <x v="3763"/>
    <x v="3810"/>
    <s v="Card"/>
    <s v="REV101018"/>
    <x v="1"/>
  </r>
  <r>
    <d v="2023-09-17T00:00:00"/>
    <x v="8"/>
    <x v="5"/>
    <x v="1"/>
    <x v="3764"/>
    <x v="3811"/>
    <s v="Bank Transfer"/>
    <s v="REV101215"/>
    <x v="1"/>
  </r>
  <r>
    <d v="2023-09-17T00:00:00"/>
    <x v="8"/>
    <x v="5"/>
    <x v="3"/>
    <x v="708"/>
    <x v="3106"/>
    <s v="Bank Transfer"/>
    <s v="REV101642"/>
    <x v="1"/>
  </r>
  <r>
    <d v="2023-09-17T00:00:00"/>
    <x v="8"/>
    <x v="6"/>
    <x v="2"/>
    <x v="1400"/>
    <x v="518"/>
    <s v="Bank Transfer"/>
    <s v="REV101862"/>
    <x v="1"/>
  </r>
  <r>
    <d v="2023-09-17T00:00:00"/>
    <x v="8"/>
    <x v="6"/>
    <x v="3"/>
    <x v="2205"/>
    <x v="3812"/>
    <s v="Card"/>
    <s v="REV101952"/>
    <x v="1"/>
  </r>
  <r>
    <d v="2023-09-17T00:00:00"/>
    <x v="8"/>
    <x v="6"/>
    <x v="1"/>
    <x v="1524"/>
    <x v="3813"/>
    <s v="Card"/>
    <s v="REV102206"/>
    <x v="1"/>
  </r>
  <r>
    <d v="2023-09-17T00:00:00"/>
    <x v="8"/>
    <x v="5"/>
    <x v="2"/>
    <x v="437"/>
    <x v="2193"/>
    <s v="Bank Transfer"/>
    <s v="REV102822"/>
    <x v="1"/>
  </r>
  <r>
    <d v="2023-09-17T00:00:00"/>
    <x v="8"/>
    <x v="6"/>
    <x v="3"/>
    <x v="2316"/>
    <x v="3682"/>
    <s v="Bank Transfer"/>
    <s v="REV103082"/>
    <x v="1"/>
  </r>
  <r>
    <d v="2023-09-18T00:00:00"/>
    <x v="8"/>
    <x v="0"/>
    <x v="2"/>
    <x v="3765"/>
    <x v="3814"/>
    <s v="Bank Transfer"/>
    <s v="TXN102751"/>
    <x v="0"/>
  </r>
  <r>
    <d v="2023-09-18T00:00:00"/>
    <x v="8"/>
    <x v="2"/>
    <x v="2"/>
    <x v="3766"/>
    <x v="3815"/>
    <s v="UPI"/>
    <s v="TXN103529"/>
    <x v="0"/>
  </r>
  <r>
    <d v="2023-09-18T00:00:00"/>
    <x v="8"/>
    <x v="7"/>
    <x v="4"/>
    <x v="3767"/>
    <x v="3816"/>
    <s v="UPI"/>
    <s v="TXN103766"/>
    <x v="0"/>
  </r>
  <r>
    <d v="2023-09-18T00:00:00"/>
    <x v="8"/>
    <x v="1"/>
    <x v="4"/>
    <x v="3768"/>
    <x v="3817"/>
    <s v="Bank Transfer"/>
    <s v="TXN105552"/>
    <x v="0"/>
  </r>
  <r>
    <d v="2023-09-18T00:00:00"/>
    <x v="8"/>
    <x v="4"/>
    <x v="2"/>
    <x v="3769"/>
    <x v="3818"/>
    <s v="Bank Transfer"/>
    <s v="TXN106477"/>
    <x v="0"/>
  </r>
  <r>
    <d v="2023-09-18T00:00:00"/>
    <x v="8"/>
    <x v="1"/>
    <x v="2"/>
    <x v="3770"/>
    <x v="3819"/>
    <s v="Bank Transfer"/>
    <s v="TXN107611"/>
    <x v="0"/>
  </r>
  <r>
    <d v="2023-09-18T00:00:00"/>
    <x v="8"/>
    <x v="3"/>
    <x v="0"/>
    <x v="3771"/>
    <x v="3820"/>
    <s v="UPI"/>
    <s v="TXN108148"/>
    <x v="0"/>
  </r>
  <r>
    <d v="2023-09-18T00:00:00"/>
    <x v="8"/>
    <x v="1"/>
    <x v="1"/>
    <x v="3772"/>
    <x v="3821"/>
    <s v="Card"/>
    <s v="TXN108878"/>
    <x v="0"/>
  </r>
  <r>
    <d v="2023-09-18T00:00:00"/>
    <x v="8"/>
    <x v="7"/>
    <x v="2"/>
    <x v="3773"/>
    <x v="3822"/>
    <s v="Cash"/>
    <s v="TXN109439"/>
    <x v="0"/>
  </r>
  <r>
    <d v="2023-09-18T00:00:00"/>
    <x v="8"/>
    <x v="6"/>
    <x v="2"/>
    <x v="1947"/>
    <x v="3209"/>
    <s v="Bank Transfer"/>
    <s v="REV100966"/>
    <x v="1"/>
  </r>
  <r>
    <d v="2023-09-18T00:00:00"/>
    <x v="8"/>
    <x v="6"/>
    <x v="2"/>
    <x v="181"/>
    <x v="1472"/>
    <s v="Card"/>
    <s v="REV101202"/>
    <x v="1"/>
  </r>
  <r>
    <d v="2023-09-18T00:00:00"/>
    <x v="8"/>
    <x v="5"/>
    <x v="4"/>
    <x v="2802"/>
    <x v="594"/>
    <s v="Card"/>
    <s v="REV101296"/>
    <x v="1"/>
  </r>
  <r>
    <d v="2023-09-18T00:00:00"/>
    <x v="8"/>
    <x v="5"/>
    <x v="4"/>
    <x v="3247"/>
    <x v="1505"/>
    <s v="Card"/>
    <s v="REV101892"/>
    <x v="1"/>
  </r>
  <r>
    <d v="2023-09-18T00:00:00"/>
    <x v="8"/>
    <x v="5"/>
    <x v="2"/>
    <x v="3774"/>
    <x v="3823"/>
    <s v="Card"/>
    <s v="REV102197"/>
    <x v="1"/>
  </r>
  <r>
    <d v="2023-09-18T00:00:00"/>
    <x v="8"/>
    <x v="5"/>
    <x v="2"/>
    <x v="840"/>
    <x v="446"/>
    <s v="Bank Transfer"/>
    <s v="REV102585"/>
    <x v="1"/>
  </r>
  <r>
    <d v="2023-09-18T00:00:00"/>
    <x v="8"/>
    <x v="6"/>
    <x v="0"/>
    <x v="755"/>
    <x v="579"/>
    <s v="Card"/>
    <s v="REV102768"/>
    <x v="1"/>
  </r>
  <r>
    <d v="2023-09-18T00:00:00"/>
    <x v="8"/>
    <x v="5"/>
    <x v="1"/>
    <x v="3157"/>
    <x v="416"/>
    <s v="Bank Transfer"/>
    <s v="REV103006"/>
    <x v="1"/>
  </r>
  <r>
    <d v="2023-09-18T00:00:00"/>
    <x v="8"/>
    <x v="5"/>
    <x v="2"/>
    <x v="3775"/>
    <x v="873"/>
    <s v="Bank Transfer"/>
    <s v="REV103192"/>
    <x v="1"/>
  </r>
  <r>
    <d v="2023-09-19T00:00:00"/>
    <x v="8"/>
    <x v="0"/>
    <x v="1"/>
    <x v="3776"/>
    <x v="3824"/>
    <s v="Bank Transfer"/>
    <s v="TXN100309"/>
    <x v="0"/>
  </r>
  <r>
    <d v="2023-09-19T00:00:00"/>
    <x v="8"/>
    <x v="1"/>
    <x v="4"/>
    <x v="127"/>
    <x v="3825"/>
    <s v="UPI"/>
    <s v="TXN101932"/>
    <x v="0"/>
  </r>
  <r>
    <d v="2023-09-19T00:00:00"/>
    <x v="8"/>
    <x v="0"/>
    <x v="0"/>
    <x v="3777"/>
    <x v="3826"/>
    <s v="Card"/>
    <s v="TXN103624"/>
    <x v="0"/>
  </r>
  <r>
    <d v="2023-09-19T00:00:00"/>
    <x v="8"/>
    <x v="0"/>
    <x v="4"/>
    <x v="3778"/>
    <x v="3827"/>
    <s v="Card"/>
    <s v="TXN104311"/>
    <x v="0"/>
  </r>
  <r>
    <d v="2023-09-19T00:00:00"/>
    <x v="8"/>
    <x v="2"/>
    <x v="4"/>
    <x v="2542"/>
    <x v="3828"/>
    <s v="Cash"/>
    <s v="TXN104655"/>
    <x v="0"/>
  </r>
  <r>
    <d v="2023-09-19T00:00:00"/>
    <x v="8"/>
    <x v="4"/>
    <x v="1"/>
    <x v="3779"/>
    <x v="3829"/>
    <s v="UPI"/>
    <s v="TXN105600"/>
    <x v="0"/>
  </r>
  <r>
    <d v="2023-09-19T00:00:00"/>
    <x v="8"/>
    <x v="0"/>
    <x v="4"/>
    <x v="3780"/>
    <x v="553"/>
    <s v="UPI"/>
    <s v="TXN105773"/>
    <x v="0"/>
  </r>
  <r>
    <d v="2023-09-19T00:00:00"/>
    <x v="8"/>
    <x v="1"/>
    <x v="1"/>
    <x v="3781"/>
    <x v="3830"/>
    <s v="UPI"/>
    <s v="TXN106395"/>
    <x v="0"/>
  </r>
  <r>
    <d v="2023-09-19T00:00:00"/>
    <x v="8"/>
    <x v="0"/>
    <x v="1"/>
    <x v="3782"/>
    <x v="3831"/>
    <s v="Card"/>
    <s v="TXN106405"/>
    <x v="0"/>
  </r>
  <r>
    <d v="2023-09-19T00:00:00"/>
    <x v="8"/>
    <x v="0"/>
    <x v="1"/>
    <x v="3783"/>
    <x v="3832"/>
    <s v="Bank Transfer"/>
    <s v="TXN107216"/>
    <x v="0"/>
  </r>
  <r>
    <d v="2023-09-19T00:00:00"/>
    <x v="8"/>
    <x v="1"/>
    <x v="0"/>
    <x v="3784"/>
    <x v="3833"/>
    <s v="Cash"/>
    <s v="TXN107925"/>
    <x v="0"/>
  </r>
  <r>
    <d v="2023-09-19T00:00:00"/>
    <x v="8"/>
    <x v="7"/>
    <x v="3"/>
    <x v="3785"/>
    <x v="3834"/>
    <s v="Cash"/>
    <s v="TXN108609"/>
    <x v="0"/>
  </r>
  <r>
    <d v="2023-09-19T00:00:00"/>
    <x v="8"/>
    <x v="2"/>
    <x v="4"/>
    <x v="3786"/>
    <x v="3835"/>
    <s v="Bank Transfer"/>
    <s v="TXN109948"/>
    <x v="0"/>
  </r>
  <r>
    <d v="2023-09-19T00:00:00"/>
    <x v="8"/>
    <x v="5"/>
    <x v="1"/>
    <x v="2724"/>
    <x v="1980"/>
    <s v="Bank Transfer"/>
    <s v="REV100111"/>
    <x v="1"/>
  </r>
  <r>
    <d v="2023-09-19T00:00:00"/>
    <x v="8"/>
    <x v="6"/>
    <x v="4"/>
    <x v="1135"/>
    <x v="1386"/>
    <s v="Bank Transfer"/>
    <s v="REV100691"/>
    <x v="1"/>
  </r>
  <r>
    <d v="2023-09-19T00:00:00"/>
    <x v="8"/>
    <x v="5"/>
    <x v="0"/>
    <x v="2575"/>
    <x v="1442"/>
    <s v="Bank Transfer"/>
    <s v="REV101239"/>
    <x v="1"/>
  </r>
  <r>
    <d v="2023-09-19T00:00:00"/>
    <x v="8"/>
    <x v="5"/>
    <x v="4"/>
    <x v="575"/>
    <x v="1354"/>
    <s v="Bank Transfer"/>
    <s v="REV101494"/>
    <x v="1"/>
  </r>
  <r>
    <d v="2023-09-19T00:00:00"/>
    <x v="8"/>
    <x v="5"/>
    <x v="4"/>
    <x v="11"/>
    <x v="2307"/>
    <s v="Bank Transfer"/>
    <s v="REV101589"/>
    <x v="1"/>
  </r>
  <r>
    <d v="2023-09-19T00:00:00"/>
    <x v="8"/>
    <x v="5"/>
    <x v="1"/>
    <x v="479"/>
    <x v="3836"/>
    <s v="Bank Transfer"/>
    <s v="REV101910"/>
    <x v="1"/>
  </r>
  <r>
    <d v="2023-09-19T00:00:00"/>
    <x v="8"/>
    <x v="5"/>
    <x v="4"/>
    <x v="575"/>
    <x v="2225"/>
    <s v="Card"/>
    <s v="REV101956"/>
    <x v="1"/>
  </r>
  <r>
    <d v="2023-09-19T00:00:00"/>
    <x v="8"/>
    <x v="5"/>
    <x v="1"/>
    <x v="423"/>
    <x v="1403"/>
    <s v="Bank Transfer"/>
    <s v="REV102161"/>
    <x v="1"/>
  </r>
  <r>
    <d v="2023-09-19T00:00:00"/>
    <x v="8"/>
    <x v="5"/>
    <x v="1"/>
    <x v="3133"/>
    <x v="1566"/>
    <s v="Bank Transfer"/>
    <s v="REV102165"/>
    <x v="1"/>
  </r>
  <r>
    <d v="2023-09-19T00:00:00"/>
    <x v="8"/>
    <x v="6"/>
    <x v="1"/>
    <x v="566"/>
    <x v="3244"/>
    <s v="UPI"/>
    <s v="REV102450"/>
    <x v="1"/>
  </r>
  <r>
    <d v="2023-09-19T00:00:00"/>
    <x v="8"/>
    <x v="6"/>
    <x v="0"/>
    <x v="3787"/>
    <x v="3013"/>
    <s v="Card"/>
    <s v="REV102690"/>
    <x v="1"/>
  </r>
  <r>
    <d v="2023-09-19T00:00:00"/>
    <x v="8"/>
    <x v="5"/>
    <x v="3"/>
    <x v="1335"/>
    <x v="2617"/>
    <s v="Bank Transfer"/>
    <s v="REV102924"/>
    <x v="1"/>
  </r>
  <r>
    <d v="2023-09-19T00:00:00"/>
    <x v="8"/>
    <x v="5"/>
    <x v="4"/>
    <x v="3788"/>
    <x v="156"/>
    <s v="Bank Transfer"/>
    <s v="REV103362"/>
    <x v="1"/>
  </r>
  <r>
    <d v="2023-09-20T00:00:00"/>
    <x v="8"/>
    <x v="7"/>
    <x v="2"/>
    <x v="3789"/>
    <x v="3837"/>
    <s v="Cash"/>
    <s v="TXN100253"/>
    <x v="0"/>
  </r>
  <r>
    <d v="2023-09-20T00:00:00"/>
    <x v="8"/>
    <x v="0"/>
    <x v="4"/>
    <x v="3420"/>
    <x v="3838"/>
    <s v="UPI"/>
    <s v="TXN100302"/>
    <x v="0"/>
  </r>
  <r>
    <d v="2023-09-20T00:00:00"/>
    <x v="8"/>
    <x v="7"/>
    <x v="4"/>
    <x v="3790"/>
    <x v="3839"/>
    <s v="Bank Transfer"/>
    <s v="TXN100786"/>
    <x v="0"/>
  </r>
  <r>
    <d v="2023-09-20T00:00:00"/>
    <x v="8"/>
    <x v="4"/>
    <x v="4"/>
    <x v="3791"/>
    <x v="3840"/>
    <s v="UPI"/>
    <s v="TXN100841"/>
    <x v="0"/>
  </r>
  <r>
    <d v="2023-09-20T00:00:00"/>
    <x v="8"/>
    <x v="7"/>
    <x v="3"/>
    <x v="3792"/>
    <x v="3841"/>
    <s v="Card"/>
    <s v="TXN101658"/>
    <x v="0"/>
  </r>
  <r>
    <d v="2023-09-20T00:00:00"/>
    <x v="8"/>
    <x v="4"/>
    <x v="4"/>
    <x v="3793"/>
    <x v="3842"/>
    <s v="Cash"/>
    <s v="TXN103138"/>
    <x v="0"/>
  </r>
  <r>
    <d v="2023-09-20T00:00:00"/>
    <x v="8"/>
    <x v="1"/>
    <x v="0"/>
    <x v="3794"/>
    <x v="3843"/>
    <s v="Card"/>
    <s v="TXN105149"/>
    <x v="0"/>
  </r>
  <r>
    <d v="2023-09-20T00:00:00"/>
    <x v="8"/>
    <x v="4"/>
    <x v="3"/>
    <x v="3795"/>
    <x v="3844"/>
    <s v="Card"/>
    <s v="TXN105896"/>
    <x v="0"/>
  </r>
  <r>
    <d v="2023-09-20T00:00:00"/>
    <x v="8"/>
    <x v="3"/>
    <x v="2"/>
    <x v="3796"/>
    <x v="3845"/>
    <s v="UPI"/>
    <s v="TXN106465"/>
    <x v="0"/>
  </r>
  <r>
    <d v="2023-09-20T00:00:00"/>
    <x v="8"/>
    <x v="7"/>
    <x v="0"/>
    <x v="3797"/>
    <x v="3846"/>
    <s v="Cash"/>
    <s v="TXN106596"/>
    <x v="0"/>
  </r>
  <r>
    <d v="2023-09-20T00:00:00"/>
    <x v="8"/>
    <x v="3"/>
    <x v="3"/>
    <x v="3798"/>
    <x v="3847"/>
    <s v="Card"/>
    <s v="TXN107987"/>
    <x v="0"/>
  </r>
  <r>
    <d v="2023-09-20T00:00:00"/>
    <x v="8"/>
    <x v="2"/>
    <x v="2"/>
    <x v="3799"/>
    <x v="3848"/>
    <s v="Card"/>
    <s v="TXN108009"/>
    <x v="0"/>
  </r>
  <r>
    <d v="2023-09-20T00:00:00"/>
    <x v="8"/>
    <x v="3"/>
    <x v="2"/>
    <x v="3800"/>
    <x v="3849"/>
    <s v="Card"/>
    <s v="TXN108989"/>
    <x v="0"/>
  </r>
  <r>
    <d v="2023-09-20T00:00:00"/>
    <x v="8"/>
    <x v="2"/>
    <x v="0"/>
    <x v="3801"/>
    <x v="3850"/>
    <s v="Card"/>
    <s v="TXN109512"/>
    <x v="0"/>
  </r>
  <r>
    <d v="2023-09-20T00:00:00"/>
    <x v="8"/>
    <x v="3"/>
    <x v="0"/>
    <x v="3802"/>
    <x v="3851"/>
    <s v="Bank Transfer"/>
    <s v="TXN109576"/>
    <x v="0"/>
  </r>
  <r>
    <d v="2023-09-20T00:00:00"/>
    <x v="8"/>
    <x v="5"/>
    <x v="2"/>
    <x v="1305"/>
    <x v="3566"/>
    <s v="Bank Transfer"/>
    <s v="REV100089"/>
    <x v="1"/>
  </r>
  <r>
    <d v="2023-09-20T00:00:00"/>
    <x v="8"/>
    <x v="5"/>
    <x v="4"/>
    <x v="2883"/>
    <x v="190"/>
    <s v="Card"/>
    <s v="REV100106"/>
    <x v="1"/>
  </r>
  <r>
    <d v="2023-09-20T00:00:00"/>
    <x v="8"/>
    <x v="5"/>
    <x v="4"/>
    <x v="394"/>
    <x v="3107"/>
    <s v="Bank Transfer"/>
    <s v="REV100287"/>
    <x v="1"/>
  </r>
  <r>
    <d v="2023-09-20T00:00:00"/>
    <x v="8"/>
    <x v="6"/>
    <x v="4"/>
    <x v="1235"/>
    <x v="495"/>
    <s v="Card"/>
    <s v="REV100307"/>
    <x v="1"/>
  </r>
  <r>
    <d v="2023-09-20T00:00:00"/>
    <x v="8"/>
    <x v="6"/>
    <x v="3"/>
    <x v="3246"/>
    <x v="3852"/>
    <s v="Bank Transfer"/>
    <s v="REV100612"/>
    <x v="1"/>
  </r>
  <r>
    <d v="2023-09-20T00:00:00"/>
    <x v="8"/>
    <x v="6"/>
    <x v="4"/>
    <x v="2772"/>
    <x v="3853"/>
    <s v="Card"/>
    <s v="REV101083"/>
    <x v="1"/>
  </r>
  <r>
    <d v="2023-09-20T00:00:00"/>
    <x v="8"/>
    <x v="5"/>
    <x v="0"/>
    <x v="1183"/>
    <x v="827"/>
    <s v="Bank Transfer"/>
    <s v="REV101747"/>
    <x v="1"/>
  </r>
  <r>
    <d v="2023-09-20T00:00:00"/>
    <x v="8"/>
    <x v="5"/>
    <x v="3"/>
    <x v="3803"/>
    <x v="3854"/>
    <s v="Bank Transfer"/>
    <s v="REV101992"/>
    <x v="1"/>
  </r>
  <r>
    <d v="2023-09-20T00:00:00"/>
    <x v="8"/>
    <x v="5"/>
    <x v="2"/>
    <x v="176"/>
    <x v="3287"/>
    <s v="Bank Transfer"/>
    <s v="REV102190"/>
    <x v="1"/>
  </r>
  <r>
    <d v="2023-09-20T00:00:00"/>
    <x v="8"/>
    <x v="5"/>
    <x v="0"/>
    <x v="1251"/>
    <x v="3855"/>
    <s v="Bank Transfer"/>
    <s v="REV102239"/>
    <x v="1"/>
  </r>
  <r>
    <d v="2023-09-20T00:00:00"/>
    <x v="8"/>
    <x v="5"/>
    <x v="3"/>
    <x v="678"/>
    <x v="854"/>
    <s v="Card"/>
    <s v="REV102715"/>
    <x v="1"/>
  </r>
  <r>
    <d v="2023-09-20T00:00:00"/>
    <x v="8"/>
    <x v="6"/>
    <x v="2"/>
    <x v="299"/>
    <x v="3856"/>
    <s v="Bank Transfer"/>
    <s v="REV102721"/>
    <x v="1"/>
  </r>
  <r>
    <d v="2023-09-20T00:00:00"/>
    <x v="8"/>
    <x v="6"/>
    <x v="2"/>
    <x v="3804"/>
    <x v="3857"/>
    <s v="Card"/>
    <s v="REV103042"/>
    <x v="1"/>
  </r>
  <r>
    <d v="2023-09-20T00:00:00"/>
    <x v="8"/>
    <x v="5"/>
    <x v="0"/>
    <x v="1736"/>
    <x v="485"/>
    <s v="Bank Transfer"/>
    <s v="REV103210"/>
    <x v="1"/>
  </r>
  <r>
    <d v="2023-09-20T00:00:00"/>
    <x v="8"/>
    <x v="5"/>
    <x v="0"/>
    <x v="2538"/>
    <x v="3858"/>
    <s v="Bank Transfer"/>
    <s v="REV103235"/>
    <x v="1"/>
  </r>
  <r>
    <d v="2023-09-21T00:00:00"/>
    <x v="8"/>
    <x v="3"/>
    <x v="1"/>
    <x v="3805"/>
    <x v="3859"/>
    <s v="UPI"/>
    <s v="TXN101249"/>
    <x v="0"/>
  </r>
  <r>
    <d v="2023-09-21T00:00:00"/>
    <x v="8"/>
    <x v="4"/>
    <x v="0"/>
    <x v="3806"/>
    <x v="3860"/>
    <s v="Card"/>
    <s v="TXN101372"/>
    <x v="0"/>
  </r>
  <r>
    <d v="2023-09-21T00:00:00"/>
    <x v="8"/>
    <x v="4"/>
    <x v="1"/>
    <x v="3807"/>
    <x v="3861"/>
    <s v="Cash"/>
    <s v="TXN101796"/>
    <x v="0"/>
  </r>
  <r>
    <d v="2023-09-21T00:00:00"/>
    <x v="8"/>
    <x v="1"/>
    <x v="2"/>
    <x v="3808"/>
    <x v="3862"/>
    <s v="Card"/>
    <s v="TXN103043"/>
    <x v="0"/>
  </r>
  <r>
    <d v="2023-09-21T00:00:00"/>
    <x v="8"/>
    <x v="1"/>
    <x v="1"/>
    <x v="3809"/>
    <x v="3863"/>
    <s v="Bank Transfer"/>
    <s v="TXN103642"/>
    <x v="0"/>
  </r>
  <r>
    <d v="2023-09-21T00:00:00"/>
    <x v="8"/>
    <x v="7"/>
    <x v="2"/>
    <x v="3810"/>
    <x v="3864"/>
    <s v="Bank Transfer"/>
    <s v="TXN104661"/>
    <x v="0"/>
  </r>
  <r>
    <d v="2023-09-21T00:00:00"/>
    <x v="8"/>
    <x v="4"/>
    <x v="2"/>
    <x v="3811"/>
    <x v="3865"/>
    <s v="Card"/>
    <s v="TXN107060"/>
    <x v="0"/>
  </r>
  <r>
    <d v="2023-09-21T00:00:00"/>
    <x v="8"/>
    <x v="0"/>
    <x v="0"/>
    <x v="3812"/>
    <x v="3866"/>
    <s v="UPI"/>
    <s v="TXN107178"/>
    <x v="0"/>
  </r>
  <r>
    <d v="2023-09-21T00:00:00"/>
    <x v="8"/>
    <x v="2"/>
    <x v="0"/>
    <x v="3813"/>
    <x v="3867"/>
    <s v="Cash"/>
    <s v="TXN107927"/>
    <x v="0"/>
  </r>
  <r>
    <d v="2023-09-21T00:00:00"/>
    <x v="8"/>
    <x v="6"/>
    <x v="1"/>
    <x v="1167"/>
    <x v="3868"/>
    <s v="Card"/>
    <s v="REV100456"/>
    <x v="1"/>
  </r>
  <r>
    <d v="2023-09-21T00:00:00"/>
    <x v="8"/>
    <x v="5"/>
    <x v="0"/>
    <x v="3814"/>
    <x v="1693"/>
    <s v="Card"/>
    <s v="REV100503"/>
    <x v="1"/>
  </r>
  <r>
    <d v="2023-09-21T00:00:00"/>
    <x v="8"/>
    <x v="5"/>
    <x v="1"/>
    <x v="1036"/>
    <x v="1374"/>
    <s v="UPI"/>
    <s v="REV100655"/>
    <x v="1"/>
  </r>
  <r>
    <d v="2023-09-21T00:00:00"/>
    <x v="8"/>
    <x v="5"/>
    <x v="2"/>
    <x v="770"/>
    <x v="2229"/>
    <s v="Bank Transfer"/>
    <s v="REV101052"/>
    <x v="1"/>
  </r>
  <r>
    <d v="2023-09-21T00:00:00"/>
    <x v="8"/>
    <x v="5"/>
    <x v="1"/>
    <x v="3815"/>
    <x v="3565"/>
    <s v="Card"/>
    <s v="REV101243"/>
    <x v="1"/>
  </r>
  <r>
    <d v="2023-09-21T00:00:00"/>
    <x v="8"/>
    <x v="5"/>
    <x v="2"/>
    <x v="1824"/>
    <x v="2180"/>
    <s v="Bank Transfer"/>
    <s v="REV101593"/>
    <x v="1"/>
  </r>
  <r>
    <d v="2023-09-21T00:00:00"/>
    <x v="8"/>
    <x v="5"/>
    <x v="2"/>
    <x v="41"/>
    <x v="3869"/>
    <s v="Bank Transfer"/>
    <s v="REV102396"/>
    <x v="1"/>
  </r>
  <r>
    <d v="2023-09-21T00:00:00"/>
    <x v="8"/>
    <x v="6"/>
    <x v="0"/>
    <x v="1053"/>
    <x v="3870"/>
    <s v="Bank Transfer"/>
    <s v="REV102434"/>
    <x v="1"/>
  </r>
  <r>
    <d v="2023-09-21T00:00:00"/>
    <x v="8"/>
    <x v="6"/>
    <x v="0"/>
    <x v="753"/>
    <x v="480"/>
    <s v="Card"/>
    <s v="REV102692"/>
    <x v="1"/>
  </r>
  <r>
    <d v="2023-09-22T00:00:00"/>
    <x v="8"/>
    <x v="7"/>
    <x v="1"/>
    <x v="3816"/>
    <x v="3871"/>
    <s v="Cash"/>
    <s v="TXN101091"/>
    <x v="0"/>
  </r>
  <r>
    <d v="2023-09-22T00:00:00"/>
    <x v="8"/>
    <x v="0"/>
    <x v="3"/>
    <x v="3817"/>
    <x v="3872"/>
    <s v="Cash"/>
    <s v="TXN101094"/>
    <x v="0"/>
  </r>
  <r>
    <d v="2023-09-22T00:00:00"/>
    <x v="8"/>
    <x v="2"/>
    <x v="2"/>
    <x v="3818"/>
    <x v="3873"/>
    <s v="Cash"/>
    <s v="TXN101865"/>
    <x v="0"/>
  </r>
  <r>
    <d v="2023-09-22T00:00:00"/>
    <x v="8"/>
    <x v="0"/>
    <x v="2"/>
    <x v="3819"/>
    <x v="3874"/>
    <s v="Cash"/>
    <s v="TXN106438"/>
    <x v="0"/>
  </r>
  <r>
    <d v="2023-09-22T00:00:00"/>
    <x v="8"/>
    <x v="2"/>
    <x v="0"/>
    <x v="3820"/>
    <x v="3875"/>
    <s v="Card"/>
    <s v="TXN106991"/>
    <x v="0"/>
  </r>
  <r>
    <d v="2023-09-22T00:00:00"/>
    <x v="8"/>
    <x v="2"/>
    <x v="2"/>
    <x v="3821"/>
    <x v="3876"/>
    <s v="UPI"/>
    <s v="TXN108458"/>
    <x v="0"/>
  </r>
  <r>
    <d v="2023-09-22T00:00:00"/>
    <x v="8"/>
    <x v="6"/>
    <x v="1"/>
    <x v="279"/>
    <x v="718"/>
    <s v="Bank Transfer"/>
    <s v="REV100401"/>
    <x v="1"/>
  </r>
  <r>
    <d v="2023-09-22T00:00:00"/>
    <x v="8"/>
    <x v="6"/>
    <x v="3"/>
    <x v="2547"/>
    <x v="2866"/>
    <s v="Card"/>
    <s v="REV100402"/>
    <x v="1"/>
  </r>
  <r>
    <d v="2023-09-22T00:00:00"/>
    <x v="8"/>
    <x v="6"/>
    <x v="2"/>
    <x v="3822"/>
    <x v="2801"/>
    <s v="Bank Transfer"/>
    <s v="REV100676"/>
    <x v="1"/>
  </r>
  <r>
    <d v="2023-09-22T00:00:00"/>
    <x v="8"/>
    <x v="5"/>
    <x v="2"/>
    <x v="1743"/>
    <x v="893"/>
    <s v="Card"/>
    <s v="REV102178"/>
    <x v="1"/>
  </r>
  <r>
    <d v="2023-09-22T00:00:00"/>
    <x v="8"/>
    <x v="5"/>
    <x v="0"/>
    <x v="941"/>
    <x v="3877"/>
    <s v="Bank Transfer"/>
    <s v="REV102373"/>
    <x v="1"/>
  </r>
  <r>
    <d v="2023-09-22T00:00:00"/>
    <x v="8"/>
    <x v="5"/>
    <x v="2"/>
    <x v="509"/>
    <x v="2766"/>
    <s v="Bank Transfer"/>
    <s v="REV102866"/>
    <x v="1"/>
  </r>
  <r>
    <d v="2023-09-23T00:00:00"/>
    <x v="8"/>
    <x v="4"/>
    <x v="2"/>
    <x v="3823"/>
    <x v="3878"/>
    <s v="UPI"/>
    <s v="TXN100056"/>
    <x v="0"/>
  </r>
  <r>
    <d v="2023-09-23T00:00:00"/>
    <x v="8"/>
    <x v="1"/>
    <x v="4"/>
    <x v="3824"/>
    <x v="3879"/>
    <s v="Bank Transfer"/>
    <s v="TXN102608"/>
    <x v="0"/>
  </r>
  <r>
    <d v="2023-09-23T00:00:00"/>
    <x v="8"/>
    <x v="7"/>
    <x v="3"/>
    <x v="3825"/>
    <x v="3880"/>
    <s v="UPI"/>
    <s v="TXN105250"/>
    <x v="0"/>
  </r>
  <r>
    <d v="2023-09-23T00:00:00"/>
    <x v="8"/>
    <x v="4"/>
    <x v="4"/>
    <x v="3826"/>
    <x v="3881"/>
    <s v="Card"/>
    <s v="TXN106867"/>
    <x v="0"/>
  </r>
  <r>
    <d v="2023-09-23T00:00:00"/>
    <x v="8"/>
    <x v="3"/>
    <x v="4"/>
    <x v="3827"/>
    <x v="3882"/>
    <s v="Bank Transfer"/>
    <s v="TXN107843"/>
    <x v="0"/>
  </r>
  <r>
    <d v="2023-09-23T00:00:00"/>
    <x v="8"/>
    <x v="6"/>
    <x v="2"/>
    <x v="378"/>
    <x v="832"/>
    <s v="Card"/>
    <s v="REV100020"/>
    <x v="1"/>
  </r>
  <r>
    <d v="2023-09-23T00:00:00"/>
    <x v="8"/>
    <x v="6"/>
    <x v="4"/>
    <x v="3828"/>
    <x v="700"/>
    <s v="Bank Transfer"/>
    <s v="REV100914"/>
    <x v="1"/>
  </r>
  <r>
    <d v="2023-09-23T00:00:00"/>
    <x v="8"/>
    <x v="5"/>
    <x v="3"/>
    <x v="2457"/>
    <x v="2994"/>
    <s v="Bank Transfer"/>
    <s v="REV101779"/>
    <x v="1"/>
  </r>
  <r>
    <d v="2023-09-23T00:00:00"/>
    <x v="8"/>
    <x v="5"/>
    <x v="4"/>
    <x v="3829"/>
    <x v="3883"/>
    <s v="Card"/>
    <s v="REV102337"/>
    <x v="1"/>
  </r>
  <r>
    <d v="2023-09-23T00:00:00"/>
    <x v="8"/>
    <x v="5"/>
    <x v="4"/>
    <x v="1609"/>
    <x v="171"/>
    <s v="Bank Transfer"/>
    <s v="REV102663"/>
    <x v="1"/>
  </r>
  <r>
    <d v="2023-09-24T00:00:00"/>
    <x v="8"/>
    <x v="4"/>
    <x v="1"/>
    <x v="3830"/>
    <x v="3884"/>
    <s v="Cash"/>
    <s v="TXN100340"/>
    <x v="0"/>
  </r>
  <r>
    <d v="2023-09-24T00:00:00"/>
    <x v="8"/>
    <x v="4"/>
    <x v="2"/>
    <x v="3831"/>
    <x v="3885"/>
    <s v="Bank Transfer"/>
    <s v="TXN100552"/>
    <x v="0"/>
  </r>
  <r>
    <d v="2023-09-24T00:00:00"/>
    <x v="8"/>
    <x v="7"/>
    <x v="0"/>
    <x v="3832"/>
    <x v="3886"/>
    <s v="Bank Transfer"/>
    <s v="TXN100805"/>
    <x v="0"/>
  </r>
  <r>
    <d v="2023-09-24T00:00:00"/>
    <x v="8"/>
    <x v="2"/>
    <x v="2"/>
    <x v="3833"/>
    <x v="3887"/>
    <s v="Bank Transfer"/>
    <s v="TXN105194"/>
    <x v="0"/>
  </r>
  <r>
    <d v="2023-09-24T00:00:00"/>
    <x v="8"/>
    <x v="3"/>
    <x v="3"/>
    <x v="3834"/>
    <x v="3888"/>
    <s v="Card"/>
    <s v="TXN105435"/>
    <x v="0"/>
  </r>
  <r>
    <d v="2023-09-24T00:00:00"/>
    <x v="8"/>
    <x v="4"/>
    <x v="4"/>
    <x v="3835"/>
    <x v="3889"/>
    <s v="Cash"/>
    <s v="TXN105444"/>
    <x v="0"/>
  </r>
  <r>
    <d v="2023-09-24T00:00:00"/>
    <x v="8"/>
    <x v="2"/>
    <x v="0"/>
    <x v="3836"/>
    <x v="3890"/>
    <s v="Bank Transfer"/>
    <s v="TXN106176"/>
    <x v="0"/>
  </r>
  <r>
    <d v="2023-09-24T00:00:00"/>
    <x v="8"/>
    <x v="2"/>
    <x v="3"/>
    <x v="3837"/>
    <x v="3891"/>
    <s v="Cash"/>
    <s v="TXN106955"/>
    <x v="0"/>
  </r>
  <r>
    <d v="2023-09-24T00:00:00"/>
    <x v="8"/>
    <x v="3"/>
    <x v="0"/>
    <x v="3838"/>
    <x v="3892"/>
    <s v="UPI"/>
    <s v="TXN107985"/>
    <x v="0"/>
  </r>
  <r>
    <d v="2023-09-24T00:00:00"/>
    <x v="8"/>
    <x v="3"/>
    <x v="1"/>
    <x v="3839"/>
    <x v="3893"/>
    <s v="Card"/>
    <s v="TXN108548"/>
    <x v="0"/>
  </r>
  <r>
    <d v="2023-09-24T00:00:00"/>
    <x v="8"/>
    <x v="5"/>
    <x v="1"/>
    <x v="100"/>
    <x v="3894"/>
    <s v="Card"/>
    <s v="REV100126"/>
    <x v="1"/>
  </r>
  <r>
    <d v="2023-09-24T00:00:00"/>
    <x v="8"/>
    <x v="5"/>
    <x v="2"/>
    <x v="2612"/>
    <x v="3895"/>
    <s v="Card"/>
    <s v="REV100217"/>
    <x v="1"/>
  </r>
  <r>
    <d v="2023-09-24T00:00:00"/>
    <x v="8"/>
    <x v="6"/>
    <x v="0"/>
    <x v="1083"/>
    <x v="226"/>
    <s v="Card"/>
    <s v="REV100294"/>
    <x v="1"/>
  </r>
  <r>
    <d v="2023-09-24T00:00:00"/>
    <x v="8"/>
    <x v="5"/>
    <x v="2"/>
    <x v="3840"/>
    <x v="3205"/>
    <s v="Bank Transfer"/>
    <s v="REV101760"/>
    <x v="1"/>
  </r>
  <r>
    <d v="2023-09-24T00:00:00"/>
    <x v="8"/>
    <x v="5"/>
    <x v="3"/>
    <x v="927"/>
    <x v="240"/>
    <s v="Bank Transfer"/>
    <s v="REV101850"/>
    <x v="1"/>
  </r>
  <r>
    <d v="2023-09-24T00:00:00"/>
    <x v="8"/>
    <x v="6"/>
    <x v="4"/>
    <x v="435"/>
    <x v="382"/>
    <s v="UPI"/>
    <s v="REV101854"/>
    <x v="1"/>
  </r>
  <r>
    <d v="2023-09-24T00:00:00"/>
    <x v="8"/>
    <x v="5"/>
    <x v="0"/>
    <x v="693"/>
    <x v="224"/>
    <s v="Bank Transfer"/>
    <s v="REV102081"/>
    <x v="1"/>
  </r>
  <r>
    <d v="2023-09-24T00:00:00"/>
    <x v="8"/>
    <x v="6"/>
    <x v="3"/>
    <x v="1476"/>
    <x v="126"/>
    <s v="Bank Transfer"/>
    <s v="REV102364"/>
    <x v="1"/>
  </r>
  <r>
    <d v="2023-09-24T00:00:00"/>
    <x v="8"/>
    <x v="6"/>
    <x v="0"/>
    <x v="2549"/>
    <x v="1207"/>
    <s v="Card"/>
    <s v="REV102714"/>
    <x v="1"/>
  </r>
  <r>
    <d v="2023-09-24T00:00:00"/>
    <x v="8"/>
    <x v="5"/>
    <x v="1"/>
    <x v="1244"/>
    <x v="898"/>
    <s v="UPI"/>
    <s v="REV102899"/>
    <x v="1"/>
  </r>
  <r>
    <d v="2023-09-25T00:00:00"/>
    <x v="8"/>
    <x v="7"/>
    <x v="0"/>
    <x v="3841"/>
    <x v="3896"/>
    <s v="Bank Transfer"/>
    <s v="TXN101001"/>
    <x v="0"/>
  </r>
  <r>
    <d v="2023-09-25T00:00:00"/>
    <x v="8"/>
    <x v="2"/>
    <x v="3"/>
    <x v="3842"/>
    <x v="3897"/>
    <s v="UPI"/>
    <s v="TXN102076"/>
    <x v="0"/>
  </r>
  <r>
    <d v="2023-09-25T00:00:00"/>
    <x v="8"/>
    <x v="3"/>
    <x v="4"/>
    <x v="3843"/>
    <x v="3898"/>
    <s v="Cash"/>
    <s v="TXN102452"/>
    <x v="0"/>
  </r>
  <r>
    <d v="2023-09-25T00:00:00"/>
    <x v="8"/>
    <x v="2"/>
    <x v="2"/>
    <x v="3844"/>
    <x v="3899"/>
    <s v="Card"/>
    <s v="TXN105645"/>
    <x v="0"/>
  </r>
  <r>
    <d v="2023-09-25T00:00:00"/>
    <x v="8"/>
    <x v="0"/>
    <x v="2"/>
    <x v="3845"/>
    <x v="3900"/>
    <s v="Bank Transfer"/>
    <s v="TXN106132"/>
    <x v="0"/>
  </r>
  <r>
    <d v="2023-09-25T00:00:00"/>
    <x v="8"/>
    <x v="4"/>
    <x v="0"/>
    <x v="3846"/>
    <x v="3901"/>
    <s v="Bank Transfer"/>
    <s v="TXN107669"/>
    <x v="0"/>
  </r>
  <r>
    <d v="2023-09-25T00:00:00"/>
    <x v="8"/>
    <x v="2"/>
    <x v="2"/>
    <x v="3847"/>
    <x v="3902"/>
    <s v="Cash"/>
    <s v="TXN107908"/>
    <x v="0"/>
  </r>
  <r>
    <d v="2023-09-25T00:00:00"/>
    <x v="8"/>
    <x v="0"/>
    <x v="2"/>
    <x v="3848"/>
    <x v="3903"/>
    <s v="UPI"/>
    <s v="TXN109472"/>
    <x v="0"/>
  </r>
  <r>
    <d v="2023-09-25T00:00:00"/>
    <x v="8"/>
    <x v="2"/>
    <x v="2"/>
    <x v="3849"/>
    <x v="3904"/>
    <s v="Cash"/>
    <s v="TXN109798"/>
    <x v="0"/>
  </r>
  <r>
    <d v="2023-09-25T00:00:00"/>
    <x v="8"/>
    <x v="5"/>
    <x v="0"/>
    <x v="3760"/>
    <x v="2865"/>
    <s v="Bank Transfer"/>
    <s v="REV100371"/>
    <x v="1"/>
  </r>
  <r>
    <d v="2023-09-25T00:00:00"/>
    <x v="8"/>
    <x v="5"/>
    <x v="3"/>
    <x v="3850"/>
    <x v="3905"/>
    <s v="Bank Transfer"/>
    <s v="REV100738"/>
    <x v="1"/>
  </r>
  <r>
    <d v="2023-09-25T00:00:00"/>
    <x v="8"/>
    <x v="6"/>
    <x v="4"/>
    <x v="941"/>
    <x v="3906"/>
    <s v="UPI"/>
    <s v="REV100862"/>
    <x v="1"/>
  </r>
  <r>
    <d v="2023-09-25T00:00:00"/>
    <x v="8"/>
    <x v="5"/>
    <x v="2"/>
    <x v="3851"/>
    <x v="3907"/>
    <s v="Bank Transfer"/>
    <s v="REV101922"/>
    <x v="1"/>
  </r>
  <r>
    <d v="2023-09-25T00:00:00"/>
    <x v="8"/>
    <x v="5"/>
    <x v="2"/>
    <x v="3852"/>
    <x v="3908"/>
    <s v="Card"/>
    <s v="REV102068"/>
    <x v="1"/>
  </r>
  <r>
    <d v="2023-09-25T00:00:00"/>
    <x v="8"/>
    <x v="5"/>
    <x v="0"/>
    <x v="393"/>
    <x v="3134"/>
    <s v="Bank Transfer"/>
    <s v="REV102612"/>
    <x v="1"/>
  </r>
  <r>
    <d v="2023-09-25T00:00:00"/>
    <x v="8"/>
    <x v="5"/>
    <x v="2"/>
    <x v="649"/>
    <x v="153"/>
    <s v="UPI"/>
    <s v="REV102684"/>
    <x v="1"/>
  </r>
  <r>
    <d v="2023-09-25T00:00:00"/>
    <x v="8"/>
    <x v="6"/>
    <x v="2"/>
    <x v="3853"/>
    <x v="403"/>
    <s v="Bank Transfer"/>
    <s v="REV103199"/>
    <x v="1"/>
  </r>
  <r>
    <d v="2023-09-25T00:00:00"/>
    <x v="8"/>
    <x v="6"/>
    <x v="2"/>
    <x v="3854"/>
    <x v="443"/>
    <s v="Card"/>
    <s v="REV103316"/>
    <x v="1"/>
  </r>
  <r>
    <d v="2023-09-26T00:00:00"/>
    <x v="8"/>
    <x v="2"/>
    <x v="0"/>
    <x v="3855"/>
    <x v="3909"/>
    <s v="Card"/>
    <s v="TXN101680"/>
    <x v="0"/>
  </r>
  <r>
    <d v="2023-09-26T00:00:00"/>
    <x v="8"/>
    <x v="4"/>
    <x v="0"/>
    <x v="3856"/>
    <x v="3910"/>
    <s v="Cash"/>
    <s v="TXN101694"/>
    <x v="0"/>
  </r>
  <r>
    <d v="2023-09-26T00:00:00"/>
    <x v="8"/>
    <x v="0"/>
    <x v="3"/>
    <x v="3857"/>
    <x v="3911"/>
    <s v="Bank Transfer"/>
    <s v="TXN102616"/>
    <x v="0"/>
  </r>
  <r>
    <d v="2023-09-26T00:00:00"/>
    <x v="8"/>
    <x v="1"/>
    <x v="0"/>
    <x v="3858"/>
    <x v="3912"/>
    <s v="UPI"/>
    <s v="TXN103570"/>
    <x v="0"/>
  </r>
  <r>
    <d v="2023-09-26T00:00:00"/>
    <x v="8"/>
    <x v="7"/>
    <x v="3"/>
    <x v="3859"/>
    <x v="3913"/>
    <s v="Card"/>
    <s v="TXN104211"/>
    <x v="0"/>
  </r>
  <r>
    <d v="2023-09-26T00:00:00"/>
    <x v="8"/>
    <x v="4"/>
    <x v="3"/>
    <x v="3860"/>
    <x v="3914"/>
    <s v="Bank Transfer"/>
    <s v="TXN104678"/>
    <x v="0"/>
  </r>
  <r>
    <d v="2023-09-26T00:00:00"/>
    <x v="8"/>
    <x v="4"/>
    <x v="4"/>
    <x v="3861"/>
    <x v="3915"/>
    <s v="UPI"/>
    <s v="TXN104959"/>
    <x v="0"/>
  </r>
  <r>
    <d v="2023-09-26T00:00:00"/>
    <x v="8"/>
    <x v="7"/>
    <x v="0"/>
    <x v="3862"/>
    <x v="3916"/>
    <s v="Card"/>
    <s v="TXN105849"/>
    <x v="0"/>
  </r>
  <r>
    <d v="2023-09-26T00:00:00"/>
    <x v="8"/>
    <x v="1"/>
    <x v="2"/>
    <x v="3863"/>
    <x v="3917"/>
    <s v="UPI"/>
    <s v="TXN106500"/>
    <x v="0"/>
  </r>
  <r>
    <d v="2023-09-26T00:00:00"/>
    <x v="8"/>
    <x v="4"/>
    <x v="3"/>
    <x v="3864"/>
    <x v="3918"/>
    <s v="Bank Transfer"/>
    <s v="TXN106718"/>
    <x v="0"/>
  </r>
  <r>
    <d v="2023-09-26T00:00:00"/>
    <x v="8"/>
    <x v="4"/>
    <x v="1"/>
    <x v="3865"/>
    <x v="3919"/>
    <s v="Bank Transfer"/>
    <s v="TXN108092"/>
    <x v="0"/>
  </r>
  <r>
    <d v="2023-09-26T00:00:00"/>
    <x v="8"/>
    <x v="2"/>
    <x v="1"/>
    <x v="3866"/>
    <x v="3920"/>
    <s v="Card"/>
    <s v="TXN108998"/>
    <x v="0"/>
  </r>
  <r>
    <d v="2023-09-26T00:00:00"/>
    <x v="8"/>
    <x v="1"/>
    <x v="0"/>
    <x v="3867"/>
    <x v="3921"/>
    <s v="Card"/>
    <s v="TXN109264"/>
    <x v="0"/>
  </r>
  <r>
    <d v="2023-09-26T00:00:00"/>
    <x v="8"/>
    <x v="3"/>
    <x v="1"/>
    <x v="3868"/>
    <x v="3922"/>
    <s v="UPI"/>
    <s v="TXN109724"/>
    <x v="0"/>
  </r>
  <r>
    <d v="2023-09-26T00:00:00"/>
    <x v="8"/>
    <x v="5"/>
    <x v="0"/>
    <x v="2334"/>
    <x v="2193"/>
    <s v="Card"/>
    <s v="REV100618"/>
    <x v="1"/>
  </r>
  <r>
    <d v="2023-09-26T00:00:00"/>
    <x v="8"/>
    <x v="6"/>
    <x v="0"/>
    <x v="3869"/>
    <x v="1604"/>
    <s v="Bank Transfer"/>
    <s v="REV100622"/>
    <x v="1"/>
  </r>
  <r>
    <d v="2023-09-26T00:00:00"/>
    <x v="8"/>
    <x v="5"/>
    <x v="3"/>
    <x v="1650"/>
    <x v="3923"/>
    <s v="UPI"/>
    <s v="REV100917"/>
    <x v="1"/>
  </r>
  <r>
    <d v="2023-09-26T00:00:00"/>
    <x v="8"/>
    <x v="5"/>
    <x v="0"/>
    <x v="179"/>
    <x v="1221"/>
    <s v="Bank Transfer"/>
    <s v="REV101219"/>
    <x v="1"/>
  </r>
  <r>
    <d v="2023-09-26T00:00:00"/>
    <x v="8"/>
    <x v="5"/>
    <x v="3"/>
    <x v="3870"/>
    <x v="3924"/>
    <s v="Bank Transfer"/>
    <s v="REV101461"/>
    <x v="1"/>
  </r>
  <r>
    <d v="2023-09-26T00:00:00"/>
    <x v="8"/>
    <x v="5"/>
    <x v="3"/>
    <x v="1501"/>
    <x v="3925"/>
    <s v="Card"/>
    <s v="REV101601"/>
    <x v="1"/>
  </r>
  <r>
    <d v="2023-09-26T00:00:00"/>
    <x v="8"/>
    <x v="5"/>
    <x v="4"/>
    <x v="1729"/>
    <x v="3926"/>
    <s v="Bank Transfer"/>
    <s v="REV101692"/>
    <x v="1"/>
  </r>
  <r>
    <d v="2023-09-26T00:00:00"/>
    <x v="8"/>
    <x v="6"/>
    <x v="0"/>
    <x v="754"/>
    <x v="2013"/>
    <s v="Bank Transfer"/>
    <s v="REV101978"/>
    <x v="1"/>
  </r>
  <r>
    <d v="2023-09-26T00:00:00"/>
    <x v="8"/>
    <x v="5"/>
    <x v="2"/>
    <x v="2150"/>
    <x v="3927"/>
    <s v="Bank Transfer"/>
    <s v="REV102205"/>
    <x v="1"/>
  </r>
  <r>
    <d v="2023-09-26T00:00:00"/>
    <x v="8"/>
    <x v="6"/>
    <x v="3"/>
    <x v="1149"/>
    <x v="1743"/>
    <s v="Card"/>
    <s v="REV102286"/>
    <x v="1"/>
  </r>
  <r>
    <d v="2023-09-26T00:00:00"/>
    <x v="8"/>
    <x v="5"/>
    <x v="1"/>
    <x v="207"/>
    <x v="3928"/>
    <s v="UPI"/>
    <s v="REV102750"/>
    <x v="1"/>
  </r>
  <r>
    <d v="2023-09-26T00:00:00"/>
    <x v="8"/>
    <x v="6"/>
    <x v="1"/>
    <x v="3871"/>
    <x v="3586"/>
    <s v="Card"/>
    <s v="REV103047"/>
    <x v="1"/>
  </r>
  <r>
    <d v="2023-09-26T00:00:00"/>
    <x v="8"/>
    <x v="5"/>
    <x v="0"/>
    <x v="2963"/>
    <x v="235"/>
    <s v="UPI"/>
    <s v="REV103127"/>
    <x v="1"/>
  </r>
  <r>
    <d v="2023-09-26T00:00:00"/>
    <x v="8"/>
    <x v="5"/>
    <x v="1"/>
    <x v="3872"/>
    <x v="3929"/>
    <s v="Card"/>
    <s v="REV103290"/>
    <x v="1"/>
  </r>
  <r>
    <d v="2023-09-27T00:00:00"/>
    <x v="8"/>
    <x v="3"/>
    <x v="3"/>
    <x v="3873"/>
    <x v="3930"/>
    <s v="Card"/>
    <s v="TXN103143"/>
    <x v="0"/>
  </r>
  <r>
    <d v="2023-09-27T00:00:00"/>
    <x v="8"/>
    <x v="7"/>
    <x v="1"/>
    <x v="3874"/>
    <x v="3931"/>
    <s v="Cash"/>
    <s v="TXN104219"/>
    <x v="0"/>
  </r>
  <r>
    <d v="2023-09-27T00:00:00"/>
    <x v="8"/>
    <x v="3"/>
    <x v="2"/>
    <x v="3875"/>
    <x v="3932"/>
    <s v="UPI"/>
    <s v="TXN106400"/>
    <x v="0"/>
  </r>
  <r>
    <d v="2023-09-27T00:00:00"/>
    <x v="8"/>
    <x v="2"/>
    <x v="0"/>
    <x v="3876"/>
    <x v="3933"/>
    <s v="Cash"/>
    <s v="TXN106580"/>
    <x v="0"/>
  </r>
  <r>
    <d v="2023-09-27T00:00:00"/>
    <x v="8"/>
    <x v="2"/>
    <x v="3"/>
    <x v="3877"/>
    <x v="3934"/>
    <s v="Card"/>
    <s v="TXN109015"/>
    <x v="0"/>
  </r>
  <r>
    <d v="2023-09-27T00:00:00"/>
    <x v="8"/>
    <x v="6"/>
    <x v="3"/>
    <x v="1962"/>
    <x v="1089"/>
    <s v="Card"/>
    <s v="REV101084"/>
    <x v="1"/>
  </r>
  <r>
    <d v="2023-09-27T00:00:00"/>
    <x v="8"/>
    <x v="5"/>
    <x v="1"/>
    <x v="3337"/>
    <x v="570"/>
    <s v="Bank Transfer"/>
    <s v="REV101463"/>
    <x v="1"/>
  </r>
  <r>
    <d v="2023-09-27T00:00:00"/>
    <x v="8"/>
    <x v="6"/>
    <x v="2"/>
    <x v="133"/>
    <x v="977"/>
    <s v="UPI"/>
    <s v="REV102164"/>
    <x v="1"/>
  </r>
  <r>
    <d v="2023-09-27T00:00:00"/>
    <x v="8"/>
    <x v="5"/>
    <x v="0"/>
    <x v="3878"/>
    <x v="3935"/>
    <s v="Card"/>
    <s v="REV102236"/>
    <x v="1"/>
  </r>
  <r>
    <d v="2023-09-27T00:00:00"/>
    <x v="8"/>
    <x v="5"/>
    <x v="3"/>
    <x v="3404"/>
    <x v="3936"/>
    <s v="Bank Transfer"/>
    <s v="REV103051"/>
    <x v="1"/>
  </r>
  <r>
    <d v="2023-09-28T00:00:00"/>
    <x v="8"/>
    <x v="2"/>
    <x v="4"/>
    <x v="3879"/>
    <x v="3937"/>
    <s v="UPI"/>
    <s v="TXN101559"/>
    <x v="0"/>
  </r>
  <r>
    <d v="2023-09-28T00:00:00"/>
    <x v="8"/>
    <x v="4"/>
    <x v="2"/>
    <x v="3880"/>
    <x v="3938"/>
    <s v="Bank Transfer"/>
    <s v="TXN102218"/>
    <x v="0"/>
  </r>
  <r>
    <d v="2023-09-28T00:00:00"/>
    <x v="8"/>
    <x v="1"/>
    <x v="0"/>
    <x v="3881"/>
    <x v="3939"/>
    <s v="Card"/>
    <s v="TXN102386"/>
    <x v="0"/>
  </r>
  <r>
    <d v="2023-09-28T00:00:00"/>
    <x v="8"/>
    <x v="1"/>
    <x v="4"/>
    <x v="3882"/>
    <x v="2593"/>
    <s v="Bank Transfer"/>
    <s v="TXN103659"/>
    <x v="0"/>
  </r>
  <r>
    <d v="2023-09-28T00:00:00"/>
    <x v="8"/>
    <x v="4"/>
    <x v="3"/>
    <x v="3883"/>
    <x v="3940"/>
    <s v="Bank Transfer"/>
    <s v="TXN106052"/>
    <x v="0"/>
  </r>
  <r>
    <d v="2023-09-28T00:00:00"/>
    <x v="8"/>
    <x v="7"/>
    <x v="1"/>
    <x v="3884"/>
    <x v="3941"/>
    <s v="UPI"/>
    <s v="TXN107449"/>
    <x v="0"/>
  </r>
  <r>
    <d v="2023-09-28T00:00:00"/>
    <x v="8"/>
    <x v="0"/>
    <x v="3"/>
    <x v="2304"/>
    <x v="3942"/>
    <s v="Bank Transfer"/>
    <s v="TXN107772"/>
    <x v="0"/>
  </r>
  <r>
    <d v="2023-09-28T00:00:00"/>
    <x v="8"/>
    <x v="5"/>
    <x v="4"/>
    <x v="179"/>
    <x v="3012"/>
    <s v="Bank Transfer"/>
    <s v="REV100572"/>
    <x v="1"/>
  </r>
  <r>
    <d v="2023-09-28T00:00:00"/>
    <x v="8"/>
    <x v="5"/>
    <x v="2"/>
    <x v="3885"/>
    <x v="317"/>
    <s v="UPI"/>
    <s v="REV100785"/>
    <x v="1"/>
  </r>
  <r>
    <d v="2023-09-28T00:00:00"/>
    <x v="8"/>
    <x v="5"/>
    <x v="0"/>
    <x v="3871"/>
    <x v="1108"/>
    <s v="Bank Transfer"/>
    <s v="REV100842"/>
    <x v="1"/>
  </r>
  <r>
    <d v="2023-09-28T00:00:00"/>
    <x v="8"/>
    <x v="5"/>
    <x v="4"/>
    <x v="2182"/>
    <x v="248"/>
    <s v="UPI"/>
    <s v="REV101251"/>
    <x v="1"/>
  </r>
  <r>
    <d v="2023-09-28T00:00:00"/>
    <x v="8"/>
    <x v="5"/>
    <x v="3"/>
    <x v="280"/>
    <x v="1500"/>
    <s v="Bank Transfer"/>
    <s v="REV102045"/>
    <x v="1"/>
  </r>
  <r>
    <d v="2023-09-28T00:00:00"/>
    <x v="8"/>
    <x v="6"/>
    <x v="1"/>
    <x v="2305"/>
    <x v="3943"/>
    <s v="Card"/>
    <s v="REV102529"/>
    <x v="1"/>
  </r>
  <r>
    <d v="2023-09-28T00:00:00"/>
    <x v="8"/>
    <x v="6"/>
    <x v="3"/>
    <x v="3049"/>
    <x v="760"/>
    <s v="Bank Transfer"/>
    <s v="REV102643"/>
    <x v="1"/>
  </r>
  <r>
    <d v="2023-09-29T00:00:00"/>
    <x v="8"/>
    <x v="7"/>
    <x v="0"/>
    <x v="3886"/>
    <x v="3944"/>
    <s v="UPI"/>
    <s v="TXN103425"/>
    <x v="0"/>
  </r>
  <r>
    <d v="2023-09-29T00:00:00"/>
    <x v="8"/>
    <x v="3"/>
    <x v="0"/>
    <x v="3887"/>
    <x v="3945"/>
    <s v="Bank Transfer"/>
    <s v="TXN103953"/>
    <x v="0"/>
  </r>
  <r>
    <d v="2023-09-29T00:00:00"/>
    <x v="8"/>
    <x v="4"/>
    <x v="1"/>
    <x v="3888"/>
    <x v="3946"/>
    <s v="Cash"/>
    <s v="TXN104119"/>
    <x v="0"/>
  </r>
  <r>
    <d v="2023-09-29T00:00:00"/>
    <x v="8"/>
    <x v="7"/>
    <x v="2"/>
    <x v="3889"/>
    <x v="3947"/>
    <s v="Cash"/>
    <s v="TXN104158"/>
    <x v="0"/>
  </r>
  <r>
    <d v="2023-09-29T00:00:00"/>
    <x v="8"/>
    <x v="3"/>
    <x v="4"/>
    <x v="3890"/>
    <x v="3948"/>
    <s v="Bank Transfer"/>
    <s v="TXN104783"/>
    <x v="0"/>
  </r>
  <r>
    <d v="2023-09-29T00:00:00"/>
    <x v="8"/>
    <x v="1"/>
    <x v="4"/>
    <x v="3891"/>
    <x v="3949"/>
    <s v="Cash"/>
    <s v="TXN106041"/>
    <x v="0"/>
  </r>
  <r>
    <d v="2023-09-29T00:00:00"/>
    <x v="8"/>
    <x v="2"/>
    <x v="2"/>
    <x v="3892"/>
    <x v="3950"/>
    <s v="Cash"/>
    <s v="TXN106615"/>
    <x v="0"/>
  </r>
  <r>
    <d v="2023-09-29T00:00:00"/>
    <x v="8"/>
    <x v="2"/>
    <x v="3"/>
    <x v="3893"/>
    <x v="3951"/>
    <s v="UPI"/>
    <s v="TXN107869"/>
    <x v="0"/>
  </r>
  <r>
    <d v="2023-09-29T00:00:00"/>
    <x v="8"/>
    <x v="3"/>
    <x v="4"/>
    <x v="3894"/>
    <x v="3952"/>
    <s v="UPI"/>
    <s v="TXN108362"/>
    <x v="0"/>
  </r>
  <r>
    <d v="2023-09-29T00:00:00"/>
    <x v="8"/>
    <x v="7"/>
    <x v="4"/>
    <x v="3895"/>
    <x v="3953"/>
    <s v="Card"/>
    <s v="TXN108628"/>
    <x v="0"/>
  </r>
  <r>
    <d v="2023-09-29T00:00:00"/>
    <x v="8"/>
    <x v="4"/>
    <x v="0"/>
    <x v="3896"/>
    <x v="3954"/>
    <s v="Cash"/>
    <s v="TXN109522"/>
    <x v="0"/>
  </r>
  <r>
    <d v="2023-09-29T00:00:00"/>
    <x v="8"/>
    <x v="6"/>
    <x v="0"/>
    <x v="179"/>
    <x v="2710"/>
    <s v="Bank Transfer"/>
    <s v="REV101173"/>
    <x v="1"/>
  </r>
  <r>
    <d v="2023-09-29T00:00:00"/>
    <x v="8"/>
    <x v="5"/>
    <x v="0"/>
    <x v="3897"/>
    <x v="3049"/>
    <s v="Card"/>
    <s v="REV101368"/>
    <x v="1"/>
  </r>
  <r>
    <d v="2023-09-29T00:00:00"/>
    <x v="8"/>
    <x v="5"/>
    <x v="1"/>
    <x v="1385"/>
    <x v="62"/>
    <s v="Card"/>
    <s v="REV101425"/>
    <x v="1"/>
  </r>
  <r>
    <d v="2023-09-29T00:00:00"/>
    <x v="8"/>
    <x v="5"/>
    <x v="2"/>
    <x v="3898"/>
    <x v="467"/>
    <s v="Bank Transfer"/>
    <s v="REV101443"/>
    <x v="1"/>
  </r>
  <r>
    <d v="2023-09-29T00:00:00"/>
    <x v="8"/>
    <x v="6"/>
    <x v="4"/>
    <x v="2185"/>
    <x v="1883"/>
    <s v="Card"/>
    <s v="REV101632"/>
    <x v="1"/>
  </r>
  <r>
    <d v="2023-09-29T00:00:00"/>
    <x v="8"/>
    <x v="6"/>
    <x v="4"/>
    <x v="289"/>
    <x v="701"/>
    <s v="Bank Transfer"/>
    <s v="REV102041"/>
    <x v="1"/>
  </r>
  <r>
    <d v="2023-09-29T00:00:00"/>
    <x v="8"/>
    <x v="6"/>
    <x v="2"/>
    <x v="944"/>
    <x v="3955"/>
    <s v="Bank Transfer"/>
    <s v="REV102247"/>
    <x v="1"/>
  </r>
  <r>
    <d v="2023-09-29T00:00:00"/>
    <x v="8"/>
    <x v="5"/>
    <x v="3"/>
    <x v="3899"/>
    <x v="1089"/>
    <s v="UPI"/>
    <s v="REV102675"/>
    <x v="1"/>
  </r>
  <r>
    <d v="2023-09-29T00:00:00"/>
    <x v="8"/>
    <x v="5"/>
    <x v="4"/>
    <x v="3900"/>
    <x v="3476"/>
    <s v="UPI"/>
    <s v="REV102846"/>
    <x v="1"/>
  </r>
  <r>
    <d v="2023-09-29T00:00:00"/>
    <x v="8"/>
    <x v="5"/>
    <x v="4"/>
    <x v="1910"/>
    <x v="600"/>
    <s v="Bank Transfer"/>
    <s v="REV102928"/>
    <x v="1"/>
  </r>
  <r>
    <d v="2023-09-29T00:00:00"/>
    <x v="8"/>
    <x v="5"/>
    <x v="0"/>
    <x v="1290"/>
    <x v="1980"/>
    <s v="Card"/>
    <s v="REV103214"/>
    <x v="1"/>
  </r>
  <r>
    <d v="2023-09-30T00:00:00"/>
    <x v="8"/>
    <x v="4"/>
    <x v="0"/>
    <x v="3901"/>
    <x v="3956"/>
    <s v="Cash"/>
    <s v="TXN100299"/>
    <x v="0"/>
  </r>
  <r>
    <d v="2023-09-30T00:00:00"/>
    <x v="8"/>
    <x v="4"/>
    <x v="1"/>
    <x v="3902"/>
    <x v="3957"/>
    <s v="UPI"/>
    <s v="TXN100888"/>
    <x v="0"/>
  </r>
  <r>
    <d v="2023-09-30T00:00:00"/>
    <x v="8"/>
    <x v="3"/>
    <x v="3"/>
    <x v="3903"/>
    <x v="3958"/>
    <s v="Card"/>
    <s v="TXN106424"/>
    <x v="0"/>
  </r>
  <r>
    <d v="2023-09-30T00:00:00"/>
    <x v="8"/>
    <x v="0"/>
    <x v="4"/>
    <x v="3904"/>
    <x v="3959"/>
    <s v="Cash"/>
    <s v="TXN107378"/>
    <x v="0"/>
  </r>
  <r>
    <d v="2023-09-30T00:00:00"/>
    <x v="8"/>
    <x v="7"/>
    <x v="0"/>
    <x v="3905"/>
    <x v="1396"/>
    <s v="UPI"/>
    <s v="TXN109813"/>
    <x v="0"/>
  </r>
  <r>
    <d v="2023-09-30T00:00:00"/>
    <x v="8"/>
    <x v="6"/>
    <x v="0"/>
    <x v="40"/>
    <x v="955"/>
    <s v="Card"/>
    <s v="REV100105"/>
    <x v="1"/>
  </r>
  <r>
    <d v="2023-09-30T00:00:00"/>
    <x v="8"/>
    <x v="5"/>
    <x v="1"/>
    <x v="3436"/>
    <x v="3854"/>
    <s v="Card"/>
    <s v="REV100327"/>
    <x v="1"/>
  </r>
  <r>
    <d v="2023-09-30T00:00:00"/>
    <x v="8"/>
    <x v="5"/>
    <x v="3"/>
    <x v="3906"/>
    <x v="1599"/>
    <s v="Bank Transfer"/>
    <s v="REV102173"/>
    <x v="1"/>
  </r>
  <r>
    <d v="2023-09-30T00:00:00"/>
    <x v="8"/>
    <x v="5"/>
    <x v="4"/>
    <x v="3907"/>
    <x v="3960"/>
    <s v="Bank Transfer"/>
    <s v="REV102504"/>
    <x v="1"/>
  </r>
  <r>
    <d v="2023-09-30T00:00:00"/>
    <x v="8"/>
    <x v="6"/>
    <x v="0"/>
    <x v="604"/>
    <x v="999"/>
    <s v="Card"/>
    <s v="REV103322"/>
    <x v="1"/>
  </r>
  <r>
    <d v="2023-10-01T00:00:00"/>
    <x v="9"/>
    <x v="4"/>
    <x v="4"/>
    <x v="3908"/>
    <x v="3961"/>
    <s v="UPI"/>
    <s v="TXN100305"/>
    <x v="0"/>
  </r>
  <r>
    <d v="2023-10-01T00:00:00"/>
    <x v="9"/>
    <x v="0"/>
    <x v="3"/>
    <x v="3909"/>
    <x v="3962"/>
    <s v="Bank Transfer"/>
    <s v="TXN100844"/>
    <x v="0"/>
  </r>
  <r>
    <d v="2023-10-01T00:00:00"/>
    <x v="9"/>
    <x v="4"/>
    <x v="2"/>
    <x v="3910"/>
    <x v="3963"/>
    <s v="Card"/>
    <s v="TXN102599"/>
    <x v="0"/>
  </r>
  <r>
    <d v="2023-10-01T00:00:00"/>
    <x v="9"/>
    <x v="3"/>
    <x v="3"/>
    <x v="3911"/>
    <x v="3964"/>
    <s v="UPI"/>
    <s v="TXN104084"/>
    <x v="0"/>
  </r>
  <r>
    <d v="2023-10-01T00:00:00"/>
    <x v="9"/>
    <x v="0"/>
    <x v="1"/>
    <x v="3912"/>
    <x v="3965"/>
    <s v="Cash"/>
    <s v="TXN105563"/>
    <x v="0"/>
  </r>
  <r>
    <d v="2023-10-01T00:00:00"/>
    <x v="9"/>
    <x v="0"/>
    <x v="0"/>
    <x v="3913"/>
    <x v="3966"/>
    <s v="Bank Transfer"/>
    <s v="TXN109090"/>
    <x v="0"/>
  </r>
  <r>
    <d v="2023-10-01T00:00:00"/>
    <x v="9"/>
    <x v="5"/>
    <x v="4"/>
    <x v="3436"/>
    <x v="2490"/>
    <s v="UPI"/>
    <s v="REV100108"/>
    <x v="1"/>
  </r>
  <r>
    <d v="2023-10-01T00:00:00"/>
    <x v="9"/>
    <x v="5"/>
    <x v="3"/>
    <x v="110"/>
    <x v="1152"/>
    <s v="Bank Transfer"/>
    <s v="REV100309"/>
    <x v="1"/>
  </r>
  <r>
    <d v="2023-10-01T00:00:00"/>
    <x v="9"/>
    <x v="6"/>
    <x v="2"/>
    <x v="1444"/>
    <x v="3967"/>
    <s v="Card"/>
    <s v="REV100910"/>
    <x v="1"/>
  </r>
  <r>
    <d v="2023-10-01T00:00:00"/>
    <x v="9"/>
    <x v="6"/>
    <x v="3"/>
    <x v="912"/>
    <x v="622"/>
    <s v="Bank Transfer"/>
    <s v="REV101411"/>
    <x v="1"/>
  </r>
  <r>
    <d v="2023-10-01T00:00:00"/>
    <x v="9"/>
    <x v="5"/>
    <x v="1"/>
    <x v="714"/>
    <x v="2380"/>
    <s v="Card"/>
    <s v="REV101897"/>
    <x v="1"/>
  </r>
  <r>
    <d v="2023-10-01T00:00:00"/>
    <x v="9"/>
    <x v="6"/>
    <x v="0"/>
    <x v="3683"/>
    <x v="3261"/>
    <s v="Bank Transfer"/>
    <s v="REV103077"/>
    <x v="1"/>
  </r>
  <r>
    <d v="2023-10-02T00:00:00"/>
    <x v="9"/>
    <x v="3"/>
    <x v="3"/>
    <x v="3914"/>
    <x v="3968"/>
    <s v="Card"/>
    <s v="TXN101460"/>
    <x v="0"/>
  </r>
  <r>
    <d v="2023-10-02T00:00:00"/>
    <x v="9"/>
    <x v="7"/>
    <x v="0"/>
    <x v="3915"/>
    <x v="3969"/>
    <s v="Card"/>
    <s v="TXN101598"/>
    <x v="0"/>
  </r>
  <r>
    <d v="2023-10-02T00:00:00"/>
    <x v="9"/>
    <x v="2"/>
    <x v="0"/>
    <x v="3916"/>
    <x v="3970"/>
    <s v="UPI"/>
    <s v="TXN102488"/>
    <x v="0"/>
  </r>
  <r>
    <d v="2023-10-02T00:00:00"/>
    <x v="9"/>
    <x v="2"/>
    <x v="1"/>
    <x v="3917"/>
    <x v="3971"/>
    <s v="Bank Transfer"/>
    <s v="TXN104390"/>
    <x v="0"/>
  </r>
  <r>
    <d v="2023-10-02T00:00:00"/>
    <x v="9"/>
    <x v="4"/>
    <x v="4"/>
    <x v="3918"/>
    <x v="3972"/>
    <s v="Cash"/>
    <s v="TXN105070"/>
    <x v="0"/>
  </r>
  <r>
    <d v="2023-10-02T00:00:00"/>
    <x v="9"/>
    <x v="4"/>
    <x v="1"/>
    <x v="3919"/>
    <x v="3973"/>
    <s v="UPI"/>
    <s v="TXN105936"/>
    <x v="0"/>
  </r>
  <r>
    <d v="2023-10-02T00:00:00"/>
    <x v="9"/>
    <x v="0"/>
    <x v="3"/>
    <x v="3920"/>
    <x v="3974"/>
    <s v="UPI"/>
    <s v="TXN106749"/>
    <x v="0"/>
  </r>
  <r>
    <d v="2023-10-02T00:00:00"/>
    <x v="9"/>
    <x v="1"/>
    <x v="1"/>
    <x v="3921"/>
    <x v="3975"/>
    <s v="Cash"/>
    <s v="TXN107607"/>
    <x v="0"/>
  </r>
  <r>
    <d v="2023-10-02T00:00:00"/>
    <x v="9"/>
    <x v="3"/>
    <x v="4"/>
    <x v="3922"/>
    <x v="3976"/>
    <s v="UPI"/>
    <s v="TXN108124"/>
    <x v="0"/>
  </r>
  <r>
    <d v="2023-10-02T00:00:00"/>
    <x v="9"/>
    <x v="1"/>
    <x v="3"/>
    <x v="3923"/>
    <x v="3977"/>
    <s v="Cash"/>
    <s v="TXN108485"/>
    <x v="0"/>
  </r>
  <r>
    <d v="2023-10-02T00:00:00"/>
    <x v="9"/>
    <x v="0"/>
    <x v="4"/>
    <x v="3924"/>
    <x v="3978"/>
    <s v="Card"/>
    <s v="TXN108953"/>
    <x v="0"/>
  </r>
  <r>
    <d v="2023-10-02T00:00:00"/>
    <x v="9"/>
    <x v="1"/>
    <x v="2"/>
    <x v="3925"/>
    <x v="3979"/>
    <s v="UPI"/>
    <s v="TXN109655"/>
    <x v="0"/>
  </r>
  <r>
    <d v="2023-10-02T00:00:00"/>
    <x v="9"/>
    <x v="5"/>
    <x v="3"/>
    <x v="616"/>
    <x v="1060"/>
    <s v="Bank Transfer"/>
    <s v="REV100537"/>
    <x v="1"/>
  </r>
  <r>
    <d v="2023-10-02T00:00:00"/>
    <x v="9"/>
    <x v="5"/>
    <x v="0"/>
    <x v="3926"/>
    <x v="1565"/>
    <s v="Bank Transfer"/>
    <s v="REV100591"/>
    <x v="1"/>
  </r>
  <r>
    <d v="2023-10-02T00:00:00"/>
    <x v="9"/>
    <x v="6"/>
    <x v="0"/>
    <x v="3927"/>
    <x v="3980"/>
    <s v="Bank Transfer"/>
    <s v="REV100875"/>
    <x v="1"/>
  </r>
  <r>
    <d v="2023-10-02T00:00:00"/>
    <x v="9"/>
    <x v="5"/>
    <x v="1"/>
    <x v="1908"/>
    <x v="3474"/>
    <s v="Card"/>
    <s v="REV101515"/>
    <x v="1"/>
  </r>
  <r>
    <d v="2023-10-02T00:00:00"/>
    <x v="9"/>
    <x v="6"/>
    <x v="4"/>
    <x v="2019"/>
    <x v="1827"/>
    <s v="Bank Transfer"/>
    <s v="REV101727"/>
    <x v="1"/>
  </r>
  <r>
    <d v="2023-10-02T00:00:00"/>
    <x v="9"/>
    <x v="6"/>
    <x v="1"/>
    <x v="3357"/>
    <x v="950"/>
    <s v="Bank Transfer"/>
    <s v="REV102005"/>
    <x v="1"/>
  </r>
  <r>
    <d v="2023-10-02T00:00:00"/>
    <x v="9"/>
    <x v="6"/>
    <x v="3"/>
    <x v="1245"/>
    <x v="1278"/>
    <s v="Bank Transfer"/>
    <s v="REV102300"/>
    <x v="1"/>
  </r>
  <r>
    <d v="2023-10-02T00:00:00"/>
    <x v="9"/>
    <x v="5"/>
    <x v="1"/>
    <x v="190"/>
    <x v="3981"/>
    <s v="Bank Transfer"/>
    <s v="REV102584"/>
    <x v="1"/>
  </r>
  <r>
    <d v="2023-10-02T00:00:00"/>
    <x v="9"/>
    <x v="5"/>
    <x v="4"/>
    <x v="3928"/>
    <x v="3982"/>
    <s v="Card"/>
    <s v="REV102759"/>
    <x v="1"/>
  </r>
  <r>
    <d v="2023-10-02T00:00:00"/>
    <x v="9"/>
    <x v="5"/>
    <x v="3"/>
    <x v="1950"/>
    <x v="425"/>
    <s v="Bank Transfer"/>
    <s v="REV102872"/>
    <x v="1"/>
  </r>
  <r>
    <d v="2023-10-02T00:00:00"/>
    <x v="9"/>
    <x v="5"/>
    <x v="4"/>
    <x v="3153"/>
    <x v="1152"/>
    <s v="Card"/>
    <s v="REV103032"/>
    <x v="1"/>
  </r>
  <r>
    <d v="2023-10-02T00:00:00"/>
    <x v="9"/>
    <x v="5"/>
    <x v="2"/>
    <x v="1150"/>
    <x v="2781"/>
    <s v="UPI"/>
    <s v="REV103265"/>
    <x v="1"/>
  </r>
  <r>
    <d v="2023-10-03T00:00:00"/>
    <x v="9"/>
    <x v="7"/>
    <x v="0"/>
    <x v="3929"/>
    <x v="3983"/>
    <s v="UPI"/>
    <s v="TXN101686"/>
    <x v="0"/>
  </r>
  <r>
    <d v="2023-10-03T00:00:00"/>
    <x v="9"/>
    <x v="0"/>
    <x v="0"/>
    <x v="3044"/>
    <x v="3984"/>
    <s v="Cash"/>
    <s v="TXN105934"/>
    <x v="0"/>
  </r>
  <r>
    <d v="2023-10-03T00:00:00"/>
    <x v="9"/>
    <x v="7"/>
    <x v="0"/>
    <x v="3930"/>
    <x v="3985"/>
    <s v="Bank Transfer"/>
    <s v="TXN106565"/>
    <x v="0"/>
  </r>
  <r>
    <d v="2023-10-03T00:00:00"/>
    <x v="9"/>
    <x v="1"/>
    <x v="3"/>
    <x v="3931"/>
    <x v="3986"/>
    <s v="UPI"/>
    <s v="TXN108962"/>
    <x v="0"/>
  </r>
  <r>
    <d v="2023-10-03T00:00:00"/>
    <x v="9"/>
    <x v="5"/>
    <x v="0"/>
    <x v="3932"/>
    <x v="3987"/>
    <s v="Bank Transfer"/>
    <s v="REV100619"/>
    <x v="1"/>
  </r>
  <r>
    <d v="2023-10-03T00:00:00"/>
    <x v="9"/>
    <x v="5"/>
    <x v="0"/>
    <x v="1245"/>
    <x v="358"/>
    <s v="Bank Transfer"/>
    <s v="REV102004"/>
    <x v="1"/>
  </r>
  <r>
    <d v="2023-10-03T00:00:00"/>
    <x v="9"/>
    <x v="5"/>
    <x v="0"/>
    <x v="460"/>
    <x v="3326"/>
    <s v="Bank Transfer"/>
    <s v="REV102228"/>
    <x v="1"/>
  </r>
  <r>
    <d v="2023-10-03T00:00:00"/>
    <x v="9"/>
    <x v="6"/>
    <x v="3"/>
    <x v="2489"/>
    <x v="2546"/>
    <s v="UPI"/>
    <s v="REV103035"/>
    <x v="1"/>
  </r>
  <r>
    <d v="2023-10-04T00:00:00"/>
    <x v="9"/>
    <x v="2"/>
    <x v="0"/>
    <x v="3933"/>
    <x v="3988"/>
    <s v="Card"/>
    <s v="TXN100789"/>
    <x v="0"/>
  </r>
  <r>
    <d v="2023-10-04T00:00:00"/>
    <x v="9"/>
    <x v="7"/>
    <x v="1"/>
    <x v="3934"/>
    <x v="3989"/>
    <s v="UPI"/>
    <s v="TXN100940"/>
    <x v="0"/>
  </r>
  <r>
    <d v="2023-10-04T00:00:00"/>
    <x v="9"/>
    <x v="3"/>
    <x v="4"/>
    <x v="3935"/>
    <x v="3990"/>
    <s v="Bank Transfer"/>
    <s v="TXN102547"/>
    <x v="0"/>
  </r>
  <r>
    <d v="2023-10-04T00:00:00"/>
    <x v="9"/>
    <x v="1"/>
    <x v="0"/>
    <x v="3936"/>
    <x v="3991"/>
    <s v="UPI"/>
    <s v="TXN102897"/>
    <x v="0"/>
  </r>
  <r>
    <d v="2023-10-04T00:00:00"/>
    <x v="9"/>
    <x v="3"/>
    <x v="3"/>
    <x v="3937"/>
    <x v="3992"/>
    <s v="UPI"/>
    <s v="TXN103105"/>
    <x v="0"/>
  </r>
  <r>
    <d v="2023-10-04T00:00:00"/>
    <x v="9"/>
    <x v="5"/>
    <x v="0"/>
    <x v="3209"/>
    <x v="329"/>
    <s v="Bank Transfer"/>
    <s v="REV100288"/>
    <x v="1"/>
  </r>
  <r>
    <d v="2023-10-04T00:00:00"/>
    <x v="9"/>
    <x v="5"/>
    <x v="1"/>
    <x v="174"/>
    <x v="896"/>
    <s v="Bank Transfer"/>
    <s v="REV100349"/>
    <x v="1"/>
  </r>
  <r>
    <d v="2023-10-04T00:00:00"/>
    <x v="9"/>
    <x v="6"/>
    <x v="4"/>
    <x v="2153"/>
    <x v="3144"/>
    <s v="Bank Transfer"/>
    <s v="REV100891"/>
    <x v="1"/>
  </r>
  <r>
    <d v="2023-10-04T00:00:00"/>
    <x v="9"/>
    <x v="5"/>
    <x v="0"/>
    <x v="2151"/>
    <x v="364"/>
    <s v="Bank Transfer"/>
    <s v="REV101012"/>
    <x v="1"/>
  </r>
  <r>
    <d v="2023-10-04T00:00:00"/>
    <x v="9"/>
    <x v="6"/>
    <x v="3"/>
    <x v="2150"/>
    <x v="1759"/>
    <s v="Card"/>
    <s v="REV101073"/>
    <x v="1"/>
  </r>
  <r>
    <d v="2023-10-05T00:00:00"/>
    <x v="9"/>
    <x v="0"/>
    <x v="3"/>
    <x v="3938"/>
    <x v="3993"/>
    <s v="UPI"/>
    <s v="TXN100846"/>
    <x v="0"/>
  </r>
  <r>
    <d v="2023-10-05T00:00:00"/>
    <x v="9"/>
    <x v="0"/>
    <x v="2"/>
    <x v="3939"/>
    <x v="3994"/>
    <s v="Bank Transfer"/>
    <s v="TXN101245"/>
    <x v="0"/>
  </r>
  <r>
    <d v="2023-10-05T00:00:00"/>
    <x v="9"/>
    <x v="4"/>
    <x v="4"/>
    <x v="3940"/>
    <x v="3995"/>
    <s v="Cash"/>
    <s v="TXN101614"/>
    <x v="0"/>
  </r>
  <r>
    <d v="2023-10-05T00:00:00"/>
    <x v="9"/>
    <x v="4"/>
    <x v="2"/>
    <x v="3941"/>
    <x v="3996"/>
    <s v="Cash"/>
    <s v="TXN102585"/>
    <x v="0"/>
  </r>
  <r>
    <d v="2023-10-05T00:00:00"/>
    <x v="9"/>
    <x v="7"/>
    <x v="0"/>
    <x v="3942"/>
    <x v="3997"/>
    <s v="Card"/>
    <s v="TXN103335"/>
    <x v="0"/>
  </r>
  <r>
    <d v="2023-10-05T00:00:00"/>
    <x v="9"/>
    <x v="0"/>
    <x v="4"/>
    <x v="3943"/>
    <x v="3998"/>
    <s v="Bank Transfer"/>
    <s v="TXN105480"/>
    <x v="0"/>
  </r>
  <r>
    <d v="2023-10-05T00:00:00"/>
    <x v="9"/>
    <x v="2"/>
    <x v="4"/>
    <x v="3944"/>
    <x v="3999"/>
    <s v="Bank Transfer"/>
    <s v="TXN105930"/>
    <x v="0"/>
  </r>
  <r>
    <d v="2023-10-05T00:00:00"/>
    <x v="9"/>
    <x v="0"/>
    <x v="0"/>
    <x v="3945"/>
    <x v="4000"/>
    <s v="Card"/>
    <s v="TXN106456"/>
    <x v="0"/>
  </r>
  <r>
    <d v="2023-10-05T00:00:00"/>
    <x v="9"/>
    <x v="7"/>
    <x v="1"/>
    <x v="3946"/>
    <x v="4001"/>
    <s v="UPI"/>
    <s v="TXN107667"/>
    <x v="0"/>
  </r>
  <r>
    <d v="2023-10-05T00:00:00"/>
    <x v="9"/>
    <x v="5"/>
    <x v="3"/>
    <x v="3083"/>
    <x v="226"/>
    <s v="Bank Transfer"/>
    <s v="REV100310"/>
    <x v="1"/>
  </r>
  <r>
    <d v="2023-10-05T00:00:00"/>
    <x v="9"/>
    <x v="5"/>
    <x v="2"/>
    <x v="1418"/>
    <x v="2600"/>
    <s v="Card"/>
    <s v="REV100455"/>
    <x v="1"/>
  </r>
  <r>
    <d v="2023-10-05T00:00:00"/>
    <x v="9"/>
    <x v="6"/>
    <x v="4"/>
    <x v="1590"/>
    <x v="637"/>
    <s v="UPI"/>
    <s v="REV100597"/>
    <x v="1"/>
  </r>
  <r>
    <d v="2023-10-05T00:00:00"/>
    <x v="9"/>
    <x v="5"/>
    <x v="2"/>
    <x v="234"/>
    <x v="657"/>
    <s v="Bank Transfer"/>
    <s v="REV100903"/>
    <x v="1"/>
  </r>
  <r>
    <d v="2023-10-05T00:00:00"/>
    <x v="9"/>
    <x v="6"/>
    <x v="0"/>
    <x v="3282"/>
    <x v="2230"/>
    <s v="UPI"/>
    <s v="REV101147"/>
    <x v="1"/>
  </r>
  <r>
    <d v="2023-10-05T00:00:00"/>
    <x v="9"/>
    <x v="6"/>
    <x v="4"/>
    <x v="3947"/>
    <x v="2752"/>
    <s v="Bank Transfer"/>
    <s v="REV101865"/>
    <x v="1"/>
  </r>
  <r>
    <d v="2023-10-05T00:00:00"/>
    <x v="9"/>
    <x v="6"/>
    <x v="4"/>
    <x v="3948"/>
    <x v="4002"/>
    <s v="Bank Transfer"/>
    <s v="REV102002"/>
    <x v="1"/>
  </r>
  <r>
    <d v="2023-10-05T00:00:00"/>
    <x v="9"/>
    <x v="5"/>
    <x v="0"/>
    <x v="2112"/>
    <x v="3906"/>
    <s v="Bank Transfer"/>
    <s v="REV102185"/>
    <x v="1"/>
  </r>
  <r>
    <d v="2023-10-05T00:00:00"/>
    <x v="9"/>
    <x v="6"/>
    <x v="1"/>
    <x v="3513"/>
    <x v="2780"/>
    <s v="Bank Transfer"/>
    <s v="REV102611"/>
    <x v="1"/>
  </r>
  <r>
    <d v="2023-10-06T00:00:00"/>
    <x v="9"/>
    <x v="1"/>
    <x v="2"/>
    <x v="3949"/>
    <x v="4003"/>
    <s v="Card"/>
    <s v="TXN100344"/>
    <x v="0"/>
  </r>
  <r>
    <d v="2023-10-06T00:00:00"/>
    <x v="9"/>
    <x v="7"/>
    <x v="2"/>
    <x v="3950"/>
    <x v="4004"/>
    <s v="UPI"/>
    <s v="TXN100404"/>
    <x v="0"/>
  </r>
  <r>
    <d v="2023-10-06T00:00:00"/>
    <x v="9"/>
    <x v="3"/>
    <x v="1"/>
    <x v="3951"/>
    <x v="4005"/>
    <s v="Card"/>
    <s v="TXN100849"/>
    <x v="0"/>
  </r>
  <r>
    <d v="2023-10-06T00:00:00"/>
    <x v="9"/>
    <x v="3"/>
    <x v="2"/>
    <x v="3952"/>
    <x v="4006"/>
    <s v="UPI"/>
    <s v="TXN101305"/>
    <x v="0"/>
  </r>
  <r>
    <d v="2023-10-06T00:00:00"/>
    <x v="9"/>
    <x v="4"/>
    <x v="3"/>
    <x v="3953"/>
    <x v="4007"/>
    <s v="UPI"/>
    <s v="TXN101508"/>
    <x v="0"/>
  </r>
  <r>
    <d v="2023-10-06T00:00:00"/>
    <x v="9"/>
    <x v="2"/>
    <x v="2"/>
    <x v="3954"/>
    <x v="4008"/>
    <s v="Cash"/>
    <s v="TXN104001"/>
    <x v="0"/>
  </r>
  <r>
    <d v="2023-10-06T00:00:00"/>
    <x v="9"/>
    <x v="4"/>
    <x v="3"/>
    <x v="3955"/>
    <x v="4009"/>
    <s v="Bank Transfer"/>
    <s v="TXN104519"/>
    <x v="0"/>
  </r>
  <r>
    <d v="2023-10-06T00:00:00"/>
    <x v="9"/>
    <x v="7"/>
    <x v="3"/>
    <x v="3956"/>
    <x v="4010"/>
    <s v="Cash"/>
    <s v="TXN105463"/>
    <x v="0"/>
  </r>
  <r>
    <d v="2023-10-06T00:00:00"/>
    <x v="9"/>
    <x v="1"/>
    <x v="1"/>
    <x v="3957"/>
    <x v="4011"/>
    <s v="Cash"/>
    <s v="TXN106342"/>
    <x v="0"/>
  </r>
  <r>
    <d v="2023-10-06T00:00:00"/>
    <x v="9"/>
    <x v="2"/>
    <x v="1"/>
    <x v="3958"/>
    <x v="4012"/>
    <s v="Card"/>
    <s v="TXN107545"/>
    <x v="0"/>
  </r>
  <r>
    <d v="2023-10-06T00:00:00"/>
    <x v="9"/>
    <x v="5"/>
    <x v="2"/>
    <x v="1136"/>
    <x v="4013"/>
    <s v="Card"/>
    <s v="REV100129"/>
    <x v="1"/>
  </r>
  <r>
    <d v="2023-10-06T00:00:00"/>
    <x v="9"/>
    <x v="5"/>
    <x v="2"/>
    <x v="504"/>
    <x v="2600"/>
    <s v="Card"/>
    <s v="REV100154"/>
    <x v="1"/>
  </r>
  <r>
    <d v="2023-10-06T00:00:00"/>
    <x v="9"/>
    <x v="5"/>
    <x v="1"/>
    <x v="843"/>
    <x v="658"/>
    <s v="Card"/>
    <s v="REV100312"/>
    <x v="1"/>
  </r>
  <r>
    <d v="2023-10-06T00:00:00"/>
    <x v="9"/>
    <x v="5"/>
    <x v="2"/>
    <x v="505"/>
    <x v="1208"/>
    <s v="Card"/>
    <s v="REV100481"/>
    <x v="1"/>
  </r>
  <r>
    <d v="2023-10-06T00:00:00"/>
    <x v="9"/>
    <x v="5"/>
    <x v="3"/>
    <x v="1839"/>
    <x v="487"/>
    <s v="Card"/>
    <s v="REV100554"/>
    <x v="1"/>
  </r>
  <r>
    <d v="2023-10-06T00:00:00"/>
    <x v="9"/>
    <x v="5"/>
    <x v="2"/>
    <x v="1204"/>
    <x v="4014"/>
    <s v="Card"/>
    <s v="REV101387"/>
    <x v="1"/>
  </r>
  <r>
    <d v="2023-10-06T00:00:00"/>
    <x v="9"/>
    <x v="5"/>
    <x v="3"/>
    <x v="240"/>
    <x v="714"/>
    <s v="Bank Transfer"/>
    <s v="REV101551"/>
    <x v="1"/>
  </r>
  <r>
    <d v="2023-10-06T00:00:00"/>
    <x v="9"/>
    <x v="6"/>
    <x v="3"/>
    <x v="1647"/>
    <x v="1743"/>
    <s v="Bank Transfer"/>
    <s v="REV101861"/>
    <x v="1"/>
  </r>
  <r>
    <d v="2023-10-06T00:00:00"/>
    <x v="9"/>
    <x v="6"/>
    <x v="1"/>
    <x v="1318"/>
    <x v="172"/>
    <s v="Bank Transfer"/>
    <s v="REV102140"/>
    <x v="1"/>
  </r>
  <r>
    <d v="2023-10-06T00:00:00"/>
    <x v="9"/>
    <x v="5"/>
    <x v="1"/>
    <x v="631"/>
    <x v="1063"/>
    <s v="Card"/>
    <s v="REV102559"/>
    <x v="1"/>
  </r>
  <r>
    <d v="2023-10-07T00:00:00"/>
    <x v="9"/>
    <x v="3"/>
    <x v="0"/>
    <x v="3959"/>
    <x v="4015"/>
    <s v="Card"/>
    <s v="TXN100916"/>
    <x v="0"/>
  </r>
  <r>
    <d v="2023-10-07T00:00:00"/>
    <x v="9"/>
    <x v="7"/>
    <x v="2"/>
    <x v="3960"/>
    <x v="4016"/>
    <s v="Bank Transfer"/>
    <s v="TXN101547"/>
    <x v="0"/>
  </r>
  <r>
    <d v="2023-10-07T00:00:00"/>
    <x v="9"/>
    <x v="2"/>
    <x v="2"/>
    <x v="3961"/>
    <x v="4017"/>
    <s v="UPI"/>
    <s v="TXN102121"/>
    <x v="0"/>
  </r>
  <r>
    <d v="2023-10-07T00:00:00"/>
    <x v="9"/>
    <x v="7"/>
    <x v="3"/>
    <x v="3962"/>
    <x v="4018"/>
    <s v="Card"/>
    <s v="TXN105580"/>
    <x v="0"/>
  </r>
  <r>
    <d v="2023-10-07T00:00:00"/>
    <x v="9"/>
    <x v="1"/>
    <x v="4"/>
    <x v="3963"/>
    <x v="4019"/>
    <s v="UPI"/>
    <s v="TXN106406"/>
    <x v="0"/>
  </r>
  <r>
    <d v="2023-10-07T00:00:00"/>
    <x v="9"/>
    <x v="3"/>
    <x v="4"/>
    <x v="3964"/>
    <x v="4020"/>
    <s v="Bank Transfer"/>
    <s v="TXN106779"/>
    <x v="0"/>
  </r>
  <r>
    <d v="2023-10-07T00:00:00"/>
    <x v="9"/>
    <x v="7"/>
    <x v="2"/>
    <x v="3965"/>
    <x v="4021"/>
    <s v="UPI"/>
    <s v="TXN107036"/>
    <x v="0"/>
  </r>
  <r>
    <d v="2023-10-07T00:00:00"/>
    <x v="9"/>
    <x v="4"/>
    <x v="1"/>
    <x v="3966"/>
    <x v="4022"/>
    <s v="Cash"/>
    <s v="TXN107053"/>
    <x v="0"/>
  </r>
  <r>
    <d v="2023-10-07T00:00:00"/>
    <x v="9"/>
    <x v="2"/>
    <x v="4"/>
    <x v="3967"/>
    <x v="4023"/>
    <s v="Cash"/>
    <s v="TXN107547"/>
    <x v="0"/>
  </r>
  <r>
    <d v="2023-10-07T00:00:00"/>
    <x v="9"/>
    <x v="5"/>
    <x v="0"/>
    <x v="438"/>
    <x v="2493"/>
    <s v="UPI"/>
    <s v="REV100336"/>
    <x v="1"/>
  </r>
  <r>
    <d v="2023-10-07T00:00:00"/>
    <x v="9"/>
    <x v="5"/>
    <x v="2"/>
    <x v="238"/>
    <x v="1012"/>
    <s v="Card"/>
    <s v="REV100569"/>
    <x v="1"/>
  </r>
  <r>
    <d v="2023-10-07T00:00:00"/>
    <x v="9"/>
    <x v="6"/>
    <x v="2"/>
    <x v="863"/>
    <x v="2211"/>
    <s v="Card"/>
    <s v="REV100754"/>
    <x v="1"/>
  </r>
  <r>
    <d v="2023-10-07T00:00:00"/>
    <x v="9"/>
    <x v="5"/>
    <x v="3"/>
    <x v="1961"/>
    <x v="3209"/>
    <s v="Bank Transfer"/>
    <s v="REV101905"/>
    <x v="1"/>
  </r>
  <r>
    <d v="2023-10-07T00:00:00"/>
    <x v="9"/>
    <x v="6"/>
    <x v="4"/>
    <x v="3968"/>
    <x v="4024"/>
    <s v="Card"/>
    <s v="REV102166"/>
    <x v="1"/>
  </r>
  <r>
    <d v="2023-10-07T00:00:00"/>
    <x v="9"/>
    <x v="5"/>
    <x v="4"/>
    <x v="3248"/>
    <x v="716"/>
    <s v="Bank Transfer"/>
    <s v="REV102308"/>
    <x v="1"/>
  </r>
  <r>
    <d v="2023-10-07T00:00:00"/>
    <x v="9"/>
    <x v="5"/>
    <x v="2"/>
    <x v="1665"/>
    <x v="137"/>
    <s v="Bank Transfer"/>
    <s v="REV102389"/>
    <x v="1"/>
  </r>
  <r>
    <d v="2023-10-07T00:00:00"/>
    <x v="9"/>
    <x v="5"/>
    <x v="1"/>
    <x v="692"/>
    <x v="482"/>
    <s v="Bank Transfer"/>
    <s v="REV102394"/>
    <x v="1"/>
  </r>
  <r>
    <d v="2023-10-07T00:00:00"/>
    <x v="9"/>
    <x v="6"/>
    <x v="4"/>
    <x v="617"/>
    <x v="4025"/>
    <s v="Bank Transfer"/>
    <s v="REV102560"/>
    <x v="1"/>
  </r>
  <r>
    <d v="2023-10-08T00:00:00"/>
    <x v="9"/>
    <x v="1"/>
    <x v="0"/>
    <x v="3969"/>
    <x v="4026"/>
    <s v="Cash"/>
    <s v="TXN101814"/>
    <x v="0"/>
  </r>
  <r>
    <d v="2023-10-08T00:00:00"/>
    <x v="9"/>
    <x v="2"/>
    <x v="2"/>
    <x v="3970"/>
    <x v="4027"/>
    <s v="Bank Transfer"/>
    <s v="TXN103369"/>
    <x v="0"/>
  </r>
  <r>
    <d v="2023-10-08T00:00:00"/>
    <x v="9"/>
    <x v="1"/>
    <x v="2"/>
    <x v="3971"/>
    <x v="4028"/>
    <s v="Cash"/>
    <s v="TXN104270"/>
    <x v="0"/>
  </r>
  <r>
    <d v="2023-10-08T00:00:00"/>
    <x v="9"/>
    <x v="0"/>
    <x v="1"/>
    <x v="3972"/>
    <x v="4029"/>
    <s v="Bank Transfer"/>
    <s v="TXN106638"/>
    <x v="0"/>
  </r>
  <r>
    <d v="2023-10-08T00:00:00"/>
    <x v="9"/>
    <x v="6"/>
    <x v="0"/>
    <x v="181"/>
    <x v="4030"/>
    <s v="UPI"/>
    <s v="REV100661"/>
    <x v="1"/>
  </r>
  <r>
    <d v="2023-10-08T00:00:00"/>
    <x v="9"/>
    <x v="6"/>
    <x v="2"/>
    <x v="1294"/>
    <x v="4031"/>
    <s v="Bank Transfer"/>
    <s v="REV101159"/>
    <x v="1"/>
  </r>
  <r>
    <d v="2023-10-08T00:00:00"/>
    <x v="9"/>
    <x v="5"/>
    <x v="2"/>
    <x v="510"/>
    <x v="2087"/>
    <s v="Bank Transfer"/>
    <s v="REV101485"/>
    <x v="1"/>
  </r>
  <r>
    <d v="2023-10-08T00:00:00"/>
    <x v="9"/>
    <x v="6"/>
    <x v="1"/>
    <x v="2183"/>
    <x v="1361"/>
    <s v="Bank Transfer"/>
    <s v="REV102257"/>
    <x v="1"/>
  </r>
  <r>
    <d v="2023-10-09T00:00:00"/>
    <x v="9"/>
    <x v="3"/>
    <x v="3"/>
    <x v="3973"/>
    <x v="4032"/>
    <s v="Bank Transfer"/>
    <s v="TXN100347"/>
    <x v="0"/>
  </r>
  <r>
    <d v="2023-10-09T00:00:00"/>
    <x v="9"/>
    <x v="0"/>
    <x v="2"/>
    <x v="3974"/>
    <x v="4033"/>
    <s v="UPI"/>
    <s v="TXN102226"/>
    <x v="0"/>
  </r>
  <r>
    <d v="2023-10-09T00:00:00"/>
    <x v="9"/>
    <x v="4"/>
    <x v="2"/>
    <x v="3975"/>
    <x v="4034"/>
    <s v="UPI"/>
    <s v="TXN102373"/>
    <x v="0"/>
  </r>
  <r>
    <d v="2023-10-09T00:00:00"/>
    <x v="9"/>
    <x v="1"/>
    <x v="0"/>
    <x v="3976"/>
    <x v="4035"/>
    <s v="UPI"/>
    <s v="TXN102737"/>
    <x v="0"/>
  </r>
  <r>
    <d v="2023-10-09T00:00:00"/>
    <x v="9"/>
    <x v="4"/>
    <x v="0"/>
    <x v="3977"/>
    <x v="4036"/>
    <s v="UPI"/>
    <s v="TXN103611"/>
    <x v="0"/>
  </r>
  <r>
    <d v="2023-10-09T00:00:00"/>
    <x v="9"/>
    <x v="1"/>
    <x v="1"/>
    <x v="3978"/>
    <x v="4037"/>
    <s v="Cash"/>
    <s v="TXN104249"/>
    <x v="0"/>
  </r>
  <r>
    <d v="2023-10-09T00:00:00"/>
    <x v="9"/>
    <x v="1"/>
    <x v="1"/>
    <x v="3979"/>
    <x v="4038"/>
    <s v="UPI"/>
    <s v="TXN107814"/>
    <x v="0"/>
  </r>
  <r>
    <d v="2023-10-09T00:00:00"/>
    <x v="9"/>
    <x v="0"/>
    <x v="2"/>
    <x v="3980"/>
    <x v="4039"/>
    <s v="Bank Transfer"/>
    <s v="TXN109991"/>
    <x v="0"/>
  </r>
  <r>
    <d v="2023-10-09T00:00:00"/>
    <x v="9"/>
    <x v="6"/>
    <x v="3"/>
    <x v="1054"/>
    <x v="288"/>
    <s v="Bank Transfer"/>
    <s v="REV100131"/>
    <x v="1"/>
  </r>
  <r>
    <d v="2023-10-09T00:00:00"/>
    <x v="9"/>
    <x v="6"/>
    <x v="2"/>
    <x v="3981"/>
    <x v="1747"/>
    <s v="UPI"/>
    <s v="REV100789"/>
    <x v="1"/>
  </r>
  <r>
    <d v="2023-10-09T00:00:00"/>
    <x v="9"/>
    <x v="6"/>
    <x v="2"/>
    <x v="3982"/>
    <x v="4040"/>
    <s v="Bank Transfer"/>
    <s v="REV100837"/>
    <x v="1"/>
  </r>
  <r>
    <d v="2023-10-09T00:00:00"/>
    <x v="9"/>
    <x v="5"/>
    <x v="0"/>
    <x v="3666"/>
    <x v="495"/>
    <s v="Bank Transfer"/>
    <s v="REV100957"/>
    <x v="1"/>
  </r>
  <r>
    <d v="2023-10-09T00:00:00"/>
    <x v="9"/>
    <x v="5"/>
    <x v="0"/>
    <x v="179"/>
    <x v="4041"/>
    <s v="UPI"/>
    <s v="REV101234"/>
    <x v="1"/>
  </r>
  <r>
    <d v="2023-10-09T00:00:00"/>
    <x v="9"/>
    <x v="5"/>
    <x v="1"/>
    <x v="1369"/>
    <x v="1400"/>
    <s v="Card"/>
    <s v="REV101474"/>
    <x v="1"/>
  </r>
  <r>
    <d v="2023-10-09T00:00:00"/>
    <x v="9"/>
    <x v="6"/>
    <x v="1"/>
    <x v="2771"/>
    <x v="3606"/>
    <s v="Bank Transfer"/>
    <s v="REV102653"/>
    <x v="1"/>
  </r>
  <r>
    <d v="2023-10-09T00:00:00"/>
    <x v="9"/>
    <x v="5"/>
    <x v="2"/>
    <x v="3654"/>
    <x v="34"/>
    <s v="Bank Transfer"/>
    <s v="REV103383"/>
    <x v="1"/>
  </r>
  <r>
    <d v="2023-10-10T00:00:00"/>
    <x v="9"/>
    <x v="4"/>
    <x v="3"/>
    <x v="3983"/>
    <x v="4042"/>
    <s v="Cash"/>
    <s v="TXN100126"/>
    <x v="0"/>
  </r>
  <r>
    <d v="2023-10-10T00:00:00"/>
    <x v="9"/>
    <x v="4"/>
    <x v="2"/>
    <x v="576"/>
    <x v="4043"/>
    <s v="Bank Transfer"/>
    <s v="TXN100326"/>
    <x v="0"/>
  </r>
  <r>
    <d v="2023-10-10T00:00:00"/>
    <x v="9"/>
    <x v="1"/>
    <x v="1"/>
    <x v="3984"/>
    <x v="4044"/>
    <s v="Card"/>
    <s v="TXN101742"/>
    <x v="0"/>
  </r>
  <r>
    <d v="2023-10-10T00:00:00"/>
    <x v="9"/>
    <x v="1"/>
    <x v="0"/>
    <x v="3985"/>
    <x v="4045"/>
    <s v="UPI"/>
    <s v="TXN102275"/>
    <x v="0"/>
  </r>
  <r>
    <d v="2023-10-10T00:00:00"/>
    <x v="9"/>
    <x v="2"/>
    <x v="1"/>
    <x v="3986"/>
    <x v="4046"/>
    <s v="Bank Transfer"/>
    <s v="TXN102404"/>
    <x v="0"/>
  </r>
  <r>
    <d v="2023-10-10T00:00:00"/>
    <x v="9"/>
    <x v="1"/>
    <x v="1"/>
    <x v="3987"/>
    <x v="4047"/>
    <s v="Card"/>
    <s v="TXN104200"/>
    <x v="0"/>
  </r>
  <r>
    <d v="2023-10-10T00:00:00"/>
    <x v="9"/>
    <x v="4"/>
    <x v="2"/>
    <x v="3988"/>
    <x v="4048"/>
    <s v="Card"/>
    <s v="TXN107374"/>
    <x v="0"/>
  </r>
  <r>
    <d v="2023-10-10T00:00:00"/>
    <x v="9"/>
    <x v="3"/>
    <x v="3"/>
    <x v="3989"/>
    <x v="4049"/>
    <s v="UPI"/>
    <s v="TXN108294"/>
    <x v="0"/>
  </r>
  <r>
    <d v="2023-10-10T00:00:00"/>
    <x v="9"/>
    <x v="1"/>
    <x v="4"/>
    <x v="3990"/>
    <x v="4050"/>
    <s v="Cash"/>
    <s v="TXN109379"/>
    <x v="0"/>
  </r>
  <r>
    <d v="2023-10-10T00:00:00"/>
    <x v="9"/>
    <x v="6"/>
    <x v="3"/>
    <x v="376"/>
    <x v="129"/>
    <s v="UPI"/>
    <s v="REV100048"/>
    <x v="1"/>
  </r>
  <r>
    <d v="2023-10-10T00:00:00"/>
    <x v="9"/>
    <x v="5"/>
    <x v="2"/>
    <x v="3991"/>
    <x v="4051"/>
    <s v="Card"/>
    <s v="REV100120"/>
    <x v="1"/>
  </r>
  <r>
    <d v="2023-10-10T00:00:00"/>
    <x v="9"/>
    <x v="5"/>
    <x v="1"/>
    <x v="2698"/>
    <x v="2433"/>
    <s v="Bank Transfer"/>
    <s v="REV100634"/>
    <x v="1"/>
  </r>
  <r>
    <d v="2023-10-10T00:00:00"/>
    <x v="9"/>
    <x v="5"/>
    <x v="0"/>
    <x v="2276"/>
    <x v="4052"/>
    <s v="Card"/>
    <s v="REV100805"/>
    <x v="1"/>
  </r>
  <r>
    <d v="2023-10-10T00:00:00"/>
    <x v="9"/>
    <x v="6"/>
    <x v="1"/>
    <x v="206"/>
    <x v="1155"/>
    <s v="Bank Transfer"/>
    <s v="REV100849"/>
    <x v="1"/>
  </r>
  <r>
    <d v="2023-10-10T00:00:00"/>
    <x v="9"/>
    <x v="5"/>
    <x v="1"/>
    <x v="3992"/>
    <x v="1088"/>
    <s v="Bank Transfer"/>
    <s v="REV101459"/>
    <x v="1"/>
  </r>
  <r>
    <d v="2023-10-10T00:00:00"/>
    <x v="9"/>
    <x v="6"/>
    <x v="2"/>
    <x v="2976"/>
    <x v="952"/>
    <s v="Bank Transfer"/>
    <s v="REV102502"/>
    <x v="1"/>
  </r>
  <r>
    <d v="2023-10-10T00:00:00"/>
    <x v="9"/>
    <x v="6"/>
    <x v="3"/>
    <x v="1422"/>
    <x v="1639"/>
    <s v="Bank Transfer"/>
    <s v="REV102819"/>
    <x v="1"/>
  </r>
  <r>
    <d v="2023-10-10T00:00:00"/>
    <x v="9"/>
    <x v="6"/>
    <x v="4"/>
    <x v="1356"/>
    <x v="680"/>
    <s v="Card"/>
    <s v="REV103169"/>
    <x v="1"/>
  </r>
  <r>
    <d v="2023-10-11T00:00:00"/>
    <x v="9"/>
    <x v="2"/>
    <x v="3"/>
    <x v="2286"/>
    <x v="4053"/>
    <s v="Card"/>
    <s v="TXN100851"/>
    <x v="0"/>
  </r>
  <r>
    <d v="2023-10-11T00:00:00"/>
    <x v="9"/>
    <x v="1"/>
    <x v="0"/>
    <x v="3993"/>
    <x v="4054"/>
    <s v="Bank Transfer"/>
    <s v="TXN101332"/>
    <x v="0"/>
  </r>
  <r>
    <d v="2023-10-11T00:00:00"/>
    <x v="9"/>
    <x v="3"/>
    <x v="0"/>
    <x v="3994"/>
    <x v="4055"/>
    <s v="Bank Transfer"/>
    <s v="TXN101399"/>
    <x v="0"/>
  </r>
  <r>
    <d v="2023-10-11T00:00:00"/>
    <x v="9"/>
    <x v="4"/>
    <x v="1"/>
    <x v="3995"/>
    <x v="4056"/>
    <s v="Card"/>
    <s v="TXN101705"/>
    <x v="0"/>
  </r>
  <r>
    <d v="2023-10-11T00:00:00"/>
    <x v="9"/>
    <x v="1"/>
    <x v="1"/>
    <x v="3996"/>
    <x v="4057"/>
    <s v="Card"/>
    <s v="TXN102044"/>
    <x v="0"/>
  </r>
  <r>
    <d v="2023-10-11T00:00:00"/>
    <x v="9"/>
    <x v="2"/>
    <x v="1"/>
    <x v="3997"/>
    <x v="4058"/>
    <s v="Card"/>
    <s v="TXN104859"/>
    <x v="0"/>
  </r>
  <r>
    <d v="2023-10-11T00:00:00"/>
    <x v="9"/>
    <x v="3"/>
    <x v="0"/>
    <x v="3998"/>
    <x v="4059"/>
    <s v="UPI"/>
    <s v="TXN105510"/>
    <x v="0"/>
  </r>
  <r>
    <d v="2023-10-11T00:00:00"/>
    <x v="9"/>
    <x v="0"/>
    <x v="4"/>
    <x v="3999"/>
    <x v="4060"/>
    <s v="Cash"/>
    <s v="TXN105963"/>
    <x v="0"/>
  </r>
  <r>
    <d v="2023-10-11T00:00:00"/>
    <x v="9"/>
    <x v="1"/>
    <x v="0"/>
    <x v="4000"/>
    <x v="4061"/>
    <s v="Card"/>
    <s v="TXN106300"/>
    <x v="0"/>
  </r>
  <r>
    <d v="2023-10-11T00:00:00"/>
    <x v="9"/>
    <x v="2"/>
    <x v="1"/>
    <x v="4001"/>
    <x v="4062"/>
    <s v="Cash"/>
    <s v="TXN106842"/>
    <x v="0"/>
  </r>
  <r>
    <d v="2023-10-11T00:00:00"/>
    <x v="9"/>
    <x v="0"/>
    <x v="2"/>
    <x v="4002"/>
    <x v="4063"/>
    <s v="Cash"/>
    <s v="TXN108494"/>
    <x v="0"/>
  </r>
  <r>
    <d v="2023-10-11T00:00:00"/>
    <x v="9"/>
    <x v="2"/>
    <x v="3"/>
    <x v="4003"/>
    <x v="4064"/>
    <s v="UPI"/>
    <s v="TXN109371"/>
    <x v="0"/>
  </r>
  <r>
    <d v="2023-10-11T00:00:00"/>
    <x v="9"/>
    <x v="5"/>
    <x v="3"/>
    <x v="2760"/>
    <x v="1922"/>
    <s v="Card"/>
    <s v="REV100313"/>
    <x v="1"/>
  </r>
  <r>
    <d v="2023-10-11T00:00:00"/>
    <x v="9"/>
    <x v="5"/>
    <x v="0"/>
    <x v="1652"/>
    <x v="1858"/>
    <s v="Bank Transfer"/>
    <s v="REV100493"/>
    <x v="1"/>
  </r>
  <r>
    <d v="2023-10-11T00:00:00"/>
    <x v="9"/>
    <x v="5"/>
    <x v="0"/>
    <x v="3565"/>
    <x v="3532"/>
    <s v="Bank Transfer"/>
    <s v="REV100512"/>
    <x v="1"/>
  </r>
  <r>
    <d v="2023-10-11T00:00:00"/>
    <x v="9"/>
    <x v="6"/>
    <x v="1"/>
    <x v="3885"/>
    <x v="2678"/>
    <s v="Bank Transfer"/>
    <s v="REV100626"/>
    <x v="1"/>
  </r>
  <r>
    <d v="2023-10-11T00:00:00"/>
    <x v="9"/>
    <x v="5"/>
    <x v="1"/>
    <x v="3928"/>
    <x v="3048"/>
    <s v="Bank Transfer"/>
    <s v="REV100727"/>
    <x v="1"/>
  </r>
  <r>
    <d v="2023-10-11T00:00:00"/>
    <x v="9"/>
    <x v="5"/>
    <x v="1"/>
    <x v="1320"/>
    <x v="428"/>
    <s v="Card"/>
    <s v="REV101660"/>
    <x v="1"/>
  </r>
  <r>
    <d v="2023-10-11T00:00:00"/>
    <x v="9"/>
    <x v="6"/>
    <x v="0"/>
    <x v="1836"/>
    <x v="1224"/>
    <s v="Bank Transfer"/>
    <s v="REV101872"/>
    <x v="1"/>
  </r>
  <r>
    <d v="2023-10-11T00:00:00"/>
    <x v="9"/>
    <x v="5"/>
    <x v="4"/>
    <x v="3900"/>
    <x v="4065"/>
    <s v="UPI"/>
    <s v="REV102013"/>
    <x v="1"/>
  </r>
  <r>
    <d v="2023-10-11T00:00:00"/>
    <x v="9"/>
    <x v="5"/>
    <x v="0"/>
    <x v="2680"/>
    <x v="4066"/>
    <s v="Card"/>
    <s v="REV102123"/>
    <x v="1"/>
  </r>
  <r>
    <d v="2023-10-11T00:00:00"/>
    <x v="9"/>
    <x v="5"/>
    <x v="1"/>
    <x v="803"/>
    <x v="237"/>
    <s v="UPI"/>
    <s v="REV102328"/>
    <x v="1"/>
  </r>
  <r>
    <d v="2023-10-11T00:00:00"/>
    <x v="9"/>
    <x v="5"/>
    <x v="2"/>
    <x v="1036"/>
    <x v="1981"/>
    <s v="Card"/>
    <s v="REV102876"/>
    <x v="1"/>
  </r>
  <r>
    <d v="2023-10-11T00:00:00"/>
    <x v="9"/>
    <x v="5"/>
    <x v="3"/>
    <x v="991"/>
    <x v="4067"/>
    <s v="UPI"/>
    <s v="REV103166"/>
    <x v="1"/>
  </r>
  <r>
    <d v="2023-10-12T00:00:00"/>
    <x v="9"/>
    <x v="7"/>
    <x v="2"/>
    <x v="4004"/>
    <x v="4068"/>
    <s v="UPI"/>
    <s v="TXN100192"/>
    <x v="0"/>
  </r>
  <r>
    <d v="2023-10-12T00:00:00"/>
    <x v="9"/>
    <x v="1"/>
    <x v="4"/>
    <x v="4005"/>
    <x v="4069"/>
    <s v="Card"/>
    <s v="TXN101529"/>
    <x v="0"/>
  </r>
  <r>
    <d v="2023-10-12T00:00:00"/>
    <x v="9"/>
    <x v="3"/>
    <x v="3"/>
    <x v="4006"/>
    <x v="4070"/>
    <s v="UPI"/>
    <s v="TXN101602"/>
    <x v="0"/>
  </r>
  <r>
    <d v="2023-10-12T00:00:00"/>
    <x v="9"/>
    <x v="4"/>
    <x v="3"/>
    <x v="2439"/>
    <x v="4071"/>
    <s v="Cash"/>
    <s v="TXN102038"/>
    <x v="0"/>
  </r>
  <r>
    <d v="2023-10-12T00:00:00"/>
    <x v="9"/>
    <x v="4"/>
    <x v="4"/>
    <x v="4007"/>
    <x v="4072"/>
    <s v="Cash"/>
    <s v="TXN102174"/>
    <x v="0"/>
  </r>
  <r>
    <d v="2023-10-12T00:00:00"/>
    <x v="9"/>
    <x v="4"/>
    <x v="1"/>
    <x v="4008"/>
    <x v="4073"/>
    <s v="Card"/>
    <s v="TXN102260"/>
    <x v="0"/>
  </r>
  <r>
    <d v="2023-10-12T00:00:00"/>
    <x v="9"/>
    <x v="0"/>
    <x v="2"/>
    <x v="830"/>
    <x v="4074"/>
    <s v="Bank Transfer"/>
    <s v="TXN103157"/>
    <x v="0"/>
  </r>
  <r>
    <d v="2023-10-12T00:00:00"/>
    <x v="9"/>
    <x v="0"/>
    <x v="2"/>
    <x v="4009"/>
    <x v="4075"/>
    <s v="Card"/>
    <s v="TXN103297"/>
    <x v="0"/>
  </r>
  <r>
    <d v="2023-10-12T00:00:00"/>
    <x v="9"/>
    <x v="7"/>
    <x v="2"/>
    <x v="4010"/>
    <x v="4076"/>
    <s v="Cash"/>
    <s v="TXN106321"/>
    <x v="0"/>
  </r>
  <r>
    <d v="2023-10-12T00:00:00"/>
    <x v="9"/>
    <x v="1"/>
    <x v="0"/>
    <x v="4011"/>
    <x v="4077"/>
    <s v="UPI"/>
    <s v="TXN106766"/>
    <x v="0"/>
  </r>
  <r>
    <d v="2023-10-12T00:00:00"/>
    <x v="9"/>
    <x v="2"/>
    <x v="3"/>
    <x v="4012"/>
    <x v="4078"/>
    <s v="Cash"/>
    <s v="TXN107592"/>
    <x v="0"/>
  </r>
  <r>
    <d v="2023-10-12T00:00:00"/>
    <x v="9"/>
    <x v="5"/>
    <x v="2"/>
    <x v="1147"/>
    <x v="689"/>
    <s v="Bank Transfer"/>
    <s v="REV100069"/>
    <x v="1"/>
  </r>
  <r>
    <d v="2023-10-12T00:00:00"/>
    <x v="9"/>
    <x v="5"/>
    <x v="4"/>
    <x v="4013"/>
    <x v="2466"/>
    <s v="Card"/>
    <s v="REV100561"/>
    <x v="1"/>
  </r>
  <r>
    <d v="2023-10-12T00:00:00"/>
    <x v="9"/>
    <x v="5"/>
    <x v="3"/>
    <x v="970"/>
    <x v="2044"/>
    <s v="Card"/>
    <s v="REV100592"/>
    <x v="1"/>
  </r>
  <r>
    <d v="2023-10-12T00:00:00"/>
    <x v="9"/>
    <x v="5"/>
    <x v="3"/>
    <x v="4014"/>
    <x v="2297"/>
    <s v="Card"/>
    <s v="REV100724"/>
    <x v="1"/>
  </r>
  <r>
    <d v="2023-10-12T00:00:00"/>
    <x v="9"/>
    <x v="5"/>
    <x v="4"/>
    <x v="3156"/>
    <x v="2700"/>
    <s v="Bank Transfer"/>
    <s v="REV100772"/>
    <x v="1"/>
  </r>
  <r>
    <d v="2023-10-12T00:00:00"/>
    <x v="9"/>
    <x v="6"/>
    <x v="1"/>
    <x v="2280"/>
    <x v="1859"/>
    <s v="Card"/>
    <s v="REV100798"/>
    <x v="1"/>
  </r>
  <r>
    <d v="2023-10-12T00:00:00"/>
    <x v="9"/>
    <x v="5"/>
    <x v="2"/>
    <x v="4015"/>
    <x v="4079"/>
    <s v="Bank Transfer"/>
    <s v="REV101089"/>
    <x v="1"/>
  </r>
  <r>
    <d v="2023-10-12T00:00:00"/>
    <x v="9"/>
    <x v="5"/>
    <x v="2"/>
    <x v="3382"/>
    <x v="849"/>
    <s v="Bank Transfer"/>
    <s v="REV101132"/>
    <x v="1"/>
  </r>
  <r>
    <d v="2023-10-12T00:00:00"/>
    <x v="9"/>
    <x v="5"/>
    <x v="2"/>
    <x v="1838"/>
    <x v="1014"/>
    <s v="Card"/>
    <s v="REV102134"/>
    <x v="1"/>
  </r>
  <r>
    <d v="2023-10-12T00:00:00"/>
    <x v="9"/>
    <x v="5"/>
    <x v="0"/>
    <x v="1237"/>
    <x v="594"/>
    <s v="Bank Transfer"/>
    <s v="REV102304"/>
    <x v="1"/>
  </r>
  <r>
    <d v="2023-10-12T00:00:00"/>
    <x v="9"/>
    <x v="5"/>
    <x v="3"/>
    <x v="784"/>
    <x v="4080"/>
    <s v="Card"/>
    <s v="REV102578"/>
    <x v="1"/>
  </r>
  <r>
    <d v="2023-10-13T00:00:00"/>
    <x v="9"/>
    <x v="3"/>
    <x v="2"/>
    <x v="4016"/>
    <x v="4081"/>
    <s v="Card"/>
    <s v="TXN100362"/>
    <x v="0"/>
  </r>
  <r>
    <d v="2023-10-13T00:00:00"/>
    <x v="9"/>
    <x v="1"/>
    <x v="0"/>
    <x v="4017"/>
    <x v="4082"/>
    <s v="UPI"/>
    <s v="TXN100531"/>
    <x v="0"/>
  </r>
  <r>
    <d v="2023-10-13T00:00:00"/>
    <x v="9"/>
    <x v="1"/>
    <x v="0"/>
    <x v="4018"/>
    <x v="4083"/>
    <s v="UPI"/>
    <s v="TXN103007"/>
    <x v="0"/>
  </r>
  <r>
    <d v="2023-10-13T00:00:00"/>
    <x v="9"/>
    <x v="7"/>
    <x v="0"/>
    <x v="4019"/>
    <x v="4084"/>
    <s v="Cash"/>
    <s v="TXN104059"/>
    <x v="0"/>
  </r>
  <r>
    <d v="2023-10-13T00:00:00"/>
    <x v="9"/>
    <x v="3"/>
    <x v="1"/>
    <x v="4020"/>
    <x v="4085"/>
    <s v="Cash"/>
    <s v="TXN104335"/>
    <x v="0"/>
  </r>
  <r>
    <d v="2023-10-13T00:00:00"/>
    <x v="9"/>
    <x v="7"/>
    <x v="0"/>
    <x v="4021"/>
    <x v="4086"/>
    <s v="UPI"/>
    <s v="TXN105618"/>
    <x v="0"/>
  </r>
  <r>
    <d v="2023-10-13T00:00:00"/>
    <x v="9"/>
    <x v="3"/>
    <x v="2"/>
    <x v="4022"/>
    <x v="4087"/>
    <s v="Cash"/>
    <s v="TXN105891"/>
    <x v="0"/>
  </r>
  <r>
    <d v="2023-10-13T00:00:00"/>
    <x v="9"/>
    <x v="3"/>
    <x v="3"/>
    <x v="4023"/>
    <x v="4088"/>
    <s v="UPI"/>
    <s v="TXN106726"/>
    <x v="0"/>
  </r>
  <r>
    <d v="2023-10-13T00:00:00"/>
    <x v="9"/>
    <x v="6"/>
    <x v="2"/>
    <x v="565"/>
    <x v="3852"/>
    <s v="Card"/>
    <s v="REV100136"/>
    <x v="1"/>
  </r>
  <r>
    <d v="2023-10-13T00:00:00"/>
    <x v="9"/>
    <x v="5"/>
    <x v="0"/>
    <x v="1645"/>
    <x v="81"/>
    <s v="Bank Transfer"/>
    <s v="REV100209"/>
    <x v="1"/>
  </r>
  <r>
    <d v="2023-10-13T00:00:00"/>
    <x v="9"/>
    <x v="6"/>
    <x v="0"/>
    <x v="652"/>
    <x v="4089"/>
    <s v="Bank Transfer"/>
    <s v="REV101043"/>
    <x v="1"/>
  </r>
  <r>
    <d v="2023-10-13T00:00:00"/>
    <x v="9"/>
    <x v="5"/>
    <x v="0"/>
    <x v="649"/>
    <x v="2724"/>
    <s v="Bank Transfer"/>
    <s v="REV101401"/>
    <x v="1"/>
  </r>
  <r>
    <d v="2023-10-13T00:00:00"/>
    <x v="9"/>
    <x v="5"/>
    <x v="1"/>
    <x v="822"/>
    <x v="2570"/>
    <s v="Card"/>
    <s v="REV101502"/>
    <x v="1"/>
  </r>
  <r>
    <d v="2023-10-13T00:00:00"/>
    <x v="9"/>
    <x v="5"/>
    <x v="0"/>
    <x v="1466"/>
    <x v="2318"/>
    <s v="Bank Transfer"/>
    <s v="REV101915"/>
    <x v="1"/>
  </r>
  <r>
    <d v="2023-10-13T00:00:00"/>
    <x v="9"/>
    <x v="6"/>
    <x v="2"/>
    <x v="3282"/>
    <x v="4090"/>
    <s v="Card"/>
    <s v="REV101991"/>
    <x v="1"/>
  </r>
  <r>
    <d v="2023-10-13T00:00:00"/>
    <x v="9"/>
    <x v="6"/>
    <x v="3"/>
    <x v="1022"/>
    <x v="614"/>
    <s v="Card"/>
    <s v="REV102291"/>
    <x v="1"/>
  </r>
  <r>
    <d v="2023-10-14T00:00:00"/>
    <x v="9"/>
    <x v="7"/>
    <x v="2"/>
    <x v="4024"/>
    <x v="4091"/>
    <s v="Bank Transfer"/>
    <s v="TXN100060"/>
    <x v="0"/>
  </r>
  <r>
    <d v="2023-10-14T00:00:00"/>
    <x v="9"/>
    <x v="2"/>
    <x v="1"/>
    <x v="4025"/>
    <x v="4092"/>
    <s v="Bank Transfer"/>
    <s v="TXN100185"/>
    <x v="0"/>
  </r>
  <r>
    <d v="2023-10-14T00:00:00"/>
    <x v="9"/>
    <x v="3"/>
    <x v="2"/>
    <x v="4026"/>
    <x v="4093"/>
    <s v="Bank Transfer"/>
    <s v="TXN101329"/>
    <x v="0"/>
  </r>
  <r>
    <d v="2023-10-14T00:00:00"/>
    <x v="9"/>
    <x v="3"/>
    <x v="0"/>
    <x v="4027"/>
    <x v="4094"/>
    <s v="UPI"/>
    <s v="TXN101717"/>
    <x v="0"/>
  </r>
  <r>
    <d v="2023-10-14T00:00:00"/>
    <x v="9"/>
    <x v="0"/>
    <x v="0"/>
    <x v="4028"/>
    <x v="4095"/>
    <s v="UPI"/>
    <s v="TXN102171"/>
    <x v="0"/>
  </r>
  <r>
    <d v="2023-10-14T00:00:00"/>
    <x v="9"/>
    <x v="2"/>
    <x v="4"/>
    <x v="4029"/>
    <x v="4096"/>
    <s v="Bank Transfer"/>
    <s v="TXN102937"/>
    <x v="0"/>
  </r>
  <r>
    <d v="2023-10-14T00:00:00"/>
    <x v="9"/>
    <x v="3"/>
    <x v="2"/>
    <x v="4030"/>
    <x v="4097"/>
    <s v="Bank Transfer"/>
    <s v="TXN103805"/>
    <x v="0"/>
  </r>
  <r>
    <d v="2023-10-14T00:00:00"/>
    <x v="9"/>
    <x v="3"/>
    <x v="0"/>
    <x v="4031"/>
    <x v="4098"/>
    <s v="Card"/>
    <s v="TXN103886"/>
    <x v="0"/>
  </r>
  <r>
    <d v="2023-10-14T00:00:00"/>
    <x v="9"/>
    <x v="3"/>
    <x v="0"/>
    <x v="4031"/>
    <x v="4098"/>
    <s v="Card"/>
    <s v="TXN103886"/>
    <x v="0"/>
  </r>
  <r>
    <d v="2023-10-14T00:00:00"/>
    <x v="9"/>
    <x v="3"/>
    <x v="3"/>
    <x v="4032"/>
    <x v="4099"/>
    <s v="UPI"/>
    <s v="TXN104177"/>
    <x v="0"/>
  </r>
  <r>
    <d v="2023-10-14T00:00:00"/>
    <x v="9"/>
    <x v="4"/>
    <x v="1"/>
    <x v="4033"/>
    <x v="4100"/>
    <s v="Bank Transfer"/>
    <s v="TXN104631"/>
    <x v="0"/>
  </r>
  <r>
    <d v="2023-10-14T00:00:00"/>
    <x v="9"/>
    <x v="0"/>
    <x v="0"/>
    <x v="4034"/>
    <x v="4101"/>
    <s v="Card"/>
    <s v="TXN105371"/>
    <x v="0"/>
  </r>
  <r>
    <d v="2023-10-14T00:00:00"/>
    <x v="9"/>
    <x v="2"/>
    <x v="1"/>
    <x v="4035"/>
    <x v="4102"/>
    <s v="Bank Transfer"/>
    <s v="TXN105417"/>
    <x v="0"/>
  </r>
  <r>
    <d v="2023-10-14T00:00:00"/>
    <x v="9"/>
    <x v="4"/>
    <x v="3"/>
    <x v="4036"/>
    <x v="4103"/>
    <s v="Card"/>
    <s v="TXN105567"/>
    <x v="0"/>
  </r>
  <r>
    <d v="2023-10-14T00:00:00"/>
    <x v="9"/>
    <x v="3"/>
    <x v="2"/>
    <x v="4037"/>
    <x v="4104"/>
    <s v="UPI"/>
    <s v="TXN105782"/>
    <x v="0"/>
  </r>
  <r>
    <d v="2023-10-14T00:00:00"/>
    <x v="9"/>
    <x v="7"/>
    <x v="2"/>
    <x v="4038"/>
    <x v="1626"/>
    <s v="Cash"/>
    <s v="TXN107156"/>
    <x v="0"/>
  </r>
  <r>
    <d v="2023-10-14T00:00:00"/>
    <x v="9"/>
    <x v="7"/>
    <x v="1"/>
    <x v="3546"/>
    <x v="4105"/>
    <s v="Card"/>
    <s v="TXN109143"/>
    <x v="0"/>
  </r>
  <r>
    <d v="2023-10-14T00:00:00"/>
    <x v="9"/>
    <x v="6"/>
    <x v="2"/>
    <x v="3762"/>
    <x v="207"/>
    <s v="UPI"/>
    <s v="REV100022"/>
    <x v="1"/>
  </r>
  <r>
    <d v="2023-10-14T00:00:00"/>
    <x v="9"/>
    <x v="5"/>
    <x v="1"/>
    <x v="182"/>
    <x v="2228"/>
    <s v="Card"/>
    <s v="REV100065"/>
    <x v="1"/>
  </r>
  <r>
    <d v="2023-10-14T00:00:00"/>
    <x v="9"/>
    <x v="6"/>
    <x v="2"/>
    <x v="1754"/>
    <x v="1334"/>
    <s v="UPI"/>
    <s v="REV100491"/>
    <x v="1"/>
  </r>
  <r>
    <d v="2023-10-14T00:00:00"/>
    <x v="9"/>
    <x v="5"/>
    <x v="0"/>
    <x v="4039"/>
    <x v="3133"/>
    <s v="Bank Transfer"/>
    <s v="REV100628"/>
    <x v="1"/>
  </r>
  <r>
    <d v="2023-10-14T00:00:00"/>
    <x v="9"/>
    <x v="5"/>
    <x v="0"/>
    <x v="4040"/>
    <x v="1505"/>
    <s v="Bank Transfer"/>
    <s v="REV100771"/>
    <x v="1"/>
  </r>
  <r>
    <d v="2023-10-14T00:00:00"/>
    <x v="9"/>
    <x v="6"/>
    <x v="4"/>
    <x v="179"/>
    <x v="1225"/>
    <s v="Bank Transfer"/>
    <s v="REV101020"/>
    <x v="1"/>
  </r>
  <r>
    <d v="2023-10-14T00:00:00"/>
    <x v="9"/>
    <x v="6"/>
    <x v="2"/>
    <x v="379"/>
    <x v="4106"/>
    <s v="Card"/>
    <s v="REV101315"/>
    <x v="1"/>
  </r>
  <r>
    <d v="2023-10-14T00:00:00"/>
    <x v="9"/>
    <x v="5"/>
    <x v="0"/>
    <x v="4041"/>
    <x v="1297"/>
    <s v="UPI"/>
    <s v="REV101342"/>
    <x v="1"/>
  </r>
  <r>
    <d v="2023-10-14T00:00:00"/>
    <x v="9"/>
    <x v="6"/>
    <x v="3"/>
    <x v="4042"/>
    <x v="4107"/>
    <s v="Bank Transfer"/>
    <s v="REV101450"/>
    <x v="1"/>
  </r>
  <r>
    <d v="2023-10-14T00:00:00"/>
    <x v="9"/>
    <x v="5"/>
    <x v="1"/>
    <x v="1907"/>
    <x v="1645"/>
    <s v="Card"/>
    <s v="REV101581"/>
    <x v="1"/>
  </r>
  <r>
    <d v="2023-10-14T00:00:00"/>
    <x v="9"/>
    <x v="5"/>
    <x v="0"/>
    <x v="1470"/>
    <x v="4108"/>
    <s v="Card"/>
    <s v="REV101827"/>
    <x v="1"/>
  </r>
  <r>
    <d v="2023-10-14T00:00:00"/>
    <x v="9"/>
    <x v="6"/>
    <x v="1"/>
    <x v="1851"/>
    <x v="358"/>
    <s v="Card"/>
    <s v="REV101843"/>
    <x v="1"/>
  </r>
  <r>
    <d v="2023-10-14T00:00:00"/>
    <x v="9"/>
    <x v="5"/>
    <x v="3"/>
    <x v="1580"/>
    <x v="2227"/>
    <s v="Bank Transfer"/>
    <s v="REV101900"/>
    <x v="1"/>
  </r>
  <r>
    <d v="2023-10-14T00:00:00"/>
    <x v="9"/>
    <x v="6"/>
    <x v="2"/>
    <x v="2696"/>
    <x v="249"/>
    <s v="Card"/>
    <s v="REV101958"/>
    <x v="1"/>
  </r>
  <r>
    <d v="2023-10-14T00:00:00"/>
    <x v="9"/>
    <x v="6"/>
    <x v="2"/>
    <x v="729"/>
    <x v="4109"/>
    <s v="Bank Transfer"/>
    <s v="REV102425"/>
    <x v="1"/>
  </r>
  <r>
    <d v="2023-10-14T00:00:00"/>
    <x v="9"/>
    <x v="6"/>
    <x v="1"/>
    <x v="959"/>
    <x v="491"/>
    <s v="Bank Transfer"/>
    <s v="REV103090"/>
    <x v="1"/>
  </r>
  <r>
    <d v="2023-10-14T00:00:00"/>
    <x v="9"/>
    <x v="6"/>
    <x v="0"/>
    <x v="1759"/>
    <x v="1731"/>
    <s v="Card"/>
    <s v="REV103385"/>
    <x v="1"/>
  </r>
  <r>
    <d v="2023-10-15T00:00:00"/>
    <x v="9"/>
    <x v="7"/>
    <x v="1"/>
    <x v="4043"/>
    <x v="4110"/>
    <s v="Card"/>
    <s v="TXN100084"/>
    <x v="0"/>
  </r>
  <r>
    <d v="2023-10-15T00:00:00"/>
    <x v="9"/>
    <x v="4"/>
    <x v="2"/>
    <x v="4044"/>
    <x v="4111"/>
    <s v="Bank Transfer"/>
    <s v="TXN102630"/>
    <x v="0"/>
  </r>
  <r>
    <d v="2023-10-15T00:00:00"/>
    <x v="9"/>
    <x v="4"/>
    <x v="1"/>
    <x v="4045"/>
    <x v="4112"/>
    <s v="Cash"/>
    <s v="TXN102752"/>
    <x v="0"/>
  </r>
  <r>
    <d v="2023-10-15T00:00:00"/>
    <x v="9"/>
    <x v="7"/>
    <x v="0"/>
    <x v="4046"/>
    <x v="4113"/>
    <s v="Bank Transfer"/>
    <s v="TXN105885"/>
    <x v="0"/>
  </r>
  <r>
    <d v="2023-10-15T00:00:00"/>
    <x v="9"/>
    <x v="4"/>
    <x v="3"/>
    <x v="4047"/>
    <x v="4114"/>
    <s v="Cash"/>
    <s v="TXN106450"/>
    <x v="0"/>
  </r>
  <r>
    <d v="2023-10-15T00:00:00"/>
    <x v="9"/>
    <x v="3"/>
    <x v="3"/>
    <x v="4048"/>
    <x v="4115"/>
    <s v="Card"/>
    <s v="TXN108584"/>
    <x v="0"/>
  </r>
  <r>
    <d v="2023-10-15T00:00:00"/>
    <x v="9"/>
    <x v="0"/>
    <x v="0"/>
    <x v="4049"/>
    <x v="4116"/>
    <s v="Cash"/>
    <s v="TXN108589"/>
    <x v="0"/>
  </r>
  <r>
    <d v="2023-10-15T00:00:00"/>
    <x v="9"/>
    <x v="7"/>
    <x v="3"/>
    <x v="4050"/>
    <x v="4106"/>
    <s v="Bank Transfer"/>
    <s v="TXN108997"/>
    <x v="0"/>
  </r>
  <r>
    <d v="2023-10-15T00:00:00"/>
    <x v="9"/>
    <x v="2"/>
    <x v="2"/>
    <x v="4051"/>
    <x v="4117"/>
    <s v="Cash"/>
    <s v="TXN109277"/>
    <x v="0"/>
  </r>
  <r>
    <d v="2023-10-15T00:00:00"/>
    <x v="9"/>
    <x v="6"/>
    <x v="1"/>
    <x v="2234"/>
    <x v="677"/>
    <s v="Bank Transfer"/>
    <s v="REV100029"/>
    <x v="1"/>
  </r>
  <r>
    <d v="2023-10-15T00:00:00"/>
    <x v="9"/>
    <x v="5"/>
    <x v="2"/>
    <x v="4052"/>
    <x v="3927"/>
    <s v="Card"/>
    <s v="REV100920"/>
    <x v="1"/>
  </r>
  <r>
    <d v="2023-10-15T00:00:00"/>
    <x v="9"/>
    <x v="5"/>
    <x v="1"/>
    <x v="1219"/>
    <x v="3928"/>
    <s v="UPI"/>
    <s v="REV100967"/>
    <x v="1"/>
  </r>
  <r>
    <d v="2023-10-15T00:00:00"/>
    <x v="9"/>
    <x v="5"/>
    <x v="0"/>
    <x v="1622"/>
    <x v="611"/>
    <s v="Card"/>
    <s v="REV101986"/>
    <x v="1"/>
  </r>
  <r>
    <d v="2023-10-15T00:00:00"/>
    <x v="9"/>
    <x v="5"/>
    <x v="3"/>
    <x v="1628"/>
    <x v="4118"/>
    <s v="Bank Transfer"/>
    <s v="REV102183"/>
    <x v="1"/>
  </r>
  <r>
    <d v="2023-10-15T00:00:00"/>
    <x v="9"/>
    <x v="5"/>
    <x v="3"/>
    <x v="1120"/>
    <x v="913"/>
    <s v="Card"/>
    <s v="REV102915"/>
    <x v="1"/>
  </r>
  <r>
    <d v="2023-10-15T00:00:00"/>
    <x v="9"/>
    <x v="6"/>
    <x v="0"/>
    <x v="3513"/>
    <x v="2966"/>
    <s v="Bank Transfer"/>
    <s v="REV102919"/>
    <x v="1"/>
  </r>
  <r>
    <d v="2023-10-15T00:00:00"/>
    <x v="9"/>
    <x v="5"/>
    <x v="3"/>
    <x v="4053"/>
    <x v="1825"/>
    <s v="Card"/>
    <s v="REV103046"/>
    <x v="1"/>
  </r>
  <r>
    <d v="2023-10-15T00:00:00"/>
    <x v="9"/>
    <x v="6"/>
    <x v="2"/>
    <x v="3637"/>
    <x v="2414"/>
    <s v="Bank Transfer"/>
    <s v="REV103135"/>
    <x v="1"/>
  </r>
  <r>
    <d v="2023-10-16T00:00:00"/>
    <x v="9"/>
    <x v="0"/>
    <x v="0"/>
    <x v="4054"/>
    <x v="4119"/>
    <s v="Cash"/>
    <s v="TXN103200"/>
    <x v="0"/>
  </r>
  <r>
    <d v="2023-10-16T00:00:00"/>
    <x v="9"/>
    <x v="7"/>
    <x v="3"/>
    <x v="4055"/>
    <x v="4120"/>
    <s v="Card"/>
    <s v="TXN104196"/>
    <x v="0"/>
  </r>
  <r>
    <d v="2023-10-16T00:00:00"/>
    <x v="9"/>
    <x v="4"/>
    <x v="4"/>
    <x v="4056"/>
    <x v="4121"/>
    <s v="Card"/>
    <s v="TXN105188"/>
    <x v="0"/>
  </r>
  <r>
    <d v="2023-10-16T00:00:00"/>
    <x v="9"/>
    <x v="2"/>
    <x v="0"/>
    <x v="4057"/>
    <x v="4122"/>
    <s v="Cash"/>
    <s v="TXN106734"/>
    <x v="0"/>
  </r>
  <r>
    <d v="2023-10-16T00:00:00"/>
    <x v="9"/>
    <x v="7"/>
    <x v="0"/>
    <x v="4058"/>
    <x v="4123"/>
    <s v="Card"/>
    <s v="TXN106738"/>
    <x v="0"/>
  </r>
  <r>
    <d v="2023-10-16T00:00:00"/>
    <x v="9"/>
    <x v="7"/>
    <x v="4"/>
    <x v="4059"/>
    <x v="4124"/>
    <s v="Bank Transfer"/>
    <s v="TXN106847"/>
    <x v="0"/>
  </r>
  <r>
    <d v="2023-10-16T00:00:00"/>
    <x v="9"/>
    <x v="1"/>
    <x v="2"/>
    <x v="4060"/>
    <x v="4125"/>
    <s v="Cash"/>
    <s v="TXN108909"/>
    <x v="0"/>
  </r>
  <r>
    <d v="2023-10-16T00:00:00"/>
    <x v="9"/>
    <x v="4"/>
    <x v="1"/>
    <x v="4061"/>
    <x v="4126"/>
    <s v="Card"/>
    <s v="TXN109239"/>
    <x v="0"/>
  </r>
  <r>
    <d v="2023-10-16T00:00:00"/>
    <x v="9"/>
    <x v="3"/>
    <x v="2"/>
    <x v="4062"/>
    <x v="4127"/>
    <s v="Bank Transfer"/>
    <s v="TXN109640"/>
    <x v="0"/>
  </r>
  <r>
    <d v="2023-10-16T00:00:00"/>
    <x v="9"/>
    <x v="5"/>
    <x v="0"/>
    <x v="1296"/>
    <x v="271"/>
    <s v="Bank Transfer"/>
    <s v="REV101100"/>
    <x v="1"/>
  </r>
  <r>
    <d v="2023-10-16T00:00:00"/>
    <x v="9"/>
    <x v="5"/>
    <x v="3"/>
    <x v="1278"/>
    <x v="1500"/>
    <s v="Bank Transfer"/>
    <s v="REV101457"/>
    <x v="1"/>
  </r>
  <r>
    <d v="2023-10-16T00:00:00"/>
    <x v="9"/>
    <x v="6"/>
    <x v="4"/>
    <x v="634"/>
    <x v="799"/>
    <s v="Bank Transfer"/>
    <s v="REV101758"/>
    <x v="1"/>
  </r>
  <r>
    <d v="2023-10-16T00:00:00"/>
    <x v="9"/>
    <x v="6"/>
    <x v="0"/>
    <x v="4063"/>
    <x v="4128"/>
    <s v="Bank Transfer"/>
    <s v="REV102296"/>
    <x v="1"/>
  </r>
  <r>
    <d v="2023-10-16T00:00:00"/>
    <x v="9"/>
    <x v="5"/>
    <x v="0"/>
    <x v="4064"/>
    <x v="4129"/>
    <s v="UPI"/>
    <s v="REV102298"/>
    <x v="1"/>
  </r>
  <r>
    <d v="2023-10-16T00:00:00"/>
    <x v="9"/>
    <x v="5"/>
    <x v="4"/>
    <x v="2292"/>
    <x v="2582"/>
    <s v="Bank Transfer"/>
    <s v="REV102330"/>
    <x v="1"/>
  </r>
  <r>
    <d v="2023-10-16T00:00:00"/>
    <x v="9"/>
    <x v="5"/>
    <x v="2"/>
    <x v="4065"/>
    <x v="660"/>
    <s v="Card"/>
    <s v="REV103017"/>
    <x v="1"/>
  </r>
  <r>
    <d v="2023-10-16T00:00:00"/>
    <x v="9"/>
    <x v="6"/>
    <x v="1"/>
    <x v="3463"/>
    <x v="4130"/>
    <s v="Card"/>
    <s v="REV103115"/>
    <x v="1"/>
  </r>
  <r>
    <d v="2023-10-16T00:00:00"/>
    <x v="9"/>
    <x v="6"/>
    <x v="2"/>
    <x v="1440"/>
    <x v="348"/>
    <s v="Bank Transfer"/>
    <s v="REV103261"/>
    <x v="1"/>
  </r>
  <r>
    <d v="2023-10-17T00:00:00"/>
    <x v="9"/>
    <x v="7"/>
    <x v="3"/>
    <x v="4066"/>
    <x v="4131"/>
    <s v="Card"/>
    <s v="TXN100235"/>
    <x v="0"/>
  </r>
  <r>
    <d v="2023-10-17T00:00:00"/>
    <x v="9"/>
    <x v="1"/>
    <x v="1"/>
    <x v="4067"/>
    <x v="4132"/>
    <s v="Card"/>
    <s v="TXN100598"/>
    <x v="0"/>
  </r>
  <r>
    <d v="2023-10-17T00:00:00"/>
    <x v="9"/>
    <x v="0"/>
    <x v="2"/>
    <x v="4068"/>
    <x v="4133"/>
    <s v="Bank Transfer"/>
    <s v="TXN101018"/>
    <x v="0"/>
  </r>
  <r>
    <d v="2023-10-17T00:00:00"/>
    <x v="9"/>
    <x v="1"/>
    <x v="3"/>
    <x v="4069"/>
    <x v="4134"/>
    <s v="Cash"/>
    <s v="TXN102090"/>
    <x v="0"/>
  </r>
  <r>
    <d v="2023-10-17T00:00:00"/>
    <x v="9"/>
    <x v="4"/>
    <x v="3"/>
    <x v="4070"/>
    <x v="4135"/>
    <s v="Card"/>
    <s v="TXN103407"/>
    <x v="0"/>
  </r>
  <r>
    <d v="2023-10-17T00:00:00"/>
    <x v="9"/>
    <x v="0"/>
    <x v="1"/>
    <x v="4071"/>
    <x v="4136"/>
    <s v="Card"/>
    <s v="TXN104702"/>
    <x v="0"/>
  </r>
  <r>
    <d v="2023-10-17T00:00:00"/>
    <x v="9"/>
    <x v="4"/>
    <x v="2"/>
    <x v="4072"/>
    <x v="4137"/>
    <s v="UPI"/>
    <s v="TXN107498"/>
    <x v="0"/>
  </r>
  <r>
    <d v="2023-10-17T00:00:00"/>
    <x v="9"/>
    <x v="4"/>
    <x v="0"/>
    <x v="4073"/>
    <x v="4138"/>
    <s v="Cash"/>
    <s v="TXN108402"/>
    <x v="0"/>
  </r>
  <r>
    <d v="2023-10-17T00:00:00"/>
    <x v="9"/>
    <x v="1"/>
    <x v="3"/>
    <x v="4074"/>
    <x v="4139"/>
    <s v="Cash"/>
    <s v="TXN108600"/>
    <x v="0"/>
  </r>
  <r>
    <d v="2023-10-17T00:00:00"/>
    <x v="9"/>
    <x v="7"/>
    <x v="0"/>
    <x v="4075"/>
    <x v="4140"/>
    <s v="Cash"/>
    <s v="TXN109004"/>
    <x v="0"/>
  </r>
  <r>
    <d v="2023-10-17T00:00:00"/>
    <x v="9"/>
    <x v="5"/>
    <x v="3"/>
    <x v="4076"/>
    <x v="3164"/>
    <s v="UPI"/>
    <s v="REV100084"/>
    <x v="1"/>
  </r>
  <r>
    <d v="2023-10-17T00:00:00"/>
    <x v="9"/>
    <x v="6"/>
    <x v="1"/>
    <x v="4077"/>
    <x v="4141"/>
    <s v="UPI"/>
    <s v="REV100232"/>
    <x v="1"/>
  </r>
  <r>
    <d v="2023-10-17T00:00:00"/>
    <x v="9"/>
    <x v="5"/>
    <x v="2"/>
    <x v="1801"/>
    <x v="1192"/>
    <s v="Card"/>
    <s v="REV100377"/>
    <x v="1"/>
  </r>
  <r>
    <d v="2023-10-17T00:00:00"/>
    <x v="9"/>
    <x v="5"/>
    <x v="3"/>
    <x v="1907"/>
    <x v="3185"/>
    <s v="Card"/>
    <s v="REV100746"/>
    <x v="1"/>
  </r>
  <r>
    <d v="2023-10-17T00:00:00"/>
    <x v="9"/>
    <x v="6"/>
    <x v="3"/>
    <x v="4078"/>
    <x v="4142"/>
    <s v="Card"/>
    <s v="REV101168"/>
    <x v="1"/>
  </r>
  <r>
    <d v="2023-10-17T00:00:00"/>
    <x v="9"/>
    <x v="5"/>
    <x v="1"/>
    <x v="1221"/>
    <x v="188"/>
    <s v="Card"/>
    <s v="REV101609"/>
    <x v="1"/>
  </r>
  <r>
    <d v="2023-10-17T00:00:00"/>
    <x v="9"/>
    <x v="5"/>
    <x v="2"/>
    <x v="397"/>
    <x v="62"/>
    <s v="Bank Transfer"/>
    <s v="REV102540"/>
    <x v="1"/>
  </r>
  <r>
    <d v="2023-10-17T00:00:00"/>
    <x v="9"/>
    <x v="6"/>
    <x v="0"/>
    <x v="837"/>
    <x v="1444"/>
    <s v="Bank Transfer"/>
    <s v="REV102854"/>
    <x v="1"/>
  </r>
  <r>
    <d v="2023-10-17T00:00:00"/>
    <x v="9"/>
    <x v="5"/>
    <x v="3"/>
    <x v="362"/>
    <x v="3753"/>
    <s v="Bank Transfer"/>
    <s v="REV102922"/>
    <x v="1"/>
  </r>
  <r>
    <d v="2023-10-17T00:00:00"/>
    <x v="9"/>
    <x v="5"/>
    <x v="0"/>
    <x v="4079"/>
    <x v="1352"/>
    <s v="Bank Transfer"/>
    <s v="REV103049"/>
    <x v="1"/>
  </r>
  <r>
    <d v="2023-10-18T00:00:00"/>
    <x v="9"/>
    <x v="3"/>
    <x v="0"/>
    <x v="4080"/>
    <x v="4143"/>
    <s v="Bank Transfer"/>
    <s v="TXN100115"/>
    <x v="0"/>
  </r>
  <r>
    <d v="2023-10-18T00:00:00"/>
    <x v="9"/>
    <x v="1"/>
    <x v="3"/>
    <x v="4081"/>
    <x v="4144"/>
    <s v="Card"/>
    <s v="TXN100396"/>
    <x v="0"/>
  </r>
  <r>
    <d v="2023-10-18T00:00:00"/>
    <x v="9"/>
    <x v="2"/>
    <x v="4"/>
    <x v="4082"/>
    <x v="4145"/>
    <s v="Card"/>
    <s v="TXN100804"/>
    <x v="0"/>
  </r>
  <r>
    <d v="2023-10-18T00:00:00"/>
    <x v="9"/>
    <x v="7"/>
    <x v="3"/>
    <x v="4083"/>
    <x v="4146"/>
    <s v="UPI"/>
    <s v="TXN103819"/>
    <x v="0"/>
  </r>
  <r>
    <d v="2023-10-18T00:00:00"/>
    <x v="9"/>
    <x v="0"/>
    <x v="1"/>
    <x v="4084"/>
    <x v="4147"/>
    <s v="UPI"/>
    <s v="TXN104750"/>
    <x v="0"/>
  </r>
  <r>
    <d v="2023-10-18T00:00:00"/>
    <x v="9"/>
    <x v="7"/>
    <x v="4"/>
    <x v="4085"/>
    <x v="4148"/>
    <s v="Card"/>
    <s v="TXN105393"/>
    <x v="0"/>
  </r>
  <r>
    <d v="2023-10-18T00:00:00"/>
    <x v="9"/>
    <x v="2"/>
    <x v="2"/>
    <x v="4086"/>
    <x v="4149"/>
    <s v="Bank Transfer"/>
    <s v="TXN106919"/>
    <x v="0"/>
  </r>
  <r>
    <d v="2023-10-18T00:00:00"/>
    <x v="9"/>
    <x v="7"/>
    <x v="2"/>
    <x v="4087"/>
    <x v="4150"/>
    <s v="Bank Transfer"/>
    <s v="TXN108223"/>
    <x v="0"/>
  </r>
  <r>
    <d v="2023-10-18T00:00:00"/>
    <x v="9"/>
    <x v="7"/>
    <x v="0"/>
    <x v="4088"/>
    <x v="4151"/>
    <s v="Bank Transfer"/>
    <s v="TXN108639"/>
    <x v="0"/>
  </r>
  <r>
    <d v="2023-10-18T00:00:00"/>
    <x v="9"/>
    <x v="6"/>
    <x v="0"/>
    <x v="1277"/>
    <x v="1791"/>
    <s v="UPI"/>
    <s v="REV100045"/>
    <x v="1"/>
  </r>
  <r>
    <d v="2023-10-18T00:00:00"/>
    <x v="9"/>
    <x v="5"/>
    <x v="3"/>
    <x v="575"/>
    <x v="2419"/>
    <s v="UPI"/>
    <s v="REV100149"/>
    <x v="1"/>
  </r>
  <r>
    <d v="2023-10-18T00:00:00"/>
    <x v="9"/>
    <x v="5"/>
    <x v="4"/>
    <x v="4089"/>
    <x v="4152"/>
    <s v="Card"/>
    <s v="REV100293"/>
    <x v="1"/>
  </r>
  <r>
    <d v="2023-10-18T00:00:00"/>
    <x v="9"/>
    <x v="6"/>
    <x v="3"/>
    <x v="530"/>
    <x v="1074"/>
    <s v="Bank Transfer"/>
    <s v="REV101319"/>
    <x v="1"/>
  </r>
  <r>
    <d v="2023-10-18T00:00:00"/>
    <x v="9"/>
    <x v="5"/>
    <x v="1"/>
    <x v="2867"/>
    <x v="717"/>
    <s v="Bank Transfer"/>
    <s v="REV101619"/>
    <x v="1"/>
  </r>
  <r>
    <d v="2023-10-18T00:00:00"/>
    <x v="9"/>
    <x v="5"/>
    <x v="4"/>
    <x v="3928"/>
    <x v="4153"/>
    <s v="Bank Transfer"/>
    <s v="REV101833"/>
    <x v="1"/>
  </r>
  <r>
    <d v="2023-10-18T00:00:00"/>
    <x v="9"/>
    <x v="6"/>
    <x v="2"/>
    <x v="819"/>
    <x v="417"/>
    <s v="Card"/>
    <s v="REV102351"/>
    <x v="1"/>
  </r>
  <r>
    <d v="2023-10-18T00:00:00"/>
    <x v="9"/>
    <x v="6"/>
    <x v="2"/>
    <x v="151"/>
    <x v="4154"/>
    <s v="Card"/>
    <s v="REV102793"/>
    <x v="1"/>
  </r>
  <r>
    <d v="2023-10-18T00:00:00"/>
    <x v="9"/>
    <x v="5"/>
    <x v="0"/>
    <x v="726"/>
    <x v="4155"/>
    <s v="Bank Transfer"/>
    <s v="REV102932"/>
    <x v="1"/>
  </r>
  <r>
    <d v="2023-10-19T00:00:00"/>
    <x v="9"/>
    <x v="2"/>
    <x v="0"/>
    <x v="4090"/>
    <x v="4156"/>
    <s v="UPI"/>
    <s v="TXN100049"/>
    <x v="0"/>
  </r>
  <r>
    <d v="2023-10-19T00:00:00"/>
    <x v="9"/>
    <x v="2"/>
    <x v="3"/>
    <x v="4091"/>
    <x v="4157"/>
    <s v="Bank Transfer"/>
    <s v="TXN100389"/>
    <x v="0"/>
  </r>
  <r>
    <d v="2023-10-19T00:00:00"/>
    <x v="9"/>
    <x v="7"/>
    <x v="2"/>
    <x v="4092"/>
    <x v="4158"/>
    <s v="Card"/>
    <s v="TXN101978"/>
    <x v="0"/>
  </r>
  <r>
    <d v="2023-10-19T00:00:00"/>
    <x v="9"/>
    <x v="4"/>
    <x v="3"/>
    <x v="1903"/>
    <x v="4159"/>
    <s v="UPI"/>
    <s v="TXN102284"/>
    <x v="0"/>
  </r>
  <r>
    <d v="2023-10-19T00:00:00"/>
    <x v="9"/>
    <x v="4"/>
    <x v="4"/>
    <x v="4093"/>
    <x v="4160"/>
    <s v="UPI"/>
    <s v="TXN106523"/>
    <x v="0"/>
  </r>
  <r>
    <d v="2023-10-19T00:00:00"/>
    <x v="9"/>
    <x v="1"/>
    <x v="0"/>
    <x v="4094"/>
    <x v="4161"/>
    <s v="Card"/>
    <s v="TXN108735"/>
    <x v="0"/>
  </r>
  <r>
    <d v="2023-10-19T00:00:00"/>
    <x v="9"/>
    <x v="6"/>
    <x v="0"/>
    <x v="676"/>
    <x v="951"/>
    <s v="Bank Transfer"/>
    <s v="REV100019"/>
    <x v="1"/>
  </r>
  <r>
    <d v="2023-10-19T00:00:00"/>
    <x v="9"/>
    <x v="5"/>
    <x v="3"/>
    <x v="2535"/>
    <x v="2056"/>
    <s v="Bank Transfer"/>
    <s v="REV100147"/>
    <x v="1"/>
  </r>
  <r>
    <d v="2023-10-19T00:00:00"/>
    <x v="9"/>
    <x v="5"/>
    <x v="2"/>
    <x v="4095"/>
    <x v="833"/>
    <s v="UPI"/>
    <s v="REV100709"/>
    <x v="1"/>
  </r>
  <r>
    <d v="2023-10-19T00:00:00"/>
    <x v="9"/>
    <x v="5"/>
    <x v="3"/>
    <x v="203"/>
    <x v="2229"/>
    <s v="Card"/>
    <s v="REV100808"/>
    <x v="1"/>
  </r>
  <r>
    <d v="2023-10-19T00:00:00"/>
    <x v="9"/>
    <x v="6"/>
    <x v="4"/>
    <x v="2151"/>
    <x v="2000"/>
    <s v="UPI"/>
    <s v="REV102212"/>
    <x v="1"/>
  </r>
  <r>
    <d v="2023-10-19T00:00:00"/>
    <x v="9"/>
    <x v="5"/>
    <x v="0"/>
    <x v="538"/>
    <x v="1982"/>
    <s v="Bank Transfer"/>
    <s v="REV102965"/>
    <x v="1"/>
  </r>
  <r>
    <d v="2023-10-20T00:00:00"/>
    <x v="9"/>
    <x v="4"/>
    <x v="4"/>
    <x v="4096"/>
    <x v="4162"/>
    <s v="Bank Transfer"/>
    <s v="TXN100964"/>
    <x v="0"/>
  </r>
  <r>
    <d v="2023-10-20T00:00:00"/>
    <x v="9"/>
    <x v="1"/>
    <x v="3"/>
    <x v="4097"/>
    <x v="4163"/>
    <s v="Bank Transfer"/>
    <s v="TXN102638"/>
    <x v="0"/>
  </r>
  <r>
    <d v="2023-10-20T00:00:00"/>
    <x v="9"/>
    <x v="2"/>
    <x v="4"/>
    <x v="4098"/>
    <x v="4164"/>
    <s v="Card"/>
    <s v="TXN106274"/>
    <x v="0"/>
  </r>
  <r>
    <d v="2023-10-20T00:00:00"/>
    <x v="9"/>
    <x v="5"/>
    <x v="4"/>
    <x v="4099"/>
    <x v="427"/>
    <s v="UPI"/>
    <s v="REV100359"/>
    <x v="1"/>
  </r>
  <r>
    <d v="2023-10-20T00:00:00"/>
    <x v="9"/>
    <x v="5"/>
    <x v="3"/>
    <x v="3133"/>
    <x v="2639"/>
    <s v="Bank Transfer"/>
    <s v="REV100924"/>
    <x v="1"/>
  </r>
  <r>
    <d v="2023-10-20T00:00:00"/>
    <x v="9"/>
    <x v="6"/>
    <x v="4"/>
    <x v="3025"/>
    <x v="1728"/>
    <s v="Bank Transfer"/>
    <s v="REV102115"/>
    <x v="1"/>
  </r>
  <r>
    <d v="2023-10-21T00:00:00"/>
    <x v="9"/>
    <x v="2"/>
    <x v="2"/>
    <x v="4100"/>
    <x v="4165"/>
    <s v="UPI"/>
    <s v="TXN102261"/>
    <x v="0"/>
  </r>
  <r>
    <d v="2023-10-21T00:00:00"/>
    <x v="9"/>
    <x v="2"/>
    <x v="1"/>
    <x v="4101"/>
    <x v="4166"/>
    <s v="Bank Transfer"/>
    <s v="TXN102794"/>
    <x v="0"/>
  </r>
  <r>
    <d v="2023-10-21T00:00:00"/>
    <x v="9"/>
    <x v="0"/>
    <x v="0"/>
    <x v="4102"/>
    <x v="4167"/>
    <s v="Card"/>
    <s v="TXN103276"/>
    <x v="0"/>
  </r>
  <r>
    <d v="2023-10-21T00:00:00"/>
    <x v="9"/>
    <x v="0"/>
    <x v="2"/>
    <x v="4103"/>
    <x v="4168"/>
    <s v="UPI"/>
    <s v="TXN106322"/>
    <x v="0"/>
  </r>
  <r>
    <d v="2023-10-21T00:00:00"/>
    <x v="9"/>
    <x v="2"/>
    <x v="0"/>
    <x v="4104"/>
    <x v="4169"/>
    <s v="Cash"/>
    <s v="TXN106417"/>
    <x v="0"/>
  </r>
  <r>
    <d v="2023-10-21T00:00:00"/>
    <x v="9"/>
    <x v="2"/>
    <x v="3"/>
    <x v="4105"/>
    <x v="4170"/>
    <s v="UPI"/>
    <s v="TXN108620"/>
    <x v="0"/>
  </r>
  <r>
    <d v="2023-10-21T00:00:00"/>
    <x v="9"/>
    <x v="0"/>
    <x v="4"/>
    <x v="4106"/>
    <x v="4171"/>
    <s v="Card"/>
    <s v="TXN109246"/>
    <x v="0"/>
  </r>
  <r>
    <d v="2023-10-21T00:00:00"/>
    <x v="9"/>
    <x v="6"/>
    <x v="2"/>
    <x v="1490"/>
    <x v="2096"/>
    <s v="Card"/>
    <s v="REV100799"/>
    <x v="1"/>
  </r>
  <r>
    <d v="2023-10-21T00:00:00"/>
    <x v="9"/>
    <x v="5"/>
    <x v="1"/>
    <x v="4107"/>
    <x v="4172"/>
    <s v="UPI"/>
    <s v="REV100983"/>
    <x v="1"/>
  </r>
  <r>
    <d v="2023-10-21T00:00:00"/>
    <x v="9"/>
    <x v="5"/>
    <x v="0"/>
    <x v="261"/>
    <x v="3206"/>
    <s v="Card"/>
    <s v="REV101124"/>
    <x v="1"/>
  </r>
  <r>
    <d v="2023-10-21T00:00:00"/>
    <x v="9"/>
    <x v="5"/>
    <x v="2"/>
    <x v="190"/>
    <x v="2444"/>
    <s v="Bank Transfer"/>
    <s v="REV102135"/>
    <x v="1"/>
  </r>
  <r>
    <d v="2023-10-21T00:00:00"/>
    <x v="9"/>
    <x v="5"/>
    <x v="0"/>
    <x v="1040"/>
    <x v="4173"/>
    <s v="UPI"/>
    <s v="REV102170"/>
    <x v="1"/>
  </r>
  <r>
    <d v="2023-10-21T00:00:00"/>
    <x v="9"/>
    <x v="5"/>
    <x v="3"/>
    <x v="9"/>
    <x v="4174"/>
    <s v="Card"/>
    <s v="REV102927"/>
    <x v="1"/>
  </r>
  <r>
    <d v="2023-10-21T00:00:00"/>
    <x v="9"/>
    <x v="5"/>
    <x v="4"/>
    <x v="4108"/>
    <x v="4175"/>
    <s v="Card"/>
    <s v="REV103119"/>
    <x v="1"/>
  </r>
  <r>
    <d v="2023-10-22T00:00:00"/>
    <x v="9"/>
    <x v="3"/>
    <x v="1"/>
    <x v="4109"/>
    <x v="4176"/>
    <s v="Card"/>
    <s v="TXN100474"/>
    <x v="0"/>
  </r>
  <r>
    <d v="2023-10-22T00:00:00"/>
    <x v="9"/>
    <x v="4"/>
    <x v="2"/>
    <x v="4083"/>
    <x v="4177"/>
    <s v="UPI"/>
    <s v="TXN100859"/>
    <x v="0"/>
  </r>
  <r>
    <d v="2023-10-22T00:00:00"/>
    <x v="9"/>
    <x v="2"/>
    <x v="1"/>
    <x v="4110"/>
    <x v="4178"/>
    <s v="Cash"/>
    <s v="TXN101501"/>
    <x v="0"/>
  </r>
  <r>
    <d v="2023-10-22T00:00:00"/>
    <x v="9"/>
    <x v="1"/>
    <x v="2"/>
    <x v="4111"/>
    <x v="4179"/>
    <s v="Card"/>
    <s v="TXN101543"/>
    <x v="0"/>
  </r>
  <r>
    <d v="2023-10-22T00:00:00"/>
    <x v="9"/>
    <x v="4"/>
    <x v="1"/>
    <x v="4112"/>
    <x v="4180"/>
    <s v="Cash"/>
    <s v="TXN103104"/>
    <x v="0"/>
  </r>
  <r>
    <d v="2023-10-22T00:00:00"/>
    <x v="9"/>
    <x v="1"/>
    <x v="0"/>
    <x v="4113"/>
    <x v="4181"/>
    <s v="Bank Transfer"/>
    <s v="TXN103881"/>
    <x v="0"/>
  </r>
  <r>
    <d v="2023-10-22T00:00:00"/>
    <x v="9"/>
    <x v="3"/>
    <x v="0"/>
    <x v="4114"/>
    <x v="4182"/>
    <s v="Card"/>
    <s v="TXN104929"/>
    <x v="0"/>
  </r>
  <r>
    <d v="2023-10-22T00:00:00"/>
    <x v="9"/>
    <x v="2"/>
    <x v="4"/>
    <x v="4115"/>
    <x v="4183"/>
    <s v="Bank Transfer"/>
    <s v="TXN105122"/>
    <x v="0"/>
  </r>
  <r>
    <d v="2023-10-22T00:00:00"/>
    <x v="9"/>
    <x v="2"/>
    <x v="2"/>
    <x v="4116"/>
    <x v="4184"/>
    <s v="UPI"/>
    <s v="TXN106058"/>
    <x v="0"/>
  </r>
  <r>
    <d v="2023-10-22T00:00:00"/>
    <x v="9"/>
    <x v="2"/>
    <x v="2"/>
    <x v="4117"/>
    <x v="4185"/>
    <s v="Bank Transfer"/>
    <s v="TXN109191"/>
    <x v="0"/>
  </r>
  <r>
    <d v="2023-10-22T00:00:00"/>
    <x v="9"/>
    <x v="6"/>
    <x v="1"/>
    <x v="2061"/>
    <x v="1728"/>
    <s v="Card"/>
    <s v="REV100181"/>
    <x v="1"/>
  </r>
  <r>
    <d v="2023-10-22T00:00:00"/>
    <x v="9"/>
    <x v="6"/>
    <x v="2"/>
    <x v="1666"/>
    <x v="1248"/>
    <s v="Bank Transfer"/>
    <s v="REV100319"/>
    <x v="1"/>
  </r>
  <r>
    <d v="2023-10-22T00:00:00"/>
    <x v="9"/>
    <x v="5"/>
    <x v="1"/>
    <x v="438"/>
    <x v="3442"/>
    <s v="Bank Transfer"/>
    <s v="REV100550"/>
    <x v="1"/>
  </r>
  <r>
    <d v="2023-10-22T00:00:00"/>
    <x v="9"/>
    <x v="6"/>
    <x v="2"/>
    <x v="4118"/>
    <x v="2698"/>
    <s v="UPI"/>
    <s v="REV100566"/>
    <x v="1"/>
  </r>
  <r>
    <d v="2023-10-22T00:00:00"/>
    <x v="9"/>
    <x v="5"/>
    <x v="1"/>
    <x v="485"/>
    <x v="574"/>
    <s v="Bank Transfer"/>
    <s v="REV101072"/>
    <x v="1"/>
  </r>
  <r>
    <d v="2023-10-22T00:00:00"/>
    <x v="9"/>
    <x v="6"/>
    <x v="0"/>
    <x v="754"/>
    <x v="489"/>
    <s v="UPI"/>
    <s v="REV101338"/>
    <x v="1"/>
  </r>
  <r>
    <d v="2023-10-22T00:00:00"/>
    <x v="9"/>
    <x v="6"/>
    <x v="0"/>
    <x v="1219"/>
    <x v="951"/>
    <s v="Bank Transfer"/>
    <s v="REV101682"/>
    <x v="1"/>
  </r>
  <r>
    <d v="2023-10-22T00:00:00"/>
    <x v="9"/>
    <x v="5"/>
    <x v="4"/>
    <x v="1420"/>
    <x v="4186"/>
    <s v="Bank Transfer"/>
    <s v="REV101742"/>
    <x v="1"/>
  </r>
  <r>
    <d v="2023-10-22T00:00:00"/>
    <x v="9"/>
    <x v="5"/>
    <x v="2"/>
    <x v="4119"/>
    <x v="1072"/>
    <s v="Bank Transfer"/>
    <s v="REV102047"/>
    <x v="1"/>
  </r>
  <r>
    <d v="2023-10-22T00:00:00"/>
    <x v="9"/>
    <x v="6"/>
    <x v="2"/>
    <x v="649"/>
    <x v="4024"/>
    <s v="Bank Transfer"/>
    <s v="REV103102"/>
    <x v="1"/>
  </r>
  <r>
    <d v="2023-10-23T00:00:00"/>
    <x v="9"/>
    <x v="1"/>
    <x v="3"/>
    <x v="2353"/>
    <x v="4187"/>
    <s v="UPI"/>
    <s v="TXN100048"/>
    <x v="0"/>
  </r>
  <r>
    <d v="2023-10-23T00:00:00"/>
    <x v="9"/>
    <x v="7"/>
    <x v="2"/>
    <x v="4120"/>
    <x v="4188"/>
    <s v="Bank Transfer"/>
    <s v="TXN103856"/>
    <x v="0"/>
  </r>
  <r>
    <d v="2023-10-23T00:00:00"/>
    <x v="9"/>
    <x v="1"/>
    <x v="4"/>
    <x v="4121"/>
    <x v="4189"/>
    <s v="Bank Transfer"/>
    <s v="TXN105328"/>
    <x v="0"/>
  </r>
  <r>
    <d v="2023-10-23T00:00:00"/>
    <x v="9"/>
    <x v="3"/>
    <x v="4"/>
    <x v="4122"/>
    <x v="4190"/>
    <s v="Cash"/>
    <s v="TXN106009"/>
    <x v="0"/>
  </r>
  <r>
    <d v="2023-10-23T00:00:00"/>
    <x v="9"/>
    <x v="2"/>
    <x v="3"/>
    <x v="4123"/>
    <x v="4191"/>
    <s v="Card"/>
    <s v="TXN106051"/>
    <x v="0"/>
  </r>
  <r>
    <d v="2023-10-23T00:00:00"/>
    <x v="9"/>
    <x v="0"/>
    <x v="1"/>
    <x v="4124"/>
    <x v="4192"/>
    <s v="Cash"/>
    <s v="TXN106353"/>
    <x v="0"/>
  </r>
  <r>
    <d v="2023-10-23T00:00:00"/>
    <x v="9"/>
    <x v="4"/>
    <x v="0"/>
    <x v="4125"/>
    <x v="4193"/>
    <s v="Card"/>
    <s v="TXN107665"/>
    <x v="0"/>
  </r>
  <r>
    <d v="2023-10-23T00:00:00"/>
    <x v="9"/>
    <x v="2"/>
    <x v="0"/>
    <x v="4126"/>
    <x v="4194"/>
    <s v="Cash"/>
    <s v="TXN107741"/>
    <x v="0"/>
  </r>
  <r>
    <d v="2023-10-23T00:00:00"/>
    <x v="9"/>
    <x v="0"/>
    <x v="3"/>
    <x v="4127"/>
    <x v="4195"/>
    <s v="Cash"/>
    <s v="TXN107808"/>
    <x v="0"/>
  </r>
  <r>
    <d v="2023-10-23T00:00:00"/>
    <x v="9"/>
    <x v="6"/>
    <x v="3"/>
    <x v="3478"/>
    <x v="2829"/>
    <s v="UPI"/>
    <s v="REV100018"/>
    <x v="1"/>
  </r>
  <r>
    <d v="2023-10-23T00:00:00"/>
    <x v="9"/>
    <x v="6"/>
    <x v="2"/>
    <x v="693"/>
    <x v="953"/>
    <s v="Bank Transfer"/>
    <s v="REV101330"/>
    <x v="1"/>
  </r>
  <r>
    <d v="2023-10-23T00:00:00"/>
    <x v="9"/>
    <x v="5"/>
    <x v="4"/>
    <x v="2723"/>
    <x v="2046"/>
    <s v="Card"/>
    <s v="REV101809"/>
    <x v="1"/>
  </r>
  <r>
    <d v="2023-10-23T00:00:00"/>
    <x v="9"/>
    <x v="5"/>
    <x v="4"/>
    <x v="1080"/>
    <x v="3661"/>
    <s v="UPI"/>
    <s v="REV102030"/>
    <x v="1"/>
  </r>
  <r>
    <d v="2023-10-23T00:00:00"/>
    <x v="9"/>
    <x v="6"/>
    <x v="3"/>
    <x v="2167"/>
    <x v="239"/>
    <s v="Card"/>
    <s v="REV102044"/>
    <x v="1"/>
  </r>
  <r>
    <d v="2023-10-23T00:00:00"/>
    <x v="9"/>
    <x v="6"/>
    <x v="1"/>
    <x v="423"/>
    <x v="4196"/>
    <s v="Bank Transfer"/>
    <s v="REV102143"/>
    <x v="1"/>
  </r>
  <r>
    <d v="2023-10-23T00:00:00"/>
    <x v="9"/>
    <x v="5"/>
    <x v="0"/>
    <x v="4128"/>
    <x v="2828"/>
    <s v="Card"/>
    <s v="REV102609"/>
    <x v="1"/>
  </r>
  <r>
    <d v="2023-10-23T00:00:00"/>
    <x v="9"/>
    <x v="6"/>
    <x v="0"/>
    <x v="2356"/>
    <x v="2619"/>
    <s v="Bank Transfer"/>
    <s v="REV102633"/>
    <x v="1"/>
  </r>
  <r>
    <d v="2023-10-23T00:00:00"/>
    <x v="9"/>
    <x v="6"/>
    <x v="3"/>
    <x v="1104"/>
    <x v="132"/>
    <s v="UPI"/>
    <s v="REV102652"/>
    <x v="1"/>
  </r>
  <r>
    <d v="2023-10-24T00:00:00"/>
    <x v="9"/>
    <x v="1"/>
    <x v="4"/>
    <x v="4129"/>
    <x v="4197"/>
    <s v="UPI"/>
    <s v="TXN100670"/>
    <x v="0"/>
  </r>
  <r>
    <d v="2023-10-24T00:00:00"/>
    <x v="9"/>
    <x v="2"/>
    <x v="1"/>
    <x v="4130"/>
    <x v="4198"/>
    <s v="Cash"/>
    <s v="TXN101580"/>
    <x v="0"/>
  </r>
  <r>
    <d v="2023-10-24T00:00:00"/>
    <x v="9"/>
    <x v="4"/>
    <x v="4"/>
    <x v="4131"/>
    <x v="4199"/>
    <s v="Bank Transfer"/>
    <s v="TXN102811"/>
    <x v="0"/>
  </r>
  <r>
    <d v="2023-10-24T00:00:00"/>
    <x v="9"/>
    <x v="3"/>
    <x v="0"/>
    <x v="4132"/>
    <x v="4200"/>
    <s v="Cash"/>
    <s v="TXN103330"/>
    <x v="0"/>
  </r>
  <r>
    <d v="2023-10-24T00:00:00"/>
    <x v="9"/>
    <x v="7"/>
    <x v="2"/>
    <x v="4133"/>
    <x v="4201"/>
    <s v="UPI"/>
    <s v="TXN105890"/>
    <x v="0"/>
  </r>
  <r>
    <d v="2023-10-24T00:00:00"/>
    <x v="9"/>
    <x v="0"/>
    <x v="4"/>
    <x v="4134"/>
    <x v="4202"/>
    <s v="UPI"/>
    <s v="TXN107370"/>
    <x v="0"/>
  </r>
  <r>
    <d v="2023-10-24T00:00:00"/>
    <x v="9"/>
    <x v="2"/>
    <x v="2"/>
    <x v="4135"/>
    <x v="4203"/>
    <s v="UPI"/>
    <s v="TXN108334"/>
    <x v="0"/>
  </r>
  <r>
    <d v="2023-10-24T00:00:00"/>
    <x v="9"/>
    <x v="2"/>
    <x v="0"/>
    <x v="4136"/>
    <x v="4204"/>
    <s v="Cash"/>
    <s v="TXN109822"/>
    <x v="0"/>
  </r>
  <r>
    <d v="2023-10-24T00:00:00"/>
    <x v="9"/>
    <x v="5"/>
    <x v="4"/>
    <x v="11"/>
    <x v="2780"/>
    <s v="UPI"/>
    <s v="REV100253"/>
    <x v="1"/>
  </r>
  <r>
    <d v="2023-10-24T00:00:00"/>
    <x v="9"/>
    <x v="6"/>
    <x v="1"/>
    <x v="108"/>
    <x v="1281"/>
    <s v="Card"/>
    <s v="REV100585"/>
    <x v="1"/>
  </r>
  <r>
    <d v="2023-10-24T00:00:00"/>
    <x v="9"/>
    <x v="6"/>
    <x v="4"/>
    <x v="2038"/>
    <x v="3025"/>
    <s v="Bank Transfer"/>
    <s v="REV100991"/>
    <x v="1"/>
  </r>
  <r>
    <d v="2023-10-24T00:00:00"/>
    <x v="9"/>
    <x v="6"/>
    <x v="0"/>
    <x v="629"/>
    <x v="4205"/>
    <s v="Card"/>
    <s v="REV101143"/>
    <x v="1"/>
  </r>
  <r>
    <d v="2023-10-24T00:00:00"/>
    <x v="9"/>
    <x v="5"/>
    <x v="2"/>
    <x v="2139"/>
    <x v="1194"/>
    <s v="Bank Transfer"/>
    <s v="REV101990"/>
    <x v="1"/>
  </r>
  <r>
    <d v="2023-10-24T00:00:00"/>
    <x v="9"/>
    <x v="5"/>
    <x v="4"/>
    <x v="715"/>
    <x v="3206"/>
    <s v="UPI"/>
    <s v="REV102499"/>
    <x v="1"/>
  </r>
  <r>
    <d v="2023-10-24T00:00:00"/>
    <x v="9"/>
    <x v="5"/>
    <x v="2"/>
    <x v="690"/>
    <x v="543"/>
    <s v="Bank Transfer"/>
    <s v="REV102831"/>
    <x v="1"/>
  </r>
  <r>
    <d v="2023-10-24T00:00:00"/>
    <x v="9"/>
    <x v="5"/>
    <x v="0"/>
    <x v="1188"/>
    <x v="680"/>
    <s v="Bank Transfer"/>
    <s v="REV103326"/>
    <x v="1"/>
  </r>
  <r>
    <d v="2023-10-25T00:00:00"/>
    <x v="9"/>
    <x v="2"/>
    <x v="1"/>
    <x v="4137"/>
    <x v="4206"/>
    <s v="Cash"/>
    <s v="TXN103045"/>
    <x v="0"/>
  </r>
  <r>
    <d v="2023-10-25T00:00:00"/>
    <x v="9"/>
    <x v="1"/>
    <x v="1"/>
    <x v="4138"/>
    <x v="4207"/>
    <s v="Bank Transfer"/>
    <s v="TXN104134"/>
    <x v="0"/>
  </r>
  <r>
    <d v="2023-10-25T00:00:00"/>
    <x v="9"/>
    <x v="2"/>
    <x v="4"/>
    <x v="4139"/>
    <x v="4208"/>
    <s v="UPI"/>
    <s v="TXN105722"/>
    <x v="0"/>
  </r>
  <r>
    <d v="2023-10-25T00:00:00"/>
    <x v="9"/>
    <x v="2"/>
    <x v="4"/>
    <x v="4140"/>
    <x v="4209"/>
    <s v="Bank Transfer"/>
    <s v="TXN105769"/>
    <x v="0"/>
  </r>
  <r>
    <d v="2023-10-25T00:00:00"/>
    <x v="9"/>
    <x v="7"/>
    <x v="2"/>
    <x v="4141"/>
    <x v="4210"/>
    <s v="Card"/>
    <s v="TXN107326"/>
    <x v="0"/>
  </r>
  <r>
    <d v="2023-10-25T00:00:00"/>
    <x v="9"/>
    <x v="4"/>
    <x v="1"/>
    <x v="2592"/>
    <x v="4211"/>
    <s v="UPI"/>
    <s v="TXN108339"/>
    <x v="0"/>
  </r>
  <r>
    <d v="2023-10-25T00:00:00"/>
    <x v="9"/>
    <x v="3"/>
    <x v="1"/>
    <x v="4142"/>
    <x v="4212"/>
    <s v="Cash"/>
    <s v="TXN109880"/>
    <x v="0"/>
  </r>
  <r>
    <d v="2023-10-25T00:00:00"/>
    <x v="9"/>
    <x v="5"/>
    <x v="1"/>
    <x v="1778"/>
    <x v="4213"/>
    <s v="Bank Transfer"/>
    <s v="REV101053"/>
    <x v="1"/>
  </r>
  <r>
    <d v="2023-10-25T00:00:00"/>
    <x v="9"/>
    <x v="6"/>
    <x v="1"/>
    <x v="4143"/>
    <x v="200"/>
    <s v="Bank Transfer"/>
    <s v="REV101430"/>
    <x v="1"/>
  </r>
  <r>
    <d v="2023-10-25T00:00:00"/>
    <x v="9"/>
    <x v="5"/>
    <x v="4"/>
    <x v="4089"/>
    <x v="4214"/>
    <s v="Bank Transfer"/>
    <s v="REV101946"/>
    <x v="1"/>
  </r>
  <r>
    <d v="2023-10-25T00:00:00"/>
    <x v="9"/>
    <x v="6"/>
    <x v="4"/>
    <x v="34"/>
    <x v="201"/>
    <s v="Card"/>
    <s v="REV101954"/>
    <x v="1"/>
  </r>
  <r>
    <d v="2023-10-25T00:00:00"/>
    <x v="9"/>
    <x v="6"/>
    <x v="2"/>
    <x v="1222"/>
    <x v="4215"/>
    <s v="Bank Transfer"/>
    <s v="REV102484"/>
    <x v="1"/>
  </r>
  <r>
    <d v="2023-10-25T00:00:00"/>
    <x v="9"/>
    <x v="6"/>
    <x v="1"/>
    <x v="1237"/>
    <x v="2779"/>
    <s v="Bank Transfer"/>
    <s v="REV102835"/>
    <x v="1"/>
  </r>
  <r>
    <d v="2023-10-25T00:00:00"/>
    <x v="9"/>
    <x v="5"/>
    <x v="1"/>
    <x v="2636"/>
    <x v="4216"/>
    <s v="Bank Transfer"/>
    <s v="REV103343"/>
    <x v="1"/>
  </r>
  <r>
    <d v="2023-10-26T00:00:00"/>
    <x v="9"/>
    <x v="3"/>
    <x v="1"/>
    <x v="4144"/>
    <x v="4217"/>
    <s v="UPI"/>
    <s v="TXN100102"/>
    <x v="0"/>
  </r>
  <r>
    <d v="2023-10-26T00:00:00"/>
    <x v="9"/>
    <x v="0"/>
    <x v="2"/>
    <x v="4145"/>
    <x v="4218"/>
    <s v="Cash"/>
    <s v="TXN100530"/>
    <x v="0"/>
  </r>
  <r>
    <d v="2023-10-26T00:00:00"/>
    <x v="9"/>
    <x v="4"/>
    <x v="3"/>
    <x v="4146"/>
    <x v="4219"/>
    <s v="UPI"/>
    <s v="TXN100629"/>
    <x v="0"/>
  </r>
  <r>
    <d v="2023-10-26T00:00:00"/>
    <x v="9"/>
    <x v="2"/>
    <x v="3"/>
    <x v="4147"/>
    <x v="4220"/>
    <s v="UPI"/>
    <s v="TXN103957"/>
    <x v="0"/>
  </r>
  <r>
    <d v="2023-10-26T00:00:00"/>
    <x v="9"/>
    <x v="0"/>
    <x v="2"/>
    <x v="4148"/>
    <x v="4221"/>
    <s v="Bank Transfer"/>
    <s v="TXN104067"/>
    <x v="0"/>
  </r>
  <r>
    <d v="2023-10-26T00:00:00"/>
    <x v="9"/>
    <x v="4"/>
    <x v="2"/>
    <x v="4149"/>
    <x v="4222"/>
    <s v="UPI"/>
    <s v="TXN108795"/>
    <x v="0"/>
  </r>
  <r>
    <d v="2023-10-26T00:00:00"/>
    <x v="9"/>
    <x v="7"/>
    <x v="0"/>
    <x v="4150"/>
    <x v="3217"/>
    <s v="Bank Transfer"/>
    <s v="TXN109659"/>
    <x v="0"/>
  </r>
  <r>
    <d v="2023-10-26T00:00:00"/>
    <x v="9"/>
    <x v="0"/>
    <x v="3"/>
    <x v="4151"/>
    <x v="4223"/>
    <s v="Cash"/>
    <s v="TXN109922"/>
    <x v="0"/>
  </r>
  <r>
    <d v="2023-10-26T00:00:00"/>
    <x v="9"/>
    <x v="5"/>
    <x v="1"/>
    <x v="1762"/>
    <x v="1605"/>
    <s v="Card"/>
    <s v="REV100037"/>
    <x v="1"/>
  </r>
  <r>
    <d v="2023-10-26T00:00:00"/>
    <x v="9"/>
    <x v="5"/>
    <x v="2"/>
    <x v="1849"/>
    <x v="1106"/>
    <s v="Card"/>
    <s v="REV100208"/>
    <x v="1"/>
  </r>
  <r>
    <d v="2023-10-26T00:00:00"/>
    <x v="9"/>
    <x v="5"/>
    <x v="3"/>
    <x v="4152"/>
    <x v="4224"/>
    <s v="UPI"/>
    <s v="REV100243"/>
    <x v="1"/>
  </r>
  <r>
    <d v="2023-10-26T00:00:00"/>
    <x v="9"/>
    <x v="6"/>
    <x v="3"/>
    <x v="2535"/>
    <x v="1151"/>
    <s v="Card"/>
    <s v="REV101371"/>
    <x v="1"/>
  </r>
  <r>
    <d v="2023-10-26T00:00:00"/>
    <x v="9"/>
    <x v="5"/>
    <x v="2"/>
    <x v="2139"/>
    <x v="4225"/>
    <s v="Bank Transfer"/>
    <s v="REV101404"/>
    <x v="1"/>
  </r>
  <r>
    <d v="2023-10-26T00:00:00"/>
    <x v="9"/>
    <x v="5"/>
    <x v="2"/>
    <x v="2673"/>
    <x v="2086"/>
    <s v="Bank Transfer"/>
    <s v="REV102986"/>
    <x v="1"/>
  </r>
  <r>
    <d v="2023-10-26T00:00:00"/>
    <x v="9"/>
    <x v="6"/>
    <x v="0"/>
    <x v="2153"/>
    <x v="4226"/>
    <s v="UPI"/>
    <s v="REV103267"/>
    <x v="1"/>
  </r>
  <r>
    <d v="2023-10-26T00:00:00"/>
    <x v="9"/>
    <x v="5"/>
    <x v="3"/>
    <x v="298"/>
    <x v="4227"/>
    <s v="Card"/>
    <s v="REV103356"/>
    <x v="1"/>
  </r>
  <r>
    <d v="2023-10-27T00:00:00"/>
    <x v="9"/>
    <x v="3"/>
    <x v="4"/>
    <x v="4153"/>
    <x v="4228"/>
    <s v="Cash"/>
    <s v="TXN103368"/>
    <x v="0"/>
  </r>
  <r>
    <d v="2023-10-27T00:00:00"/>
    <x v="9"/>
    <x v="3"/>
    <x v="1"/>
    <x v="4154"/>
    <x v="4229"/>
    <s v="Cash"/>
    <s v="TXN103918"/>
    <x v="0"/>
  </r>
  <r>
    <d v="2023-10-27T00:00:00"/>
    <x v="9"/>
    <x v="7"/>
    <x v="1"/>
    <x v="4155"/>
    <x v="4230"/>
    <s v="Card"/>
    <s v="TXN104140"/>
    <x v="0"/>
  </r>
  <r>
    <d v="2023-10-27T00:00:00"/>
    <x v="9"/>
    <x v="4"/>
    <x v="0"/>
    <x v="4156"/>
    <x v="4231"/>
    <s v="Cash"/>
    <s v="TXN106658"/>
    <x v="0"/>
  </r>
  <r>
    <d v="2023-10-27T00:00:00"/>
    <x v="9"/>
    <x v="3"/>
    <x v="4"/>
    <x v="4157"/>
    <x v="4232"/>
    <s v="Card"/>
    <s v="TXN106961"/>
    <x v="0"/>
  </r>
  <r>
    <d v="2023-10-27T00:00:00"/>
    <x v="9"/>
    <x v="4"/>
    <x v="0"/>
    <x v="4158"/>
    <x v="4233"/>
    <s v="UPI"/>
    <s v="TXN109334"/>
    <x v="0"/>
  </r>
  <r>
    <d v="2023-10-27T00:00:00"/>
    <x v="9"/>
    <x v="5"/>
    <x v="4"/>
    <x v="1236"/>
    <x v="1316"/>
    <s v="Bank Transfer"/>
    <s v="REV101158"/>
    <x v="1"/>
  </r>
  <r>
    <d v="2023-10-27T00:00:00"/>
    <x v="9"/>
    <x v="5"/>
    <x v="1"/>
    <x v="4159"/>
    <x v="1827"/>
    <s v="Bank Transfer"/>
    <s v="REV101355"/>
    <x v="1"/>
  </r>
  <r>
    <d v="2023-10-27T00:00:00"/>
    <x v="9"/>
    <x v="5"/>
    <x v="1"/>
    <x v="538"/>
    <x v="318"/>
    <s v="Bank Transfer"/>
    <s v="REV101432"/>
    <x v="1"/>
  </r>
  <r>
    <d v="2023-10-27T00:00:00"/>
    <x v="9"/>
    <x v="5"/>
    <x v="0"/>
    <x v="239"/>
    <x v="4234"/>
    <s v="Card"/>
    <s v="REV102264"/>
    <x v="1"/>
  </r>
  <r>
    <d v="2023-10-27T00:00:00"/>
    <x v="9"/>
    <x v="5"/>
    <x v="4"/>
    <x v="4160"/>
    <x v="4235"/>
    <s v="Card"/>
    <s v="REV102367"/>
    <x v="1"/>
  </r>
  <r>
    <d v="2023-10-27T00:00:00"/>
    <x v="9"/>
    <x v="5"/>
    <x v="0"/>
    <x v="204"/>
    <x v="1807"/>
    <s v="UPI"/>
    <s v="REV103154"/>
    <x v="1"/>
  </r>
  <r>
    <d v="2023-10-28T00:00:00"/>
    <x v="9"/>
    <x v="3"/>
    <x v="0"/>
    <x v="4161"/>
    <x v="4236"/>
    <s v="Cash"/>
    <s v="TXN100669"/>
    <x v="0"/>
  </r>
  <r>
    <d v="2023-10-28T00:00:00"/>
    <x v="9"/>
    <x v="7"/>
    <x v="3"/>
    <x v="4162"/>
    <x v="4237"/>
    <s v="UPI"/>
    <s v="TXN101277"/>
    <x v="0"/>
  </r>
  <r>
    <d v="2023-10-28T00:00:00"/>
    <x v="9"/>
    <x v="2"/>
    <x v="3"/>
    <x v="4163"/>
    <x v="4238"/>
    <s v="Card"/>
    <s v="TXN101771"/>
    <x v="0"/>
  </r>
  <r>
    <d v="2023-10-28T00:00:00"/>
    <x v="9"/>
    <x v="2"/>
    <x v="4"/>
    <x v="4164"/>
    <x v="4239"/>
    <s v="Cash"/>
    <s v="TXN103247"/>
    <x v="0"/>
  </r>
  <r>
    <d v="2023-10-28T00:00:00"/>
    <x v="9"/>
    <x v="7"/>
    <x v="0"/>
    <x v="4165"/>
    <x v="4240"/>
    <s v="UPI"/>
    <s v="TXN103444"/>
    <x v="0"/>
  </r>
  <r>
    <d v="2023-10-28T00:00:00"/>
    <x v="9"/>
    <x v="3"/>
    <x v="3"/>
    <x v="4166"/>
    <x v="4241"/>
    <s v="Bank Transfer"/>
    <s v="TXN104864"/>
    <x v="0"/>
  </r>
  <r>
    <d v="2023-10-28T00:00:00"/>
    <x v="9"/>
    <x v="0"/>
    <x v="2"/>
    <x v="4167"/>
    <x v="2193"/>
    <s v="Bank Transfer"/>
    <s v="TXN105593"/>
    <x v="0"/>
  </r>
  <r>
    <d v="2023-10-28T00:00:00"/>
    <x v="9"/>
    <x v="7"/>
    <x v="3"/>
    <x v="4168"/>
    <x v="4242"/>
    <s v="Bank Transfer"/>
    <s v="TXN106449"/>
    <x v="0"/>
  </r>
  <r>
    <d v="2023-10-28T00:00:00"/>
    <x v="9"/>
    <x v="7"/>
    <x v="3"/>
    <x v="4169"/>
    <x v="4243"/>
    <s v="Card"/>
    <s v="TXN106602"/>
    <x v="0"/>
  </r>
  <r>
    <d v="2023-10-28T00:00:00"/>
    <x v="9"/>
    <x v="4"/>
    <x v="2"/>
    <x v="4170"/>
    <x v="4244"/>
    <s v="Cash"/>
    <s v="TXN106610"/>
    <x v="0"/>
  </r>
  <r>
    <d v="2023-10-28T00:00:00"/>
    <x v="9"/>
    <x v="7"/>
    <x v="2"/>
    <x v="4171"/>
    <x v="4245"/>
    <s v="Bank Transfer"/>
    <s v="TXN106736"/>
    <x v="0"/>
  </r>
  <r>
    <d v="2023-10-28T00:00:00"/>
    <x v="9"/>
    <x v="1"/>
    <x v="3"/>
    <x v="4172"/>
    <x v="4246"/>
    <s v="Card"/>
    <s v="TXN107129"/>
    <x v="0"/>
  </r>
  <r>
    <d v="2023-10-28T00:00:00"/>
    <x v="9"/>
    <x v="1"/>
    <x v="2"/>
    <x v="4173"/>
    <x v="4247"/>
    <s v="Cash"/>
    <s v="TXN109079"/>
    <x v="0"/>
  </r>
  <r>
    <d v="2023-10-28T00:00:00"/>
    <x v="9"/>
    <x v="5"/>
    <x v="0"/>
    <x v="3775"/>
    <x v="3209"/>
    <s v="Bank Transfer"/>
    <s v="REV100252"/>
    <x v="1"/>
  </r>
  <r>
    <d v="2023-10-28T00:00:00"/>
    <x v="9"/>
    <x v="6"/>
    <x v="3"/>
    <x v="714"/>
    <x v="1778"/>
    <s v="Card"/>
    <s v="REV100465"/>
    <x v="1"/>
  </r>
  <r>
    <d v="2023-10-28T00:00:00"/>
    <x v="9"/>
    <x v="5"/>
    <x v="3"/>
    <x v="538"/>
    <x v="52"/>
    <s v="Bank Transfer"/>
    <s v="REV100643"/>
    <x v="1"/>
  </r>
  <r>
    <d v="2023-10-28T00:00:00"/>
    <x v="9"/>
    <x v="5"/>
    <x v="4"/>
    <x v="1478"/>
    <x v="4248"/>
    <s v="Bank Transfer"/>
    <s v="REV101115"/>
    <x v="1"/>
  </r>
  <r>
    <d v="2023-10-28T00:00:00"/>
    <x v="9"/>
    <x v="6"/>
    <x v="0"/>
    <x v="1106"/>
    <x v="4249"/>
    <s v="Card"/>
    <s v="REV101180"/>
    <x v="1"/>
  </r>
  <r>
    <d v="2023-10-28T00:00:00"/>
    <x v="9"/>
    <x v="6"/>
    <x v="3"/>
    <x v="1538"/>
    <x v="913"/>
    <s v="Bank Transfer"/>
    <s v="REV101662"/>
    <x v="1"/>
  </r>
  <r>
    <d v="2023-10-28T00:00:00"/>
    <x v="9"/>
    <x v="6"/>
    <x v="2"/>
    <x v="4174"/>
    <x v="4250"/>
    <s v="Card"/>
    <s v="REV101908"/>
    <x v="1"/>
  </r>
  <r>
    <d v="2023-10-28T00:00:00"/>
    <x v="9"/>
    <x v="6"/>
    <x v="3"/>
    <x v="95"/>
    <x v="3403"/>
    <s v="Bank Transfer"/>
    <s v="REV102182"/>
    <x v="1"/>
  </r>
  <r>
    <d v="2023-10-28T00:00:00"/>
    <x v="9"/>
    <x v="5"/>
    <x v="3"/>
    <x v="4175"/>
    <x v="4251"/>
    <s v="Bank Transfer"/>
    <s v="REV102241"/>
    <x v="1"/>
  </r>
  <r>
    <d v="2023-10-28T00:00:00"/>
    <x v="9"/>
    <x v="5"/>
    <x v="2"/>
    <x v="956"/>
    <x v="2058"/>
    <s v="Bank Transfer"/>
    <s v="REV102244"/>
    <x v="1"/>
  </r>
  <r>
    <d v="2023-10-28T00:00:00"/>
    <x v="9"/>
    <x v="5"/>
    <x v="2"/>
    <x v="2206"/>
    <x v="3162"/>
    <s v="Bank Transfer"/>
    <s v="REV102297"/>
    <x v="1"/>
  </r>
  <r>
    <d v="2023-10-28T00:00:00"/>
    <x v="9"/>
    <x v="5"/>
    <x v="3"/>
    <x v="565"/>
    <x v="4252"/>
    <s v="Card"/>
    <s v="REV102418"/>
    <x v="1"/>
  </r>
  <r>
    <d v="2023-10-28T00:00:00"/>
    <x v="9"/>
    <x v="6"/>
    <x v="2"/>
    <x v="4176"/>
    <x v="4253"/>
    <s v="Bank Transfer"/>
    <s v="REV103071"/>
    <x v="1"/>
  </r>
  <r>
    <d v="2023-10-29T00:00:00"/>
    <x v="9"/>
    <x v="4"/>
    <x v="3"/>
    <x v="4177"/>
    <x v="4254"/>
    <s v="Bank Transfer"/>
    <s v="TXN100504"/>
    <x v="0"/>
  </r>
  <r>
    <d v="2023-10-29T00:00:00"/>
    <x v="9"/>
    <x v="3"/>
    <x v="1"/>
    <x v="4178"/>
    <x v="4255"/>
    <s v="Bank Transfer"/>
    <s v="TXN100930"/>
    <x v="0"/>
  </r>
  <r>
    <d v="2023-10-29T00:00:00"/>
    <x v="9"/>
    <x v="2"/>
    <x v="1"/>
    <x v="4179"/>
    <x v="4256"/>
    <s v="Cash"/>
    <s v="TXN101527"/>
    <x v="0"/>
  </r>
  <r>
    <d v="2023-10-29T00:00:00"/>
    <x v="9"/>
    <x v="0"/>
    <x v="1"/>
    <x v="4180"/>
    <x v="4257"/>
    <s v="UPI"/>
    <s v="TXN101911"/>
    <x v="0"/>
  </r>
  <r>
    <d v="2023-10-29T00:00:00"/>
    <x v="9"/>
    <x v="2"/>
    <x v="4"/>
    <x v="4181"/>
    <x v="4258"/>
    <s v="Bank Transfer"/>
    <s v="TXN102411"/>
    <x v="0"/>
  </r>
  <r>
    <d v="2023-10-29T00:00:00"/>
    <x v="9"/>
    <x v="7"/>
    <x v="2"/>
    <x v="4182"/>
    <x v="4259"/>
    <s v="UPI"/>
    <s v="TXN103690"/>
    <x v="0"/>
  </r>
  <r>
    <d v="2023-10-29T00:00:00"/>
    <x v="9"/>
    <x v="4"/>
    <x v="2"/>
    <x v="4183"/>
    <x v="4260"/>
    <s v="UPI"/>
    <s v="TXN104808"/>
    <x v="0"/>
  </r>
  <r>
    <d v="2023-10-29T00:00:00"/>
    <x v="9"/>
    <x v="3"/>
    <x v="4"/>
    <x v="4184"/>
    <x v="4261"/>
    <s v="Card"/>
    <s v="TXN105334"/>
    <x v="0"/>
  </r>
  <r>
    <d v="2023-10-29T00:00:00"/>
    <x v="9"/>
    <x v="7"/>
    <x v="2"/>
    <x v="4185"/>
    <x v="4262"/>
    <s v="Cash"/>
    <s v="TXN106679"/>
    <x v="0"/>
  </r>
  <r>
    <d v="2023-10-29T00:00:00"/>
    <x v="9"/>
    <x v="1"/>
    <x v="3"/>
    <x v="4186"/>
    <x v="4263"/>
    <s v="UPI"/>
    <s v="TXN108042"/>
    <x v="0"/>
  </r>
  <r>
    <d v="2023-10-29T00:00:00"/>
    <x v="9"/>
    <x v="3"/>
    <x v="4"/>
    <x v="4187"/>
    <x v="4264"/>
    <s v="Cash"/>
    <s v="TXN108668"/>
    <x v="0"/>
  </r>
  <r>
    <d v="2023-10-29T00:00:00"/>
    <x v="9"/>
    <x v="2"/>
    <x v="3"/>
    <x v="4188"/>
    <x v="4265"/>
    <s v="UPI"/>
    <s v="TXN108932"/>
    <x v="0"/>
  </r>
  <r>
    <d v="2023-10-29T00:00:00"/>
    <x v="9"/>
    <x v="4"/>
    <x v="2"/>
    <x v="4189"/>
    <x v="4266"/>
    <s v="Cash"/>
    <s v="TXN108977"/>
    <x v="0"/>
  </r>
  <r>
    <d v="2023-10-29T00:00:00"/>
    <x v="9"/>
    <x v="4"/>
    <x v="4"/>
    <x v="4190"/>
    <x v="4267"/>
    <s v="UPI"/>
    <s v="TXN109056"/>
    <x v="0"/>
  </r>
  <r>
    <d v="2023-10-29T00:00:00"/>
    <x v="9"/>
    <x v="2"/>
    <x v="1"/>
    <x v="4191"/>
    <x v="4268"/>
    <s v="Cash"/>
    <s v="TXN109918"/>
    <x v="0"/>
  </r>
  <r>
    <d v="2023-10-29T00:00:00"/>
    <x v="9"/>
    <x v="5"/>
    <x v="3"/>
    <x v="4192"/>
    <x v="2392"/>
    <s v="Card"/>
    <s v="REV100194"/>
    <x v="1"/>
  </r>
  <r>
    <d v="2023-10-29T00:00:00"/>
    <x v="9"/>
    <x v="5"/>
    <x v="1"/>
    <x v="2952"/>
    <x v="2475"/>
    <s v="Bank Transfer"/>
    <s v="REV100343"/>
    <x v="1"/>
  </r>
  <r>
    <d v="2023-10-29T00:00:00"/>
    <x v="9"/>
    <x v="5"/>
    <x v="1"/>
    <x v="715"/>
    <x v="2779"/>
    <s v="Card"/>
    <s v="REV100560"/>
    <x v="1"/>
  </r>
  <r>
    <d v="2023-10-29T00:00:00"/>
    <x v="9"/>
    <x v="6"/>
    <x v="1"/>
    <x v="4193"/>
    <x v="4269"/>
    <s v="Card"/>
    <s v="REV100687"/>
    <x v="1"/>
  </r>
  <r>
    <d v="2023-10-29T00:00:00"/>
    <x v="9"/>
    <x v="6"/>
    <x v="4"/>
    <x v="710"/>
    <x v="1171"/>
    <s v="Bank Transfer"/>
    <s v="REV100853"/>
    <x v="1"/>
  </r>
  <r>
    <d v="2023-10-29T00:00:00"/>
    <x v="9"/>
    <x v="6"/>
    <x v="2"/>
    <x v="1296"/>
    <x v="397"/>
    <s v="Bank Transfer"/>
    <s v="REV101265"/>
    <x v="1"/>
  </r>
  <r>
    <d v="2023-10-29T00:00:00"/>
    <x v="9"/>
    <x v="6"/>
    <x v="2"/>
    <x v="3900"/>
    <x v="4270"/>
    <s v="Bank Transfer"/>
    <s v="REV101640"/>
    <x v="1"/>
  </r>
  <r>
    <d v="2023-10-29T00:00:00"/>
    <x v="9"/>
    <x v="5"/>
    <x v="4"/>
    <x v="311"/>
    <x v="898"/>
    <s v="Bank Transfer"/>
    <s v="REV101811"/>
    <x v="1"/>
  </r>
  <r>
    <d v="2023-10-29T00:00:00"/>
    <x v="9"/>
    <x v="6"/>
    <x v="2"/>
    <x v="705"/>
    <x v="4271"/>
    <s v="Bank Transfer"/>
    <s v="REV102271"/>
    <x v="1"/>
  </r>
  <r>
    <d v="2023-10-29T00:00:00"/>
    <x v="9"/>
    <x v="5"/>
    <x v="3"/>
    <x v="1445"/>
    <x v="1855"/>
    <s v="Bank Transfer"/>
    <s v="REV102732"/>
    <x v="1"/>
  </r>
  <r>
    <d v="2023-10-29T00:00:00"/>
    <x v="9"/>
    <x v="5"/>
    <x v="4"/>
    <x v="4194"/>
    <x v="4272"/>
    <s v="Card"/>
    <s v="REV102944"/>
    <x v="1"/>
  </r>
  <r>
    <d v="2023-10-29T00:00:00"/>
    <x v="9"/>
    <x v="5"/>
    <x v="3"/>
    <x v="3243"/>
    <x v="37"/>
    <s v="Card"/>
    <s v="REV103025"/>
    <x v="1"/>
  </r>
  <r>
    <d v="2023-10-29T00:00:00"/>
    <x v="9"/>
    <x v="5"/>
    <x v="2"/>
    <x v="2590"/>
    <x v="3544"/>
    <s v="UPI"/>
    <s v="REV103040"/>
    <x v="1"/>
  </r>
  <r>
    <d v="2023-10-29T00:00:00"/>
    <x v="9"/>
    <x v="5"/>
    <x v="4"/>
    <x v="2277"/>
    <x v="2601"/>
    <s v="UPI"/>
    <s v="REV103064"/>
    <x v="1"/>
  </r>
  <r>
    <d v="2023-10-29T00:00:00"/>
    <x v="9"/>
    <x v="5"/>
    <x v="1"/>
    <x v="424"/>
    <x v="2711"/>
    <s v="Bank Transfer"/>
    <s v="REV103354"/>
    <x v="1"/>
  </r>
  <r>
    <d v="2023-10-30T00:00:00"/>
    <x v="9"/>
    <x v="3"/>
    <x v="3"/>
    <x v="4195"/>
    <x v="4273"/>
    <s v="Cash"/>
    <s v="TXN100446"/>
    <x v="0"/>
  </r>
  <r>
    <d v="2023-10-30T00:00:00"/>
    <x v="9"/>
    <x v="4"/>
    <x v="2"/>
    <x v="4196"/>
    <x v="4274"/>
    <s v="Cash"/>
    <s v="TXN104275"/>
    <x v="0"/>
  </r>
  <r>
    <d v="2023-10-30T00:00:00"/>
    <x v="9"/>
    <x v="3"/>
    <x v="3"/>
    <x v="4197"/>
    <x v="4275"/>
    <s v="Cash"/>
    <s v="TXN105286"/>
    <x v="0"/>
  </r>
  <r>
    <d v="2023-10-30T00:00:00"/>
    <x v="9"/>
    <x v="2"/>
    <x v="3"/>
    <x v="4198"/>
    <x v="4276"/>
    <s v="Cash"/>
    <s v="TXN106693"/>
    <x v="0"/>
  </r>
  <r>
    <d v="2023-10-30T00:00:00"/>
    <x v="9"/>
    <x v="0"/>
    <x v="2"/>
    <x v="4199"/>
    <x v="4277"/>
    <s v="UPI"/>
    <s v="TXN107172"/>
    <x v="0"/>
  </r>
  <r>
    <d v="2023-10-30T00:00:00"/>
    <x v="9"/>
    <x v="4"/>
    <x v="2"/>
    <x v="3070"/>
    <x v="4278"/>
    <s v="Bank Transfer"/>
    <s v="TXN108168"/>
    <x v="0"/>
  </r>
  <r>
    <d v="2023-10-30T00:00:00"/>
    <x v="9"/>
    <x v="5"/>
    <x v="3"/>
    <x v="4076"/>
    <x v="1544"/>
    <s v="Bank Transfer"/>
    <s v="REV100170"/>
    <x v="1"/>
  </r>
  <r>
    <d v="2023-10-30T00:00:00"/>
    <x v="9"/>
    <x v="6"/>
    <x v="2"/>
    <x v="650"/>
    <x v="2641"/>
    <s v="Bank Transfer"/>
    <s v="REV101486"/>
    <x v="1"/>
  </r>
  <r>
    <d v="2023-10-30T00:00:00"/>
    <x v="9"/>
    <x v="6"/>
    <x v="3"/>
    <x v="1019"/>
    <x v="3164"/>
    <s v="Bank Transfer"/>
    <s v="REV101790"/>
    <x v="1"/>
  </r>
  <r>
    <d v="2023-10-30T00:00:00"/>
    <x v="9"/>
    <x v="5"/>
    <x v="3"/>
    <x v="4200"/>
    <x v="4279"/>
    <s v="Bank Transfer"/>
    <s v="REV102277"/>
    <x v="1"/>
  </r>
  <r>
    <d v="2023-10-30T00:00:00"/>
    <x v="9"/>
    <x v="5"/>
    <x v="2"/>
    <x v="1647"/>
    <x v="4280"/>
    <s v="UPI"/>
    <s v="REV102432"/>
    <x v="1"/>
  </r>
  <r>
    <d v="2023-10-30T00:00:00"/>
    <x v="9"/>
    <x v="6"/>
    <x v="2"/>
    <x v="4201"/>
    <x v="4281"/>
    <s v="Bank Transfer"/>
    <s v="REV102772"/>
    <x v="1"/>
  </r>
  <r>
    <d v="2023-10-31T00:00:00"/>
    <x v="9"/>
    <x v="0"/>
    <x v="3"/>
    <x v="4202"/>
    <x v="4282"/>
    <s v="Card"/>
    <s v="TXN101477"/>
    <x v="0"/>
  </r>
  <r>
    <d v="2023-10-31T00:00:00"/>
    <x v="9"/>
    <x v="0"/>
    <x v="3"/>
    <x v="4203"/>
    <x v="4283"/>
    <s v="UPI"/>
    <s v="TXN101891"/>
    <x v="0"/>
  </r>
  <r>
    <d v="2023-10-31T00:00:00"/>
    <x v="9"/>
    <x v="4"/>
    <x v="1"/>
    <x v="4204"/>
    <x v="4284"/>
    <s v="Cash"/>
    <s v="TXN102018"/>
    <x v="0"/>
  </r>
  <r>
    <d v="2023-10-31T00:00:00"/>
    <x v="9"/>
    <x v="3"/>
    <x v="1"/>
    <x v="4205"/>
    <x v="4285"/>
    <s v="UPI"/>
    <s v="TXN102732"/>
    <x v="0"/>
  </r>
  <r>
    <d v="2023-10-31T00:00:00"/>
    <x v="9"/>
    <x v="7"/>
    <x v="0"/>
    <x v="4206"/>
    <x v="4286"/>
    <s v="UPI"/>
    <s v="TXN103955"/>
    <x v="0"/>
  </r>
  <r>
    <d v="2023-10-31T00:00:00"/>
    <x v="9"/>
    <x v="1"/>
    <x v="1"/>
    <x v="4207"/>
    <x v="4287"/>
    <s v="Bank Transfer"/>
    <s v="TXN104784"/>
    <x v="0"/>
  </r>
  <r>
    <d v="2023-10-31T00:00:00"/>
    <x v="9"/>
    <x v="0"/>
    <x v="3"/>
    <x v="4208"/>
    <x v="4288"/>
    <s v="Bank Transfer"/>
    <s v="TXN105078"/>
    <x v="0"/>
  </r>
  <r>
    <d v="2023-10-31T00:00:00"/>
    <x v="9"/>
    <x v="7"/>
    <x v="3"/>
    <x v="4209"/>
    <x v="4289"/>
    <s v="Cash"/>
    <s v="TXN105125"/>
    <x v="0"/>
  </r>
  <r>
    <d v="2023-10-31T00:00:00"/>
    <x v="9"/>
    <x v="7"/>
    <x v="4"/>
    <x v="4210"/>
    <x v="4290"/>
    <s v="Cash"/>
    <s v="TXN106940"/>
    <x v="0"/>
  </r>
  <r>
    <d v="2023-10-31T00:00:00"/>
    <x v="9"/>
    <x v="0"/>
    <x v="3"/>
    <x v="4211"/>
    <x v="4291"/>
    <s v="Card"/>
    <s v="TXN107657"/>
    <x v="0"/>
  </r>
  <r>
    <d v="2023-10-31T00:00:00"/>
    <x v="9"/>
    <x v="7"/>
    <x v="0"/>
    <x v="4212"/>
    <x v="4292"/>
    <s v="Card"/>
    <s v="TXN108027"/>
    <x v="0"/>
  </r>
  <r>
    <d v="2023-10-31T00:00:00"/>
    <x v="9"/>
    <x v="4"/>
    <x v="2"/>
    <x v="4213"/>
    <x v="4293"/>
    <s v="Bank Transfer"/>
    <s v="TXN109876"/>
    <x v="0"/>
  </r>
  <r>
    <d v="2023-10-31T00:00:00"/>
    <x v="9"/>
    <x v="5"/>
    <x v="3"/>
    <x v="1444"/>
    <x v="1265"/>
    <s v="Bank Transfer"/>
    <s v="REV100541"/>
    <x v="1"/>
  </r>
  <r>
    <d v="2023-10-31T00:00:00"/>
    <x v="9"/>
    <x v="5"/>
    <x v="3"/>
    <x v="758"/>
    <x v="2107"/>
    <s v="Card"/>
    <s v="REV100678"/>
    <x v="1"/>
  </r>
  <r>
    <d v="2023-10-31T00:00:00"/>
    <x v="9"/>
    <x v="5"/>
    <x v="1"/>
    <x v="4214"/>
    <x v="99"/>
    <s v="Bank Transfer"/>
    <s v="REV100715"/>
    <x v="1"/>
  </r>
  <r>
    <d v="2023-10-31T00:00:00"/>
    <x v="9"/>
    <x v="6"/>
    <x v="1"/>
    <x v="1372"/>
    <x v="51"/>
    <s v="Card"/>
    <s v="REV100955"/>
    <x v="1"/>
  </r>
  <r>
    <d v="2023-10-31T00:00:00"/>
    <x v="9"/>
    <x v="5"/>
    <x v="0"/>
    <x v="1651"/>
    <x v="132"/>
    <s v="Card"/>
    <s v="REV101370"/>
    <x v="1"/>
  </r>
  <r>
    <d v="2023-10-31T00:00:00"/>
    <x v="9"/>
    <x v="6"/>
    <x v="1"/>
    <x v="4215"/>
    <x v="812"/>
    <s v="Bank Transfer"/>
    <s v="REV101633"/>
    <x v="1"/>
  </r>
  <r>
    <d v="2023-10-31T00:00:00"/>
    <x v="9"/>
    <x v="5"/>
    <x v="3"/>
    <x v="1287"/>
    <x v="4294"/>
    <s v="Bank Transfer"/>
    <s v="REV101729"/>
    <x v="1"/>
  </r>
  <r>
    <d v="2023-10-31T00:00:00"/>
    <x v="9"/>
    <x v="6"/>
    <x v="3"/>
    <x v="3083"/>
    <x v="3737"/>
    <s v="Bank Transfer"/>
    <s v="REV101743"/>
    <x v="1"/>
  </r>
  <r>
    <d v="2023-10-31T00:00:00"/>
    <x v="9"/>
    <x v="5"/>
    <x v="4"/>
    <x v="992"/>
    <x v="3651"/>
    <s v="Bank Transfer"/>
    <s v="REV102359"/>
    <x v="1"/>
  </r>
  <r>
    <d v="2023-10-31T00:00:00"/>
    <x v="9"/>
    <x v="5"/>
    <x v="3"/>
    <x v="2573"/>
    <x v="2702"/>
    <s v="Card"/>
    <s v="REV102604"/>
    <x v="1"/>
  </r>
  <r>
    <d v="2023-10-31T00:00:00"/>
    <x v="9"/>
    <x v="6"/>
    <x v="0"/>
    <x v="4216"/>
    <x v="1491"/>
    <s v="Bank Transfer"/>
    <s v="REV102729"/>
    <x v="1"/>
  </r>
  <r>
    <d v="2023-10-31T00:00:00"/>
    <x v="9"/>
    <x v="5"/>
    <x v="2"/>
    <x v="689"/>
    <x v="2293"/>
    <s v="Bank Transfer"/>
    <s v="REV103342"/>
    <x v="1"/>
  </r>
  <r>
    <d v="2023-11-01T00:00:00"/>
    <x v="10"/>
    <x v="1"/>
    <x v="3"/>
    <x v="4217"/>
    <x v="4295"/>
    <s v="Bank Transfer"/>
    <s v="TXN103411"/>
    <x v="0"/>
  </r>
  <r>
    <d v="2023-11-01T00:00:00"/>
    <x v="10"/>
    <x v="4"/>
    <x v="3"/>
    <x v="4218"/>
    <x v="4296"/>
    <s v="UPI"/>
    <s v="TXN106713"/>
    <x v="0"/>
  </r>
  <r>
    <d v="2023-11-01T00:00:00"/>
    <x v="10"/>
    <x v="3"/>
    <x v="3"/>
    <x v="4219"/>
    <x v="4297"/>
    <s v="Cash"/>
    <s v="TXN107456"/>
    <x v="0"/>
  </r>
  <r>
    <d v="2023-11-01T00:00:00"/>
    <x v="10"/>
    <x v="3"/>
    <x v="2"/>
    <x v="4220"/>
    <x v="4298"/>
    <s v="Bank Transfer"/>
    <s v="TXN108019"/>
    <x v="0"/>
  </r>
  <r>
    <d v="2023-11-01T00:00:00"/>
    <x v="10"/>
    <x v="5"/>
    <x v="3"/>
    <x v="849"/>
    <x v="1370"/>
    <s v="Bank Transfer"/>
    <s v="REV101170"/>
    <x v="1"/>
  </r>
  <r>
    <d v="2023-11-01T00:00:00"/>
    <x v="10"/>
    <x v="5"/>
    <x v="3"/>
    <x v="2138"/>
    <x v="1318"/>
    <s v="Bank Transfer"/>
    <s v="REV102285"/>
    <x v="1"/>
  </r>
  <r>
    <d v="2023-11-01T00:00:00"/>
    <x v="10"/>
    <x v="6"/>
    <x v="3"/>
    <x v="1607"/>
    <x v="302"/>
    <s v="Bank Transfer"/>
    <s v="REV102530"/>
    <x v="1"/>
  </r>
  <r>
    <d v="2023-11-01T00:00:00"/>
    <x v="10"/>
    <x v="6"/>
    <x v="2"/>
    <x v="4201"/>
    <x v="4299"/>
    <s v="UPI"/>
    <s v="REV102726"/>
    <x v="1"/>
  </r>
  <r>
    <d v="2023-11-02T00:00:00"/>
    <x v="10"/>
    <x v="0"/>
    <x v="0"/>
    <x v="4221"/>
    <x v="4300"/>
    <s v="Card"/>
    <s v="TXN100496"/>
    <x v="0"/>
  </r>
  <r>
    <d v="2023-11-02T00:00:00"/>
    <x v="10"/>
    <x v="4"/>
    <x v="1"/>
    <x v="4222"/>
    <x v="4301"/>
    <s v="Bank Transfer"/>
    <s v="TXN101400"/>
    <x v="0"/>
  </r>
  <r>
    <d v="2023-11-02T00:00:00"/>
    <x v="10"/>
    <x v="0"/>
    <x v="4"/>
    <x v="4223"/>
    <x v="4302"/>
    <s v="UPI"/>
    <s v="TXN101510"/>
    <x v="0"/>
  </r>
  <r>
    <d v="2023-11-02T00:00:00"/>
    <x v="10"/>
    <x v="1"/>
    <x v="2"/>
    <x v="4224"/>
    <x v="4303"/>
    <s v="Card"/>
    <s v="TXN101726"/>
    <x v="0"/>
  </r>
  <r>
    <d v="2023-11-02T00:00:00"/>
    <x v="10"/>
    <x v="7"/>
    <x v="3"/>
    <x v="4225"/>
    <x v="4304"/>
    <s v="Bank Transfer"/>
    <s v="TXN101799"/>
    <x v="0"/>
  </r>
  <r>
    <d v="2023-11-02T00:00:00"/>
    <x v="10"/>
    <x v="7"/>
    <x v="1"/>
    <x v="4226"/>
    <x v="4305"/>
    <s v="Card"/>
    <s v="TXN102033"/>
    <x v="0"/>
  </r>
  <r>
    <d v="2023-11-02T00:00:00"/>
    <x v="10"/>
    <x v="4"/>
    <x v="1"/>
    <x v="4227"/>
    <x v="4306"/>
    <s v="Card"/>
    <s v="TXN102747"/>
    <x v="0"/>
  </r>
  <r>
    <d v="2023-11-02T00:00:00"/>
    <x v="10"/>
    <x v="2"/>
    <x v="3"/>
    <x v="4228"/>
    <x v="4307"/>
    <s v="Card"/>
    <s v="TXN103162"/>
    <x v="0"/>
  </r>
  <r>
    <d v="2023-11-02T00:00:00"/>
    <x v="10"/>
    <x v="4"/>
    <x v="1"/>
    <x v="4229"/>
    <x v="4308"/>
    <s v="Bank Transfer"/>
    <s v="TXN105318"/>
    <x v="0"/>
  </r>
  <r>
    <d v="2023-11-02T00:00:00"/>
    <x v="10"/>
    <x v="7"/>
    <x v="1"/>
    <x v="4230"/>
    <x v="4309"/>
    <s v="UPI"/>
    <s v="TXN106098"/>
    <x v="0"/>
  </r>
  <r>
    <d v="2023-11-02T00:00:00"/>
    <x v="10"/>
    <x v="0"/>
    <x v="4"/>
    <x v="4231"/>
    <x v="4310"/>
    <s v="UPI"/>
    <s v="TXN106556"/>
    <x v="0"/>
  </r>
  <r>
    <d v="2023-11-02T00:00:00"/>
    <x v="10"/>
    <x v="3"/>
    <x v="4"/>
    <x v="4232"/>
    <x v="4311"/>
    <s v="Bank Transfer"/>
    <s v="TXN106708"/>
    <x v="0"/>
  </r>
  <r>
    <d v="2023-11-02T00:00:00"/>
    <x v="10"/>
    <x v="1"/>
    <x v="0"/>
    <x v="4233"/>
    <x v="4312"/>
    <s v="Bank Transfer"/>
    <s v="TXN106904"/>
    <x v="0"/>
  </r>
  <r>
    <d v="2023-11-02T00:00:00"/>
    <x v="10"/>
    <x v="2"/>
    <x v="2"/>
    <x v="4234"/>
    <x v="4313"/>
    <s v="Card"/>
    <s v="TXN108540"/>
    <x v="0"/>
  </r>
  <r>
    <d v="2023-11-02T00:00:00"/>
    <x v="10"/>
    <x v="2"/>
    <x v="1"/>
    <x v="4235"/>
    <x v="4314"/>
    <s v="Card"/>
    <s v="TXN108702"/>
    <x v="0"/>
  </r>
  <r>
    <d v="2023-11-02T00:00:00"/>
    <x v="10"/>
    <x v="0"/>
    <x v="3"/>
    <x v="4236"/>
    <x v="4315"/>
    <s v="Cash"/>
    <s v="TXN109549"/>
    <x v="0"/>
  </r>
  <r>
    <d v="2023-11-02T00:00:00"/>
    <x v="10"/>
    <x v="5"/>
    <x v="0"/>
    <x v="760"/>
    <x v="573"/>
    <s v="Bank Transfer"/>
    <s v="REV100189"/>
    <x v="1"/>
  </r>
  <r>
    <d v="2023-11-02T00:00:00"/>
    <x v="10"/>
    <x v="5"/>
    <x v="1"/>
    <x v="1262"/>
    <x v="518"/>
    <s v="Bank Transfer"/>
    <s v="REV100513"/>
    <x v="1"/>
  </r>
  <r>
    <d v="2023-11-02T00:00:00"/>
    <x v="10"/>
    <x v="5"/>
    <x v="4"/>
    <x v="341"/>
    <x v="3760"/>
    <s v="Bank Transfer"/>
    <s v="REV100555"/>
    <x v="1"/>
  </r>
  <r>
    <d v="2023-11-02T00:00:00"/>
    <x v="10"/>
    <x v="6"/>
    <x v="2"/>
    <x v="4237"/>
    <x v="4316"/>
    <s v="Card"/>
    <s v="REV100630"/>
    <x v="1"/>
  </r>
  <r>
    <d v="2023-11-02T00:00:00"/>
    <x v="10"/>
    <x v="5"/>
    <x v="3"/>
    <x v="2140"/>
    <x v="249"/>
    <s v="Bank Transfer"/>
    <s v="REV100657"/>
    <x v="1"/>
  </r>
  <r>
    <d v="2023-11-02T00:00:00"/>
    <x v="10"/>
    <x v="5"/>
    <x v="1"/>
    <x v="4238"/>
    <x v="1264"/>
    <s v="Bank Transfer"/>
    <s v="REV100721"/>
    <x v="1"/>
  </r>
  <r>
    <d v="2023-11-02T00:00:00"/>
    <x v="10"/>
    <x v="5"/>
    <x v="1"/>
    <x v="3264"/>
    <x v="1048"/>
    <s v="Bank Transfer"/>
    <s v="REV100963"/>
    <x v="1"/>
  </r>
  <r>
    <d v="2023-11-02T00:00:00"/>
    <x v="10"/>
    <x v="5"/>
    <x v="3"/>
    <x v="1537"/>
    <x v="4317"/>
    <s v="Bank Transfer"/>
    <s v="REV101090"/>
    <x v="1"/>
  </r>
  <r>
    <d v="2023-11-02T00:00:00"/>
    <x v="10"/>
    <x v="6"/>
    <x v="1"/>
    <x v="912"/>
    <x v="1488"/>
    <s v="Card"/>
    <s v="REV101804"/>
    <x v="1"/>
  </r>
  <r>
    <d v="2023-11-02T00:00:00"/>
    <x v="10"/>
    <x v="5"/>
    <x v="1"/>
    <x v="4239"/>
    <x v="4318"/>
    <s v="Bank Transfer"/>
    <s v="REV102057"/>
    <x v="1"/>
  </r>
  <r>
    <d v="2023-11-02T00:00:00"/>
    <x v="10"/>
    <x v="6"/>
    <x v="4"/>
    <x v="175"/>
    <x v="1964"/>
    <s v="Bank Transfer"/>
    <s v="REV102224"/>
    <x v="1"/>
  </r>
  <r>
    <d v="2023-11-02T00:00:00"/>
    <x v="10"/>
    <x v="6"/>
    <x v="4"/>
    <x v="4240"/>
    <x v="2750"/>
    <s v="Bank Transfer"/>
    <s v="REV102283"/>
    <x v="1"/>
  </r>
  <r>
    <d v="2023-11-02T00:00:00"/>
    <x v="10"/>
    <x v="5"/>
    <x v="0"/>
    <x v="1478"/>
    <x v="3660"/>
    <s v="UPI"/>
    <s v="REV102348"/>
    <x v="1"/>
  </r>
  <r>
    <d v="2023-11-02T00:00:00"/>
    <x v="10"/>
    <x v="6"/>
    <x v="2"/>
    <x v="3775"/>
    <x v="3737"/>
    <s v="Bank Transfer"/>
    <s v="REV102896"/>
    <x v="1"/>
  </r>
  <r>
    <d v="2023-11-02T00:00:00"/>
    <x v="10"/>
    <x v="5"/>
    <x v="1"/>
    <x v="2903"/>
    <x v="1250"/>
    <s v="Bank Transfer"/>
    <s v="REV102955"/>
    <x v="1"/>
  </r>
  <r>
    <d v="2023-11-02T00:00:00"/>
    <x v="10"/>
    <x v="6"/>
    <x v="3"/>
    <x v="4241"/>
    <x v="1943"/>
    <s v="UPI"/>
    <s v="REV103223"/>
    <x v="1"/>
  </r>
  <r>
    <d v="2023-11-03T00:00:00"/>
    <x v="10"/>
    <x v="2"/>
    <x v="2"/>
    <x v="4242"/>
    <x v="4319"/>
    <s v="UPI"/>
    <s v="TXN101856"/>
    <x v="0"/>
  </r>
  <r>
    <d v="2023-11-03T00:00:00"/>
    <x v="10"/>
    <x v="7"/>
    <x v="0"/>
    <x v="4243"/>
    <x v="4320"/>
    <s v="Bank Transfer"/>
    <s v="TXN102025"/>
    <x v="0"/>
  </r>
  <r>
    <d v="2023-11-03T00:00:00"/>
    <x v="10"/>
    <x v="1"/>
    <x v="1"/>
    <x v="4244"/>
    <x v="4321"/>
    <s v="UPI"/>
    <s v="TXN102664"/>
    <x v="0"/>
  </r>
  <r>
    <d v="2023-11-03T00:00:00"/>
    <x v="10"/>
    <x v="7"/>
    <x v="3"/>
    <x v="4245"/>
    <x v="4322"/>
    <s v="Cash"/>
    <s v="TXN102711"/>
    <x v="0"/>
  </r>
  <r>
    <d v="2023-11-03T00:00:00"/>
    <x v="10"/>
    <x v="1"/>
    <x v="3"/>
    <x v="4246"/>
    <x v="4323"/>
    <s v="Cash"/>
    <s v="TXN102783"/>
    <x v="0"/>
  </r>
  <r>
    <d v="2023-11-03T00:00:00"/>
    <x v="10"/>
    <x v="1"/>
    <x v="2"/>
    <x v="4247"/>
    <x v="4324"/>
    <s v="Bank Transfer"/>
    <s v="TXN102798"/>
    <x v="0"/>
  </r>
  <r>
    <d v="2023-11-03T00:00:00"/>
    <x v="10"/>
    <x v="4"/>
    <x v="3"/>
    <x v="4248"/>
    <x v="4325"/>
    <s v="Cash"/>
    <s v="TXN103751"/>
    <x v="0"/>
  </r>
  <r>
    <d v="2023-11-03T00:00:00"/>
    <x v="10"/>
    <x v="3"/>
    <x v="0"/>
    <x v="4249"/>
    <x v="4326"/>
    <s v="UPI"/>
    <s v="TXN104834"/>
    <x v="0"/>
  </r>
  <r>
    <d v="2023-11-03T00:00:00"/>
    <x v="10"/>
    <x v="4"/>
    <x v="4"/>
    <x v="4250"/>
    <x v="4327"/>
    <s v="Cash"/>
    <s v="TXN105421"/>
    <x v="0"/>
  </r>
  <r>
    <d v="2023-11-03T00:00:00"/>
    <x v="10"/>
    <x v="0"/>
    <x v="1"/>
    <x v="4251"/>
    <x v="4328"/>
    <s v="Bank Transfer"/>
    <s v="TXN105810"/>
    <x v="0"/>
  </r>
  <r>
    <d v="2023-11-03T00:00:00"/>
    <x v="10"/>
    <x v="4"/>
    <x v="1"/>
    <x v="4252"/>
    <x v="4329"/>
    <s v="Card"/>
    <s v="TXN107649"/>
    <x v="0"/>
  </r>
  <r>
    <d v="2023-11-03T00:00:00"/>
    <x v="10"/>
    <x v="2"/>
    <x v="0"/>
    <x v="4253"/>
    <x v="4330"/>
    <s v="Cash"/>
    <s v="TXN109187"/>
    <x v="0"/>
  </r>
  <r>
    <d v="2023-11-03T00:00:00"/>
    <x v="10"/>
    <x v="3"/>
    <x v="0"/>
    <x v="4254"/>
    <x v="4331"/>
    <s v="Card"/>
    <s v="TXN109290"/>
    <x v="0"/>
  </r>
  <r>
    <d v="2023-11-03T00:00:00"/>
    <x v="10"/>
    <x v="2"/>
    <x v="4"/>
    <x v="4255"/>
    <x v="4332"/>
    <s v="UPI"/>
    <s v="TXN109413"/>
    <x v="0"/>
  </r>
  <r>
    <d v="2023-11-03T00:00:00"/>
    <x v="10"/>
    <x v="5"/>
    <x v="2"/>
    <x v="4256"/>
    <x v="1224"/>
    <s v="Card"/>
    <s v="REV100675"/>
    <x v="1"/>
  </r>
  <r>
    <d v="2023-11-03T00:00:00"/>
    <x v="10"/>
    <x v="6"/>
    <x v="0"/>
    <x v="173"/>
    <x v="402"/>
    <s v="Bank Transfer"/>
    <s v="REV100719"/>
    <x v="1"/>
  </r>
  <r>
    <d v="2023-11-03T00:00:00"/>
    <x v="10"/>
    <x v="5"/>
    <x v="1"/>
    <x v="1068"/>
    <x v="2490"/>
    <s v="Card"/>
    <s v="REV100935"/>
    <x v="1"/>
  </r>
  <r>
    <d v="2023-11-03T00:00:00"/>
    <x v="10"/>
    <x v="6"/>
    <x v="3"/>
    <x v="2829"/>
    <x v="1048"/>
    <s v="Card"/>
    <s v="REV100946"/>
    <x v="1"/>
  </r>
  <r>
    <d v="2023-11-03T00:00:00"/>
    <x v="10"/>
    <x v="5"/>
    <x v="3"/>
    <x v="4257"/>
    <x v="4333"/>
    <s v="Card"/>
    <s v="REV100976"/>
    <x v="1"/>
  </r>
  <r>
    <d v="2023-11-03T00:00:00"/>
    <x v="10"/>
    <x v="5"/>
    <x v="2"/>
    <x v="1690"/>
    <x v="3325"/>
    <s v="Bank Transfer"/>
    <s v="REV100986"/>
    <x v="1"/>
  </r>
  <r>
    <d v="2023-11-03T00:00:00"/>
    <x v="10"/>
    <x v="5"/>
    <x v="3"/>
    <x v="81"/>
    <x v="109"/>
    <s v="UPI"/>
    <s v="REV101292"/>
    <x v="1"/>
  </r>
  <r>
    <d v="2023-11-03T00:00:00"/>
    <x v="10"/>
    <x v="6"/>
    <x v="0"/>
    <x v="1104"/>
    <x v="701"/>
    <s v="Bank Transfer"/>
    <s v="REV101648"/>
    <x v="1"/>
  </r>
  <r>
    <d v="2023-11-03T00:00:00"/>
    <x v="10"/>
    <x v="5"/>
    <x v="4"/>
    <x v="2113"/>
    <x v="1089"/>
    <s v="Bank Transfer"/>
    <s v="REV101844"/>
    <x v="1"/>
  </r>
  <r>
    <d v="2023-11-03T00:00:00"/>
    <x v="10"/>
    <x v="6"/>
    <x v="1"/>
    <x v="208"/>
    <x v="4334"/>
    <s v="Bank Transfer"/>
    <s v="REV101967"/>
    <x v="1"/>
  </r>
  <r>
    <d v="2023-11-03T00:00:00"/>
    <x v="10"/>
    <x v="6"/>
    <x v="1"/>
    <x v="1466"/>
    <x v="2085"/>
    <s v="UPI"/>
    <s v="REV102601"/>
    <x v="1"/>
  </r>
  <r>
    <d v="2023-11-03T00:00:00"/>
    <x v="10"/>
    <x v="5"/>
    <x v="0"/>
    <x v="1106"/>
    <x v="4335"/>
    <s v="Card"/>
    <s v="REV103101"/>
    <x v="1"/>
  </r>
  <r>
    <d v="2023-11-03T00:00:00"/>
    <x v="10"/>
    <x v="5"/>
    <x v="0"/>
    <x v="2277"/>
    <x v="4336"/>
    <s v="Bank Transfer"/>
    <s v="REV103140"/>
    <x v="1"/>
  </r>
  <r>
    <d v="2023-11-03T00:00:00"/>
    <x v="10"/>
    <x v="6"/>
    <x v="4"/>
    <x v="3552"/>
    <x v="4129"/>
    <s v="UPI"/>
    <s v="REV103180"/>
    <x v="1"/>
  </r>
  <r>
    <d v="2023-11-04T00:00:00"/>
    <x v="10"/>
    <x v="0"/>
    <x v="0"/>
    <x v="4258"/>
    <x v="4337"/>
    <s v="Bank Transfer"/>
    <s v="TXN102035"/>
    <x v="0"/>
  </r>
  <r>
    <d v="2023-11-04T00:00:00"/>
    <x v="10"/>
    <x v="1"/>
    <x v="0"/>
    <x v="4259"/>
    <x v="4338"/>
    <s v="Cash"/>
    <s v="TXN103648"/>
    <x v="0"/>
  </r>
  <r>
    <d v="2023-11-04T00:00:00"/>
    <x v="10"/>
    <x v="0"/>
    <x v="1"/>
    <x v="4260"/>
    <x v="4339"/>
    <s v="Card"/>
    <s v="TXN104681"/>
    <x v="0"/>
  </r>
  <r>
    <d v="2023-11-04T00:00:00"/>
    <x v="10"/>
    <x v="0"/>
    <x v="1"/>
    <x v="4261"/>
    <x v="4340"/>
    <s v="Cash"/>
    <s v="TXN105184"/>
    <x v="0"/>
  </r>
  <r>
    <d v="2023-11-04T00:00:00"/>
    <x v="10"/>
    <x v="4"/>
    <x v="0"/>
    <x v="4262"/>
    <x v="4341"/>
    <s v="UPI"/>
    <s v="TXN105297"/>
    <x v="0"/>
  </r>
  <r>
    <d v="2023-11-04T00:00:00"/>
    <x v="10"/>
    <x v="0"/>
    <x v="4"/>
    <x v="4263"/>
    <x v="4342"/>
    <s v="Bank Transfer"/>
    <s v="TXN107461"/>
    <x v="0"/>
  </r>
  <r>
    <d v="2023-11-04T00:00:00"/>
    <x v="10"/>
    <x v="4"/>
    <x v="4"/>
    <x v="4264"/>
    <x v="4343"/>
    <s v="Bank Transfer"/>
    <s v="TXN109088"/>
    <x v="0"/>
  </r>
  <r>
    <d v="2023-11-04T00:00:00"/>
    <x v="10"/>
    <x v="5"/>
    <x v="0"/>
    <x v="2409"/>
    <x v="2057"/>
    <s v="Card"/>
    <s v="REV100722"/>
    <x v="1"/>
  </r>
  <r>
    <d v="2023-11-04T00:00:00"/>
    <x v="10"/>
    <x v="6"/>
    <x v="3"/>
    <x v="1537"/>
    <x v="1075"/>
    <s v="Bank Transfer"/>
    <s v="REV100956"/>
    <x v="1"/>
  </r>
  <r>
    <d v="2023-11-04T00:00:00"/>
    <x v="10"/>
    <x v="6"/>
    <x v="0"/>
    <x v="567"/>
    <x v="1107"/>
    <s v="Bank Transfer"/>
    <s v="REV101246"/>
    <x v="1"/>
  </r>
  <r>
    <d v="2023-11-04T00:00:00"/>
    <x v="10"/>
    <x v="6"/>
    <x v="1"/>
    <x v="4265"/>
    <x v="177"/>
    <s v="Card"/>
    <s v="REV101603"/>
    <x v="1"/>
  </r>
  <r>
    <d v="2023-11-04T00:00:00"/>
    <x v="10"/>
    <x v="5"/>
    <x v="1"/>
    <x v="1420"/>
    <x v="1939"/>
    <s v="Bank Transfer"/>
    <s v="REV101756"/>
    <x v="1"/>
  </r>
  <r>
    <d v="2023-11-04T00:00:00"/>
    <x v="10"/>
    <x v="6"/>
    <x v="0"/>
    <x v="1804"/>
    <x v="358"/>
    <s v="UPI"/>
    <s v="REV101794"/>
    <x v="1"/>
  </r>
  <r>
    <d v="2023-11-04T00:00:00"/>
    <x v="10"/>
    <x v="6"/>
    <x v="4"/>
    <x v="3653"/>
    <x v="1359"/>
    <s v="Bank Transfer"/>
    <s v="REV102531"/>
    <x v="1"/>
  </r>
  <r>
    <d v="2023-11-04T00:00:00"/>
    <x v="10"/>
    <x v="5"/>
    <x v="4"/>
    <x v="513"/>
    <x v="1283"/>
    <s v="Bank Transfer"/>
    <s v="REV103076"/>
    <x v="1"/>
  </r>
  <r>
    <d v="2023-11-05T00:00:00"/>
    <x v="10"/>
    <x v="3"/>
    <x v="2"/>
    <x v="4266"/>
    <x v="4344"/>
    <s v="Card"/>
    <s v="TXN100110"/>
    <x v="0"/>
  </r>
  <r>
    <d v="2023-11-05T00:00:00"/>
    <x v="10"/>
    <x v="4"/>
    <x v="2"/>
    <x v="4267"/>
    <x v="4345"/>
    <s v="Bank Transfer"/>
    <s v="TXN100676"/>
    <x v="0"/>
  </r>
  <r>
    <d v="2023-11-05T00:00:00"/>
    <x v="10"/>
    <x v="0"/>
    <x v="3"/>
    <x v="4268"/>
    <x v="4346"/>
    <s v="Bank Transfer"/>
    <s v="TXN100798"/>
    <x v="0"/>
  </r>
  <r>
    <d v="2023-11-05T00:00:00"/>
    <x v="10"/>
    <x v="0"/>
    <x v="4"/>
    <x v="4269"/>
    <x v="4347"/>
    <s v="Cash"/>
    <s v="TXN104849"/>
    <x v="0"/>
  </r>
  <r>
    <d v="2023-11-05T00:00:00"/>
    <x v="10"/>
    <x v="1"/>
    <x v="0"/>
    <x v="4270"/>
    <x v="4348"/>
    <s v="Card"/>
    <s v="TXN106534"/>
    <x v="0"/>
  </r>
  <r>
    <d v="2023-11-05T00:00:00"/>
    <x v="10"/>
    <x v="4"/>
    <x v="4"/>
    <x v="4271"/>
    <x v="4349"/>
    <s v="Cash"/>
    <s v="TXN107504"/>
    <x v="0"/>
  </r>
  <r>
    <d v="2023-11-05T00:00:00"/>
    <x v="10"/>
    <x v="7"/>
    <x v="0"/>
    <x v="1341"/>
    <x v="4350"/>
    <s v="Card"/>
    <s v="TXN108137"/>
    <x v="0"/>
  </r>
  <r>
    <d v="2023-11-05T00:00:00"/>
    <x v="10"/>
    <x v="7"/>
    <x v="1"/>
    <x v="4272"/>
    <x v="4351"/>
    <s v="Bank Transfer"/>
    <s v="TXN109006"/>
    <x v="0"/>
  </r>
  <r>
    <d v="2023-11-05T00:00:00"/>
    <x v="10"/>
    <x v="1"/>
    <x v="1"/>
    <x v="1730"/>
    <x v="4352"/>
    <s v="Bank Transfer"/>
    <s v="TXN109852"/>
    <x v="0"/>
  </r>
  <r>
    <d v="2023-11-05T00:00:00"/>
    <x v="10"/>
    <x v="6"/>
    <x v="2"/>
    <x v="820"/>
    <x v="4353"/>
    <s v="Bank Transfer"/>
    <s v="REV100041"/>
    <x v="1"/>
  </r>
  <r>
    <d v="2023-11-05T00:00:00"/>
    <x v="10"/>
    <x v="5"/>
    <x v="2"/>
    <x v="1068"/>
    <x v="2281"/>
    <s v="UPI"/>
    <s v="REV100258"/>
    <x v="1"/>
  </r>
  <r>
    <d v="2023-11-05T00:00:00"/>
    <x v="10"/>
    <x v="5"/>
    <x v="3"/>
    <x v="3666"/>
    <x v="1647"/>
    <s v="Bank Transfer"/>
    <s v="REV100291"/>
    <x v="1"/>
  </r>
  <r>
    <d v="2023-11-05T00:00:00"/>
    <x v="10"/>
    <x v="5"/>
    <x v="4"/>
    <x v="3247"/>
    <x v="2164"/>
    <s v="UPI"/>
    <s v="REV101656"/>
    <x v="1"/>
  </r>
  <r>
    <d v="2023-11-05T00:00:00"/>
    <x v="10"/>
    <x v="6"/>
    <x v="0"/>
    <x v="1912"/>
    <x v="1790"/>
    <s v="Card"/>
    <s v="REV102217"/>
    <x v="1"/>
  </r>
  <r>
    <d v="2023-11-05T00:00:00"/>
    <x v="10"/>
    <x v="5"/>
    <x v="4"/>
    <x v="1101"/>
    <x v="680"/>
    <s v="Bank Transfer"/>
    <s v="REV102541"/>
    <x v="1"/>
  </r>
  <r>
    <d v="2023-11-05T00:00:00"/>
    <x v="10"/>
    <x v="5"/>
    <x v="0"/>
    <x v="824"/>
    <x v="177"/>
    <s v="Card"/>
    <s v="REV102764"/>
    <x v="1"/>
  </r>
  <r>
    <d v="2023-11-05T00:00:00"/>
    <x v="10"/>
    <x v="6"/>
    <x v="1"/>
    <x v="3869"/>
    <x v="765"/>
    <s v="Bank Transfer"/>
    <s v="REV103050"/>
    <x v="1"/>
  </r>
  <r>
    <d v="2023-11-05T00:00:00"/>
    <x v="10"/>
    <x v="5"/>
    <x v="1"/>
    <x v="153"/>
    <x v="594"/>
    <s v="Bank Transfer"/>
    <s v="REV103333"/>
    <x v="1"/>
  </r>
  <r>
    <d v="2023-11-06T00:00:00"/>
    <x v="10"/>
    <x v="1"/>
    <x v="4"/>
    <x v="4273"/>
    <x v="4354"/>
    <s v="Cash"/>
    <s v="TXN100364"/>
    <x v="0"/>
  </r>
  <r>
    <d v="2023-11-06T00:00:00"/>
    <x v="10"/>
    <x v="4"/>
    <x v="4"/>
    <x v="4274"/>
    <x v="4355"/>
    <s v="UPI"/>
    <s v="TXN101074"/>
    <x v="0"/>
  </r>
  <r>
    <d v="2023-11-06T00:00:00"/>
    <x v="10"/>
    <x v="4"/>
    <x v="4"/>
    <x v="4275"/>
    <x v="4356"/>
    <s v="UPI"/>
    <s v="TXN102273"/>
    <x v="0"/>
  </r>
  <r>
    <d v="2023-11-06T00:00:00"/>
    <x v="10"/>
    <x v="3"/>
    <x v="0"/>
    <x v="4276"/>
    <x v="4357"/>
    <s v="Cash"/>
    <s v="TXN102394"/>
    <x v="0"/>
  </r>
  <r>
    <d v="2023-11-06T00:00:00"/>
    <x v="10"/>
    <x v="7"/>
    <x v="2"/>
    <x v="4277"/>
    <x v="4358"/>
    <s v="UPI"/>
    <s v="TXN104628"/>
    <x v="0"/>
  </r>
  <r>
    <d v="2023-11-06T00:00:00"/>
    <x v="10"/>
    <x v="7"/>
    <x v="3"/>
    <x v="4278"/>
    <x v="4359"/>
    <s v="UPI"/>
    <s v="TXN105073"/>
    <x v="0"/>
  </r>
  <r>
    <d v="2023-11-06T00:00:00"/>
    <x v="10"/>
    <x v="2"/>
    <x v="0"/>
    <x v="4279"/>
    <x v="4360"/>
    <s v="Card"/>
    <s v="TXN107372"/>
    <x v="0"/>
  </r>
  <r>
    <d v="2023-11-06T00:00:00"/>
    <x v="10"/>
    <x v="5"/>
    <x v="4"/>
    <x v="1041"/>
    <x v="207"/>
    <s v="Card"/>
    <s v="REV100137"/>
    <x v="1"/>
  </r>
  <r>
    <d v="2023-11-06T00:00:00"/>
    <x v="10"/>
    <x v="5"/>
    <x v="4"/>
    <x v="1220"/>
    <x v="3284"/>
    <s v="UPI"/>
    <s v="REV100395"/>
    <x v="1"/>
  </r>
  <r>
    <d v="2023-11-06T00:00:00"/>
    <x v="10"/>
    <x v="5"/>
    <x v="4"/>
    <x v="2772"/>
    <x v="2017"/>
    <s v="UPI"/>
    <s v="REV100804"/>
    <x v="1"/>
  </r>
  <r>
    <d v="2023-11-06T00:00:00"/>
    <x v="10"/>
    <x v="5"/>
    <x v="0"/>
    <x v="1651"/>
    <x v="1792"/>
    <s v="Bank Transfer"/>
    <s v="REV100844"/>
    <x v="1"/>
  </r>
  <r>
    <d v="2023-11-06T00:00:00"/>
    <x v="10"/>
    <x v="6"/>
    <x v="2"/>
    <x v="1539"/>
    <x v="4361"/>
    <s v="Bank Transfer"/>
    <s v="REV101580"/>
    <x v="1"/>
  </r>
  <r>
    <d v="2023-11-06T00:00:00"/>
    <x v="10"/>
    <x v="5"/>
    <x v="3"/>
    <x v="2425"/>
    <x v="1931"/>
    <s v="Bank Transfer"/>
    <s v="REV101728"/>
    <x v="1"/>
  </r>
  <r>
    <d v="2023-11-06T00:00:00"/>
    <x v="10"/>
    <x v="5"/>
    <x v="0"/>
    <x v="4280"/>
    <x v="571"/>
    <s v="Bank Transfer"/>
    <s v="REV102500"/>
    <x v="1"/>
  </r>
  <r>
    <d v="2023-11-07T00:00:00"/>
    <x v="10"/>
    <x v="7"/>
    <x v="1"/>
    <x v="4281"/>
    <x v="4362"/>
    <s v="UPI"/>
    <s v="TXN101000"/>
    <x v="0"/>
  </r>
  <r>
    <d v="2023-11-07T00:00:00"/>
    <x v="10"/>
    <x v="4"/>
    <x v="3"/>
    <x v="4282"/>
    <x v="4363"/>
    <s v="Card"/>
    <s v="TXN101045"/>
    <x v="0"/>
  </r>
  <r>
    <d v="2023-11-07T00:00:00"/>
    <x v="10"/>
    <x v="0"/>
    <x v="3"/>
    <x v="4283"/>
    <x v="4364"/>
    <s v="Card"/>
    <s v="TXN101061"/>
    <x v="0"/>
  </r>
  <r>
    <d v="2023-11-07T00:00:00"/>
    <x v="10"/>
    <x v="7"/>
    <x v="1"/>
    <x v="4284"/>
    <x v="4365"/>
    <s v="Cash"/>
    <s v="TXN101259"/>
    <x v="0"/>
  </r>
  <r>
    <d v="2023-11-07T00:00:00"/>
    <x v="10"/>
    <x v="4"/>
    <x v="1"/>
    <x v="4285"/>
    <x v="4366"/>
    <s v="Card"/>
    <s v="TXN101917"/>
    <x v="0"/>
  </r>
  <r>
    <d v="2023-11-07T00:00:00"/>
    <x v="10"/>
    <x v="4"/>
    <x v="0"/>
    <x v="4286"/>
    <x v="4367"/>
    <s v="UPI"/>
    <s v="TXN102992"/>
    <x v="0"/>
  </r>
  <r>
    <d v="2023-11-07T00:00:00"/>
    <x v="10"/>
    <x v="7"/>
    <x v="1"/>
    <x v="4287"/>
    <x v="4368"/>
    <s v="Cash"/>
    <s v="TXN105662"/>
    <x v="0"/>
  </r>
  <r>
    <d v="2023-11-07T00:00:00"/>
    <x v="10"/>
    <x v="2"/>
    <x v="2"/>
    <x v="4288"/>
    <x v="4369"/>
    <s v="UPI"/>
    <s v="TXN106325"/>
    <x v="0"/>
  </r>
  <r>
    <d v="2023-11-07T00:00:00"/>
    <x v="10"/>
    <x v="3"/>
    <x v="3"/>
    <x v="4289"/>
    <x v="4370"/>
    <s v="Cash"/>
    <s v="TXN107512"/>
    <x v="0"/>
  </r>
  <r>
    <d v="2023-11-07T00:00:00"/>
    <x v="10"/>
    <x v="4"/>
    <x v="3"/>
    <x v="4290"/>
    <x v="4371"/>
    <s v="Card"/>
    <s v="TXN108086"/>
    <x v="0"/>
  </r>
  <r>
    <d v="2023-11-07T00:00:00"/>
    <x v="10"/>
    <x v="4"/>
    <x v="4"/>
    <x v="4291"/>
    <x v="4372"/>
    <s v="Cash"/>
    <s v="TXN108344"/>
    <x v="0"/>
  </r>
  <r>
    <d v="2023-11-07T00:00:00"/>
    <x v="10"/>
    <x v="7"/>
    <x v="4"/>
    <x v="4292"/>
    <x v="4373"/>
    <s v="UPI"/>
    <s v="TXN109568"/>
    <x v="0"/>
  </r>
  <r>
    <d v="2023-11-07T00:00:00"/>
    <x v="10"/>
    <x v="4"/>
    <x v="0"/>
    <x v="4293"/>
    <x v="4374"/>
    <s v="Card"/>
    <s v="TXN109702"/>
    <x v="0"/>
  </r>
  <r>
    <d v="2023-11-07T00:00:00"/>
    <x v="10"/>
    <x v="6"/>
    <x v="1"/>
    <x v="4294"/>
    <x v="4375"/>
    <s v="Bank Transfer"/>
    <s v="REV100370"/>
    <x v="1"/>
  </r>
  <r>
    <d v="2023-11-07T00:00:00"/>
    <x v="10"/>
    <x v="6"/>
    <x v="3"/>
    <x v="3247"/>
    <x v="1762"/>
    <s v="UPI"/>
    <s v="REV100385"/>
    <x v="1"/>
  </r>
  <r>
    <d v="2023-11-07T00:00:00"/>
    <x v="10"/>
    <x v="5"/>
    <x v="3"/>
    <x v="3666"/>
    <x v="3305"/>
    <s v="Bank Transfer"/>
    <s v="REV100392"/>
    <x v="1"/>
  </r>
  <r>
    <d v="2023-11-07T00:00:00"/>
    <x v="10"/>
    <x v="5"/>
    <x v="1"/>
    <x v="298"/>
    <x v="4376"/>
    <s v="Card"/>
    <s v="REV100460"/>
    <x v="1"/>
  </r>
  <r>
    <d v="2023-11-07T00:00:00"/>
    <x v="10"/>
    <x v="5"/>
    <x v="1"/>
    <x v="2010"/>
    <x v="2379"/>
    <s v="Card"/>
    <s v="REV100689"/>
    <x v="1"/>
  </r>
  <r>
    <d v="2023-11-07T00:00:00"/>
    <x v="10"/>
    <x v="5"/>
    <x v="0"/>
    <x v="4295"/>
    <x v="4377"/>
    <s v="Card"/>
    <s v="REV101038"/>
    <x v="1"/>
  </r>
  <r>
    <d v="2023-11-07T00:00:00"/>
    <x v="10"/>
    <x v="5"/>
    <x v="1"/>
    <x v="510"/>
    <x v="4378"/>
    <s v="UPI"/>
    <s v="REV101926"/>
    <x v="1"/>
  </r>
  <r>
    <d v="2023-11-07T00:00:00"/>
    <x v="10"/>
    <x v="5"/>
    <x v="2"/>
    <x v="40"/>
    <x v="1586"/>
    <s v="Bank Transfer"/>
    <s v="REV102136"/>
    <x v="1"/>
  </r>
  <r>
    <d v="2023-11-07T00:00:00"/>
    <x v="10"/>
    <x v="6"/>
    <x v="3"/>
    <x v="1525"/>
    <x v="4379"/>
    <s v="Bank Transfer"/>
    <s v="REV102546"/>
    <x v="1"/>
  </r>
  <r>
    <d v="2023-11-07T00:00:00"/>
    <x v="10"/>
    <x v="5"/>
    <x v="3"/>
    <x v="1335"/>
    <x v="3778"/>
    <s v="Bank Transfer"/>
    <s v="REV102746"/>
    <x v="1"/>
  </r>
  <r>
    <d v="2023-11-07T00:00:00"/>
    <x v="10"/>
    <x v="5"/>
    <x v="4"/>
    <x v="3625"/>
    <x v="263"/>
    <s v="Bank Transfer"/>
    <s v="REV102838"/>
    <x v="1"/>
  </r>
  <r>
    <d v="2023-11-07T00:00:00"/>
    <x v="10"/>
    <x v="5"/>
    <x v="4"/>
    <x v="283"/>
    <x v="655"/>
    <s v="Bank Transfer"/>
    <s v="REV103232"/>
    <x v="1"/>
  </r>
  <r>
    <d v="2023-11-07T00:00:00"/>
    <x v="10"/>
    <x v="6"/>
    <x v="0"/>
    <x v="1017"/>
    <x v="1249"/>
    <s v="Bank Transfer"/>
    <s v="REV103280"/>
    <x v="1"/>
  </r>
  <r>
    <d v="2023-11-08T00:00:00"/>
    <x v="10"/>
    <x v="4"/>
    <x v="0"/>
    <x v="4296"/>
    <x v="4380"/>
    <s v="Bank Transfer"/>
    <s v="TXN103395"/>
    <x v="0"/>
  </r>
  <r>
    <d v="2023-11-08T00:00:00"/>
    <x v="10"/>
    <x v="7"/>
    <x v="4"/>
    <x v="4297"/>
    <x v="4381"/>
    <s v="Bank Transfer"/>
    <s v="TXN103795"/>
    <x v="0"/>
  </r>
  <r>
    <d v="2023-11-08T00:00:00"/>
    <x v="10"/>
    <x v="1"/>
    <x v="4"/>
    <x v="4298"/>
    <x v="4382"/>
    <s v="Card"/>
    <s v="TXN104992"/>
    <x v="0"/>
  </r>
  <r>
    <d v="2023-11-08T00:00:00"/>
    <x v="10"/>
    <x v="2"/>
    <x v="1"/>
    <x v="4299"/>
    <x v="3207"/>
    <s v="Cash"/>
    <s v="TXN105264"/>
    <x v="0"/>
  </r>
  <r>
    <d v="2023-11-08T00:00:00"/>
    <x v="10"/>
    <x v="0"/>
    <x v="2"/>
    <x v="4300"/>
    <x v="4383"/>
    <s v="Bank Transfer"/>
    <s v="TXN105364"/>
    <x v="0"/>
  </r>
  <r>
    <d v="2023-11-08T00:00:00"/>
    <x v="10"/>
    <x v="3"/>
    <x v="4"/>
    <x v="4301"/>
    <x v="4384"/>
    <s v="UPI"/>
    <s v="TXN108215"/>
    <x v="0"/>
  </r>
  <r>
    <d v="2023-11-08T00:00:00"/>
    <x v="10"/>
    <x v="7"/>
    <x v="0"/>
    <x v="4302"/>
    <x v="4385"/>
    <s v="Cash"/>
    <s v="TXN108991"/>
    <x v="0"/>
  </r>
  <r>
    <d v="2023-11-08T00:00:00"/>
    <x v="10"/>
    <x v="5"/>
    <x v="0"/>
    <x v="1139"/>
    <x v="1731"/>
    <s v="UPI"/>
    <s v="REV101164"/>
    <x v="1"/>
  </r>
  <r>
    <d v="2023-11-08T00:00:00"/>
    <x v="10"/>
    <x v="6"/>
    <x v="4"/>
    <x v="2049"/>
    <x v="1442"/>
    <s v="Bank Transfer"/>
    <s v="REV101309"/>
    <x v="1"/>
  </r>
  <r>
    <d v="2023-11-08T00:00:00"/>
    <x v="10"/>
    <x v="5"/>
    <x v="4"/>
    <x v="11"/>
    <x v="1447"/>
    <s v="Bank Transfer"/>
    <s v="REV101702"/>
    <x v="1"/>
  </r>
  <r>
    <d v="2023-11-08T00:00:00"/>
    <x v="10"/>
    <x v="5"/>
    <x v="1"/>
    <x v="1836"/>
    <x v="442"/>
    <s v="Bank Transfer"/>
    <s v="REV101784"/>
    <x v="1"/>
  </r>
  <r>
    <d v="2023-11-08T00:00:00"/>
    <x v="10"/>
    <x v="6"/>
    <x v="2"/>
    <x v="3637"/>
    <x v="697"/>
    <s v="UPI"/>
    <s v="REV101823"/>
    <x v="1"/>
  </r>
  <r>
    <d v="2023-11-08T00:00:00"/>
    <x v="10"/>
    <x v="6"/>
    <x v="4"/>
    <x v="883"/>
    <x v="3068"/>
    <s v="Card"/>
    <s v="REV102790"/>
    <x v="1"/>
  </r>
  <r>
    <d v="2023-11-08T00:00:00"/>
    <x v="10"/>
    <x v="5"/>
    <x v="0"/>
    <x v="4303"/>
    <x v="4386"/>
    <s v="Bank Transfer"/>
    <s v="REV103043"/>
    <x v="1"/>
  </r>
  <r>
    <d v="2023-11-09T00:00:00"/>
    <x v="10"/>
    <x v="2"/>
    <x v="1"/>
    <x v="4304"/>
    <x v="4387"/>
    <s v="Cash"/>
    <s v="TXN100417"/>
    <x v="0"/>
  </r>
  <r>
    <d v="2023-11-09T00:00:00"/>
    <x v="10"/>
    <x v="2"/>
    <x v="1"/>
    <x v="4305"/>
    <x v="4388"/>
    <s v="Cash"/>
    <s v="TXN100912"/>
    <x v="0"/>
  </r>
  <r>
    <d v="2023-11-09T00:00:00"/>
    <x v="10"/>
    <x v="2"/>
    <x v="0"/>
    <x v="4306"/>
    <x v="4389"/>
    <s v="Bank Transfer"/>
    <s v="TXN102940"/>
    <x v="0"/>
  </r>
  <r>
    <d v="2023-11-09T00:00:00"/>
    <x v="10"/>
    <x v="3"/>
    <x v="1"/>
    <x v="4307"/>
    <x v="4390"/>
    <s v="Bank Transfer"/>
    <s v="TXN105271"/>
    <x v="0"/>
  </r>
  <r>
    <d v="2023-11-09T00:00:00"/>
    <x v="10"/>
    <x v="7"/>
    <x v="4"/>
    <x v="4308"/>
    <x v="4391"/>
    <s v="UPI"/>
    <s v="TXN105669"/>
    <x v="0"/>
  </r>
  <r>
    <d v="2023-11-09T00:00:00"/>
    <x v="10"/>
    <x v="2"/>
    <x v="1"/>
    <x v="4309"/>
    <x v="4392"/>
    <s v="Cash"/>
    <s v="TXN108024"/>
    <x v="0"/>
  </r>
  <r>
    <d v="2023-11-09T00:00:00"/>
    <x v="10"/>
    <x v="2"/>
    <x v="4"/>
    <x v="4310"/>
    <x v="4393"/>
    <s v="Cash"/>
    <s v="TXN108778"/>
    <x v="0"/>
  </r>
  <r>
    <d v="2023-11-09T00:00:00"/>
    <x v="10"/>
    <x v="1"/>
    <x v="1"/>
    <x v="2394"/>
    <x v="4394"/>
    <s v="Cash"/>
    <s v="TXN108905"/>
    <x v="0"/>
  </r>
  <r>
    <d v="2023-11-09T00:00:00"/>
    <x v="10"/>
    <x v="1"/>
    <x v="1"/>
    <x v="4311"/>
    <x v="4395"/>
    <s v="Cash"/>
    <s v="TXN109347"/>
    <x v="0"/>
  </r>
  <r>
    <d v="2023-11-09T00:00:00"/>
    <x v="10"/>
    <x v="6"/>
    <x v="1"/>
    <x v="885"/>
    <x v="1107"/>
    <s v="Bank Transfer"/>
    <s v="REV100157"/>
    <x v="1"/>
  </r>
  <r>
    <d v="2023-11-09T00:00:00"/>
    <x v="10"/>
    <x v="5"/>
    <x v="1"/>
    <x v="1441"/>
    <x v="3735"/>
    <s v="Card"/>
    <s v="REV100334"/>
    <x v="1"/>
  </r>
  <r>
    <d v="2023-11-09T00:00:00"/>
    <x v="10"/>
    <x v="6"/>
    <x v="0"/>
    <x v="3522"/>
    <x v="1398"/>
    <s v="UPI"/>
    <s v="REV101021"/>
    <x v="1"/>
  </r>
  <r>
    <d v="2023-11-09T00:00:00"/>
    <x v="10"/>
    <x v="6"/>
    <x v="1"/>
    <x v="4312"/>
    <x v="2057"/>
    <s v="Bank Transfer"/>
    <s v="REV101787"/>
    <x v="1"/>
  </r>
  <r>
    <d v="2023-11-09T00:00:00"/>
    <x v="10"/>
    <x v="5"/>
    <x v="4"/>
    <x v="672"/>
    <x v="98"/>
    <s v="UPI"/>
    <s v="REV101928"/>
    <x v="1"/>
  </r>
  <r>
    <d v="2023-11-09T00:00:00"/>
    <x v="10"/>
    <x v="5"/>
    <x v="1"/>
    <x v="1182"/>
    <x v="360"/>
    <s v="Bank Transfer"/>
    <s v="REV102727"/>
    <x v="1"/>
  </r>
  <r>
    <d v="2023-11-09T00:00:00"/>
    <x v="10"/>
    <x v="5"/>
    <x v="4"/>
    <x v="440"/>
    <x v="2476"/>
    <s v="Card"/>
    <s v="REV102982"/>
    <x v="1"/>
  </r>
  <r>
    <d v="2023-11-09T00:00:00"/>
    <x v="10"/>
    <x v="5"/>
    <x v="1"/>
    <x v="3164"/>
    <x v="3304"/>
    <s v="Card"/>
    <s v="REV103014"/>
    <x v="1"/>
  </r>
  <r>
    <d v="2023-11-09T00:00:00"/>
    <x v="10"/>
    <x v="5"/>
    <x v="1"/>
    <x v="3099"/>
    <x v="4396"/>
    <s v="Bank Transfer"/>
    <s v="REV103159"/>
    <x v="1"/>
  </r>
  <r>
    <d v="2023-11-10T00:00:00"/>
    <x v="10"/>
    <x v="1"/>
    <x v="2"/>
    <x v="4313"/>
    <x v="4397"/>
    <s v="UPI"/>
    <s v="TXN101169"/>
    <x v="0"/>
  </r>
  <r>
    <d v="2023-11-10T00:00:00"/>
    <x v="10"/>
    <x v="4"/>
    <x v="2"/>
    <x v="4314"/>
    <x v="4398"/>
    <s v="Cash"/>
    <s v="TXN101498"/>
    <x v="0"/>
  </r>
  <r>
    <d v="2023-11-10T00:00:00"/>
    <x v="10"/>
    <x v="1"/>
    <x v="4"/>
    <x v="4315"/>
    <x v="4399"/>
    <s v="Cash"/>
    <s v="TXN102036"/>
    <x v="0"/>
  </r>
  <r>
    <d v="2023-11-10T00:00:00"/>
    <x v="10"/>
    <x v="4"/>
    <x v="2"/>
    <x v="4316"/>
    <x v="4400"/>
    <s v="Cash"/>
    <s v="TXN102042"/>
    <x v="0"/>
  </r>
  <r>
    <d v="2023-11-10T00:00:00"/>
    <x v="10"/>
    <x v="1"/>
    <x v="2"/>
    <x v="4317"/>
    <x v="4401"/>
    <s v="Cash"/>
    <s v="TXN102055"/>
    <x v="0"/>
  </r>
  <r>
    <d v="2023-11-10T00:00:00"/>
    <x v="10"/>
    <x v="2"/>
    <x v="4"/>
    <x v="4318"/>
    <x v="4402"/>
    <s v="Cash"/>
    <s v="TXN102628"/>
    <x v="0"/>
  </r>
  <r>
    <d v="2023-11-10T00:00:00"/>
    <x v="10"/>
    <x v="2"/>
    <x v="4"/>
    <x v="4319"/>
    <x v="4403"/>
    <s v="Cash"/>
    <s v="TXN104455"/>
    <x v="0"/>
  </r>
  <r>
    <d v="2023-11-10T00:00:00"/>
    <x v="10"/>
    <x v="2"/>
    <x v="0"/>
    <x v="4320"/>
    <x v="4404"/>
    <s v="Bank Transfer"/>
    <s v="TXN105346"/>
    <x v="0"/>
  </r>
  <r>
    <d v="2023-11-10T00:00:00"/>
    <x v="10"/>
    <x v="7"/>
    <x v="4"/>
    <x v="4321"/>
    <x v="4405"/>
    <s v="Card"/>
    <s v="TXN106361"/>
    <x v="0"/>
  </r>
  <r>
    <d v="2023-11-10T00:00:00"/>
    <x v="10"/>
    <x v="0"/>
    <x v="3"/>
    <x v="4322"/>
    <x v="4406"/>
    <s v="UPI"/>
    <s v="TXN107229"/>
    <x v="0"/>
  </r>
  <r>
    <d v="2023-11-10T00:00:00"/>
    <x v="10"/>
    <x v="3"/>
    <x v="4"/>
    <x v="4323"/>
    <x v="4407"/>
    <s v="Cash"/>
    <s v="TXN107396"/>
    <x v="0"/>
  </r>
  <r>
    <d v="2023-11-10T00:00:00"/>
    <x v="10"/>
    <x v="2"/>
    <x v="1"/>
    <x v="4324"/>
    <x v="4408"/>
    <s v="Card"/>
    <s v="TXN107989"/>
    <x v="0"/>
  </r>
  <r>
    <d v="2023-11-10T00:00:00"/>
    <x v="10"/>
    <x v="4"/>
    <x v="2"/>
    <x v="4325"/>
    <x v="4409"/>
    <s v="Cash"/>
    <s v="TXN109370"/>
    <x v="0"/>
  </r>
  <r>
    <d v="2023-11-10T00:00:00"/>
    <x v="10"/>
    <x v="7"/>
    <x v="1"/>
    <x v="4326"/>
    <x v="4410"/>
    <s v="UPI"/>
    <s v="TXN109752"/>
    <x v="0"/>
  </r>
  <r>
    <d v="2023-11-10T00:00:00"/>
    <x v="10"/>
    <x v="6"/>
    <x v="2"/>
    <x v="3608"/>
    <x v="1646"/>
    <s v="UPI"/>
    <s v="REV100430"/>
    <x v="1"/>
  </r>
  <r>
    <d v="2023-11-10T00:00:00"/>
    <x v="10"/>
    <x v="6"/>
    <x v="2"/>
    <x v="2663"/>
    <x v="1639"/>
    <s v="UPI"/>
    <s v="REV100548"/>
    <x v="1"/>
  </r>
  <r>
    <d v="2023-11-10T00:00:00"/>
    <x v="10"/>
    <x v="6"/>
    <x v="4"/>
    <x v="4327"/>
    <x v="4411"/>
    <s v="Bank Transfer"/>
    <s v="REV100723"/>
    <x v="1"/>
  </r>
  <r>
    <d v="2023-11-10T00:00:00"/>
    <x v="10"/>
    <x v="5"/>
    <x v="2"/>
    <x v="4328"/>
    <x v="677"/>
    <s v="UPI"/>
    <s v="REV100726"/>
    <x v="1"/>
  </r>
  <r>
    <d v="2023-11-10T00:00:00"/>
    <x v="10"/>
    <x v="5"/>
    <x v="2"/>
    <x v="3291"/>
    <x v="763"/>
    <s v="Bank Transfer"/>
    <s v="REV100733"/>
    <x v="1"/>
  </r>
  <r>
    <d v="2023-11-10T00:00:00"/>
    <x v="10"/>
    <x v="5"/>
    <x v="4"/>
    <x v="2698"/>
    <x v="200"/>
    <s v="Card"/>
    <s v="REV100919"/>
    <x v="1"/>
  </r>
  <r>
    <d v="2023-11-10T00:00:00"/>
    <x v="10"/>
    <x v="5"/>
    <x v="4"/>
    <x v="3907"/>
    <x v="2800"/>
    <s v="Card"/>
    <s v="REV101534"/>
    <x v="1"/>
  </r>
  <r>
    <d v="2023-11-10T00:00:00"/>
    <x v="10"/>
    <x v="5"/>
    <x v="0"/>
    <x v="2662"/>
    <x v="2327"/>
    <s v="Card"/>
    <s v="REV101817"/>
    <x v="1"/>
  </r>
  <r>
    <d v="2023-11-10T00:00:00"/>
    <x v="10"/>
    <x v="6"/>
    <x v="4"/>
    <x v="3164"/>
    <x v="2042"/>
    <s v="UPI"/>
    <s v="REV102148"/>
    <x v="1"/>
  </r>
  <r>
    <d v="2023-11-10T00:00:00"/>
    <x v="10"/>
    <x v="6"/>
    <x v="3"/>
    <x v="3564"/>
    <x v="3812"/>
    <s v="Bank Transfer"/>
    <s v="REV102453"/>
    <x v="1"/>
  </r>
  <r>
    <d v="2023-11-10T00:00:00"/>
    <x v="10"/>
    <x v="5"/>
    <x v="4"/>
    <x v="4329"/>
    <x v="2297"/>
    <s v="Bank Transfer"/>
    <s v="REV102514"/>
    <x v="1"/>
  </r>
  <r>
    <d v="2023-11-10T00:00:00"/>
    <x v="10"/>
    <x v="5"/>
    <x v="1"/>
    <x v="4330"/>
    <x v="4412"/>
    <s v="Bank Transfer"/>
    <s v="REV102716"/>
    <x v="1"/>
  </r>
  <r>
    <d v="2023-11-10T00:00:00"/>
    <x v="10"/>
    <x v="6"/>
    <x v="2"/>
    <x v="1708"/>
    <x v="715"/>
    <s v="Bank Transfer"/>
    <s v="REV103165"/>
    <x v="1"/>
  </r>
  <r>
    <d v="2023-11-10T00:00:00"/>
    <x v="10"/>
    <x v="5"/>
    <x v="1"/>
    <x v="2010"/>
    <x v="302"/>
    <s v="Card"/>
    <s v="REV103301"/>
    <x v="1"/>
  </r>
  <r>
    <d v="2023-11-11T00:00:00"/>
    <x v="10"/>
    <x v="3"/>
    <x v="0"/>
    <x v="4331"/>
    <x v="4413"/>
    <s v="Bank Transfer"/>
    <s v="TXN100001"/>
    <x v="0"/>
  </r>
  <r>
    <d v="2023-11-11T00:00:00"/>
    <x v="10"/>
    <x v="7"/>
    <x v="1"/>
    <x v="4332"/>
    <x v="4414"/>
    <s v="Cash"/>
    <s v="TXN104245"/>
    <x v="0"/>
  </r>
  <r>
    <d v="2023-11-11T00:00:00"/>
    <x v="10"/>
    <x v="4"/>
    <x v="4"/>
    <x v="4333"/>
    <x v="4415"/>
    <s v="Bank Transfer"/>
    <s v="TXN106075"/>
    <x v="0"/>
  </r>
  <r>
    <d v="2023-11-11T00:00:00"/>
    <x v="10"/>
    <x v="7"/>
    <x v="4"/>
    <x v="4334"/>
    <x v="4416"/>
    <s v="UPI"/>
    <s v="TXN107974"/>
    <x v="0"/>
  </r>
  <r>
    <d v="2023-11-11T00:00:00"/>
    <x v="10"/>
    <x v="2"/>
    <x v="3"/>
    <x v="4335"/>
    <x v="4417"/>
    <s v="Card"/>
    <s v="TXN108500"/>
    <x v="0"/>
  </r>
  <r>
    <d v="2023-11-11T00:00:00"/>
    <x v="10"/>
    <x v="0"/>
    <x v="1"/>
    <x v="4336"/>
    <x v="4418"/>
    <s v="Cash"/>
    <s v="TXN108547"/>
    <x v="0"/>
  </r>
  <r>
    <d v="2023-11-11T00:00:00"/>
    <x v="10"/>
    <x v="5"/>
    <x v="0"/>
    <x v="3115"/>
    <x v="1822"/>
    <s v="UPI"/>
    <s v="REV100001"/>
    <x v="1"/>
  </r>
  <r>
    <d v="2023-11-11T00:00:00"/>
    <x v="10"/>
    <x v="5"/>
    <x v="1"/>
    <x v="132"/>
    <x v="40"/>
    <s v="Bank Transfer"/>
    <s v="REV101473"/>
    <x v="1"/>
  </r>
  <r>
    <d v="2023-11-11T00:00:00"/>
    <x v="10"/>
    <x v="5"/>
    <x v="4"/>
    <x v="3822"/>
    <x v="1426"/>
    <s v="Bank Transfer"/>
    <s v="REV102049"/>
    <x v="1"/>
  </r>
  <r>
    <d v="2023-11-11T00:00:00"/>
    <x v="10"/>
    <x v="6"/>
    <x v="4"/>
    <x v="1475"/>
    <x v="4419"/>
    <s v="Card"/>
    <s v="REV102710"/>
    <x v="1"/>
  </r>
  <r>
    <d v="2023-11-11T00:00:00"/>
    <x v="10"/>
    <x v="5"/>
    <x v="3"/>
    <x v="261"/>
    <x v="2058"/>
    <s v="Bank Transfer"/>
    <s v="REV102878"/>
    <x v="1"/>
  </r>
  <r>
    <d v="2023-11-11T00:00:00"/>
    <x v="10"/>
    <x v="6"/>
    <x v="1"/>
    <x v="1526"/>
    <x v="191"/>
    <s v="Bank Transfer"/>
    <s v="REV102898"/>
    <x v="1"/>
  </r>
  <r>
    <d v="2023-11-12T00:00:00"/>
    <x v="10"/>
    <x v="2"/>
    <x v="2"/>
    <x v="4337"/>
    <x v="4420"/>
    <s v="Cash"/>
    <s v="TXN100222"/>
    <x v="0"/>
  </r>
  <r>
    <d v="2023-11-12T00:00:00"/>
    <x v="10"/>
    <x v="1"/>
    <x v="0"/>
    <x v="4338"/>
    <x v="4421"/>
    <s v="Bank Transfer"/>
    <s v="TXN101295"/>
    <x v="0"/>
  </r>
  <r>
    <d v="2023-11-12T00:00:00"/>
    <x v="10"/>
    <x v="3"/>
    <x v="1"/>
    <x v="4339"/>
    <x v="4422"/>
    <s v="UPI"/>
    <s v="TXN102741"/>
    <x v="0"/>
  </r>
  <r>
    <d v="2023-11-12T00:00:00"/>
    <x v="10"/>
    <x v="1"/>
    <x v="1"/>
    <x v="4340"/>
    <x v="4423"/>
    <s v="Card"/>
    <s v="TXN103077"/>
    <x v="0"/>
  </r>
  <r>
    <d v="2023-11-12T00:00:00"/>
    <x v="10"/>
    <x v="2"/>
    <x v="1"/>
    <x v="4341"/>
    <x v="4424"/>
    <s v="Card"/>
    <s v="TXN103150"/>
    <x v="0"/>
  </r>
  <r>
    <d v="2023-11-12T00:00:00"/>
    <x v="10"/>
    <x v="2"/>
    <x v="2"/>
    <x v="4342"/>
    <x v="4425"/>
    <s v="Card"/>
    <s v="TXN104370"/>
    <x v="0"/>
  </r>
  <r>
    <d v="2023-11-12T00:00:00"/>
    <x v="10"/>
    <x v="2"/>
    <x v="1"/>
    <x v="4343"/>
    <x v="4426"/>
    <s v="Card"/>
    <s v="TXN104946"/>
    <x v="0"/>
  </r>
  <r>
    <d v="2023-11-12T00:00:00"/>
    <x v="10"/>
    <x v="0"/>
    <x v="2"/>
    <x v="4344"/>
    <x v="2141"/>
    <s v="Card"/>
    <s v="TXN106644"/>
    <x v="0"/>
  </r>
  <r>
    <d v="2023-11-12T00:00:00"/>
    <x v="10"/>
    <x v="4"/>
    <x v="0"/>
    <x v="4345"/>
    <x v="4427"/>
    <s v="Cash"/>
    <s v="TXN107022"/>
    <x v="0"/>
  </r>
  <r>
    <d v="2023-11-12T00:00:00"/>
    <x v="10"/>
    <x v="0"/>
    <x v="0"/>
    <x v="4346"/>
    <x v="4428"/>
    <s v="Card"/>
    <s v="TXN108177"/>
    <x v="0"/>
  </r>
  <r>
    <d v="2023-11-12T00:00:00"/>
    <x v="10"/>
    <x v="3"/>
    <x v="3"/>
    <x v="4347"/>
    <x v="4429"/>
    <s v="Cash"/>
    <s v="TXN108234"/>
    <x v="0"/>
  </r>
  <r>
    <d v="2023-11-12T00:00:00"/>
    <x v="10"/>
    <x v="4"/>
    <x v="0"/>
    <x v="4348"/>
    <x v="4430"/>
    <s v="Card"/>
    <s v="TXN108898"/>
    <x v="0"/>
  </r>
  <r>
    <d v="2023-11-12T00:00:00"/>
    <x v="10"/>
    <x v="3"/>
    <x v="3"/>
    <x v="4349"/>
    <x v="4431"/>
    <s v="Card"/>
    <s v="TXN109505"/>
    <x v="0"/>
  </r>
  <r>
    <d v="2023-11-12T00:00:00"/>
    <x v="10"/>
    <x v="6"/>
    <x v="2"/>
    <x v="3992"/>
    <x v="4432"/>
    <s v="Card"/>
    <s v="REV100079"/>
    <x v="1"/>
  </r>
  <r>
    <d v="2023-11-12T00:00:00"/>
    <x v="10"/>
    <x v="5"/>
    <x v="0"/>
    <x v="4350"/>
    <x v="4433"/>
    <s v="Card"/>
    <s v="REV100475"/>
    <x v="1"/>
  </r>
  <r>
    <d v="2023-11-12T00:00:00"/>
    <x v="10"/>
    <x v="5"/>
    <x v="1"/>
    <x v="1516"/>
    <x v="238"/>
    <s v="Bank Transfer"/>
    <s v="REV100959"/>
    <x v="1"/>
  </r>
  <r>
    <d v="2023-11-12T00:00:00"/>
    <x v="10"/>
    <x v="5"/>
    <x v="1"/>
    <x v="2693"/>
    <x v="402"/>
    <s v="Bank Transfer"/>
    <s v="REV101062"/>
    <x v="1"/>
  </r>
  <r>
    <d v="2023-11-12T00:00:00"/>
    <x v="10"/>
    <x v="6"/>
    <x v="1"/>
    <x v="4351"/>
    <x v="445"/>
    <s v="Card"/>
    <s v="REV101086"/>
    <x v="1"/>
  </r>
  <r>
    <d v="2023-11-12T00:00:00"/>
    <x v="10"/>
    <x v="5"/>
    <x v="2"/>
    <x v="588"/>
    <x v="247"/>
    <s v="Card"/>
    <s v="REV101510"/>
    <x v="1"/>
  </r>
  <r>
    <d v="2023-11-12T00:00:00"/>
    <x v="10"/>
    <x v="5"/>
    <x v="1"/>
    <x v="3456"/>
    <x v="603"/>
    <s v="UPI"/>
    <s v="REV101688"/>
    <x v="1"/>
  </r>
  <r>
    <d v="2023-11-12T00:00:00"/>
    <x v="10"/>
    <x v="6"/>
    <x v="2"/>
    <x v="80"/>
    <x v="287"/>
    <s v="Bank Transfer"/>
    <s v="REV102260"/>
    <x v="1"/>
  </r>
  <r>
    <d v="2023-11-12T00:00:00"/>
    <x v="10"/>
    <x v="5"/>
    <x v="0"/>
    <x v="3481"/>
    <x v="4434"/>
    <s v="Bank Transfer"/>
    <s v="REV102382"/>
    <x v="1"/>
  </r>
  <r>
    <d v="2023-11-12T00:00:00"/>
    <x v="10"/>
    <x v="5"/>
    <x v="0"/>
    <x v="4352"/>
    <x v="4435"/>
    <s v="UPI"/>
    <s v="REV102777"/>
    <x v="1"/>
  </r>
  <r>
    <d v="2023-11-12T00:00:00"/>
    <x v="10"/>
    <x v="5"/>
    <x v="3"/>
    <x v="728"/>
    <x v="846"/>
    <s v="Bank Transfer"/>
    <s v="REV102795"/>
    <x v="1"/>
  </r>
  <r>
    <d v="2023-11-12T00:00:00"/>
    <x v="10"/>
    <x v="6"/>
    <x v="0"/>
    <x v="3763"/>
    <x v="4436"/>
    <s v="Card"/>
    <s v="REV103011"/>
    <x v="1"/>
  </r>
  <r>
    <d v="2023-11-12T00:00:00"/>
    <x v="10"/>
    <x v="5"/>
    <x v="3"/>
    <x v="1566"/>
    <x v="4437"/>
    <s v="Bank Transfer"/>
    <s v="REV103208"/>
    <x v="1"/>
  </r>
  <r>
    <d v="2023-11-13T00:00:00"/>
    <x v="10"/>
    <x v="0"/>
    <x v="1"/>
    <x v="4353"/>
    <x v="4438"/>
    <s v="Card"/>
    <s v="TXN100551"/>
    <x v="0"/>
  </r>
  <r>
    <d v="2023-11-13T00:00:00"/>
    <x v="10"/>
    <x v="4"/>
    <x v="2"/>
    <x v="4354"/>
    <x v="4439"/>
    <s v="UPI"/>
    <s v="TXN100783"/>
    <x v="0"/>
  </r>
  <r>
    <d v="2023-11-13T00:00:00"/>
    <x v="10"/>
    <x v="2"/>
    <x v="4"/>
    <x v="4355"/>
    <x v="4440"/>
    <s v="Cash"/>
    <s v="TXN102730"/>
    <x v="0"/>
  </r>
  <r>
    <d v="2023-11-13T00:00:00"/>
    <x v="10"/>
    <x v="7"/>
    <x v="3"/>
    <x v="4356"/>
    <x v="4441"/>
    <s v="Card"/>
    <s v="TXN106763"/>
    <x v="0"/>
  </r>
  <r>
    <d v="2023-11-13T00:00:00"/>
    <x v="10"/>
    <x v="4"/>
    <x v="1"/>
    <x v="4357"/>
    <x v="4442"/>
    <s v="Cash"/>
    <s v="TXN107433"/>
    <x v="0"/>
  </r>
  <r>
    <d v="2023-11-13T00:00:00"/>
    <x v="10"/>
    <x v="4"/>
    <x v="3"/>
    <x v="4358"/>
    <x v="4443"/>
    <s v="Cash"/>
    <s v="TXN107635"/>
    <x v="0"/>
  </r>
  <r>
    <d v="2023-11-13T00:00:00"/>
    <x v="10"/>
    <x v="7"/>
    <x v="4"/>
    <x v="4359"/>
    <x v="4444"/>
    <s v="UPI"/>
    <s v="TXN107871"/>
    <x v="0"/>
  </r>
  <r>
    <d v="2023-11-13T00:00:00"/>
    <x v="10"/>
    <x v="4"/>
    <x v="4"/>
    <x v="4360"/>
    <x v="4445"/>
    <s v="UPI"/>
    <s v="TXN108091"/>
    <x v="0"/>
  </r>
  <r>
    <d v="2023-11-13T00:00:00"/>
    <x v="10"/>
    <x v="5"/>
    <x v="1"/>
    <x v="1117"/>
    <x v="319"/>
    <s v="UPI"/>
    <s v="REV100216"/>
    <x v="1"/>
  </r>
  <r>
    <d v="2023-11-13T00:00:00"/>
    <x v="10"/>
    <x v="5"/>
    <x v="2"/>
    <x v="3114"/>
    <x v="1930"/>
    <s v="Bank Transfer"/>
    <s v="REV100286"/>
    <x v="1"/>
  </r>
  <r>
    <d v="2023-11-13T00:00:00"/>
    <x v="10"/>
    <x v="6"/>
    <x v="4"/>
    <x v="153"/>
    <x v="792"/>
    <s v="Bank Transfer"/>
    <s v="REV100954"/>
    <x v="1"/>
  </r>
  <r>
    <d v="2023-11-13T00:00:00"/>
    <x v="10"/>
    <x v="5"/>
    <x v="3"/>
    <x v="112"/>
    <x v="3852"/>
    <s v="Card"/>
    <s v="REV102302"/>
    <x v="1"/>
  </r>
  <r>
    <d v="2023-11-13T00:00:00"/>
    <x v="10"/>
    <x v="6"/>
    <x v="1"/>
    <x v="1590"/>
    <x v="641"/>
    <s v="Bank Transfer"/>
    <s v="REV102523"/>
    <x v="1"/>
  </r>
  <r>
    <d v="2023-11-13T00:00:00"/>
    <x v="10"/>
    <x v="6"/>
    <x v="3"/>
    <x v="4361"/>
    <x v="4446"/>
    <s v="Bank Transfer"/>
    <s v="REV102595"/>
    <x v="1"/>
  </r>
  <r>
    <d v="2023-11-13T00:00:00"/>
    <x v="10"/>
    <x v="5"/>
    <x v="4"/>
    <x v="4362"/>
    <x v="4447"/>
    <s v="Bank Transfer"/>
    <s v="REV102676"/>
    <x v="1"/>
  </r>
  <r>
    <d v="2023-11-13T00:00:00"/>
    <x v="10"/>
    <x v="5"/>
    <x v="4"/>
    <x v="4363"/>
    <x v="1014"/>
    <s v="Card"/>
    <s v="REV102749"/>
    <x v="1"/>
  </r>
  <r>
    <d v="2023-11-14T00:00:00"/>
    <x v="10"/>
    <x v="4"/>
    <x v="3"/>
    <x v="4364"/>
    <x v="4448"/>
    <s v="Bank Transfer"/>
    <s v="TXN104912"/>
    <x v="0"/>
  </r>
  <r>
    <d v="2023-11-14T00:00:00"/>
    <x v="10"/>
    <x v="3"/>
    <x v="1"/>
    <x v="4365"/>
    <x v="4449"/>
    <s v="UPI"/>
    <s v="TXN106294"/>
    <x v="0"/>
  </r>
  <r>
    <d v="2023-11-14T00:00:00"/>
    <x v="10"/>
    <x v="7"/>
    <x v="2"/>
    <x v="4366"/>
    <x v="4450"/>
    <s v="UPI"/>
    <s v="TXN106483"/>
    <x v="0"/>
  </r>
  <r>
    <d v="2023-11-14T00:00:00"/>
    <x v="10"/>
    <x v="1"/>
    <x v="2"/>
    <x v="4367"/>
    <x v="4451"/>
    <s v="Bank Transfer"/>
    <s v="TXN106574"/>
    <x v="0"/>
  </r>
  <r>
    <d v="2023-11-14T00:00:00"/>
    <x v="10"/>
    <x v="7"/>
    <x v="0"/>
    <x v="4368"/>
    <x v="4452"/>
    <s v="UPI"/>
    <s v="TXN108861"/>
    <x v="0"/>
  </r>
  <r>
    <d v="2023-11-14T00:00:00"/>
    <x v="10"/>
    <x v="7"/>
    <x v="2"/>
    <x v="4369"/>
    <x v="4453"/>
    <s v="UPI"/>
    <s v="TXN109747"/>
    <x v="0"/>
  </r>
  <r>
    <d v="2023-11-14T00:00:00"/>
    <x v="10"/>
    <x v="6"/>
    <x v="3"/>
    <x v="631"/>
    <x v="2017"/>
    <s v="Bank Transfer"/>
    <s v="REV101674"/>
    <x v="1"/>
  </r>
  <r>
    <d v="2023-11-14T00:00:00"/>
    <x v="10"/>
    <x v="5"/>
    <x v="1"/>
    <x v="1275"/>
    <x v="717"/>
    <s v="Card"/>
    <s v="REV102121"/>
    <x v="1"/>
  </r>
  <r>
    <d v="2023-11-14T00:00:00"/>
    <x v="10"/>
    <x v="6"/>
    <x v="2"/>
    <x v="1905"/>
    <x v="4014"/>
    <s v="Card"/>
    <s v="REV102199"/>
    <x v="1"/>
  </r>
  <r>
    <d v="2023-11-14T00:00:00"/>
    <x v="10"/>
    <x v="6"/>
    <x v="2"/>
    <x v="206"/>
    <x v="287"/>
    <s v="Card"/>
    <s v="REV102234"/>
    <x v="1"/>
  </r>
  <r>
    <d v="2023-11-14T00:00:00"/>
    <x v="10"/>
    <x v="5"/>
    <x v="0"/>
    <x v="4095"/>
    <x v="1026"/>
    <s v="Card"/>
    <s v="REV103001"/>
    <x v="1"/>
  </r>
  <r>
    <d v="2023-11-14T00:00:00"/>
    <x v="10"/>
    <x v="5"/>
    <x v="2"/>
    <x v="2525"/>
    <x v="736"/>
    <s v="Card"/>
    <s v="REV103299"/>
    <x v="1"/>
  </r>
  <r>
    <d v="2023-11-15T00:00:00"/>
    <x v="10"/>
    <x v="0"/>
    <x v="2"/>
    <x v="4370"/>
    <x v="4454"/>
    <s v="Bank Transfer"/>
    <s v="TXN100431"/>
    <x v="0"/>
  </r>
  <r>
    <d v="2023-11-15T00:00:00"/>
    <x v="10"/>
    <x v="1"/>
    <x v="3"/>
    <x v="4371"/>
    <x v="4455"/>
    <s v="Card"/>
    <s v="TXN101793"/>
    <x v="0"/>
  </r>
  <r>
    <d v="2023-11-15T00:00:00"/>
    <x v="10"/>
    <x v="7"/>
    <x v="4"/>
    <x v="4372"/>
    <x v="4456"/>
    <s v="Card"/>
    <s v="TXN102891"/>
    <x v="0"/>
  </r>
  <r>
    <d v="2023-11-15T00:00:00"/>
    <x v="10"/>
    <x v="7"/>
    <x v="1"/>
    <x v="4373"/>
    <x v="4457"/>
    <s v="Card"/>
    <s v="TXN103983"/>
    <x v="0"/>
  </r>
  <r>
    <d v="2023-11-15T00:00:00"/>
    <x v="10"/>
    <x v="3"/>
    <x v="4"/>
    <x v="4374"/>
    <x v="4458"/>
    <s v="Bank Transfer"/>
    <s v="TXN104175"/>
    <x v="0"/>
  </r>
  <r>
    <d v="2023-11-15T00:00:00"/>
    <x v="10"/>
    <x v="0"/>
    <x v="4"/>
    <x v="4375"/>
    <x v="4459"/>
    <s v="UPI"/>
    <s v="TXN104181"/>
    <x v="0"/>
  </r>
  <r>
    <d v="2023-11-15T00:00:00"/>
    <x v="10"/>
    <x v="2"/>
    <x v="1"/>
    <x v="4376"/>
    <x v="4460"/>
    <s v="UPI"/>
    <s v="TXN104594"/>
    <x v="0"/>
  </r>
  <r>
    <d v="2023-11-15T00:00:00"/>
    <x v="10"/>
    <x v="1"/>
    <x v="1"/>
    <x v="4377"/>
    <x v="4461"/>
    <s v="Card"/>
    <s v="TXN104648"/>
    <x v="0"/>
  </r>
  <r>
    <d v="2023-11-15T00:00:00"/>
    <x v="10"/>
    <x v="7"/>
    <x v="2"/>
    <x v="4378"/>
    <x v="4462"/>
    <s v="Cash"/>
    <s v="TXN104768"/>
    <x v="0"/>
  </r>
  <r>
    <d v="2023-11-15T00:00:00"/>
    <x v="10"/>
    <x v="2"/>
    <x v="4"/>
    <x v="4379"/>
    <x v="4463"/>
    <s v="UPI"/>
    <s v="TXN108054"/>
    <x v="0"/>
  </r>
  <r>
    <d v="2023-11-15T00:00:00"/>
    <x v="10"/>
    <x v="0"/>
    <x v="1"/>
    <x v="4380"/>
    <x v="4464"/>
    <s v="UPI"/>
    <s v="TXN108538"/>
    <x v="0"/>
  </r>
  <r>
    <d v="2023-11-15T00:00:00"/>
    <x v="10"/>
    <x v="7"/>
    <x v="4"/>
    <x v="4381"/>
    <x v="4465"/>
    <s v="Bank Transfer"/>
    <s v="TXN109060"/>
    <x v="0"/>
  </r>
  <r>
    <d v="2023-11-15T00:00:00"/>
    <x v="10"/>
    <x v="5"/>
    <x v="2"/>
    <x v="3180"/>
    <x v="601"/>
    <s v="UPI"/>
    <s v="REV100162"/>
    <x v="1"/>
  </r>
  <r>
    <d v="2023-11-15T00:00:00"/>
    <x v="10"/>
    <x v="5"/>
    <x v="3"/>
    <x v="2189"/>
    <x v="4466"/>
    <s v="Bank Transfer"/>
    <s v="REV100653"/>
    <x v="1"/>
  </r>
  <r>
    <d v="2023-11-15T00:00:00"/>
    <x v="10"/>
    <x v="6"/>
    <x v="4"/>
    <x v="4040"/>
    <x v="613"/>
    <s v="Card"/>
    <s v="REV101010"/>
    <x v="1"/>
  </r>
  <r>
    <d v="2023-11-15T00:00:00"/>
    <x v="10"/>
    <x v="5"/>
    <x v="1"/>
    <x v="3156"/>
    <x v="2780"/>
    <s v="Bank Transfer"/>
    <s v="REV101379"/>
    <x v="1"/>
  </r>
  <r>
    <d v="2023-11-15T00:00:00"/>
    <x v="10"/>
    <x v="5"/>
    <x v="4"/>
    <x v="4382"/>
    <x v="4467"/>
    <s v="Bank Transfer"/>
    <s v="REV101449"/>
    <x v="1"/>
  </r>
  <r>
    <d v="2023-11-15T00:00:00"/>
    <x v="10"/>
    <x v="6"/>
    <x v="4"/>
    <x v="4383"/>
    <x v="4468"/>
    <s v="Card"/>
    <s v="REV101451"/>
    <x v="1"/>
  </r>
  <r>
    <d v="2023-11-15T00:00:00"/>
    <x v="10"/>
    <x v="5"/>
    <x v="1"/>
    <x v="4384"/>
    <x v="4469"/>
    <s v="UPI"/>
    <s v="REV101571"/>
    <x v="1"/>
  </r>
  <r>
    <d v="2023-11-15T00:00:00"/>
    <x v="10"/>
    <x v="5"/>
    <x v="1"/>
    <x v="885"/>
    <x v="2798"/>
    <s v="UPI"/>
    <s v="REV101587"/>
    <x v="1"/>
  </r>
  <r>
    <d v="2023-11-15T00:00:00"/>
    <x v="10"/>
    <x v="6"/>
    <x v="2"/>
    <x v="585"/>
    <x v="936"/>
    <s v="Bank Transfer"/>
    <s v="REV101625"/>
    <x v="1"/>
  </r>
  <r>
    <d v="2023-11-15T00:00:00"/>
    <x v="10"/>
    <x v="5"/>
    <x v="4"/>
    <x v="2772"/>
    <x v="1790"/>
    <s v="Card"/>
    <s v="REV102736"/>
    <x v="1"/>
  </r>
  <r>
    <d v="2023-11-15T00:00:00"/>
    <x v="10"/>
    <x v="6"/>
    <x v="1"/>
    <x v="2262"/>
    <x v="1088"/>
    <s v="Bank Transfer"/>
    <s v="REV102894"/>
    <x v="1"/>
  </r>
  <r>
    <d v="2023-11-15T00:00:00"/>
    <x v="10"/>
    <x v="5"/>
    <x v="4"/>
    <x v="4385"/>
    <x v="809"/>
    <s v="Bank Transfer"/>
    <s v="REV103066"/>
    <x v="1"/>
  </r>
  <r>
    <d v="2023-11-16T00:00:00"/>
    <x v="10"/>
    <x v="4"/>
    <x v="4"/>
    <x v="4386"/>
    <x v="4470"/>
    <s v="Bank Transfer"/>
    <s v="TXN100651"/>
    <x v="0"/>
  </r>
  <r>
    <d v="2023-11-16T00:00:00"/>
    <x v="10"/>
    <x v="4"/>
    <x v="3"/>
    <x v="4387"/>
    <x v="4471"/>
    <s v="Bank Transfer"/>
    <s v="TXN100730"/>
    <x v="0"/>
  </r>
  <r>
    <d v="2023-11-16T00:00:00"/>
    <x v="10"/>
    <x v="0"/>
    <x v="4"/>
    <x v="4388"/>
    <x v="4472"/>
    <s v="Card"/>
    <s v="TXN101640"/>
    <x v="0"/>
  </r>
  <r>
    <d v="2023-11-16T00:00:00"/>
    <x v="10"/>
    <x v="3"/>
    <x v="3"/>
    <x v="4389"/>
    <x v="4473"/>
    <s v="Bank Transfer"/>
    <s v="TXN102221"/>
    <x v="0"/>
  </r>
  <r>
    <d v="2023-11-16T00:00:00"/>
    <x v="10"/>
    <x v="4"/>
    <x v="2"/>
    <x v="4390"/>
    <x v="4474"/>
    <s v="Bank Transfer"/>
    <s v="TXN104451"/>
    <x v="0"/>
  </r>
  <r>
    <d v="2023-11-16T00:00:00"/>
    <x v="10"/>
    <x v="0"/>
    <x v="0"/>
    <x v="4391"/>
    <x v="4475"/>
    <s v="Bank Transfer"/>
    <s v="TXN105939"/>
    <x v="0"/>
  </r>
  <r>
    <d v="2023-11-16T00:00:00"/>
    <x v="10"/>
    <x v="3"/>
    <x v="2"/>
    <x v="4392"/>
    <x v="4476"/>
    <s v="Card"/>
    <s v="TXN106365"/>
    <x v="0"/>
  </r>
  <r>
    <d v="2023-11-16T00:00:00"/>
    <x v="10"/>
    <x v="1"/>
    <x v="1"/>
    <x v="4393"/>
    <x v="4477"/>
    <s v="Card"/>
    <s v="TXN106472"/>
    <x v="0"/>
  </r>
  <r>
    <d v="2023-11-16T00:00:00"/>
    <x v="10"/>
    <x v="1"/>
    <x v="0"/>
    <x v="4394"/>
    <x v="4478"/>
    <s v="UPI"/>
    <s v="TXN108343"/>
    <x v="0"/>
  </r>
  <r>
    <d v="2023-11-16T00:00:00"/>
    <x v="10"/>
    <x v="7"/>
    <x v="4"/>
    <x v="4395"/>
    <x v="4479"/>
    <s v="UPI"/>
    <s v="TXN109613"/>
    <x v="0"/>
  </r>
  <r>
    <d v="2023-11-16T00:00:00"/>
    <x v="10"/>
    <x v="2"/>
    <x v="4"/>
    <x v="4396"/>
    <x v="4480"/>
    <s v="UPI"/>
    <s v="TXN109616"/>
    <x v="0"/>
  </r>
  <r>
    <d v="2023-11-16T00:00:00"/>
    <x v="10"/>
    <x v="5"/>
    <x v="4"/>
    <x v="4397"/>
    <x v="2937"/>
    <s v="Bank Transfer"/>
    <s v="REV100249"/>
    <x v="1"/>
  </r>
  <r>
    <d v="2023-11-16T00:00:00"/>
    <x v="10"/>
    <x v="5"/>
    <x v="3"/>
    <x v="2788"/>
    <x v="1729"/>
    <s v="UPI"/>
    <s v="REV100272"/>
    <x v="1"/>
  </r>
  <r>
    <d v="2023-11-16T00:00:00"/>
    <x v="10"/>
    <x v="6"/>
    <x v="4"/>
    <x v="1839"/>
    <x v="3721"/>
    <s v="Card"/>
    <s v="REV100605"/>
    <x v="1"/>
  </r>
  <r>
    <d v="2023-11-16T00:00:00"/>
    <x v="10"/>
    <x v="6"/>
    <x v="3"/>
    <x v="435"/>
    <x v="204"/>
    <s v="UPI"/>
    <s v="REV100786"/>
    <x v="1"/>
  </r>
  <r>
    <d v="2023-11-16T00:00:00"/>
    <x v="10"/>
    <x v="5"/>
    <x v="2"/>
    <x v="3248"/>
    <x v="574"/>
    <s v="Bank Transfer"/>
    <s v="REV101532"/>
    <x v="1"/>
  </r>
  <r>
    <d v="2023-11-16T00:00:00"/>
    <x v="10"/>
    <x v="5"/>
    <x v="0"/>
    <x v="479"/>
    <x v="3244"/>
    <s v="Card"/>
    <s v="REV102006"/>
    <x v="1"/>
  </r>
  <r>
    <d v="2023-11-16T00:00:00"/>
    <x v="10"/>
    <x v="6"/>
    <x v="2"/>
    <x v="2279"/>
    <x v="1398"/>
    <s v="Bank Transfer"/>
    <s v="REV102150"/>
    <x v="1"/>
  </r>
  <r>
    <d v="2023-11-16T00:00:00"/>
    <x v="10"/>
    <x v="5"/>
    <x v="1"/>
    <x v="179"/>
    <x v="934"/>
    <s v="Bank Transfer"/>
    <s v="REV102194"/>
    <x v="1"/>
  </r>
  <r>
    <d v="2023-11-16T00:00:00"/>
    <x v="10"/>
    <x v="5"/>
    <x v="0"/>
    <x v="2662"/>
    <x v="4481"/>
    <s v="UPI"/>
    <s v="REV102837"/>
    <x v="1"/>
  </r>
  <r>
    <d v="2023-11-16T00:00:00"/>
    <x v="10"/>
    <x v="6"/>
    <x v="4"/>
    <x v="2526"/>
    <x v="1926"/>
    <s v="Bank Transfer"/>
    <s v="REV103250"/>
    <x v="1"/>
  </r>
  <r>
    <d v="2023-11-16T00:00:00"/>
    <x v="10"/>
    <x v="5"/>
    <x v="4"/>
    <x v="3637"/>
    <x v="2367"/>
    <s v="Card"/>
    <s v="REV103251"/>
    <x v="1"/>
  </r>
  <r>
    <d v="2023-11-17T00:00:00"/>
    <x v="10"/>
    <x v="1"/>
    <x v="0"/>
    <x v="4398"/>
    <x v="4482"/>
    <s v="Card"/>
    <s v="TXN101315"/>
    <x v="0"/>
  </r>
  <r>
    <d v="2023-11-17T00:00:00"/>
    <x v="10"/>
    <x v="4"/>
    <x v="4"/>
    <x v="2637"/>
    <x v="4483"/>
    <s v="Cash"/>
    <s v="TXN102719"/>
    <x v="0"/>
  </r>
  <r>
    <d v="2023-11-17T00:00:00"/>
    <x v="10"/>
    <x v="0"/>
    <x v="3"/>
    <x v="4399"/>
    <x v="4484"/>
    <s v="UPI"/>
    <s v="TXN104916"/>
    <x v="0"/>
  </r>
  <r>
    <d v="2023-11-17T00:00:00"/>
    <x v="10"/>
    <x v="3"/>
    <x v="3"/>
    <x v="4400"/>
    <x v="4485"/>
    <s v="Bank Transfer"/>
    <s v="TXN105706"/>
    <x v="0"/>
  </r>
  <r>
    <d v="2023-11-17T00:00:00"/>
    <x v="10"/>
    <x v="4"/>
    <x v="0"/>
    <x v="4401"/>
    <x v="4486"/>
    <s v="Bank Transfer"/>
    <s v="TXN108174"/>
    <x v="0"/>
  </r>
  <r>
    <d v="2023-11-17T00:00:00"/>
    <x v="10"/>
    <x v="4"/>
    <x v="3"/>
    <x v="4402"/>
    <x v="4487"/>
    <s v="UPI"/>
    <s v="TXN109711"/>
    <x v="0"/>
  </r>
  <r>
    <d v="2023-11-17T00:00:00"/>
    <x v="10"/>
    <x v="7"/>
    <x v="4"/>
    <x v="4403"/>
    <x v="4488"/>
    <s v="Cash"/>
    <s v="TXN109898"/>
    <x v="0"/>
  </r>
  <r>
    <d v="2023-11-17T00:00:00"/>
    <x v="10"/>
    <x v="5"/>
    <x v="0"/>
    <x v="1041"/>
    <x v="4334"/>
    <s v="UPI"/>
    <s v="REV100486"/>
    <x v="1"/>
  </r>
  <r>
    <d v="2023-11-17T00:00:00"/>
    <x v="10"/>
    <x v="5"/>
    <x v="4"/>
    <x v="4404"/>
    <x v="4489"/>
    <s v="UPI"/>
    <s v="REV100949"/>
    <x v="1"/>
  </r>
  <r>
    <d v="2023-11-17T00:00:00"/>
    <x v="10"/>
    <x v="6"/>
    <x v="3"/>
    <x v="319"/>
    <x v="4490"/>
    <s v="Card"/>
    <s v="REV101676"/>
    <x v="1"/>
  </r>
  <r>
    <d v="2023-11-17T00:00:00"/>
    <x v="10"/>
    <x v="5"/>
    <x v="3"/>
    <x v="4405"/>
    <x v="4491"/>
    <s v="Card"/>
    <s v="REV101941"/>
    <x v="1"/>
  </r>
  <r>
    <d v="2023-11-17T00:00:00"/>
    <x v="10"/>
    <x v="5"/>
    <x v="0"/>
    <x v="2380"/>
    <x v="3324"/>
    <s v="Card"/>
    <s v="REV102775"/>
    <x v="1"/>
  </r>
  <r>
    <d v="2023-11-17T00:00:00"/>
    <x v="10"/>
    <x v="5"/>
    <x v="3"/>
    <x v="3153"/>
    <x v="4492"/>
    <s v="Card"/>
    <s v="REV103282"/>
    <x v="1"/>
  </r>
  <r>
    <d v="2023-11-17T00:00:00"/>
    <x v="10"/>
    <x v="6"/>
    <x v="4"/>
    <x v="1475"/>
    <x v="2811"/>
    <s v="Bank Transfer"/>
    <s v="REV103348"/>
    <x v="1"/>
  </r>
  <r>
    <d v="2023-11-18T00:00:00"/>
    <x v="10"/>
    <x v="4"/>
    <x v="4"/>
    <x v="4406"/>
    <x v="4493"/>
    <s v="Card"/>
    <s v="TXN100086"/>
    <x v="0"/>
  </r>
  <r>
    <d v="2023-11-18T00:00:00"/>
    <x v="10"/>
    <x v="0"/>
    <x v="4"/>
    <x v="4407"/>
    <x v="4494"/>
    <s v="UPI"/>
    <s v="TXN100129"/>
    <x v="0"/>
  </r>
  <r>
    <d v="2023-11-18T00:00:00"/>
    <x v="10"/>
    <x v="4"/>
    <x v="2"/>
    <x v="4408"/>
    <x v="4495"/>
    <s v="Card"/>
    <s v="TXN102812"/>
    <x v="0"/>
  </r>
  <r>
    <d v="2023-11-18T00:00:00"/>
    <x v="10"/>
    <x v="2"/>
    <x v="1"/>
    <x v="1973"/>
    <x v="4496"/>
    <s v="Card"/>
    <s v="TXN103920"/>
    <x v="0"/>
  </r>
  <r>
    <d v="2023-11-18T00:00:00"/>
    <x v="10"/>
    <x v="1"/>
    <x v="4"/>
    <x v="4409"/>
    <x v="4497"/>
    <s v="Cash"/>
    <s v="TXN105528"/>
    <x v="0"/>
  </r>
  <r>
    <d v="2023-11-18T00:00:00"/>
    <x v="10"/>
    <x v="1"/>
    <x v="2"/>
    <x v="4410"/>
    <x v="4498"/>
    <s v="Card"/>
    <s v="TXN106057"/>
    <x v="0"/>
  </r>
  <r>
    <d v="2023-11-18T00:00:00"/>
    <x v="10"/>
    <x v="2"/>
    <x v="4"/>
    <x v="4411"/>
    <x v="4499"/>
    <s v="Cash"/>
    <s v="TXN107184"/>
    <x v="0"/>
  </r>
  <r>
    <d v="2023-11-18T00:00:00"/>
    <x v="10"/>
    <x v="7"/>
    <x v="3"/>
    <x v="4412"/>
    <x v="4500"/>
    <s v="Bank Transfer"/>
    <s v="TXN107510"/>
    <x v="0"/>
  </r>
  <r>
    <d v="2023-11-18T00:00:00"/>
    <x v="10"/>
    <x v="0"/>
    <x v="1"/>
    <x v="4413"/>
    <x v="4501"/>
    <s v="Cash"/>
    <s v="TXN109429"/>
    <x v="0"/>
  </r>
  <r>
    <d v="2023-11-18T00:00:00"/>
    <x v="10"/>
    <x v="6"/>
    <x v="4"/>
    <x v="2151"/>
    <x v="2045"/>
    <s v="Bank Transfer"/>
    <s v="REV100030"/>
    <x v="1"/>
  </r>
  <r>
    <d v="2023-11-18T00:00:00"/>
    <x v="10"/>
    <x v="5"/>
    <x v="4"/>
    <x v="911"/>
    <x v="4299"/>
    <s v="Bank Transfer"/>
    <s v="REV100050"/>
    <x v="1"/>
  </r>
  <r>
    <d v="2023-11-18T00:00:00"/>
    <x v="10"/>
    <x v="6"/>
    <x v="2"/>
    <x v="4414"/>
    <x v="699"/>
    <s v="Bank Transfer"/>
    <s v="REV100992"/>
    <x v="1"/>
  </r>
  <r>
    <d v="2023-11-18T00:00:00"/>
    <x v="10"/>
    <x v="5"/>
    <x v="1"/>
    <x v="4415"/>
    <x v="1150"/>
    <s v="Bank Transfer"/>
    <s v="REV101356"/>
    <x v="1"/>
  </r>
  <r>
    <d v="2023-11-18T00:00:00"/>
    <x v="10"/>
    <x v="6"/>
    <x v="4"/>
    <x v="4416"/>
    <x v="158"/>
    <s v="Bank Transfer"/>
    <s v="REV101881"/>
    <x v="1"/>
  </r>
  <r>
    <d v="2023-11-18T00:00:00"/>
    <x v="10"/>
    <x v="5"/>
    <x v="2"/>
    <x v="1726"/>
    <x v="2518"/>
    <s v="Bank Transfer"/>
    <s v="REV102046"/>
    <x v="1"/>
  </r>
  <r>
    <d v="2023-11-18T00:00:00"/>
    <x v="10"/>
    <x v="6"/>
    <x v="4"/>
    <x v="727"/>
    <x v="1926"/>
    <s v="Card"/>
    <s v="REV102437"/>
    <x v="1"/>
  </r>
  <r>
    <d v="2023-11-18T00:00:00"/>
    <x v="10"/>
    <x v="5"/>
    <x v="3"/>
    <x v="2140"/>
    <x v="2824"/>
    <s v="Bank Transfer"/>
    <s v="REV102545"/>
    <x v="1"/>
  </r>
  <r>
    <d v="2023-11-18T00:00:00"/>
    <x v="10"/>
    <x v="5"/>
    <x v="1"/>
    <x v="4417"/>
    <x v="2894"/>
    <s v="UPI"/>
    <s v="REV103190"/>
    <x v="1"/>
  </r>
  <r>
    <d v="2023-11-19T00:00:00"/>
    <x v="10"/>
    <x v="7"/>
    <x v="0"/>
    <x v="4418"/>
    <x v="4502"/>
    <s v="UPI"/>
    <s v="TXN100853"/>
    <x v="0"/>
  </r>
  <r>
    <d v="2023-11-19T00:00:00"/>
    <x v="10"/>
    <x v="1"/>
    <x v="3"/>
    <x v="4419"/>
    <x v="4503"/>
    <s v="UPI"/>
    <s v="TXN103187"/>
    <x v="0"/>
  </r>
  <r>
    <d v="2023-11-19T00:00:00"/>
    <x v="10"/>
    <x v="3"/>
    <x v="0"/>
    <x v="4420"/>
    <x v="4504"/>
    <s v="UPI"/>
    <s v="TXN103691"/>
    <x v="0"/>
  </r>
  <r>
    <d v="2023-11-19T00:00:00"/>
    <x v="10"/>
    <x v="0"/>
    <x v="2"/>
    <x v="2007"/>
    <x v="4505"/>
    <s v="Bank Transfer"/>
    <s v="TXN106108"/>
    <x v="0"/>
  </r>
  <r>
    <d v="2023-11-19T00:00:00"/>
    <x v="10"/>
    <x v="0"/>
    <x v="2"/>
    <x v="4421"/>
    <x v="4506"/>
    <s v="UPI"/>
    <s v="TXN106149"/>
    <x v="0"/>
  </r>
  <r>
    <d v="2023-11-19T00:00:00"/>
    <x v="10"/>
    <x v="1"/>
    <x v="1"/>
    <x v="4422"/>
    <x v="4507"/>
    <s v="Bank Transfer"/>
    <s v="TXN108084"/>
    <x v="0"/>
  </r>
  <r>
    <d v="2023-11-19T00:00:00"/>
    <x v="10"/>
    <x v="1"/>
    <x v="4"/>
    <x v="4423"/>
    <x v="4508"/>
    <s v="Card"/>
    <s v="TXN108765"/>
    <x v="0"/>
  </r>
  <r>
    <d v="2023-11-19T00:00:00"/>
    <x v="10"/>
    <x v="2"/>
    <x v="2"/>
    <x v="4424"/>
    <x v="4509"/>
    <s v="UPI"/>
    <s v="TXN109155"/>
    <x v="0"/>
  </r>
  <r>
    <d v="2023-11-19T00:00:00"/>
    <x v="10"/>
    <x v="5"/>
    <x v="0"/>
    <x v="1488"/>
    <x v="1706"/>
    <s v="Bank Transfer"/>
    <s v="REV100314"/>
    <x v="1"/>
  </r>
  <r>
    <d v="2023-11-19T00:00:00"/>
    <x v="10"/>
    <x v="6"/>
    <x v="3"/>
    <x v="4425"/>
    <x v="4510"/>
    <s v="Card"/>
    <s v="REV101098"/>
    <x v="1"/>
  </r>
  <r>
    <d v="2023-11-19T00:00:00"/>
    <x v="10"/>
    <x v="5"/>
    <x v="0"/>
    <x v="4426"/>
    <x v="1671"/>
    <s v="Card"/>
    <s v="REV101266"/>
    <x v="1"/>
  </r>
  <r>
    <d v="2023-11-19T00:00:00"/>
    <x v="10"/>
    <x v="5"/>
    <x v="2"/>
    <x v="4427"/>
    <x v="2751"/>
    <s v="Bank Transfer"/>
    <s v="REV102061"/>
    <x v="1"/>
  </r>
  <r>
    <d v="2023-11-19T00:00:00"/>
    <x v="10"/>
    <x v="5"/>
    <x v="2"/>
    <x v="3026"/>
    <x v="4511"/>
    <s v="Card"/>
    <s v="REV102074"/>
    <x v="1"/>
  </r>
  <r>
    <d v="2023-11-19T00:00:00"/>
    <x v="10"/>
    <x v="6"/>
    <x v="1"/>
    <x v="862"/>
    <x v="2396"/>
    <s v="Bank Transfer"/>
    <s v="REV102745"/>
    <x v="1"/>
  </r>
  <r>
    <d v="2023-11-19T00:00:00"/>
    <x v="10"/>
    <x v="6"/>
    <x v="4"/>
    <x v="2011"/>
    <x v="3463"/>
    <s v="Bank Transfer"/>
    <s v="REV102975"/>
    <x v="1"/>
  </r>
  <r>
    <d v="2023-11-19T00:00:00"/>
    <x v="10"/>
    <x v="6"/>
    <x v="2"/>
    <x v="3425"/>
    <x v="4512"/>
    <s v="Bank Transfer"/>
    <s v="REV103093"/>
    <x v="1"/>
  </r>
  <r>
    <d v="2023-11-20T00:00:00"/>
    <x v="10"/>
    <x v="0"/>
    <x v="0"/>
    <x v="4428"/>
    <x v="4513"/>
    <s v="Bank Transfer"/>
    <s v="TXN102009"/>
    <x v="0"/>
  </r>
  <r>
    <d v="2023-11-20T00:00:00"/>
    <x v="10"/>
    <x v="3"/>
    <x v="0"/>
    <x v="4429"/>
    <x v="4514"/>
    <s v="Card"/>
    <s v="TXN102530"/>
    <x v="0"/>
  </r>
  <r>
    <d v="2023-11-20T00:00:00"/>
    <x v="10"/>
    <x v="3"/>
    <x v="3"/>
    <x v="4430"/>
    <x v="4515"/>
    <s v="UPI"/>
    <s v="TXN102742"/>
    <x v="0"/>
  </r>
  <r>
    <d v="2023-11-20T00:00:00"/>
    <x v="10"/>
    <x v="0"/>
    <x v="2"/>
    <x v="4431"/>
    <x v="4516"/>
    <s v="Cash"/>
    <s v="TXN104259"/>
    <x v="0"/>
  </r>
  <r>
    <d v="2023-11-20T00:00:00"/>
    <x v="10"/>
    <x v="7"/>
    <x v="3"/>
    <x v="4432"/>
    <x v="4517"/>
    <s v="Card"/>
    <s v="TXN105610"/>
    <x v="0"/>
  </r>
  <r>
    <d v="2023-11-20T00:00:00"/>
    <x v="10"/>
    <x v="0"/>
    <x v="3"/>
    <x v="4433"/>
    <x v="4518"/>
    <s v="UPI"/>
    <s v="TXN109137"/>
    <x v="0"/>
  </r>
  <r>
    <d v="2023-11-20T00:00:00"/>
    <x v="10"/>
    <x v="6"/>
    <x v="0"/>
    <x v="2486"/>
    <x v="4519"/>
    <s v="UPI"/>
    <s v="REV100713"/>
    <x v="1"/>
  </r>
  <r>
    <d v="2023-11-20T00:00:00"/>
    <x v="10"/>
    <x v="5"/>
    <x v="0"/>
    <x v="2334"/>
    <x v="2419"/>
    <s v="UPI"/>
    <s v="REV100884"/>
    <x v="1"/>
  </r>
  <r>
    <d v="2023-11-20T00:00:00"/>
    <x v="10"/>
    <x v="5"/>
    <x v="3"/>
    <x v="4385"/>
    <x v="4520"/>
    <s v="Card"/>
    <s v="REV100960"/>
    <x v="1"/>
  </r>
  <r>
    <d v="2023-11-20T00:00:00"/>
    <x v="10"/>
    <x v="5"/>
    <x v="2"/>
    <x v="376"/>
    <x v="54"/>
    <s v="Bank Transfer"/>
    <s v="REV101481"/>
    <x v="1"/>
  </r>
  <r>
    <d v="2023-11-20T00:00:00"/>
    <x v="10"/>
    <x v="6"/>
    <x v="3"/>
    <x v="1849"/>
    <x v="624"/>
    <s v="Bank Transfer"/>
    <s v="REV101912"/>
    <x v="1"/>
  </r>
  <r>
    <d v="2023-11-20T00:00:00"/>
    <x v="10"/>
    <x v="6"/>
    <x v="3"/>
    <x v="4434"/>
    <x v="98"/>
    <s v="Card"/>
    <s v="REV103089"/>
    <x v="1"/>
  </r>
  <r>
    <d v="2023-11-21T00:00:00"/>
    <x v="10"/>
    <x v="2"/>
    <x v="0"/>
    <x v="4435"/>
    <x v="4082"/>
    <s v="UPI"/>
    <s v="TXN101227"/>
    <x v="0"/>
  </r>
  <r>
    <d v="2023-11-21T00:00:00"/>
    <x v="10"/>
    <x v="7"/>
    <x v="1"/>
    <x v="4436"/>
    <x v="4521"/>
    <s v="Card"/>
    <s v="TXN102556"/>
    <x v="0"/>
  </r>
  <r>
    <d v="2023-11-21T00:00:00"/>
    <x v="10"/>
    <x v="0"/>
    <x v="4"/>
    <x v="4437"/>
    <x v="4522"/>
    <s v="Bank Transfer"/>
    <s v="TXN104547"/>
    <x v="0"/>
  </r>
  <r>
    <d v="2023-11-21T00:00:00"/>
    <x v="10"/>
    <x v="3"/>
    <x v="3"/>
    <x v="4438"/>
    <x v="4523"/>
    <s v="Bank Transfer"/>
    <s v="TXN106769"/>
    <x v="0"/>
  </r>
  <r>
    <d v="2023-11-21T00:00:00"/>
    <x v="10"/>
    <x v="4"/>
    <x v="3"/>
    <x v="4439"/>
    <x v="4524"/>
    <s v="Bank Transfer"/>
    <s v="TXN107307"/>
    <x v="0"/>
  </r>
  <r>
    <d v="2023-11-21T00:00:00"/>
    <x v="10"/>
    <x v="7"/>
    <x v="1"/>
    <x v="4071"/>
    <x v="4525"/>
    <s v="Bank Transfer"/>
    <s v="TXN107520"/>
    <x v="0"/>
  </r>
  <r>
    <d v="2023-11-21T00:00:00"/>
    <x v="10"/>
    <x v="1"/>
    <x v="2"/>
    <x v="4440"/>
    <x v="4526"/>
    <s v="UPI"/>
    <s v="TXN107914"/>
    <x v="0"/>
  </r>
  <r>
    <d v="2023-11-21T00:00:00"/>
    <x v="10"/>
    <x v="4"/>
    <x v="0"/>
    <x v="4441"/>
    <x v="4527"/>
    <s v="Bank Transfer"/>
    <s v="TXN108017"/>
    <x v="0"/>
  </r>
  <r>
    <d v="2023-11-21T00:00:00"/>
    <x v="10"/>
    <x v="3"/>
    <x v="4"/>
    <x v="4442"/>
    <x v="4528"/>
    <s v="Card"/>
    <s v="TXN108842"/>
    <x v="0"/>
  </r>
  <r>
    <d v="2023-11-21T00:00:00"/>
    <x v="10"/>
    <x v="6"/>
    <x v="0"/>
    <x v="1472"/>
    <x v="1493"/>
    <s v="Card"/>
    <s v="REV100451"/>
    <x v="1"/>
  </r>
  <r>
    <d v="2023-11-21T00:00:00"/>
    <x v="10"/>
    <x v="5"/>
    <x v="1"/>
    <x v="1692"/>
    <x v="1442"/>
    <s v="UPI"/>
    <s v="REV100896"/>
    <x v="1"/>
  </r>
  <r>
    <d v="2023-11-21T00:00:00"/>
    <x v="10"/>
    <x v="6"/>
    <x v="4"/>
    <x v="1912"/>
    <x v="4529"/>
    <s v="Bank Transfer"/>
    <s v="REV101559"/>
    <x v="1"/>
  </r>
  <r>
    <d v="2023-11-21T00:00:00"/>
    <x v="10"/>
    <x v="5"/>
    <x v="3"/>
    <x v="443"/>
    <x v="4530"/>
    <s v="Card"/>
    <s v="REV102305"/>
    <x v="1"/>
  </r>
  <r>
    <d v="2023-11-21T00:00:00"/>
    <x v="10"/>
    <x v="5"/>
    <x v="3"/>
    <x v="206"/>
    <x v="2318"/>
    <s v="Bank Transfer"/>
    <s v="REV102478"/>
    <x v="1"/>
  </r>
  <r>
    <d v="2023-11-21T00:00:00"/>
    <x v="10"/>
    <x v="6"/>
    <x v="1"/>
    <x v="4443"/>
    <x v="3286"/>
    <s v="Bank Transfer"/>
    <s v="REV102553"/>
    <x v="1"/>
  </r>
  <r>
    <d v="2023-11-21T00:00:00"/>
    <x v="10"/>
    <x v="6"/>
    <x v="2"/>
    <x v="2112"/>
    <x v="4531"/>
    <s v="Bank Transfer"/>
    <s v="REV102687"/>
    <x v="1"/>
  </r>
  <r>
    <d v="2023-11-21T00:00:00"/>
    <x v="10"/>
    <x v="6"/>
    <x v="0"/>
    <x v="2772"/>
    <x v="3533"/>
    <s v="Card"/>
    <s v="REV102725"/>
    <x v="1"/>
  </r>
  <r>
    <d v="2023-11-21T00:00:00"/>
    <x v="10"/>
    <x v="5"/>
    <x v="4"/>
    <x v="1758"/>
    <x v="4532"/>
    <s v="Bank Transfer"/>
    <s v="REV102994"/>
    <x v="1"/>
  </r>
  <r>
    <d v="2023-11-22T00:00:00"/>
    <x v="10"/>
    <x v="7"/>
    <x v="3"/>
    <x v="4444"/>
    <x v="4533"/>
    <s v="Cash"/>
    <s v="TXN103782"/>
    <x v="0"/>
  </r>
  <r>
    <d v="2023-11-22T00:00:00"/>
    <x v="10"/>
    <x v="1"/>
    <x v="2"/>
    <x v="4445"/>
    <x v="4534"/>
    <s v="Cash"/>
    <s v="TXN106144"/>
    <x v="0"/>
  </r>
  <r>
    <d v="2023-11-22T00:00:00"/>
    <x v="10"/>
    <x v="4"/>
    <x v="0"/>
    <x v="4446"/>
    <x v="4535"/>
    <s v="Card"/>
    <s v="TXN108539"/>
    <x v="0"/>
  </r>
  <r>
    <d v="2023-11-22T00:00:00"/>
    <x v="10"/>
    <x v="4"/>
    <x v="3"/>
    <x v="4447"/>
    <x v="4536"/>
    <s v="Bank Transfer"/>
    <s v="TXN109410"/>
    <x v="0"/>
  </r>
  <r>
    <d v="2023-11-22T00:00:00"/>
    <x v="10"/>
    <x v="6"/>
    <x v="3"/>
    <x v="1776"/>
    <x v="543"/>
    <s v="Bank Transfer"/>
    <s v="REV101304"/>
    <x v="1"/>
  </r>
  <r>
    <d v="2023-11-22T00:00:00"/>
    <x v="10"/>
    <x v="6"/>
    <x v="2"/>
    <x v="268"/>
    <x v="4537"/>
    <s v="Bank Transfer"/>
    <s v="REV102073"/>
    <x v="1"/>
  </r>
  <r>
    <d v="2023-11-22T00:00:00"/>
    <x v="10"/>
    <x v="5"/>
    <x v="0"/>
    <x v="4448"/>
    <x v="4538"/>
    <s v="Bank Transfer"/>
    <s v="REV102895"/>
    <x v="1"/>
  </r>
  <r>
    <d v="2023-11-22T00:00:00"/>
    <x v="10"/>
    <x v="5"/>
    <x v="3"/>
    <x v="362"/>
    <x v="363"/>
    <s v="Bank Transfer"/>
    <s v="REV103178"/>
    <x v="1"/>
  </r>
  <r>
    <d v="2023-11-23T00:00:00"/>
    <x v="10"/>
    <x v="3"/>
    <x v="2"/>
    <x v="4449"/>
    <x v="4539"/>
    <s v="UPI"/>
    <s v="TXN100091"/>
    <x v="0"/>
  </r>
  <r>
    <d v="2023-11-23T00:00:00"/>
    <x v="10"/>
    <x v="1"/>
    <x v="4"/>
    <x v="4450"/>
    <x v="4540"/>
    <s v="Cash"/>
    <s v="TXN100217"/>
    <x v="0"/>
  </r>
  <r>
    <d v="2023-11-23T00:00:00"/>
    <x v="10"/>
    <x v="1"/>
    <x v="1"/>
    <x v="4451"/>
    <x v="4541"/>
    <s v="Card"/>
    <s v="TXN101280"/>
    <x v="0"/>
  </r>
  <r>
    <d v="2023-11-23T00:00:00"/>
    <x v="10"/>
    <x v="3"/>
    <x v="4"/>
    <x v="4452"/>
    <x v="4542"/>
    <s v="Cash"/>
    <s v="TXN103173"/>
    <x v="0"/>
  </r>
  <r>
    <d v="2023-11-23T00:00:00"/>
    <x v="10"/>
    <x v="3"/>
    <x v="3"/>
    <x v="4453"/>
    <x v="4543"/>
    <s v="Bank Transfer"/>
    <s v="TXN108044"/>
    <x v="0"/>
  </r>
  <r>
    <d v="2023-11-23T00:00:00"/>
    <x v="10"/>
    <x v="0"/>
    <x v="0"/>
    <x v="4454"/>
    <x v="4544"/>
    <s v="UPI"/>
    <s v="TXN108255"/>
    <x v="0"/>
  </r>
  <r>
    <d v="2023-11-23T00:00:00"/>
    <x v="10"/>
    <x v="5"/>
    <x v="2"/>
    <x v="1139"/>
    <x v="328"/>
    <s v="Bank Transfer"/>
    <s v="REV100033"/>
    <x v="1"/>
  </r>
  <r>
    <d v="2023-11-23T00:00:00"/>
    <x v="10"/>
    <x v="6"/>
    <x v="4"/>
    <x v="4455"/>
    <x v="4545"/>
    <s v="Card"/>
    <s v="REV100077"/>
    <x v="1"/>
  </r>
  <r>
    <d v="2023-11-23T00:00:00"/>
    <x v="10"/>
    <x v="6"/>
    <x v="1"/>
    <x v="4456"/>
    <x v="3544"/>
    <s v="Bank Transfer"/>
    <s v="REV100467"/>
    <x v="1"/>
  </r>
  <r>
    <d v="2023-11-23T00:00:00"/>
    <x v="10"/>
    <x v="5"/>
    <x v="4"/>
    <x v="3209"/>
    <x v="3336"/>
    <s v="Bank Transfer"/>
    <s v="REV101096"/>
    <x v="1"/>
  </r>
  <r>
    <d v="2023-11-23T00:00:00"/>
    <x v="10"/>
    <x v="5"/>
    <x v="3"/>
    <x v="2921"/>
    <x v="2798"/>
    <s v="Bank Transfer"/>
    <s v="REV102733"/>
    <x v="1"/>
  </r>
  <r>
    <d v="2023-11-23T00:00:00"/>
    <x v="10"/>
    <x v="5"/>
    <x v="0"/>
    <x v="462"/>
    <x v="4234"/>
    <s v="Bank Transfer"/>
    <s v="REV102802"/>
    <x v="1"/>
  </r>
  <r>
    <d v="2023-11-24T00:00:00"/>
    <x v="10"/>
    <x v="1"/>
    <x v="1"/>
    <x v="4457"/>
    <x v="4546"/>
    <s v="UPI"/>
    <s v="TXN106270"/>
    <x v="0"/>
  </r>
  <r>
    <d v="2023-11-24T00:00:00"/>
    <x v="10"/>
    <x v="7"/>
    <x v="1"/>
    <x v="4458"/>
    <x v="4547"/>
    <s v="Cash"/>
    <s v="TXN106837"/>
    <x v="0"/>
  </r>
  <r>
    <d v="2023-11-24T00:00:00"/>
    <x v="10"/>
    <x v="3"/>
    <x v="0"/>
    <x v="4459"/>
    <x v="4548"/>
    <s v="UPI"/>
    <s v="TXN108645"/>
    <x v="0"/>
  </r>
  <r>
    <d v="2023-11-24T00:00:00"/>
    <x v="10"/>
    <x v="3"/>
    <x v="0"/>
    <x v="4460"/>
    <x v="4549"/>
    <s v="UPI"/>
    <s v="TXN108697"/>
    <x v="0"/>
  </r>
  <r>
    <d v="2023-11-24T00:00:00"/>
    <x v="10"/>
    <x v="1"/>
    <x v="1"/>
    <x v="4461"/>
    <x v="4550"/>
    <s v="Bank Transfer"/>
    <s v="TXN109374"/>
    <x v="0"/>
  </r>
  <r>
    <d v="2023-11-24T00:00:00"/>
    <x v="10"/>
    <x v="7"/>
    <x v="3"/>
    <x v="4462"/>
    <x v="4551"/>
    <s v="Cash"/>
    <s v="TXN109764"/>
    <x v="0"/>
  </r>
  <r>
    <d v="2023-11-24T00:00:00"/>
    <x v="10"/>
    <x v="5"/>
    <x v="1"/>
    <x v="3133"/>
    <x v="926"/>
    <s v="Card"/>
    <s v="REV102112"/>
    <x v="1"/>
  </r>
  <r>
    <d v="2023-11-24T00:00:00"/>
    <x v="10"/>
    <x v="6"/>
    <x v="1"/>
    <x v="902"/>
    <x v="485"/>
    <s v="Bank Transfer"/>
    <s v="REV102325"/>
    <x v="1"/>
  </r>
  <r>
    <d v="2023-11-24T00:00:00"/>
    <x v="10"/>
    <x v="6"/>
    <x v="0"/>
    <x v="329"/>
    <x v="3239"/>
    <s v="Bank Transfer"/>
    <s v="REV102934"/>
    <x v="1"/>
  </r>
  <r>
    <d v="2023-11-24T00:00:00"/>
    <x v="10"/>
    <x v="6"/>
    <x v="0"/>
    <x v="1066"/>
    <x v="2568"/>
    <s v="Bank Transfer"/>
    <s v="REV102953"/>
    <x v="1"/>
  </r>
  <r>
    <d v="2023-11-24T00:00:00"/>
    <x v="10"/>
    <x v="5"/>
    <x v="1"/>
    <x v="4463"/>
    <x v="2547"/>
    <s v="Card"/>
    <s v="REV103167"/>
    <x v="1"/>
  </r>
  <r>
    <d v="2023-11-24T00:00:00"/>
    <x v="10"/>
    <x v="5"/>
    <x v="3"/>
    <x v="248"/>
    <x v="4552"/>
    <s v="UPI"/>
    <s v="REV103305"/>
    <x v="1"/>
  </r>
  <r>
    <d v="2023-11-25T00:00:00"/>
    <x v="10"/>
    <x v="1"/>
    <x v="2"/>
    <x v="4464"/>
    <x v="4553"/>
    <s v="Cash"/>
    <s v="TXN101503"/>
    <x v="0"/>
  </r>
  <r>
    <d v="2023-11-25T00:00:00"/>
    <x v="10"/>
    <x v="0"/>
    <x v="2"/>
    <x v="4465"/>
    <x v="4554"/>
    <s v="Cash"/>
    <s v="TXN102400"/>
    <x v="0"/>
  </r>
  <r>
    <d v="2023-11-25T00:00:00"/>
    <x v="10"/>
    <x v="2"/>
    <x v="1"/>
    <x v="4466"/>
    <x v="4555"/>
    <s v="Cash"/>
    <s v="TXN102405"/>
    <x v="0"/>
  </r>
  <r>
    <d v="2023-11-25T00:00:00"/>
    <x v="10"/>
    <x v="4"/>
    <x v="3"/>
    <x v="4467"/>
    <x v="4556"/>
    <s v="UPI"/>
    <s v="TXN102574"/>
    <x v="0"/>
  </r>
  <r>
    <d v="2023-11-25T00:00:00"/>
    <x v="10"/>
    <x v="3"/>
    <x v="2"/>
    <x v="4468"/>
    <x v="4557"/>
    <s v="Card"/>
    <s v="TXN104758"/>
    <x v="0"/>
  </r>
  <r>
    <d v="2023-11-25T00:00:00"/>
    <x v="10"/>
    <x v="3"/>
    <x v="4"/>
    <x v="4469"/>
    <x v="4558"/>
    <s v="Cash"/>
    <s v="TXN104888"/>
    <x v="0"/>
  </r>
  <r>
    <d v="2023-11-25T00:00:00"/>
    <x v="10"/>
    <x v="3"/>
    <x v="2"/>
    <x v="4470"/>
    <x v="4559"/>
    <s v="Bank Transfer"/>
    <s v="TXN108534"/>
    <x v="0"/>
  </r>
  <r>
    <d v="2023-11-25T00:00:00"/>
    <x v="10"/>
    <x v="3"/>
    <x v="1"/>
    <x v="4471"/>
    <x v="4560"/>
    <s v="UPI"/>
    <s v="TXN109203"/>
    <x v="0"/>
  </r>
  <r>
    <d v="2023-11-25T00:00:00"/>
    <x v="10"/>
    <x v="5"/>
    <x v="2"/>
    <x v="4472"/>
    <x v="269"/>
    <s v="Bank Transfer"/>
    <s v="REV100551"/>
    <x v="1"/>
  </r>
  <r>
    <d v="2023-11-25T00:00:00"/>
    <x v="10"/>
    <x v="6"/>
    <x v="2"/>
    <x v="3762"/>
    <x v="1061"/>
    <s v="Card"/>
    <s v="REV100847"/>
    <x v="1"/>
  </r>
  <r>
    <d v="2023-11-25T00:00:00"/>
    <x v="10"/>
    <x v="5"/>
    <x v="1"/>
    <x v="2570"/>
    <x v="94"/>
    <s v="Card"/>
    <s v="REV100850"/>
    <x v="1"/>
  </r>
  <r>
    <d v="2023-11-25T00:00:00"/>
    <x v="10"/>
    <x v="5"/>
    <x v="3"/>
    <x v="2886"/>
    <x v="173"/>
    <s v="Bank Transfer"/>
    <s v="REV100900"/>
    <x v="1"/>
  </r>
  <r>
    <d v="2023-11-25T00:00:00"/>
    <x v="10"/>
    <x v="5"/>
    <x v="2"/>
    <x v="1101"/>
    <x v="1171"/>
    <s v="Card"/>
    <s v="REV101624"/>
    <x v="1"/>
  </r>
  <r>
    <d v="2023-11-25T00:00:00"/>
    <x v="10"/>
    <x v="5"/>
    <x v="4"/>
    <x v="3424"/>
    <x v="4561"/>
    <s v="Bank Transfer"/>
    <s v="REV101670"/>
    <x v="1"/>
  </r>
  <r>
    <d v="2023-11-25T00:00:00"/>
    <x v="10"/>
    <x v="6"/>
    <x v="2"/>
    <x v="1747"/>
    <x v="1867"/>
    <s v="Card"/>
    <s v="REV102891"/>
    <x v="1"/>
  </r>
  <r>
    <d v="2023-11-25T00:00:00"/>
    <x v="10"/>
    <x v="6"/>
    <x v="1"/>
    <x v="4076"/>
    <x v="3080"/>
    <s v="UPI"/>
    <s v="REV103104"/>
    <x v="1"/>
  </r>
  <r>
    <d v="2023-11-26T00:00:00"/>
    <x v="10"/>
    <x v="1"/>
    <x v="2"/>
    <x v="4473"/>
    <x v="4562"/>
    <s v="Bank Transfer"/>
    <s v="TXN100121"/>
    <x v="0"/>
  </r>
  <r>
    <d v="2023-11-26T00:00:00"/>
    <x v="10"/>
    <x v="5"/>
    <x v="2"/>
    <x v="4474"/>
    <x v="221"/>
    <s v="Bank Transfer"/>
    <s v="REV100047"/>
    <x v="1"/>
  </r>
  <r>
    <d v="2023-11-27T00:00:00"/>
    <x v="10"/>
    <x v="3"/>
    <x v="0"/>
    <x v="4475"/>
    <x v="4563"/>
    <s v="Cash"/>
    <s v="TXN100191"/>
    <x v="0"/>
  </r>
  <r>
    <d v="2023-11-27T00:00:00"/>
    <x v="10"/>
    <x v="2"/>
    <x v="1"/>
    <x v="4476"/>
    <x v="4564"/>
    <s v="UPI"/>
    <s v="TXN100246"/>
    <x v="0"/>
  </r>
  <r>
    <d v="2023-11-27T00:00:00"/>
    <x v="10"/>
    <x v="7"/>
    <x v="2"/>
    <x v="4477"/>
    <x v="4565"/>
    <s v="Card"/>
    <s v="TXN104697"/>
    <x v="0"/>
  </r>
  <r>
    <d v="2023-11-27T00:00:00"/>
    <x v="10"/>
    <x v="2"/>
    <x v="1"/>
    <x v="4478"/>
    <x v="4566"/>
    <s v="Bank Transfer"/>
    <s v="TXN106488"/>
    <x v="0"/>
  </r>
  <r>
    <d v="2023-11-27T00:00:00"/>
    <x v="10"/>
    <x v="0"/>
    <x v="2"/>
    <x v="4479"/>
    <x v="4567"/>
    <s v="Cash"/>
    <s v="TXN108015"/>
    <x v="0"/>
  </r>
  <r>
    <d v="2023-11-27T00:00:00"/>
    <x v="10"/>
    <x v="7"/>
    <x v="3"/>
    <x v="4480"/>
    <x v="4568"/>
    <s v="Card"/>
    <s v="TXN109412"/>
    <x v="0"/>
  </r>
  <r>
    <d v="2023-11-27T00:00:00"/>
    <x v="10"/>
    <x v="5"/>
    <x v="0"/>
    <x v="478"/>
    <x v="992"/>
    <s v="Bank Transfer"/>
    <s v="REV100068"/>
    <x v="1"/>
  </r>
  <r>
    <d v="2023-11-27T00:00:00"/>
    <x v="10"/>
    <x v="5"/>
    <x v="1"/>
    <x v="1233"/>
    <x v="1757"/>
    <s v="Card"/>
    <s v="REV100088"/>
    <x v="1"/>
  </r>
  <r>
    <d v="2023-11-27T00:00:00"/>
    <x v="10"/>
    <x v="5"/>
    <x v="2"/>
    <x v="1221"/>
    <x v="998"/>
    <s v="Bank Transfer"/>
    <s v="REV101608"/>
    <x v="1"/>
  </r>
  <r>
    <d v="2023-11-27T00:00:00"/>
    <x v="10"/>
    <x v="5"/>
    <x v="1"/>
    <x v="328"/>
    <x v="913"/>
    <s v="Bank Transfer"/>
    <s v="REV102200"/>
    <x v="1"/>
  </r>
  <r>
    <d v="2023-11-27T00:00:00"/>
    <x v="10"/>
    <x v="5"/>
    <x v="2"/>
    <x v="99"/>
    <x v="1726"/>
    <s v="Bank Transfer"/>
    <s v="REV102724"/>
    <x v="1"/>
  </r>
  <r>
    <d v="2023-11-27T00:00:00"/>
    <x v="10"/>
    <x v="5"/>
    <x v="3"/>
    <x v="1368"/>
    <x v="1967"/>
    <s v="Card"/>
    <s v="REV103179"/>
    <x v="1"/>
  </r>
  <r>
    <d v="2023-11-28T00:00:00"/>
    <x v="10"/>
    <x v="3"/>
    <x v="1"/>
    <x v="4481"/>
    <x v="881"/>
    <s v="Card"/>
    <s v="TXN103066"/>
    <x v="0"/>
  </r>
  <r>
    <d v="2023-11-28T00:00:00"/>
    <x v="10"/>
    <x v="4"/>
    <x v="3"/>
    <x v="4482"/>
    <x v="4569"/>
    <s v="Cash"/>
    <s v="TXN103334"/>
    <x v="0"/>
  </r>
  <r>
    <d v="2023-11-28T00:00:00"/>
    <x v="10"/>
    <x v="1"/>
    <x v="1"/>
    <x v="4483"/>
    <x v="4570"/>
    <s v="Card"/>
    <s v="TXN103790"/>
    <x v="0"/>
  </r>
  <r>
    <d v="2023-11-28T00:00:00"/>
    <x v="10"/>
    <x v="0"/>
    <x v="3"/>
    <x v="4484"/>
    <x v="4571"/>
    <s v="Card"/>
    <s v="TXN105713"/>
    <x v="0"/>
  </r>
  <r>
    <d v="2023-11-28T00:00:00"/>
    <x v="10"/>
    <x v="4"/>
    <x v="1"/>
    <x v="4485"/>
    <x v="4572"/>
    <s v="Bank Transfer"/>
    <s v="TXN108064"/>
    <x v="0"/>
  </r>
  <r>
    <d v="2023-11-28T00:00:00"/>
    <x v="10"/>
    <x v="3"/>
    <x v="4"/>
    <x v="4486"/>
    <x v="4573"/>
    <s v="Bank Transfer"/>
    <s v="TXN108376"/>
    <x v="0"/>
  </r>
  <r>
    <d v="2023-11-28T00:00:00"/>
    <x v="10"/>
    <x v="5"/>
    <x v="1"/>
    <x v="2088"/>
    <x v="4574"/>
    <s v="Card"/>
    <s v="REV101058"/>
    <x v="1"/>
  </r>
  <r>
    <d v="2023-11-28T00:00:00"/>
    <x v="10"/>
    <x v="6"/>
    <x v="3"/>
    <x v="1044"/>
    <x v="953"/>
    <s v="Bank Transfer"/>
    <s v="REV101146"/>
    <x v="1"/>
  </r>
  <r>
    <d v="2023-11-28T00:00:00"/>
    <x v="10"/>
    <x v="6"/>
    <x v="1"/>
    <x v="50"/>
    <x v="2109"/>
    <s v="Bank Transfer"/>
    <s v="REV101307"/>
    <x v="1"/>
  </r>
  <r>
    <d v="2023-11-28T00:00:00"/>
    <x v="10"/>
    <x v="6"/>
    <x v="3"/>
    <x v="1675"/>
    <x v="4575"/>
    <s v="UPI"/>
    <s v="REV101945"/>
    <x v="1"/>
  </r>
  <r>
    <d v="2023-11-28T00:00:00"/>
    <x v="10"/>
    <x v="6"/>
    <x v="1"/>
    <x v="4487"/>
    <x v="2767"/>
    <s v="Bank Transfer"/>
    <s v="REV102741"/>
    <x v="1"/>
  </r>
  <r>
    <d v="2023-11-28T00:00:00"/>
    <x v="10"/>
    <x v="6"/>
    <x v="4"/>
    <x v="32"/>
    <x v="638"/>
    <s v="Bank Transfer"/>
    <s v="REV102848"/>
    <x v="1"/>
  </r>
  <r>
    <d v="2023-11-29T00:00:00"/>
    <x v="10"/>
    <x v="7"/>
    <x v="4"/>
    <x v="4488"/>
    <x v="4576"/>
    <s v="Bank Transfer"/>
    <s v="TXN100270"/>
    <x v="0"/>
  </r>
  <r>
    <d v="2023-11-29T00:00:00"/>
    <x v="10"/>
    <x v="4"/>
    <x v="0"/>
    <x v="4489"/>
    <x v="4577"/>
    <s v="UPI"/>
    <s v="TXN100435"/>
    <x v="0"/>
  </r>
  <r>
    <d v="2023-11-29T00:00:00"/>
    <x v="10"/>
    <x v="1"/>
    <x v="3"/>
    <x v="4490"/>
    <x v="4578"/>
    <s v="Card"/>
    <s v="TXN100680"/>
    <x v="0"/>
  </r>
  <r>
    <d v="2023-11-29T00:00:00"/>
    <x v="10"/>
    <x v="3"/>
    <x v="2"/>
    <x v="4491"/>
    <x v="4579"/>
    <s v="UPI"/>
    <s v="TXN100793"/>
    <x v="0"/>
  </r>
  <r>
    <d v="2023-11-29T00:00:00"/>
    <x v="10"/>
    <x v="4"/>
    <x v="4"/>
    <x v="4492"/>
    <x v="4580"/>
    <s v="UPI"/>
    <s v="TXN101050"/>
    <x v="0"/>
  </r>
  <r>
    <d v="2023-11-29T00:00:00"/>
    <x v="10"/>
    <x v="3"/>
    <x v="3"/>
    <x v="4493"/>
    <x v="4581"/>
    <s v="UPI"/>
    <s v="TXN101118"/>
    <x v="0"/>
  </r>
  <r>
    <d v="2023-11-29T00:00:00"/>
    <x v="10"/>
    <x v="1"/>
    <x v="4"/>
    <x v="4494"/>
    <x v="4582"/>
    <s v="UPI"/>
    <s v="TXN101517"/>
    <x v="0"/>
  </r>
  <r>
    <d v="2023-11-29T00:00:00"/>
    <x v="10"/>
    <x v="0"/>
    <x v="4"/>
    <x v="4495"/>
    <x v="4583"/>
    <s v="Card"/>
    <s v="TXN101626"/>
    <x v="0"/>
  </r>
  <r>
    <d v="2023-11-29T00:00:00"/>
    <x v="10"/>
    <x v="2"/>
    <x v="3"/>
    <x v="4496"/>
    <x v="4584"/>
    <s v="Card"/>
    <s v="TXN102960"/>
    <x v="0"/>
  </r>
  <r>
    <d v="2023-11-29T00:00:00"/>
    <x v="10"/>
    <x v="2"/>
    <x v="2"/>
    <x v="4497"/>
    <x v="4585"/>
    <s v="Card"/>
    <s v="TXN103372"/>
    <x v="0"/>
  </r>
  <r>
    <d v="2023-11-29T00:00:00"/>
    <x v="10"/>
    <x v="4"/>
    <x v="0"/>
    <x v="4498"/>
    <x v="4586"/>
    <s v="UPI"/>
    <s v="TXN104351"/>
    <x v="0"/>
  </r>
  <r>
    <d v="2023-11-29T00:00:00"/>
    <x v="10"/>
    <x v="4"/>
    <x v="1"/>
    <x v="4499"/>
    <x v="4587"/>
    <s v="UPI"/>
    <s v="TXN104552"/>
    <x v="0"/>
  </r>
  <r>
    <d v="2023-11-29T00:00:00"/>
    <x v="10"/>
    <x v="0"/>
    <x v="4"/>
    <x v="4500"/>
    <x v="4588"/>
    <s v="Cash"/>
    <s v="TXN105887"/>
    <x v="0"/>
  </r>
  <r>
    <d v="2023-11-29T00:00:00"/>
    <x v="10"/>
    <x v="2"/>
    <x v="1"/>
    <x v="4501"/>
    <x v="4589"/>
    <s v="Bank Transfer"/>
    <s v="TXN106045"/>
    <x v="0"/>
  </r>
  <r>
    <d v="2023-11-29T00:00:00"/>
    <x v="10"/>
    <x v="3"/>
    <x v="0"/>
    <x v="4502"/>
    <x v="4590"/>
    <s v="UPI"/>
    <s v="TXN106634"/>
    <x v="0"/>
  </r>
  <r>
    <d v="2023-11-29T00:00:00"/>
    <x v="10"/>
    <x v="7"/>
    <x v="0"/>
    <x v="4503"/>
    <x v="4591"/>
    <s v="Cash"/>
    <s v="TXN107949"/>
    <x v="0"/>
  </r>
  <r>
    <d v="2023-11-29T00:00:00"/>
    <x v="10"/>
    <x v="2"/>
    <x v="4"/>
    <x v="4504"/>
    <x v="4592"/>
    <s v="UPI"/>
    <s v="TXN108606"/>
    <x v="0"/>
  </r>
  <r>
    <d v="2023-11-29T00:00:00"/>
    <x v="10"/>
    <x v="2"/>
    <x v="3"/>
    <x v="4505"/>
    <x v="4593"/>
    <s v="Card"/>
    <s v="TXN109041"/>
    <x v="0"/>
  </r>
  <r>
    <d v="2023-11-29T00:00:00"/>
    <x v="10"/>
    <x v="6"/>
    <x v="4"/>
    <x v="4506"/>
    <x v="4467"/>
    <s v="Bank Transfer"/>
    <s v="REV100095"/>
    <x v="1"/>
  </r>
  <r>
    <d v="2023-11-29T00:00:00"/>
    <x v="10"/>
    <x v="5"/>
    <x v="0"/>
    <x v="1950"/>
    <x v="1477"/>
    <s v="UPI"/>
    <s v="REV100165"/>
    <x v="1"/>
  </r>
  <r>
    <d v="2023-11-29T00:00:00"/>
    <x v="10"/>
    <x v="5"/>
    <x v="3"/>
    <x v="862"/>
    <x v="1442"/>
    <s v="Bank Transfer"/>
    <s v="REV100259"/>
    <x v="1"/>
  </r>
  <r>
    <d v="2023-11-29T00:00:00"/>
    <x v="10"/>
    <x v="6"/>
    <x v="2"/>
    <x v="36"/>
    <x v="1980"/>
    <s v="Bank Transfer"/>
    <s v="REV100290"/>
    <x v="1"/>
  </r>
  <r>
    <d v="2023-11-29T00:00:00"/>
    <x v="10"/>
    <x v="6"/>
    <x v="4"/>
    <x v="2747"/>
    <x v="1622"/>
    <s v="Bank Transfer"/>
    <s v="REV100387"/>
    <x v="1"/>
  </r>
  <r>
    <d v="2023-11-29T00:00:00"/>
    <x v="10"/>
    <x v="5"/>
    <x v="3"/>
    <x v="193"/>
    <x v="2022"/>
    <s v="Bank Transfer"/>
    <s v="REV100412"/>
    <x v="1"/>
  </r>
  <r>
    <d v="2023-11-29T00:00:00"/>
    <x v="10"/>
    <x v="5"/>
    <x v="4"/>
    <x v="1762"/>
    <x v="2811"/>
    <s v="Bank Transfer"/>
    <s v="REV100556"/>
    <x v="1"/>
  </r>
  <r>
    <d v="2023-11-29T00:00:00"/>
    <x v="10"/>
    <x v="6"/>
    <x v="4"/>
    <x v="4507"/>
    <x v="3877"/>
    <s v="Bank Transfer"/>
    <s v="REV100599"/>
    <x v="1"/>
  </r>
  <r>
    <d v="2023-11-29T00:00:00"/>
    <x v="10"/>
    <x v="5"/>
    <x v="3"/>
    <x v="260"/>
    <x v="3442"/>
    <s v="Card"/>
    <s v="REV101029"/>
    <x v="1"/>
  </r>
  <r>
    <d v="2023-11-29T00:00:00"/>
    <x v="10"/>
    <x v="5"/>
    <x v="2"/>
    <x v="1473"/>
    <x v="1420"/>
    <s v="Bank Transfer"/>
    <s v="REV101160"/>
    <x v="1"/>
  </r>
  <r>
    <d v="2023-11-29T00:00:00"/>
    <x v="10"/>
    <x v="5"/>
    <x v="0"/>
    <x v="3225"/>
    <x v="1726"/>
    <s v="Card"/>
    <s v="REV101505"/>
    <x v="1"/>
  </r>
  <r>
    <d v="2023-11-29T00:00:00"/>
    <x v="10"/>
    <x v="6"/>
    <x v="1"/>
    <x v="154"/>
    <x v="3070"/>
    <s v="Bank Transfer"/>
    <s v="REV101561"/>
    <x v="1"/>
  </r>
  <r>
    <d v="2023-11-29T00:00:00"/>
    <x v="10"/>
    <x v="6"/>
    <x v="4"/>
    <x v="285"/>
    <x v="1224"/>
    <s v="UPI"/>
    <s v="REV101987"/>
    <x v="1"/>
  </r>
  <r>
    <d v="2023-11-29T00:00:00"/>
    <x v="10"/>
    <x v="6"/>
    <x v="1"/>
    <x v="800"/>
    <x v="4594"/>
    <s v="Bank Transfer"/>
    <s v="REV102043"/>
    <x v="1"/>
  </r>
  <r>
    <d v="2023-11-29T00:00:00"/>
    <x v="10"/>
    <x v="6"/>
    <x v="0"/>
    <x v="4508"/>
    <x v="4595"/>
    <s v="UPI"/>
    <s v="REV102256"/>
    <x v="1"/>
  </r>
  <r>
    <d v="2023-11-29T00:00:00"/>
    <x v="10"/>
    <x v="6"/>
    <x v="0"/>
    <x v="154"/>
    <x v="4596"/>
    <s v="Bank Transfer"/>
    <s v="REV102700"/>
    <x v="1"/>
  </r>
  <r>
    <d v="2023-11-29T00:00:00"/>
    <x v="10"/>
    <x v="6"/>
    <x v="4"/>
    <x v="4509"/>
    <x v="1471"/>
    <s v="Bank Transfer"/>
    <s v="REV102923"/>
    <x v="1"/>
  </r>
  <r>
    <d v="2023-11-29T00:00:00"/>
    <x v="10"/>
    <x v="5"/>
    <x v="3"/>
    <x v="424"/>
    <x v="3590"/>
    <s v="Card"/>
    <s v="REV103060"/>
    <x v="1"/>
  </r>
  <r>
    <d v="2023-11-30T00:00:00"/>
    <x v="10"/>
    <x v="7"/>
    <x v="0"/>
    <x v="4510"/>
    <x v="4597"/>
    <s v="Card"/>
    <s v="TXN100713"/>
    <x v="0"/>
  </r>
  <r>
    <d v="2023-11-30T00:00:00"/>
    <x v="10"/>
    <x v="4"/>
    <x v="1"/>
    <x v="4511"/>
    <x v="4598"/>
    <s v="Card"/>
    <s v="TXN101201"/>
    <x v="0"/>
  </r>
  <r>
    <d v="2023-11-30T00:00:00"/>
    <x v="10"/>
    <x v="7"/>
    <x v="4"/>
    <x v="4512"/>
    <x v="4599"/>
    <s v="Card"/>
    <s v="TXN101207"/>
    <x v="0"/>
  </r>
  <r>
    <d v="2023-11-30T00:00:00"/>
    <x v="10"/>
    <x v="7"/>
    <x v="1"/>
    <x v="4513"/>
    <x v="4600"/>
    <s v="Bank Transfer"/>
    <s v="TXN103541"/>
    <x v="0"/>
  </r>
  <r>
    <d v="2023-11-30T00:00:00"/>
    <x v="10"/>
    <x v="4"/>
    <x v="0"/>
    <x v="4514"/>
    <x v="4601"/>
    <s v="Card"/>
    <s v="TXN105450"/>
    <x v="0"/>
  </r>
  <r>
    <d v="2023-11-30T00:00:00"/>
    <x v="10"/>
    <x v="3"/>
    <x v="0"/>
    <x v="4515"/>
    <x v="4602"/>
    <s v="Bank Transfer"/>
    <s v="TXN108250"/>
    <x v="0"/>
  </r>
  <r>
    <d v="2023-11-30T00:00:00"/>
    <x v="10"/>
    <x v="0"/>
    <x v="0"/>
    <x v="4516"/>
    <x v="4603"/>
    <s v="Card"/>
    <s v="TXN109507"/>
    <x v="0"/>
  </r>
  <r>
    <d v="2023-11-30T00:00:00"/>
    <x v="10"/>
    <x v="3"/>
    <x v="3"/>
    <x v="4517"/>
    <x v="4604"/>
    <s v="Bank Transfer"/>
    <s v="TXN109739"/>
    <x v="0"/>
  </r>
  <r>
    <d v="2023-11-30T00:00:00"/>
    <x v="10"/>
    <x v="5"/>
    <x v="0"/>
    <x v="1234"/>
    <x v="2700"/>
    <s v="Bank Transfer"/>
    <s v="REV100267"/>
    <x v="1"/>
  </r>
  <r>
    <d v="2023-11-30T00:00:00"/>
    <x v="10"/>
    <x v="6"/>
    <x v="1"/>
    <x v="4518"/>
    <x v="4605"/>
    <s v="UPI"/>
    <s v="REV100445"/>
    <x v="1"/>
  </r>
  <r>
    <d v="2023-11-30T00:00:00"/>
    <x v="10"/>
    <x v="6"/>
    <x v="4"/>
    <x v="1778"/>
    <x v="1357"/>
    <s v="Bank Transfer"/>
    <s v="REV100446"/>
    <x v="1"/>
  </r>
  <r>
    <d v="2023-11-30T00:00:00"/>
    <x v="10"/>
    <x v="5"/>
    <x v="1"/>
    <x v="462"/>
    <x v="3533"/>
    <s v="Card"/>
    <s v="REV101209"/>
    <x v="1"/>
  </r>
  <r>
    <d v="2023-11-30T00:00:00"/>
    <x v="10"/>
    <x v="5"/>
    <x v="0"/>
    <x v="408"/>
    <x v="4606"/>
    <s v="Card"/>
    <s v="REV101857"/>
    <x v="1"/>
  </r>
  <r>
    <d v="2023-11-30T00:00:00"/>
    <x v="10"/>
    <x v="6"/>
    <x v="0"/>
    <x v="4519"/>
    <x v="4607"/>
    <s v="Bank Transfer"/>
    <s v="REV102800"/>
    <x v="1"/>
  </r>
  <r>
    <d v="2023-11-30T00:00:00"/>
    <x v="10"/>
    <x v="5"/>
    <x v="0"/>
    <x v="82"/>
    <x v="3907"/>
    <s v="Bank Transfer"/>
    <s v="REV103209"/>
    <x v="1"/>
  </r>
  <r>
    <d v="2023-11-30T00:00:00"/>
    <x v="10"/>
    <x v="6"/>
    <x v="3"/>
    <x v="646"/>
    <x v="1152"/>
    <s v="Bank Transfer"/>
    <s v="REV103295"/>
    <x v="1"/>
  </r>
  <r>
    <d v="2023-12-01T00:00:00"/>
    <x v="11"/>
    <x v="4"/>
    <x v="0"/>
    <x v="4520"/>
    <x v="4608"/>
    <s v="Bank Transfer"/>
    <s v="TXN100072"/>
    <x v="0"/>
  </r>
  <r>
    <d v="2023-12-01T00:00:00"/>
    <x v="11"/>
    <x v="1"/>
    <x v="3"/>
    <x v="4521"/>
    <x v="4609"/>
    <s v="UPI"/>
    <s v="TXN102471"/>
    <x v="0"/>
  </r>
  <r>
    <d v="2023-12-01T00:00:00"/>
    <x v="11"/>
    <x v="4"/>
    <x v="3"/>
    <x v="4522"/>
    <x v="4610"/>
    <s v="Cash"/>
    <s v="TXN102533"/>
    <x v="0"/>
  </r>
  <r>
    <d v="2023-12-01T00:00:00"/>
    <x v="11"/>
    <x v="3"/>
    <x v="4"/>
    <x v="4523"/>
    <x v="4611"/>
    <s v="Card"/>
    <s v="TXN103004"/>
    <x v="0"/>
  </r>
  <r>
    <d v="2023-12-01T00:00:00"/>
    <x v="11"/>
    <x v="4"/>
    <x v="4"/>
    <x v="4524"/>
    <x v="4612"/>
    <s v="Cash"/>
    <s v="TXN103268"/>
    <x v="0"/>
  </r>
  <r>
    <d v="2023-12-01T00:00:00"/>
    <x v="11"/>
    <x v="7"/>
    <x v="0"/>
    <x v="4525"/>
    <x v="4613"/>
    <s v="UPI"/>
    <s v="TXN106628"/>
    <x v="0"/>
  </r>
  <r>
    <d v="2023-12-01T00:00:00"/>
    <x v="11"/>
    <x v="5"/>
    <x v="0"/>
    <x v="1244"/>
    <x v="1153"/>
    <s v="Card"/>
    <s v="REV100027"/>
    <x v="1"/>
  </r>
  <r>
    <d v="2023-12-01T00:00:00"/>
    <x v="11"/>
    <x v="5"/>
    <x v="3"/>
    <x v="945"/>
    <x v="3906"/>
    <s v="Card"/>
    <s v="REV100869"/>
    <x v="1"/>
  </r>
  <r>
    <d v="2023-12-01T00:00:00"/>
    <x v="11"/>
    <x v="5"/>
    <x v="3"/>
    <x v="3992"/>
    <x v="547"/>
    <s v="UPI"/>
    <s v="REV100886"/>
    <x v="1"/>
  </r>
  <r>
    <d v="2023-12-01T00:00:00"/>
    <x v="11"/>
    <x v="6"/>
    <x v="4"/>
    <x v="4526"/>
    <x v="4614"/>
    <s v="UPI"/>
    <s v="REV101042"/>
    <x v="1"/>
  </r>
  <r>
    <d v="2023-12-01T00:00:00"/>
    <x v="11"/>
    <x v="5"/>
    <x v="4"/>
    <x v="3992"/>
    <x v="1139"/>
    <s v="Bank Transfer"/>
    <s v="REV101121"/>
    <x v="1"/>
  </r>
  <r>
    <d v="2023-12-01T00:00:00"/>
    <x v="11"/>
    <x v="5"/>
    <x v="0"/>
    <x v="4527"/>
    <x v="4615"/>
    <s v="Bank Transfer"/>
    <s v="REV102252"/>
    <x v="1"/>
  </r>
  <r>
    <d v="2023-12-02T00:00:00"/>
    <x v="11"/>
    <x v="3"/>
    <x v="1"/>
    <x v="4528"/>
    <x v="4616"/>
    <s v="Cash"/>
    <s v="TXN100437"/>
    <x v="0"/>
  </r>
  <r>
    <d v="2023-12-02T00:00:00"/>
    <x v="11"/>
    <x v="7"/>
    <x v="1"/>
    <x v="4529"/>
    <x v="4617"/>
    <s v="UPI"/>
    <s v="TXN100776"/>
    <x v="0"/>
  </r>
  <r>
    <d v="2023-12-02T00:00:00"/>
    <x v="11"/>
    <x v="3"/>
    <x v="3"/>
    <x v="4530"/>
    <x v="4618"/>
    <s v="UPI"/>
    <s v="TXN103891"/>
    <x v="0"/>
  </r>
  <r>
    <d v="2023-12-02T00:00:00"/>
    <x v="11"/>
    <x v="3"/>
    <x v="4"/>
    <x v="4531"/>
    <x v="4619"/>
    <s v="Card"/>
    <s v="TXN104463"/>
    <x v="0"/>
  </r>
  <r>
    <d v="2023-12-02T00:00:00"/>
    <x v="11"/>
    <x v="2"/>
    <x v="4"/>
    <x v="4532"/>
    <x v="4620"/>
    <s v="Cash"/>
    <s v="TXN104771"/>
    <x v="0"/>
  </r>
  <r>
    <d v="2023-12-02T00:00:00"/>
    <x v="11"/>
    <x v="2"/>
    <x v="2"/>
    <x v="4533"/>
    <x v="4621"/>
    <s v="Card"/>
    <s v="TXN105407"/>
    <x v="0"/>
  </r>
  <r>
    <d v="2023-12-02T00:00:00"/>
    <x v="11"/>
    <x v="2"/>
    <x v="3"/>
    <x v="4534"/>
    <x v="4622"/>
    <s v="Cash"/>
    <s v="TXN105495"/>
    <x v="0"/>
  </r>
  <r>
    <d v="2023-12-02T00:00:00"/>
    <x v="11"/>
    <x v="0"/>
    <x v="3"/>
    <x v="4535"/>
    <x v="4623"/>
    <s v="Card"/>
    <s v="TXN105991"/>
    <x v="0"/>
  </r>
  <r>
    <d v="2023-12-02T00:00:00"/>
    <x v="11"/>
    <x v="1"/>
    <x v="3"/>
    <x v="4536"/>
    <x v="4624"/>
    <s v="Card"/>
    <s v="TXN106587"/>
    <x v="0"/>
  </r>
  <r>
    <d v="2023-12-02T00:00:00"/>
    <x v="11"/>
    <x v="0"/>
    <x v="1"/>
    <x v="4537"/>
    <x v="4625"/>
    <s v="UPI"/>
    <s v="TXN107159"/>
    <x v="0"/>
  </r>
  <r>
    <d v="2023-12-02T00:00:00"/>
    <x v="11"/>
    <x v="2"/>
    <x v="0"/>
    <x v="4538"/>
    <x v="4626"/>
    <s v="UPI"/>
    <s v="TXN107958"/>
    <x v="0"/>
  </r>
  <r>
    <d v="2023-12-02T00:00:00"/>
    <x v="11"/>
    <x v="1"/>
    <x v="1"/>
    <x v="4539"/>
    <x v="4627"/>
    <s v="UPI"/>
    <s v="TXN109588"/>
    <x v="0"/>
  </r>
  <r>
    <d v="2023-12-02T00:00:00"/>
    <x v="11"/>
    <x v="3"/>
    <x v="2"/>
    <x v="4540"/>
    <x v="4628"/>
    <s v="Card"/>
    <s v="TXN109742"/>
    <x v="0"/>
  </r>
  <r>
    <d v="2023-12-02T00:00:00"/>
    <x v="11"/>
    <x v="6"/>
    <x v="1"/>
    <x v="138"/>
    <x v="1007"/>
    <s v="UPI"/>
    <s v="REV100166"/>
    <x v="1"/>
  </r>
  <r>
    <d v="2023-12-02T00:00:00"/>
    <x v="11"/>
    <x v="5"/>
    <x v="1"/>
    <x v="2137"/>
    <x v="4629"/>
    <s v="Bank Transfer"/>
    <s v="REV100284"/>
    <x v="1"/>
  </r>
  <r>
    <d v="2023-12-02T00:00:00"/>
    <x v="11"/>
    <x v="6"/>
    <x v="3"/>
    <x v="4541"/>
    <x v="1887"/>
    <s v="Bank Transfer"/>
    <s v="REV101345"/>
    <x v="1"/>
  </r>
  <r>
    <d v="2023-12-02T00:00:00"/>
    <x v="11"/>
    <x v="6"/>
    <x v="4"/>
    <x v="909"/>
    <x v="995"/>
    <s v="UPI"/>
    <s v="REV101537"/>
    <x v="1"/>
  </r>
  <r>
    <d v="2023-12-02T00:00:00"/>
    <x v="11"/>
    <x v="5"/>
    <x v="4"/>
    <x v="1043"/>
    <x v="2811"/>
    <s v="Bank Transfer"/>
    <s v="REV101627"/>
    <x v="1"/>
  </r>
  <r>
    <d v="2023-12-02T00:00:00"/>
    <x v="11"/>
    <x v="5"/>
    <x v="2"/>
    <x v="3337"/>
    <x v="4630"/>
    <s v="Bank Transfer"/>
    <s v="REV101836"/>
    <x v="1"/>
  </r>
  <r>
    <d v="2023-12-02T00:00:00"/>
    <x v="11"/>
    <x v="6"/>
    <x v="3"/>
    <x v="4542"/>
    <x v="4631"/>
    <s v="UPI"/>
    <s v="REV101869"/>
    <x v="1"/>
  </r>
  <r>
    <d v="2023-12-02T00:00:00"/>
    <x v="11"/>
    <x v="5"/>
    <x v="3"/>
    <x v="945"/>
    <x v="1357"/>
    <s v="UPI"/>
    <s v="REV102022"/>
    <x v="1"/>
  </r>
  <r>
    <d v="2023-12-02T00:00:00"/>
    <x v="11"/>
    <x v="5"/>
    <x v="3"/>
    <x v="710"/>
    <x v="2352"/>
    <s v="Bank Transfer"/>
    <s v="REV102238"/>
    <x v="1"/>
  </r>
  <r>
    <d v="2023-12-02T00:00:00"/>
    <x v="11"/>
    <x v="6"/>
    <x v="1"/>
    <x v="4543"/>
    <x v="1469"/>
    <s v="Bank Transfer"/>
    <s v="REV102427"/>
    <x v="1"/>
  </r>
  <r>
    <d v="2023-12-02T00:00:00"/>
    <x v="11"/>
    <x v="6"/>
    <x v="0"/>
    <x v="790"/>
    <x v="318"/>
    <s v="Card"/>
    <s v="REV102704"/>
    <x v="1"/>
  </r>
  <r>
    <d v="2023-12-02T00:00:00"/>
    <x v="11"/>
    <x v="5"/>
    <x v="1"/>
    <x v="727"/>
    <x v="191"/>
    <s v="UPI"/>
    <s v="REV103239"/>
    <x v="1"/>
  </r>
  <r>
    <d v="2023-12-02T00:00:00"/>
    <x v="11"/>
    <x v="5"/>
    <x v="2"/>
    <x v="2077"/>
    <x v="2518"/>
    <s v="Bank Transfer"/>
    <s v="REV103297"/>
    <x v="1"/>
  </r>
  <r>
    <d v="2023-12-03T00:00:00"/>
    <x v="11"/>
    <x v="0"/>
    <x v="0"/>
    <x v="4544"/>
    <x v="4632"/>
    <s v="Bank Transfer"/>
    <s v="TXN100376"/>
    <x v="0"/>
  </r>
  <r>
    <d v="2023-12-03T00:00:00"/>
    <x v="11"/>
    <x v="3"/>
    <x v="3"/>
    <x v="4545"/>
    <x v="4633"/>
    <s v="Card"/>
    <s v="TXN103676"/>
    <x v="0"/>
  </r>
  <r>
    <d v="2023-12-03T00:00:00"/>
    <x v="11"/>
    <x v="7"/>
    <x v="1"/>
    <x v="4546"/>
    <x v="4634"/>
    <s v="Cash"/>
    <s v="TXN104447"/>
    <x v="0"/>
  </r>
  <r>
    <d v="2023-12-03T00:00:00"/>
    <x v="11"/>
    <x v="1"/>
    <x v="4"/>
    <x v="4547"/>
    <x v="4635"/>
    <s v="Bank Transfer"/>
    <s v="TXN105120"/>
    <x v="0"/>
  </r>
  <r>
    <d v="2023-12-03T00:00:00"/>
    <x v="11"/>
    <x v="1"/>
    <x v="4"/>
    <x v="4548"/>
    <x v="4499"/>
    <s v="Bank Transfer"/>
    <s v="TXN105910"/>
    <x v="0"/>
  </r>
  <r>
    <d v="2023-12-03T00:00:00"/>
    <x v="11"/>
    <x v="1"/>
    <x v="2"/>
    <x v="4549"/>
    <x v="4636"/>
    <s v="UPI"/>
    <s v="TXN107061"/>
    <x v="0"/>
  </r>
  <r>
    <d v="2023-12-03T00:00:00"/>
    <x v="11"/>
    <x v="3"/>
    <x v="1"/>
    <x v="4550"/>
    <x v="4637"/>
    <s v="UPI"/>
    <s v="TXN109101"/>
    <x v="0"/>
  </r>
  <r>
    <d v="2023-12-03T00:00:00"/>
    <x v="11"/>
    <x v="3"/>
    <x v="0"/>
    <x v="4551"/>
    <x v="4638"/>
    <s v="UPI"/>
    <s v="TXN109982"/>
    <x v="0"/>
  </r>
  <r>
    <d v="2023-12-03T00:00:00"/>
    <x v="11"/>
    <x v="6"/>
    <x v="0"/>
    <x v="268"/>
    <x v="2263"/>
    <s v="Bank Transfer"/>
    <s v="REV100142"/>
    <x v="1"/>
  </r>
  <r>
    <d v="2023-12-03T00:00:00"/>
    <x v="11"/>
    <x v="5"/>
    <x v="3"/>
    <x v="689"/>
    <x v="912"/>
    <s v="Card"/>
    <s v="REV101258"/>
    <x v="1"/>
  </r>
  <r>
    <d v="2023-12-03T00:00:00"/>
    <x v="11"/>
    <x v="5"/>
    <x v="1"/>
    <x v="1852"/>
    <x v="2827"/>
    <s v="Card"/>
    <s v="REV101530"/>
    <x v="1"/>
  </r>
  <r>
    <d v="2023-12-03T00:00:00"/>
    <x v="11"/>
    <x v="5"/>
    <x v="4"/>
    <x v="866"/>
    <x v="1694"/>
    <s v="UPI"/>
    <s v="REV101741"/>
    <x v="1"/>
  </r>
  <r>
    <d v="2023-12-03T00:00:00"/>
    <x v="11"/>
    <x v="5"/>
    <x v="4"/>
    <x v="4552"/>
    <x v="4639"/>
    <s v="Card"/>
    <s v="REV101996"/>
    <x v="1"/>
  </r>
  <r>
    <d v="2023-12-03T00:00:00"/>
    <x v="11"/>
    <x v="5"/>
    <x v="2"/>
    <x v="4553"/>
    <x v="4640"/>
    <s v="Card"/>
    <s v="REV102397"/>
    <x v="1"/>
  </r>
  <r>
    <d v="2023-12-03T00:00:00"/>
    <x v="11"/>
    <x v="5"/>
    <x v="1"/>
    <x v="2110"/>
    <x v="2726"/>
    <s v="Bank Transfer"/>
    <s v="REV103079"/>
    <x v="1"/>
  </r>
  <r>
    <d v="2023-12-03T00:00:00"/>
    <x v="11"/>
    <x v="5"/>
    <x v="0"/>
    <x v="183"/>
    <x v="4641"/>
    <s v="Bank Transfer"/>
    <s v="REV103378"/>
    <x v="1"/>
  </r>
  <r>
    <d v="2023-12-04T00:00:00"/>
    <x v="11"/>
    <x v="7"/>
    <x v="1"/>
    <x v="4554"/>
    <x v="4642"/>
    <s v="Cash"/>
    <s v="TXN101058"/>
    <x v="0"/>
  </r>
  <r>
    <d v="2023-12-04T00:00:00"/>
    <x v="11"/>
    <x v="2"/>
    <x v="1"/>
    <x v="4555"/>
    <x v="4643"/>
    <s v="Card"/>
    <s v="TXN101999"/>
    <x v="0"/>
  </r>
  <r>
    <d v="2023-12-04T00:00:00"/>
    <x v="11"/>
    <x v="3"/>
    <x v="4"/>
    <x v="4556"/>
    <x v="4644"/>
    <s v="Bank Transfer"/>
    <s v="TXN102225"/>
    <x v="0"/>
  </r>
  <r>
    <d v="2023-12-04T00:00:00"/>
    <x v="11"/>
    <x v="4"/>
    <x v="4"/>
    <x v="4557"/>
    <x v="4645"/>
    <s v="Bank Transfer"/>
    <s v="TXN102826"/>
    <x v="0"/>
  </r>
  <r>
    <d v="2023-12-04T00:00:00"/>
    <x v="11"/>
    <x v="2"/>
    <x v="3"/>
    <x v="4558"/>
    <x v="4646"/>
    <s v="Cash"/>
    <s v="TXN102966"/>
    <x v="0"/>
  </r>
  <r>
    <d v="2023-12-04T00:00:00"/>
    <x v="11"/>
    <x v="1"/>
    <x v="4"/>
    <x v="4559"/>
    <x v="4647"/>
    <s v="Cash"/>
    <s v="TXN103882"/>
    <x v="0"/>
  </r>
  <r>
    <d v="2023-12-04T00:00:00"/>
    <x v="11"/>
    <x v="7"/>
    <x v="1"/>
    <x v="4560"/>
    <x v="4648"/>
    <s v="UPI"/>
    <s v="TXN104567"/>
    <x v="0"/>
  </r>
  <r>
    <d v="2023-12-04T00:00:00"/>
    <x v="11"/>
    <x v="2"/>
    <x v="2"/>
    <x v="4561"/>
    <x v="4649"/>
    <s v="Cash"/>
    <s v="TXN105096"/>
    <x v="0"/>
  </r>
  <r>
    <d v="2023-12-04T00:00:00"/>
    <x v="11"/>
    <x v="1"/>
    <x v="3"/>
    <x v="4562"/>
    <x v="4650"/>
    <s v="Bank Transfer"/>
    <s v="TXN105573"/>
    <x v="0"/>
  </r>
  <r>
    <d v="2023-12-04T00:00:00"/>
    <x v="11"/>
    <x v="3"/>
    <x v="2"/>
    <x v="4563"/>
    <x v="4651"/>
    <s v="Card"/>
    <s v="TXN106848"/>
    <x v="0"/>
  </r>
  <r>
    <d v="2023-12-04T00:00:00"/>
    <x v="11"/>
    <x v="1"/>
    <x v="2"/>
    <x v="2499"/>
    <x v="4652"/>
    <s v="Bank Transfer"/>
    <s v="TXN107606"/>
    <x v="0"/>
  </r>
  <r>
    <d v="2023-12-04T00:00:00"/>
    <x v="11"/>
    <x v="3"/>
    <x v="2"/>
    <x v="4564"/>
    <x v="4653"/>
    <s v="Bank Transfer"/>
    <s v="TXN108961"/>
    <x v="0"/>
  </r>
  <r>
    <d v="2023-12-04T00:00:00"/>
    <x v="11"/>
    <x v="1"/>
    <x v="1"/>
    <x v="4565"/>
    <x v="4654"/>
    <s v="Bank Transfer"/>
    <s v="TXN109197"/>
    <x v="0"/>
  </r>
  <r>
    <d v="2023-12-04T00:00:00"/>
    <x v="11"/>
    <x v="6"/>
    <x v="1"/>
    <x v="411"/>
    <x v="679"/>
    <s v="Card"/>
    <s v="REV100389"/>
    <x v="1"/>
  </r>
  <r>
    <d v="2023-12-04T00:00:00"/>
    <x v="11"/>
    <x v="6"/>
    <x v="1"/>
    <x v="4566"/>
    <x v="4655"/>
    <s v="Bank Transfer"/>
    <s v="REV100712"/>
    <x v="1"/>
  </r>
  <r>
    <d v="2023-12-04T00:00:00"/>
    <x v="11"/>
    <x v="6"/>
    <x v="4"/>
    <x v="1104"/>
    <x v="4656"/>
    <s v="Card"/>
    <s v="REV100788"/>
    <x v="1"/>
  </r>
  <r>
    <d v="2023-12-04T00:00:00"/>
    <x v="11"/>
    <x v="6"/>
    <x v="4"/>
    <x v="841"/>
    <x v="79"/>
    <s v="Bank Transfer"/>
    <s v="REV100996"/>
    <x v="1"/>
  </r>
  <r>
    <d v="2023-12-04T00:00:00"/>
    <x v="11"/>
    <x v="6"/>
    <x v="3"/>
    <x v="3761"/>
    <x v="1106"/>
    <s v="Bank Transfer"/>
    <s v="REV101031"/>
    <x v="1"/>
  </r>
  <r>
    <d v="2023-12-04T00:00:00"/>
    <x v="11"/>
    <x v="5"/>
    <x v="4"/>
    <x v="4256"/>
    <x v="1982"/>
    <s v="Bank Transfer"/>
    <s v="REV101339"/>
    <x v="1"/>
  </r>
  <r>
    <d v="2023-12-04T00:00:00"/>
    <x v="11"/>
    <x v="6"/>
    <x v="1"/>
    <x v="614"/>
    <x v="1928"/>
    <s v="Bank Transfer"/>
    <s v="REV101563"/>
    <x v="1"/>
  </r>
  <r>
    <d v="2023-12-04T00:00:00"/>
    <x v="11"/>
    <x v="6"/>
    <x v="2"/>
    <x v="1068"/>
    <x v="2351"/>
    <s v="Card"/>
    <s v="REV101735"/>
    <x v="1"/>
  </r>
  <r>
    <d v="2023-12-04T00:00:00"/>
    <x v="11"/>
    <x v="5"/>
    <x v="3"/>
    <x v="3357"/>
    <x v="1926"/>
    <s v="Bank Transfer"/>
    <s v="REV101903"/>
    <x v="1"/>
  </r>
  <r>
    <d v="2023-12-04T00:00:00"/>
    <x v="11"/>
    <x v="5"/>
    <x v="2"/>
    <x v="4567"/>
    <x v="381"/>
    <s v="Bank Transfer"/>
    <s v="REV102331"/>
    <x v="1"/>
  </r>
  <r>
    <d v="2023-12-04T00:00:00"/>
    <x v="11"/>
    <x v="5"/>
    <x v="2"/>
    <x v="4568"/>
    <x v="4657"/>
    <s v="Bank Transfer"/>
    <s v="REV102583"/>
    <x v="1"/>
  </r>
  <r>
    <d v="2023-12-04T00:00:00"/>
    <x v="11"/>
    <x v="6"/>
    <x v="2"/>
    <x v="634"/>
    <x v="1491"/>
    <s v="Card"/>
    <s v="REV103034"/>
    <x v="1"/>
  </r>
  <r>
    <d v="2023-12-04T00:00:00"/>
    <x v="11"/>
    <x v="6"/>
    <x v="1"/>
    <x v="1039"/>
    <x v="151"/>
    <s v="UPI"/>
    <s v="REV103103"/>
    <x v="1"/>
  </r>
  <r>
    <d v="2023-12-05T00:00:00"/>
    <x v="11"/>
    <x v="0"/>
    <x v="0"/>
    <x v="4569"/>
    <x v="4658"/>
    <s v="Bank Transfer"/>
    <s v="TXN102870"/>
    <x v="0"/>
  </r>
  <r>
    <d v="2023-12-05T00:00:00"/>
    <x v="11"/>
    <x v="4"/>
    <x v="3"/>
    <x v="4570"/>
    <x v="4659"/>
    <s v="Cash"/>
    <s v="TXN103389"/>
    <x v="0"/>
  </r>
  <r>
    <d v="2023-12-05T00:00:00"/>
    <x v="11"/>
    <x v="3"/>
    <x v="4"/>
    <x v="4571"/>
    <x v="4660"/>
    <s v="UPI"/>
    <s v="TXN103703"/>
    <x v="0"/>
  </r>
  <r>
    <d v="2023-12-05T00:00:00"/>
    <x v="11"/>
    <x v="1"/>
    <x v="1"/>
    <x v="3924"/>
    <x v="4661"/>
    <s v="Bank Transfer"/>
    <s v="TXN108892"/>
    <x v="0"/>
  </r>
  <r>
    <d v="2023-12-05T00:00:00"/>
    <x v="11"/>
    <x v="3"/>
    <x v="4"/>
    <x v="4572"/>
    <x v="4662"/>
    <s v="Bank Transfer"/>
    <s v="TXN109131"/>
    <x v="0"/>
  </r>
  <r>
    <d v="2023-12-05T00:00:00"/>
    <x v="11"/>
    <x v="5"/>
    <x v="0"/>
    <x v="755"/>
    <x v="51"/>
    <s v="Card"/>
    <s v="REV101007"/>
    <x v="1"/>
  </r>
  <r>
    <d v="2023-12-05T00:00:00"/>
    <x v="11"/>
    <x v="5"/>
    <x v="3"/>
    <x v="841"/>
    <x v="1561"/>
    <s v="Card"/>
    <s v="REV101163"/>
    <x v="1"/>
  </r>
  <r>
    <d v="2023-12-05T00:00:00"/>
    <x v="11"/>
    <x v="5"/>
    <x v="4"/>
    <x v="4573"/>
    <x v="4663"/>
    <s v="Card"/>
    <s v="REV101272"/>
    <x v="1"/>
  </r>
  <r>
    <d v="2023-12-05T00:00:00"/>
    <x v="11"/>
    <x v="6"/>
    <x v="1"/>
    <x v="4574"/>
    <x v="2415"/>
    <s v="Bank Transfer"/>
    <s v="REV103009"/>
    <x v="1"/>
  </r>
  <r>
    <d v="2023-12-05T00:00:00"/>
    <x v="11"/>
    <x v="5"/>
    <x v="4"/>
    <x v="904"/>
    <x v="191"/>
    <s v="Card"/>
    <s v="REV103086"/>
    <x v="1"/>
  </r>
  <r>
    <d v="2023-12-06T00:00:00"/>
    <x v="11"/>
    <x v="2"/>
    <x v="2"/>
    <x v="4575"/>
    <x v="4664"/>
    <s v="Cash"/>
    <s v="TXN100243"/>
    <x v="0"/>
  </r>
  <r>
    <d v="2023-12-06T00:00:00"/>
    <x v="11"/>
    <x v="1"/>
    <x v="3"/>
    <x v="4576"/>
    <x v="4665"/>
    <s v="Bank Transfer"/>
    <s v="TXN100638"/>
    <x v="0"/>
  </r>
  <r>
    <d v="2023-12-06T00:00:00"/>
    <x v="11"/>
    <x v="4"/>
    <x v="2"/>
    <x v="4577"/>
    <x v="4666"/>
    <s v="Card"/>
    <s v="TXN101236"/>
    <x v="0"/>
  </r>
  <r>
    <d v="2023-12-06T00:00:00"/>
    <x v="11"/>
    <x v="4"/>
    <x v="4"/>
    <x v="4578"/>
    <x v="4667"/>
    <s v="Bank Transfer"/>
    <s v="TXN101354"/>
    <x v="0"/>
  </r>
  <r>
    <d v="2023-12-06T00:00:00"/>
    <x v="11"/>
    <x v="2"/>
    <x v="0"/>
    <x v="4579"/>
    <x v="4668"/>
    <s v="Cash"/>
    <s v="TXN105215"/>
    <x v="0"/>
  </r>
  <r>
    <d v="2023-12-06T00:00:00"/>
    <x v="11"/>
    <x v="1"/>
    <x v="1"/>
    <x v="4580"/>
    <x v="4669"/>
    <s v="Bank Transfer"/>
    <s v="TXN105899"/>
    <x v="0"/>
  </r>
  <r>
    <d v="2023-12-06T00:00:00"/>
    <x v="11"/>
    <x v="0"/>
    <x v="3"/>
    <x v="4581"/>
    <x v="4670"/>
    <s v="Card"/>
    <s v="TXN106829"/>
    <x v="0"/>
  </r>
  <r>
    <d v="2023-12-06T00:00:00"/>
    <x v="11"/>
    <x v="7"/>
    <x v="2"/>
    <x v="4582"/>
    <x v="4671"/>
    <s v="UPI"/>
    <s v="TXN106973"/>
    <x v="0"/>
  </r>
  <r>
    <d v="2023-12-06T00:00:00"/>
    <x v="11"/>
    <x v="4"/>
    <x v="4"/>
    <x v="4583"/>
    <x v="4672"/>
    <s v="Cash"/>
    <s v="TXN107653"/>
    <x v="0"/>
  </r>
  <r>
    <d v="2023-12-06T00:00:00"/>
    <x v="11"/>
    <x v="1"/>
    <x v="2"/>
    <x v="4584"/>
    <x v="4673"/>
    <s v="Bank Transfer"/>
    <s v="TXN109423"/>
    <x v="0"/>
  </r>
  <r>
    <d v="2023-12-06T00:00:00"/>
    <x v="11"/>
    <x v="3"/>
    <x v="2"/>
    <x v="4585"/>
    <x v="4674"/>
    <s v="Card"/>
    <s v="TXN109628"/>
    <x v="0"/>
  </r>
  <r>
    <d v="2023-12-06T00:00:00"/>
    <x v="11"/>
    <x v="5"/>
    <x v="2"/>
    <x v="1774"/>
    <x v="3652"/>
    <s v="Bank Transfer"/>
    <s v="REV100087"/>
    <x v="1"/>
  </r>
  <r>
    <d v="2023-12-06T00:00:00"/>
    <x v="11"/>
    <x v="6"/>
    <x v="3"/>
    <x v="11"/>
    <x v="4675"/>
    <s v="UPI"/>
    <s v="REV100245"/>
    <x v="1"/>
  </r>
  <r>
    <d v="2023-12-06T00:00:00"/>
    <x v="11"/>
    <x v="6"/>
    <x v="2"/>
    <x v="1477"/>
    <x v="4490"/>
    <s v="UPI"/>
    <s v="REV100452"/>
    <x v="1"/>
  </r>
  <r>
    <d v="2023-12-06T00:00:00"/>
    <x v="11"/>
    <x v="5"/>
    <x v="4"/>
    <x v="208"/>
    <x v="3567"/>
    <s v="Bank Transfer"/>
    <s v="REV100498"/>
    <x v="1"/>
  </r>
  <r>
    <d v="2023-12-06T00:00:00"/>
    <x v="11"/>
    <x v="5"/>
    <x v="0"/>
    <x v="4586"/>
    <x v="248"/>
    <s v="Bank Transfer"/>
    <s v="REV101767"/>
    <x v="1"/>
  </r>
  <r>
    <d v="2023-12-06T00:00:00"/>
    <x v="11"/>
    <x v="5"/>
    <x v="1"/>
    <x v="1056"/>
    <x v="637"/>
    <s v="UPI"/>
    <s v="REV101994"/>
    <x v="1"/>
  </r>
  <r>
    <d v="2023-12-06T00:00:00"/>
    <x v="11"/>
    <x v="5"/>
    <x v="3"/>
    <x v="4587"/>
    <x v="206"/>
    <s v="Bank Transfer"/>
    <s v="REV102322"/>
    <x v="1"/>
  </r>
  <r>
    <d v="2023-12-06T00:00:00"/>
    <x v="11"/>
    <x v="5"/>
    <x v="2"/>
    <x v="4588"/>
    <x v="4676"/>
    <s v="Bank Transfer"/>
    <s v="REV102370"/>
    <x v="1"/>
  </r>
  <r>
    <d v="2023-12-06T00:00:00"/>
    <x v="11"/>
    <x v="6"/>
    <x v="4"/>
    <x v="440"/>
    <x v="3285"/>
    <s v="Card"/>
    <s v="REV102603"/>
    <x v="1"/>
  </r>
  <r>
    <d v="2023-12-06T00:00:00"/>
    <x v="11"/>
    <x v="5"/>
    <x v="2"/>
    <x v="2316"/>
    <x v="2415"/>
    <s v="Card"/>
    <s v="REV103188"/>
    <x v="1"/>
  </r>
  <r>
    <d v="2023-12-06T00:00:00"/>
    <x v="11"/>
    <x v="5"/>
    <x v="2"/>
    <x v="2049"/>
    <x v="4334"/>
    <s v="Card"/>
    <s v="REV103257"/>
    <x v="1"/>
  </r>
  <r>
    <d v="2023-12-07T00:00:00"/>
    <x v="11"/>
    <x v="3"/>
    <x v="0"/>
    <x v="4442"/>
    <x v="4677"/>
    <s v="UPI"/>
    <s v="TXN100343"/>
    <x v="0"/>
  </r>
  <r>
    <d v="2023-12-07T00:00:00"/>
    <x v="11"/>
    <x v="7"/>
    <x v="0"/>
    <x v="4589"/>
    <x v="4678"/>
    <s v="Cash"/>
    <s v="TXN101166"/>
    <x v="0"/>
  </r>
  <r>
    <d v="2023-12-07T00:00:00"/>
    <x v="11"/>
    <x v="1"/>
    <x v="0"/>
    <x v="4590"/>
    <x v="4679"/>
    <s v="UPI"/>
    <s v="TXN102095"/>
    <x v="0"/>
  </r>
  <r>
    <d v="2023-12-07T00:00:00"/>
    <x v="11"/>
    <x v="3"/>
    <x v="1"/>
    <x v="4591"/>
    <x v="4680"/>
    <s v="Cash"/>
    <s v="TXN102323"/>
    <x v="0"/>
  </r>
  <r>
    <d v="2023-12-07T00:00:00"/>
    <x v="11"/>
    <x v="3"/>
    <x v="3"/>
    <x v="4592"/>
    <x v="4681"/>
    <s v="UPI"/>
    <s v="TXN103075"/>
    <x v="0"/>
  </r>
  <r>
    <d v="2023-12-07T00:00:00"/>
    <x v="11"/>
    <x v="1"/>
    <x v="1"/>
    <x v="4593"/>
    <x v="4682"/>
    <s v="UPI"/>
    <s v="TXN103275"/>
    <x v="0"/>
  </r>
  <r>
    <d v="2023-12-07T00:00:00"/>
    <x v="11"/>
    <x v="3"/>
    <x v="0"/>
    <x v="4594"/>
    <x v="4683"/>
    <s v="UPI"/>
    <s v="TXN104168"/>
    <x v="0"/>
  </r>
  <r>
    <d v="2023-12-07T00:00:00"/>
    <x v="11"/>
    <x v="4"/>
    <x v="2"/>
    <x v="4595"/>
    <x v="4684"/>
    <s v="UPI"/>
    <s v="TXN105700"/>
    <x v="0"/>
  </r>
  <r>
    <d v="2023-12-07T00:00:00"/>
    <x v="11"/>
    <x v="1"/>
    <x v="4"/>
    <x v="4596"/>
    <x v="4685"/>
    <s v="Bank Transfer"/>
    <s v="TXN106571"/>
    <x v="0"/>
  </r>
  <r>
    <d v="2023-12-07T00:00:00"/>
    <x v="11"/>
    <x v="4"/>
    <x v="0"/>
    <x v="4597"/>
    <x v="1630"/>
    <s v="UPI"/>
    <s v="TXN107273"/>
    <x v="0"/>
  </r>
  <r>
    <d v="2023-12-07T00:00:00"/>
    <x v="11"/>
    <x v="2"/>
    <x v="4"/>
    <x v="4598"/>
    <x v="4686"/>
    <s v="Bank Transfer"/>
    <s v="TXN107329"/>
    <x v="0"/>
  </r>
  <r>
    <d v="2023-12-07T00:00:00"/>
    <x v="11"/>
    <x v="7"/>
    <x v="3"/>
    <x v="4599"/>
    <x v="4687"/>
    <s v="Cash"/>
    <s v="TXN107647"/>
    <x v="0"/>
  </r>
  <r>
    <d v="2023-12-07T00:00:00"/>
    <x v="11"/>
    <x v="0"/>
    <x v="3"/>
    <x v="4600"/>
    <x v="4688"/>
    <s v="Bank Transfer"/>
    <s v="TXN109146"/>
    <x v="0"/>
  </r>
  <r>
    <d v="2023-12-07T00:00:00"/>
    <x v="11"/>
    <x v="0"/>
    <x v="4"/>
    <x v="4601"/>
    <x v="4689"/>
    <s v="UPI"/>
    <s v="TXN109328"/>
    <x v="0"/>
  </r>
  <r>
    <d v="2023-12-07T00:00:00"/>
    <x v="11"/>
    <x v="5"/>
    <x v="0"/>
    <x v="4602"/>
    <x v="4690"/>
    <s v="Card"/>
    <s v="REV100128"/>
    <x v="1"/>
  </r>
  <r>
    <d v="2023-12-07T00:00:00"/>
    <x v="11"/>
    <x v="6"/>
    <x v="0"/>
    <x v="1358"/>
    <x v="4691"/>
    <s v="Card"/>
    <s v="REV100429"/>
    <x v="1"/>
  </r>
  <r>
    <d v="2023-12-07T00:00:00"/>
    <x v="11"/>
    <x v="5"/>
    <x v="0"/>
    <x v="36"/>
    <x v="1728"/>
    <s v="Card"/>
    <s v="REV100747"/>
    <x v="1"/>
  </r>
  <r>
    <d v="2023-12-07T00:00:00"/>
    <x v="11"/>
    <x v="5"/>
    <x v="1"/>
    <x v="614"/>
    <x v="4692"/>
    <s v="Bank Transfer"/>
    <s v="REV100822"/>
    <x v="1"/>
  </r>
  <r>
    <d v="2023-12-07T00:00:00"/>
    <x v="11"/>
    <x v="6"/>
    <x v="3"/>
    <x v="4603"/>
    <x v="4693"/>
    <s v="Bank Transfer"/>
    <s v="REV101061"/>
    <x v="1"/>
  </r>
  <r>
    <d v="2023-12-07T00:00:00"/>
    <x v="11"/>
    <x v="5"/>
    <x v="1"/>
    <x v="542"/>
    <x v="718"/>
    <s v="Bank Transfer"/>
    <s v="REV101123"/>
    <x v="1"/>
  </r>
  <r>
    <d v="2023-12-07T00:00:00"/>
    <x v="11"/>
    <x v="6"/>
    <x v="0"/>
    <x v="596"/>
    <x v="4596"/>
    <s v="Bank Transfer"/>
    <s v="REV101446"/>
    <x v="1"/>
  </r>
  <r>
    <d v="2023-12-07T00:00:00"/>
    <x v="11"/>
    <x v="6"/>
    <x v="2"/>
    <x v="49"/>
    <x v="173"/>
    <s v="Card"/>
    <s v="REV101937"/>
    <x v="1"/>
  </r>
  <r>
    <d v="2023-12-07T00:00:00"/>
    <x v="11"/>
    <x v="6"/>
    <x v="4"/>
    <x v="565"/>
    <x v="2198"/>
    <s v="Card"/>
    <s v="REV102231"/>
    <x v="1"/>
  </r>
  <r>
    <d v="2023-12-07T00:00:00"/>
    <x v="11"/>
    <x v="5"/>
    <x v="0"/>
    <x v="1537"/>
    <x v="1385"/>
    <s v="Card"/>
    <s v="REV102470"/>
    <x v="1"/>
  </r>
  <r>
    <d v="2023-12-07T00:00:00"/>
    <x v="11"/>
    <x v="6"/>
    <x v="4"/>
    <x v="788"/>
    <x v="1747"/>
    <s v="Card"/>
    <s v="REV102486"/>
    <x v="1"/>
  </r>
  <r>
    <d v="2023-12-07T00:00:00"/>
    <x v="11"/>
    <x v="6"/>
    <x v="3"/>
    <x v="4107"/>
    <x v="3278"/>
    <s v="Bank Transfer"/>
    <s v="REV102599"/>
    <x v="1"/>
  </r>
  <r>
    <d v="2023-12-07T00:00:00"/>
    <x v="11"/>
    <x v="6"/>
    <x v="3"/>
    <x v="2379"/>
    <x v="4694"/>
    <s v="Bank Transfer"/>
    <s v="REV103091"/>
    <x v="1"/>
  </r>
  <r>
    <d v="2023-12-07T00:00:00"/>
    <x v="11"/>
    <x v="5"/>
    <x v="4"/>
    <x v="4604"/>
    <x v="3144"/>
    <s v="Card"/>
    <s v="REV103153"/>
    <x v="1"/>
  </r>
  <r>
    <d v="2023-12-08T00:00:00"/>
    <x v="11"/>
    <x v="0"/>
    <x v="3"/>
    <x v="4605"/>
    <x v="4695"/>
    <s v="Cash"/>
    <s v="TXN100092"/>
    <x v="0"/>
  </r>
  <r>
    <d v="2023-12-08T00:00:00"/>
    <x v="11"/>
    <x v="0"/>
    <x v="0"/>
    <x v="4606"/>
    <x v="4696"/>
    <s v="Card"/>
    <s v="TXN102653"/>
    <x v="0"/>
  </r>
  <r>
    <d v="2023-12-08T00:00:00"/>
    <x v="11"/>
    <x v="7"/>
    <x v="4"/>
    <x v="4607"/>
    <x v="4697"/>
    <s v="UPI"/>
    <s v="TXN103516"/>
    <x v="0"/>
  </r>
  <r>
    <d v="2023-12-08T00:00:00"/>
    <x v="11"/>
    <x v="3"/>
    <x v="0"/>
    <x v="4608"/>
    <x v="4698"/>
    <s v="Cash"/>
    <s v="TXN103638"/>
    <x v="0"/>
  </r>
  <r>
    <d v="2023-12-08T00:00:00"/>
    <x v="11"/>
    <x v="1"/>
    <x v="4"/>
    <x v="4609"/>
    <x v="4699"/>
    <s v="Card"/>
    <s v="TXN107126"/>
    <x v="0"/>
  </r>
  <r>
    <d v="2023-12-08T00:00:00"/>
    <x v="11"/>
    <x v="7"/>
    <x v="1"/>
    <x v="4610"/>
    <x v="4700"/>
    <s v="Bank Transfer"/>
    <s v="TXN107725"/>
    <x v="0"/>
  </r>
  <r>
    <d v="2023-12-08T00:00:00"/>
    <x v="11"/>
    <x v="3"/>
    <x v="4"/>
    <x v="4611"/>
    <x v="4701"/>
    <s v="Card"/>
    <s v="TXN108181"/>
    <x v="0"/>
  </r>
  <r>
    <d v="2023-12-08T00:00:00"/>
    <x v="11"/>
    <x v="3"/>
    <x v="0"/>
    <x v="4612"/>
    <x v="4702"/>
    <s v="Cash"/>
    <s v="TXN109875"/>
    <x v="0"/>
  </r>
  <r>
    <d v="2023-12-08T00:00:00"/>
    <x v="11"/>
    <x v="5"/>
    <x v="3"/>
    <x v="634"/>
    <x v="463"/>
    <s v="Card"/>
    <s v="REV100034"/>
    <x v="1"/>
  </r>
  <r>
    <d v="2023-12-08T00:00:00"/>
    <x v="11"/>
    <x v="6"/>
    <x v="0"/>
    <x v="672"/>
    <x v="913"/>
    <s v="Card"/>
    <s v="REV100929"/>
    <x v="1"/>
  </r>
  <r>
    <d v="2023-12-08T00:00:00"/>
    <x v="11"/>
    <x v="5"/>
    <x v="4"/>
    <x v="2334"/>
    <x v="2866"/>
    <s v="Card"/>
    <s v="REV101198"/>
    <x v="1"/>
  </r>
  <r>
    <d v="2023-12-08T00:00:00"/>
    <x v="11"/>
    <x v="5"/>
    <x v="0"/>
    <x v="3134"/>
    <x v="203"/>
    <s v="Card"/>
    <s v="REV101241"/>
    <x v="1"/>
  </r>
  <r>
    <d v="2023-12-08T00:00:00"/>
    <x v="11"/>
    <x v="5"/>
    <x v="4"/>
    <x v="1594"/>
    <x v="2549"/>
    <s v="Card"/>
    <s v="REV102417"/>
    <x v="1"/>
  </r>
  <r>
    <d v="2023-12-08T00:00:00"/>
    <x v="11"/>
    <x v="5"/>
    <x v="1"/>
    <x v="4613"/>
    <x v="1794"/>
    <s v="Bank Transfer"/>
    <s v="REV102629"/>
    <x v="1"/>
  </r>
  <r>
    <d v="2023-12-08T00:00:00"/>
    <x v="11"/>
    <x v="5"/>
    <x v="4"/>
    <x v="343"/>
    <x v="51"/>
    <s v="Card"/>
    <s v="REV102779"/>
    <x v="1"/>
  </r>
  <r>
    <d v="2023-12-08T00:00:00"/>
    <x v="11"/>
    <x v="6"/>
    <x v="0"/>
    <x v="173"/>
    <x v="153"/>
    <s v="Bank Transfer"/>
    <s v="REV103341"/>
    <x v="1"/>
  </r>
  <r>
    <d v="2023-12-09T00:00:00"/>
    <x v="11"/>
    <x v="1"/>
    <x v="4"/>
    <x v="4614"/>
    <x v="4703"/>
    <s v="UPI"/>
    <s v="TXN100239"/>
    <x v="0"/>
  </r>
  <r>
    <d v="2023-12-09T00:00:00"/>
    <x v="11"/>
    <x v="0"/>
    <x v="4"/>
    <x v="4615"/>
    <x v="4704"/>
    <s v="UPI"/>
    <s v="TXN100892"/>
    <x v="0"/>
  </r>
  <r>
    <d v="2023-12-09T00:00:00"/>
    <x v="11"/>
    <x v="0"/>
    <x v="4"/>
    <x v="4616"/>
    <x v="4705"/>
    <s v="Card"/>
    <s v="TXN101649"/>
    <x v="0"/>
  </r>
  <r>
    <d v="2023-12-09T00:00:00"/>
    <x v="11"/>
    <x v="4"/>
    <x v="1"/>
    <x v="4617"/>
    <x v="4706"/>
    <s v="Bank Transfer"/>
    <s v="TXN102900"/>
    <x v="0"/>
  </r>
  <r>
    <d v="2023-12-09T00:00:00"/>
    <x v="11"/>
    <x v="3"/>
    <x v="2"/>
    <x v="4618"/>
    <x v="4707"/>
    <s v="Bank Transfer"/>
    <s v="TXN103487"/>
    <x v="0"/>
  </r>
  <r>
    <d v="2023-12-09T00:00:00"/>
    <x v="11"/>
    <x v="7"/>
    <x v="3"/>
    <x v="4619"/>
    <x v="4708"/>
    <s v="UPI"/>
    <s v="TXN103749"/>
    <x v="0"/>
  </r>
  <r>
    <d v="2023-12-09T00:00:00"/>
    <x v="11"/>
    <x v="3"/>
    <x v="2"/>
    <x v="4620"/>
    <x v="4709"/>
    <s v="Card"/>
    <s v="TXN105211"/>
    <x v="0"/>
  </r>
  <r>
    <d v="2023-12-09T00:00:00"/>
    <x v="11"/>
    <x v="6"/>
    <x v="4"/>
    <x v="4621"/>
    <x v="995"/>
    <s v="Card"/>
    <s v="REV100086"/>
    <x v="1"/>
  </r>
  <r>
    <d v="2023-12-09T00:00:00"/>
    <x v="11"/>
    <x v="6"/>
    <x v="4"/>
    <x v="1706"/>
    <x v="3474"/>
    <s v="Card"/>
    <s v="REV100328"/>
    <x v="1"/>
  </r>
  <r>
    <d v="2023-12-09T00:00:00"/>
    <x v="11"/>
    <x v="5"/>
    <x v="4"/>
    <x v="4622"/>
    <x v="4710"/>
    <s v="UPI"/>
    <s v="REV100607"/>
    <x v="1"/>
  </r>
  <r>
    <d v="2023-12-09T00:00:00"/>
    <x v="11"/>
    <x v="5"/>
    <x v="1"/>
    <x v="689"/>
    <x v="1940"/>
    <s v="Bank Transfer"/>
    <s v="REV101014"/>
    <x v="1"/>
  </r>
  <r>
    <d v="2023-12-09T00:00:00"/>
    <x v="11"/>
    <x v="5"/>
    <x v="2"/>
    <x v="821"/>
    <x v="2096"/>
    <s v="Bank Transfer"/>
    <s v="REV101191"/>
    <x v="1"/>
  </r>
  <r>
    <d v="2023-12-09T00:00:00"/>
    <x v="11"/>
    <x v="6"/>
    <x v="3"/>
    <x v="4623"/>
    <x v="4711"/>
    <s v="Bank Transfer"/>
    <s v="REV101291"/>
    <x v="1"/>
  </r>
  <r>
    <d v="2023-12-09T00:00:00"/>
    <x v="11"/>
    <x v="5"/>
    <x v="2"/>
    <x v="4624"/>
    <x v="4712"/>
    <s v="Card"/>
    <s v="REV101765"/>
    <x v="1"/>
  </r>
  <r>
    <d v="2023-12-10T00:00:00"/>
    <x v="11"/>
    <x v="2"/>
    <x v="3"/>
    <x v="4625"/>
    <x v="4713"/>
    <s v="UPI"/>
    <s v="TXN104093"/>
    <x v="0"/>
  </r>
  <r>
    <d v="2023-12-10T00:00:00"/>
    <x v="11"/>
    <x v="2"/>
    <x v="2"/>
    <x v="4626"/>
    <x v="4714"/>
    <s v="Bank Transfer"/>
    <s v="TXN104277"/>
    <x v="0"/>
  </r>
  <r>
    <d v="2023-12-10T00:00:00"/>
    <x v="11"/>
    <x v="1"/>
    <x v="0"/>
    <x v="4627"/>
    <x v="4715"/>
    <s v="Bank Transfer"/>
    <s v="TXN104731"/>
    <x v="0"/>
  </r>
  <r>
    <d v="2023-12-10T00:00:00"/>
    <x v="11"/>
    <x v="0"/>
    <x v="2"/>
    <x v="4628"/>
    <x v="4716"/>
    <s v="Bank Transfer"/>
    <s v="TXN104914"/>
    <x v="0"/>
  </r>
  <r>
    <d v="2023-12-10T00:00:00"/>
    <x v="11"/>
    <x v="1"/>
    <x v="4"/>
    <x v="4629"/>
    <x v="4717"/>
    <s v="Cash"/>
    <s v="TXN109862"/>
    <x v="0"/>
  </r>
  <r>
    <d v="2023-12-10T00:00:00"/>
    <x v="11"/>
    <x v="6"/>
    <x v="3"/>
    <x v="4630"/>
    <x v="4718"/>
    <s v="Bank Transfer"/>
    <s v="REV101412"/>
    <x v="1"/>
  </r>
  <r>
    <d v="2023-12-10T00:00:00"/>
    <x v="11"/>
    <x v="5"/>
    <x v="2"/>
    <x v="3439"/>
    <x v="3607"/>
    <s v="Card"/>
    <s v="REV101487"/>
    <x v="1"/>
  </r>
  <r>
    <d v="2023-12-10T00:00:00"/>
    <x v="11"/>
    <x v="5"/>
    <x v="0"/>
    <x v="1036"/>
    <x v="4090"/>
    <s v="UPI"/>
    <s v="REV101617"/>
    <x v="1"/>
  </r>
  <r>
    <d v="2023-12-10T00:00:00"/>
    <x v="11"/>
    <x v="6"/>
    <x v="2"/>
    <x v="1244"/>
    <x v="1361"/>
    <s v="UPI"/>
    <s v="REV101675"/>
    <x v="1"/>
  </r>
  <r>
    <d v="2023-12-10T00:00:00"/>
    <x v="11"/>
    <x v="5"/>
    <x v="4"/>
    <x v="4631"/>
    <x v="1828"/>
    <s v="UPI"/>
    <s v="REV103338"/>
    <x v="1"/>
  </r>
  <r>
    <d v="2023-12-11T00:00:00"/>
    <x v="11"/>
    <x v="0"/>
    <x v="3"/>
    <x v="4632"/>
    <x v="4719"/>
    <s v="Cash"/>
    <s v="TXN100628"/>
    <x v="0"/>
  </r>
  <r>
    <d v="2023-12-11T00:00:00"/>
    <x v="11"/>
    <x v="4"/>
    <x v="1"/>
    <x v="4633"/>
    <x v="4720"/>
    <s v="Card"/>
    <s v="TXN100939"/>
    <x v="0"/>
  </r>
  <r>
    <d v="2023-12-11T00:00:00"/>
    <x v="11"/>
    <x v="4"/>
    <x v="0"/>
    <x v="4634"/>
    <x v="4721"/>
    <s v="Card"/>
    <s v="TXN105268"/>
    <x v="0"/>
  </r>
  <r>
    <d v="2023-12-11T00:00:00"/>
    <x v="11"/>
    <x v="0"/>
    <x v="2"/>
    <x v="4635"/>
    <x v="4722"/>
    <s v="UPI"/>
    <s v="TXN105355"/>
    <x v="0"/>
  </r>
  <r>
    <d v="2023-12-11T00:00:00"/>
    <x v="11"/>
    <x v="7"/>
    <x v="4"/>
    <x v="4636"/>
    <x v="4723"/>
    <s v="UPI"/>
    <s v="TXN105555"/>
    <x v="0"/>
  </r>
  <r>
    <d v="2023-12-11T00:00:00"/>
    <x v="11"/>
    <x v="7"/>
    <x v="0"/>
    <x v="4637"/>
    <x v="4724"/>
    <s v="UPI"/>
    <s v="TXN105913"/>
    <x v="0"/>
  </r>
  <r>
    <d v="2023-12-11T00:00:00"/>
    <x v="11"/>
    <x v="4"/>
    <x v="2"/>
    <x v="4638"/>
    <x v="4725"/>
    <s v="Bank Transfer"/>
    <s v="TXN106269"/>
    <x v="0"/>
  </r>
  <r>
    <d v="2023-12-11T00:00:00"/>
    <x v="11"/>
    <x v="2"/>
    <x v="2"/>
    <x v="4639"/>
    <x v="4726"/>
    <s v="Card"/>
    <s v="TXN107442"/>
    <x v="0"/>
  </r>
  <r>
    <d v="2023-12-11T00:00:00"/>
    <x v="11"/>
    <x v="7"/>
    <x v="1"/>
    <x v="4640"/>
    <x v="4727"/>
    <s v="Card"/>
    <s v="TXN107596"/>
    <x v="0"/>
  </r>
  <r>
    <d v="2023-12-11T00:00:00"/>
    <x v="11"/>
    <x v="7"/>
    <x v="4"/>
    <x v="4641"/>
    <x v="4728"/>
    <s v="UPI"/>
    <s v="TXN107864"/>
    <x v="0"/>
  </r>
  <r>
    <d v="2023-12-11T00:00:00"/>
    <x v="11"/>
    <x v="0"/>
    <x v="3"/>
    <x v="4642"/>
    <x v="4729"/>
    <s v="UPI"/>
    <s v="TXN108391"/>
    <x v="0"/>
  </r>
  <r>
    <d v="2023-12-11T00:00:00"/>
    <x v="11"/>
    <x v="3"/>
    <x v="1"/>
    <x v="4643"/>
    <x v="4730"/>
    <s v="Cash"/>
    <s v="TXN108942"/>
    <x v="0"/>
  </r>
  <r>
    <d v="2023-12-11T00:00:00"/>
    <x v="11"/>
    <x v="2"/>
    <x v="3"/>
    <x v="4644"/>
    <x v="4731"/>
    <s v="Bank Transfer"/>
    <s v="TXN109952"/>
    <x v="0"/>
  </r>
  <r>
    <d v="2023-12-11T00:00:00"/>
    <x v="11"/>
    <x v="5"/>
    <x v="3"/>
    <x v="4108"/>
    <x v="4732"/>
    <s v="Bank Transfer"/>
    <s v="REV100242"/>
    <x v="1"/>
  </r>
  <r>
    <d v="2023-12-11T00:00:00"/>
    <x v="11"/>
    <x v="5"/>
    <x v="1"/>
    <x v="3869"/>
    <x v="790"/>
    <s v="Bank Transfer"/>
    <s v="REV100348"/>
    <x v="1"/>
  </r>
  <r>
    <d v="2023-12-11T00:00:00"/>
    <x v="11"/>
    <x v="6"/>
    <x v="0"/>
    <x v="2978"/>
    <x v="2306"/>
    <s v="UPI"/>
    <s v="REV101785"/>
    <x v="1"/>
  </r>
  <r>
    <d v="2023-12-11T00:00:00"/>
    <x v="11"/>
    <x v="6"/>
    <x v="2"/>
    <x v="4645"/>
    <x v="4733"/>
    <s v="Card"/>
    <s v="REV101820"/>
    <x v="1"/>
  </r>
  <r>
    <d v="2023-12-11T00:00:00"/>
    <x v="11"/>
    <x v="5"/>
    <x v="4"/>
    <x v="220"/>
    <x v="4196"/>
    <s v="Bank Transfer"/>
    <s v="REV101894"/>
    <x v="1"/>
  </r>
  <r>
    <d v="2023-12-11T00:00:00"/>
    <x v="11"/>
    <x v="5"/>
    <x v="0"/>
    <x v="2859"/>
    <x v="94"/>
    <s v="Card"/>
    <s v="REV101997"/>
    <x v="1"/>
  </r>
  <r>
    <d v="2023-12-11T00:00:00"/>
    <x v="11"/>
    <x v="5"/>
    <x v="2"/>
    <x v="3164"/>
    <x v="714"/>
    <s v="Bank Transfer"/>
    <s v="REV102111"/>
    <x v="1"/>
  </r>
  <r>
    <d v="2023-12-11T00:00:00"/>
    <x v="11"/>
    <x v="6"/>
    <x v="2"/>
    <x v="4312"/>
    <x v="949"/>
    <s v="Bank Transfer"/>
    <s v="REV102528"/>
    <x v="1"/>
  </r>
  <r>
    <d v="2023-12-11T00:00:00"/>
    <x v="11"/>
    <x v="5"/>
    <x v="1"/>
    <x v="289"/>
    <x v="1620"/>
    <s v="Bank Transfer"/>
    <s v="REV102580"/>
    <x v="1"/>
  </r>
  <r>
    <d v="2023-12-11T00:00:00"/>
    <x v="11"/>
    <x v="5"/>
    <x v="4"/>
    <x v="588"/>
    <x v="237"/>
    <s v="UPI"/>
    <s v="REV102673"/>
    <x v="1"/>
  </r>
  <r>
    <d v="2023-12-11T00:00:00"/>
    <x v="11"/>
    <x v="5"/>
    <x v="3"/>
    <x v="648"/>
    <x v="171"/>
    <s v="Bank Transfer"/>
    <s v="REV102850"/>
    <x v="1"/>
  </r>
  <r>
    <d v="2023-12-11T00:00:00"/>
    <x v="11"/>
    <x v="5"/>
    <x v="1"/>
    <x v="940"/>
    <x v="1283"/>
    <s v="Card"/>
    <s v="REV103029"/>
    <x v="1"/>
  </r>
  <r>
    <d v="2023-12-11T00:00:00"/>
    <x v="11"/>
    <x v="5"/>
    <x v="3"/>
    <x v="4646"/>
    <x v="1692"/>
    <s v="UPI"/>
    <s v="REV103363"/>
    <x v="1"/>
  </r>
  <r>
    <d v="2023-12-12T00:00:00"/>
    <x v="11"/>
    <x v="0"/>
    <x v="1"/>
    <x v="4647"/>
    <x v="4734"/>
    <s v="Card"/>
    <s v="TXN105771"/>
    <x v="0"/>
  </r>
  <r>
    <d v="2023-12-12T00:00:00"/>
    <x v="11"/>
    <x v="3"/>
    <x v="4"/>
    <x v="4648"/>
    <x v="4735"/>
    <s v="Card"/>
    <s v="TXN105847"/>
    <x v="0"/>
  </r>
  <r>
    <d v="2023-12-12T00:00:00"/>
    <x v="11"/>
    <x v="1"/>
    <x v="1"/>
    <x v="4649"/>
    <x v="4736"/>
    <s v="Bank Transfer"/>
    <s v="TXN106136"/>
    <x v="0"/>
  </r>
  <r>
    <d v="2023-12-12T00:00:00"/>
    <x v="11"/>
    <x v="7"/>
    <x v="0"/>
    <x v="4650"/>
    <x v="4737"/>
    <s v="Cash"/>
    <s v="TXN106264"/>
    <x v="0"/>
  </r>
  <r>
    <d v="2023-12-12T00:00:00"/>
    <x v="11"/>
    <x v="3"/>
    <x v="1"/>
    <x v="4651"/>
    <x v="4738"/>
    <s v="Card"/>
    <s v="TXN106783"/>
    <x v="0"/>
  </r>
  <r>
    <d v="2023-12-12T00:00:00"/>
    <x v="11"/>
    <x v="4"/>
    <x v="3"/>
    <x v="4652"/>
    <x v="4739"/>
    <s v="Cash"/>
    <s v="TXN106947"/>
    <x v="0"/>
  </r>
  <r>
    <d v="2023-12-12T00:00:00"/>
    <x v="11"/>
    <x v="0"/>
    <x v="3"/>
    <x v="4653"/>
    <x v="4740"/>
    <s v="Cash"/>
    <s v="TXN107441"/>
    <x v="0"/>
  </r>
  <r>
    <d v="2023-12-12T00:00:00"/>
    <x v="11"/>
    <x v="0"/>
    <x v="3"/>
    <x v="4654"/>
    <x v="4741"/>
    <s v="Cash"/>
    <s v="TXN107509"/>
    <x v="0"/>
  </r>
  <r>
    <d v="2023-12-12T00:00:00"/>
    <x v="11"/>
    <x v="7"/>
    <x v="3"/>
    <x v="4655"/>
    <x v="4742"/>
    <s v="Cash"/>
    <s v="TXN109082"/>
    <x v="0"/>
  </r>
  <r>
    <d v="2023-12-12T00:00:00"/>
    <x v="11"/>
    <x v="6"/>
    <x v="1"/>
    <x v="2663"/>
    <x v="446"/>
    <s v="UPI"/>
    <s v="REV101955"/>
    <x v="1"/>
  </r>
  <r>
    <d v="2023-12-12T00:00:00"/>
    <x v="11"/>
    <x v="6"/>
    <x v="4"/>
    <x v="1079"/>
    <x v="4743"/>
    <s v="Bank Transfer"/>
    <s v="REV101977"/>
    <x v="1"/>
  </r>
  <r>
    <d v="2023-12-12T00:00:00"/>
    <x v="11"/>
    <x v="6"/>
    <x v="1"/>
    <x v="2867"/>
    <x v="1375"/>
    <s v="UPI"/>
    <s v="REV102070"/>
    <x v="1"/>
  </r>
  <r>
    <d v="2023-12-12T00:00:00"/>
    <x v="11"/>
    <x v="6"/>
    <x v="0"/>
    <x v="3405"/>
    <x v="3565"/>
    <s v="Bank Transfer"/>
    <s v="REV102107"/>
    <x v="1"/>
  </r>
  <r>
    <d v="2023-12-12T00:00:00"/>
    <x v="11"/>
    <x v="6"/>
    <x v="1"/>
    <x v="984"/>
    <x v="3604"/>
    <s v="Card"/>
    <s v="REV102310"/>
    <x v="1"/>
  </r>
  <r>
    <d v="2023-12-12T00:00:00"/>
    <x v="11"/>
    <x v="5"/>
    <x v="3"/>
    <x v="2486"/>
    <x v="1283"/>
    <s v="Bank Transfer"/>
    <s v="REV102361"/>
    <x v="1"/>
  </r>
  <r>
    <d v="2023-12-12T00:00:00"/>
    <x v="11"/>
    <x v="6"/>
    <x v="3"/>
    <x v="2723"/>
    <x v="2559"/>
    <s v="UPI"/>
    <s v="REV102527"/>
    <x v="1"/>
  </r>
  <r>
    <d v="2023-12-12T00:00:00"/>
    <x v="11"/>
    <x v="5"/>
    <x v="3"/>
    <x v="668"/>
    <x v="826"/>
    <s v="Card"/>
    <s v="REV102544"/>
    <x v="1"/>
  </r>
  <r>
    <d v="2023-12-12T00:00:00"/>
    <x v="11"/>
    <x v="6"/>
    <x v="3"/>
    <x v="955"/>
    <x v="1237"/>
    <s v="Card"/>
    <s v="REV103073"/>
    <x v="1"/>
  </r>
  <r>
    <d v="2023-12-13T00:00:00"/>
    <x v="11"/>
    <x v="4"/>
    <x v="2"/>
    <x v="4656"/>
    <x v="4744"/>
    <s v="Card"/>
    <s v="TXN100065"/>
    <x v="0"/>
  </r>
  <r>
    <d v="2023-12-13T00:00:00"/>
    <x v="11"/>
    <x v="3"/>
    <x v="0"/>
    <x v="4657"/>
    <x v="4745"/>
    <s v="Bank Transfer"/>
    <s v="TXN100149"/>
    <x v="0"/>
  </r>
  <r>
    <d v="2023-12-13T00:00:00"/>
    <x v="11"/>
    <x v="3"/>
    <x v="1"/>
    <x v="4658"/>
    <x v="4746"/>
    <s v="UPI"/>
    <s v="TXN100304"/>
    <x v="0"/>
  </r>
  <r>
    <d v="2023-12-13T00:00:00"/>
    <x v="11"/>
    <x v="1"/>
    <x v="0"/>
    <x v="4659"/>
    <x v="4747"/>
    <s v="Card"/>
    <s v="TXN100972"/>
    <x v="0"/>
  </r>
  <r>
    <d v="2023-12-13T00:00:00"/>
    <x v="11"/>
    <x v="1"/>
    <x v="4"/>
    <x v="4660"/>
    <x v="4748"/>
    <s v="UPI"/>
    <s v="TXN101544"/>
    <x v="0"/>
  </r>
  <r>
    <d v="2023-12-13T00:00:00"/>
    <x v="11"/>
    <x v="7"/>
    <x v="2"/>
    <x v="4661"/>
    <x v="4749"/>
    <s v="Bank Transfer"/>
    <s v="TXN102725"/>
    <x v="0"/>
  </r>
  <r>
    <d v="2023-12-13T00:00:00"/>
    <x v="11"/>
    <x v="1"/>
    <x v="1"/>
    <x v="4662"/>
    <x v="4750"/>
    <s v="UPI"/>
    <s v="TXN104607"/>
    <x v="0"/>
  </r>
  <r>
    <d v="2023-12-13T00:00:00"/>
    <x v="11"/>
    <x v="0"/>
    <x v="1"/>
    <x v="4663"/>
    <x v="4751"/>
    <s v="Card"/>
    <s v="TXN107322"/>
    <x v="0"/>
  </r>
  <r>
    <d v="2023-12-13T00:00:00"/>
    <x v="11"/>
    <x v="0"/>
    <x v="3"/>
    <x v="4664"/>
    <x v="4752"/>
    <s v="Bank Transfer"/>
    <s v="TXN107516"/>
    <x v="0"/>
  </r>
  <r>
    <d v="2023-12-13T00:00:00"/>
    <x v="11"/>
    <x v="0"/>
    <x v="0"/>
    <x v="4665"/>
    <x v="4753"/>
    <s v="Bank Transfer"/>
    <s v="TXN108169"/>
    <x v="0"/>
  </r>
  <r>
    <d v="2023-12-13T00:00:00"/>
    <x v="11"/>
    <x v="2"/>
    <x v="0"/>
    <x v="4666"/>
    <x v="4754"/>
    <s v="Bank Transfer"/>
    <s v="TXN109631"/>
    <x v="0"/>
  </r>
  <r>
    <d v="2023-12-13T00:00:00"/>
    <x v="11"/>
    <x v="6"/>
    <x v="2"/>
    <x v="1443"/>
    <x v="284"/>
    <s v="Bank Transfer"/>
    <s v="REV100024"/>
    <x v="1"/>
  </r>
  <r>
    <d v="2023-12-13T00:00:00"/>
    <x v="11"/>
    <x v="6"/>
    <x v="0"/>
    <x v="4667"/>
    <x v="698"/>
    <s v="Bank Transfer"/>
    <s v="REV100054"/>
    <x v="1"/>
  </r>
  <r>
    <d v="2023-12-13T00:00:00"/>
    <x v="11"/>
    <x v="5"/>
    <x v="1"/>
    <x v="1019"/>
    <x v="1621"/>
    <s v="Bank Transfer"/>
    <s v="REV100107"/>
    <x v="1"/>
  </r>
  <r>
    <d v="2023-12-13T00:00:00"/>
    <x v="11"/>
    <x v="5"/>
    <x v="0"/>
    <x v="4668"/>
    <x v="4755"/>
    <s v="Card"/>
    <s v="REV100363"/>
    <x v="1"/>
  </r>
  <r>
    <d v="2023-12-13T00:00:00"/>
    <x v="11"/>
    <x v="5"/>
    <x v="4"/>
    <x v="4669"/>
    <x v="3935"/>
    <s v="Bank Transfer"/>
    <s v="REV100567"/>
    <x v="1"/>
  </r>
  <r>
    <d v="2023-12-13T00:00:00"/>
    <x v="11"/>
    <x v="5"/>
    <x v="2"/>
    <x v="4487"/>
    <x v="731"/>
    <s v="Card"/>
    <s v="REV100953"/>
    <x v="1"/>
  </r>
  <r>
    <d v="2023-12-13T00:00:00"/>
    <x v="11"/>
    <x v="6"/>
    <x v="1"/>
    <x v="2155"/>
    <x v="1009"/>
    <s v="Card"/>
    <s v="REV101573"/>
    <x v="1"/>
  </r>
  <r>
    <d v="2023-12-13T00:00:00"/>
    <x v="11"/>
    <x v="5"/>
    <x v="1"/>
    <x v="4670"/>
    <x v="1354"/>
    <s v="Bank Transfer"/>
    <s v="REV102482"/>
    <x v="1"/>
  </r>
  <r>
    <d v="2023-12-13T00:00:00"/>
    <x v="11"/>
    <x v="5"/>
    <x v="3"/>
    <x v="4671"/>
    <x v="4467"/>
    <s v="Card"/>
    <s v="REV102549"/>
    <x v="1"/>
  </r>
  <r>
    <d v="2023-12-13T00:00:00"/>
    <x v="11"/>
    <x v="5"/>
    <x v="0"/>
    <x v="2538"/>
    <x v="399"/>
    <s v="Card"/>
    <s v="REV102773"/>
    <x v="1"/>
  </r>
  <r>
    <d v="2023-12-13T00:00:00"/>
    <x v="11"/>
    <x v="5"/>
    <x v="0"/>
    <x v="1820"/>
    <x v="345"/>
    <s v="Bank Transfer"/>
    <s v="REV103259"/>
    <x v="1"/>
  </r>
  <r>
    <d v="2023-12-14T00:00:00"/>
    <x v="11"/>
    <x v="0"/>
    <x v="0"/>
    <x v="4672"/>
    <x v="4756"/>
    <s v="Cash"/>
    <s v="TXN100298"/>
    <x v="0"/>
  </r>
  <r>
    <d v="2023-12-14T00:00:00"/>
    <x v="11"/>
    <x v="1"/>
    <x v="2"/>
    <x v="4673"/>
    <x v="4757"/>
    <s v="Card"/>
    <s v="TXN100573"/>
    <x v="0"/>
  </r>
  <r>
    <d v="2023-12-14T00:00:00"/>
    <x v="11"/>
    <x v="4"/>
    <x v="1"/>
    <x v="4674"/>
    <x v="4758"/>
    <s v="Bank Transfer"/>
    <s v="TXN100936"/>
    <x v="0"/>
  </r>
  <r>
    <d v="2023-12-14T00:00:00"/>
    <x v="11"/>
    <x v="0"/>
    <x v="0"/>
    <x v="3322"/>
    <x v="4759"/>
    <s v="UPI"/>
    <s v="TXN104497"/>
    <x v="0"/>
  </r>
  <r>
    <d v="2023-12-14T00:00:00"/>
    <x v="11"/>
    <x v="7"/>
    <x v="0"/>
    <x v="4675"/>
    <x v="4760"/>
    <s v="Card"/>
    <s v="TXN105059"/>
    <x v="0"/>
  </r>
  <r>
    <d v="2023-12-14T00:00:00"/>
    <x v="11"/>
    <x v="0"/>
    <x v="1"/>
    <x v="4676"/>
    <x v="4761"/>
    <s v="UPI"/>
    <s v="TXN106836"/>
    <x v="0"/>
  </r>
  <r>
    <d v="2023-12-14T00:00:00"/>
    <x v="11"/>
    <x v="0"/>
    <x v="1"/>
    <x v="4677"/>
    <x v="4762"/>
    <s v="Cash"/>
    <s v="TXN107233"/>
    <x v="0"/>
  </r>
  <r>
    <d v="2023-12-14T00:00:00"/>
    <x v="11"/>
    <x v="0"/>
    <x v="2"/>
    <x v="4678"/>
    <x v="4763"/>
    <s v="Bank Transfer"/>
    <s v="TXN107519"/>
    <x v="0"/>
  </r>
  <r>
    <d v="2023-12-14T00:00:00"/>
    <x v="11"/>
    <x v="3"/>
    <x v="4"/>
    <x v="4679"/>
    <x v="4764"/>
    <s v="UPI"/>
    <s v="TXN109311"/>
    <x v="0"/>
  </r>
  <r>
    <d v="2023-12-14T00:00:00"/>
    <x v="11"/>
    <x v="3"/>
    <x v="2"/>
    <x v="4680"/>
    <x v="4765"/>
    <s v="UPI"/>
    <s v="TXN109386"/>
    <x v="0"/>
  </r>
  <r>
    <d v="2023-12-14T00:00:00"/>
    <x v="11"/>
    <x v="6"/>
    <x v="0"/>
    <x v="725"/>
    <x v="177"/>
    <s v="Card"/>
    <s v="REV100104"/>
    <x v="1"/>
  </r>
  <r>
    <d v="2023-12-14T00:00:00"/>
    <x v="11"/>
    <x v="5"/>
    <x v="2"/>
    <x v="817"/>
    <x v="775"/>
    <s v="Bank Transfer"/>
    <s v="REV100220"/>
    <x v="1"/>
  </r>
  <r>
    <d v="2023-12-14T00:00:00"/>
    <x v="11"/>
    <x v="6"/>
    <x v="1"/>
    <x v="2844"/>
    <x v="1472"/>
    <s v="Card"/>
    <s v="REV100346"/>
    <x v="1"/>
  </r>
  <r>
    <d v="2023-12-14T00:00:00"/>
    <x v="11"/>
    <x v="5"/>
    <x v="0"/>
    <x v="4681"/>
    <x v="4766"/>
    <s v="UPI"/>
    <s v="REV101545"/>
    <x v="1"/>
  </r>
  <r>
    <d v="2023-12-14T00:00:00"/>
    <x v="11"/>
    <x v="5"/>
    <x v="0"/>
    <x v="4682"/>
    <x v="4767"/>
    <s v="Card"/>
    <s v="REV101723"/>
    <x v="1"/>
  </r>
  <r>
    <d v="2023-12-14T00:00:00"/>
    <x v="11"/>
    <x v="5"/>
    <x v="1"/>
    <x v="2883"/>
    <x v="263"/>
    <s v="Card"/>
    <s v="REV102324"/>
    <x v="1"/>
  </r>
  <r>
    <d v="2023-12-14T00:00:00"/>
    <x v="11"/>
    <x v="5"/>
    <x v="1"/>
    <x v="1166"/>
    <x v="4768"/>
    <s v="Card"/>
    <s v="REV102455"/>
    <x v="1"/>
  </r>
  <r>
    <d v="2023-12-14T00:00:00"/>
    <x v="11"/>
    <x v="6"/>
    <x v="2"/>
    <x v="1083"/>
    <x v="1616"/>
    <s v="Card"/>
    <s v="REV102552"/>
    <x v="1"/>
  </r>
  <r>
    <d v="2023-12-14T00:00:00"/>
    <x v="11"/>
    <x v="6"/>
    <x v="4"/>
    <x v="1121"/>
    <x v="66"/>
    <s v="Bank Transfer"/>
    <s v="REV103148"/>
    <x v="1"/>
  </r>
  <r>
    <d v="2023-12-14T00:00:00"/>
    <x v="11"/>
    <x v="6"/>
    <x v="2"/>
    <x v="4683"/>
    <x v="36"/>
    <s v="Bank Transfer"/>
    <s v="REV103171"/>
    <x v="1"/>
  </r>
  <r>
    <d v="2023-12-15T00:00:00"/>
    <x v="11"/>
    <x v="3"/>
    <x v="0"/>
    <x v="4684"/>
    <x v="4769"/>
    <s v="Card"/>
    <s v="TXN102062"/>
    <x v="0"/>
  </r>
  <r>
    <d v="2023-12-15T00:00:00"/>
    <x v="11"/>
    <x v="3"/>
    <x v="3"/>
    <x v="4685"/>
    <x v="4770"/>
    <s v="Cash"/>
    <s v="TXN107401"/>
    <x v="0"/>
  </r>
  <r>
    <d v="2023-12-15T00:00:00"/>
    <x v="11"/>
    <x v="5"/>
    <x v="0"/>
    <x v="1609"/>
    <x v="576"/>
    <s v="Card"/>
    <s v="REV100734"/>
    <x v="1"/>
  </r>
  <r>
    <d v="2023-12-15T00:00:00"/>
    <x v="11"/>
    <x v="5"/>
    <x v="3"/>
    <x v="2113"/>
    <x v="2878"/>
    <s v="Card"/>
    <s v="REV102516"/>
    <x v="1"/>
  </r>
  <r>
    <d v="2023-12-16T00:00:00"/>
    <x v="11"/>
    <x v="4"/>
    <x v="0"/>
    <x v="4686"/>
    <x v="4771"/>
    <s v="Bank Transfer"/>
    <s v="TXN100645"/>
    <x v="0"/>
  </r>
  <r>
    <d v="2023-12-16T00:00:00"/>
    <x v="11"/>
    <x v="3"/>
    <x v="1"/>
    <x v="4687"/>
    <x v="4772"/>
    <s v="Card"/>
    <s v="TXN101820"/>
    <x v="0"/>
  </r>
  <r>
    <d v="2023-12-16T00:00:00"/>
    <x v="11"/>
    <x v="4"/>
    <x v="3"/>
    <x v="4688"/>
    <x v="4773"/>
    <s v="Bank Transfer"/>
    <s v="TXN104651"/>
    <x v="0"/>
  </r>
  <r>
    <d v="2023-12-16T00:00:00"/>
    <x v="11"/>
    <x v="1"/>
    <x v="1"/>
    <x v="4689"/>
    <x v="4774"/>
    <s v="Card"/>
    <s v="TXN104989"/>
    <x v="0"/>
  </r>
  <r>
    <d v="2023-12-16T00:00:00"/>
    <x v="11"/>
    <x v="1"/>
    <x v="4"/>
    <x v="4690"/>
    <x v="4775"/>
    <s v="Card"/>
    <s v="TXN105787"/>
    <x v="0"/>
  </r>
  <r>
    <d v="2023-12-16T00:00:00"/>
    <x v="11"/>
    <x v="2"/>
    <x v="4"/>
    <x v="4691"/>
    <x v="4776"/>
    <s v="Card"/>
    <s v="TXN106969"/>
    <x v="0"/>
  </r>
  <r>
    <d v="2023-12-16T00:00:00"/>
    <x v="11"/>
    <x v="2"/>
    <x v="2"/>
    <x v="4692"/>
    <x v="4777"/>
    <s v="Cash"/>
    <s v="TXN107048"/>
    <x v="0"/>
  </r>
  <r>
    <d v="2023-12-16T00:00:00"/>
    <x v="11"/>
    <x v="2"/>
    <x v="2"/>
    <x v="4693"/>
    <x v="4778"/>
    <s v="UPI"/>
    <s v="TXN107531"/>
    <x v="0"/>
  </r>
  <r>
    <d v="2023-12-16T00:00:00"/>
    <x v="11"/>
    <x v="7"/>
    <x v="3"/>
    <x v="4694"/>
    <x v="4779"/>
    <s v="Bank Transfer"/>
    <s v="TXN108087"/>
    <x v="0"/>
  </r>
  <r>
    <d v="2023-12-16T00:00:00"/>
    <x v="11"/>
    <x v="7"/>
    <x v="2"/>
    <x v="4695"/>
    <x v="4780"/>
    <s v="Card"/>
    <s v="TXN108196"/>
    <x v="0"/>
  </r>
  <r>
    <d v="2023-12-16T00:00:00"/>
    <x v="11"/>
    <x v="4"/>
    <x v="0"/>
    <x v="4696"/>
    <x v="4781"/>
    <s v="Card"/>
    <s v="TXN108972"/>
    <x v="0"/>
  </r>
  <r>
    <d v="2023-12-16T00:00:00"/>
    <x v="11"/>
    <x v="5"/>
    <x v="0"/>
    <x v="3153"/>
    <x v="52"/>
    <s v="UPI"/>
    <s v="REV100247"/>
    <x v="1"/>
  </r>
  <r>
    <d v="2023-12-16T00:00:00"/>
    <x v="11"/>
    <x v="5"/>
    <x v="1"/>
    <x v="2935"/>
    <x v="4782"/>
    <s v="Card"/>
    <s v="REV100663"/>
    <x v="1"/>
  </r>
  <r>
    <d v="2023-12-16T00:00:00"/>
    <x v="11"/>
    <x v="5"/>
    <x v="3"/>
    <x v="2921"/>
    <x v="462"/>
    <s v="Bank Transfer"/>
    <s v="REV101588"/>
    <x v="1"/>
  </r>
  <r>
    <d v="2023-12-16T00:00:00"/>
    <x v="11"/>
    <x v="6"/>
    <x v="1"/>
    <x v="990"/>
    <x v="1063"/>
    <s v="Bank Transfer"/>
    <s v="REV101701"/>
    <x v="1"/>
  </r>
  <r>
    <d v="2023-12-16T00:00:00"/>
    <x v="11"/>
    <x v="5"/>
    <x v="4"/>
    <x v="4697"/>
    <x v="398"/>
    <s v="Bank Transfer"/>
    <s v="REV101961"/>
    <x v="1"/>
  </r>
  <r>
    <d v="2023-12-16T00:00:00"/>
    <x v="11"/>
    <x v="5"/>
    <x v="4"/>
    <x v="4698"/>
    <x v="543"/>
    <s v="Bank Transfer"/>
    <s v="REV102368"/>
    <x v="1"/>
  </r>
  <r>
    <d v="2023-12-16T00:00:00"/>
    <x v="11"/>
    <x v="6"/>
    <x v="2"/>
    <x v="692"/>
    <x v="4783"/>
    <s v="Bank Transfer"/>
    <s v="REV102391"/>
    <x v="1"/>
  </r>
  <r>
    <d v="2023-12-16T00:00:00"/>
    <x v="11"/>
    <x v="5"/>
    <x v="2"/>
    <x v="4699"/>
    <x v="4784"/>
    <s v="Bank Transfer"/>
    <s v="REV102556"/>
    <x v="1"/>
  </r>
  <r>
    <d v="2023-12-16T00:00:00"/>
    <x v="11"/>
    <x v="5"/>
    <x v="3"/>
    <x v="3436"/>
    <x v="1142"/>
    <s v="Bank Transfer"/>
    <s v="REV102747"/>
    <x v="1"/>
  </r>
  <r>
    <d v="2023-12-16T00:00:00"/>
    <x v="11"/>
    <x v="5"/>
    <x v="2"/>
    <x v="4700"/>
    <x v="4785"/>
    <s v="Bank Transfer"/>
    <s v="REV102783"/>
    <x v="1"/>
  </r>
  <r>
    <d v="2023-12-16T00:00:00"/>
    <x v="11"/>
    <x v="6"/>
    <x v="0"/>
    <x v="2318"/>
    <x v="4786"/>
    <s v="Bank Transfer"/>
    <s v="REV103039"/>
    <x v="1"/>
  </r>
  <r>
    <d v="2023-12-17T00:00:00"/>
    <x v="11"/>
    <x v="0"/>
    <x v="0"/>
    <x v="4701"/>
    <x v="4787"/>
    <s v="Cash"/>
    <s v="TXN102053"/>
    <x v="0"/>
  </r>
  <r>
    <d v="2023-12-17T00:00:00"/>
    <x v="11"/>
    <x v="2"/>
    <x v="4"/>
    <x v="4702"/>
    <x v="4788"/>
    <s v="Card"/>
    <s v="TXN102190"/>
    <x v="0"/>
  </r>
  <r>
    <d v="2023-12-17T00:00:00"/>
    <x v="11"/>
    <x v="0"/>
    <x v="3"/>
    <x v="4703"/>
    <x v="4789"/>
    <s v="UPI"/>
    <s v="TXN105637"/>
    <x v="0"/>
  </r>
  <r>
    <d v="2023-12-17T00:00:00"/>
    <x v="11"/>
    <x v="4"/>
    <x v="3"/>
    <x v="4704"/>
    <x v="4790"/>
    <s v="Card"/>
    <s v="TXN105683"/>
    <x v="0"/>
  </r>
  <r>
    <d v="2023-12-17T00:00:00"/>
    <x v="11"/>
    <x v="3"/>
    <x v="3"/>
    <x v="4705"/>
    <x v="4791"/>
    <s v="UPI"/>
    <s v="TXN105815"/>
    <x v="0"/>
  </r>
  <r>
    <d v="2023-12-17T00:00:00"/>
    <x v="11"/>
    <x v="3"/>
    <x v="1"/>
    <x v="4706"/>
    <x v="4792"/>
    <s v="Cash"/>
    <s v="TXN107052"/>
    <x v="0"/>
  </r>
  <r>
    <d v="2023-12-17T00:00:00"/>
    <x v="11"/>
    <x v="0"/>
    <x v="4"/>
    <x v="4707"/>
    <x v="4793"/>
    <s v="Card"/>
    <s v="TXN109669"/>
    <x v="0"/>
  </r>
  <r>
    <d v="2023-12-17T00:00:00"/>
    <x v="11"/>
    <x v="5"/>
    <x v="0"/>
    <x v="36"/>
    <x v="621"/>
    <s v="Bank Transfer"/>
    <s v="REV100731"/>
    <x v="1"/>
  </r>
  <r>
    <d v="2023-12-17T00:00:00"/>
    <x v="11"/>
    <x v="5"/>
    <x v="4"/>
    <x v="1288"/>
    <x v="177"/>
    <s v="Bank Transfer"/>
    <s v="REV100777"/>
    <x v="1"/>
  </r>
  <r>
    <d v="2023-12-17T00:00:00"/>
    <x v="11"/>
    <x v="5"/>
    <x v="3"/>
    <x v="204"/>
    <x v="776"/>
    <s v="Card"/>
    <s v="REV101920"/>
    <x v="1"/>
  </r>
  <r>
    <d v="2023-12-17T00:00:00"/>
    <x v="11"/>
    <x v="6"/>
    <x v="3"/>
    <x v="4708"/>
    <x v="155"/>
    <s v="Bank Transfer"/>
    <s v="REV101932"/>
    <x v="1"/>
  </r>
  <r>
    <d v="2023-12-17T00:00:00"/>
    <x v="11"/>
    <x v="5"/>
    <x v="3"/>
    <x v="2167"/>
    <x v="701"/>
    <s v="Card"/>
    <s v="REV101969"/>
    <x v="1"/>
  </r>
  <r>
    <d v="2023-12-17T00:00:00"/>
    <x v="11"/>
    <x v="5"/>
    <x v="1"/>
    <x v="1445"/>
    <x v="829"/>
    <s v="Card"/>
    <s v="REV102393"/>
    <x v="1"/>
  </r>
  <r>
    <d v="2023-12-17T00:00:00"/>
    <x v="11"/>
    <x v="6"/>
    <x v="4"/>
    <x v="33"/>
    <x v="848"/>
    <s v="Card"/>
    <s v="REV103270"/>
    <x v="1"/>
  </r>
  <r>
    <d v="2023-12-18T00:00:00"/>
    <x v="11"/>
    <x v="2"/>
    <x v="2"/>
    <x v="4709"/>
    <x v="4794"/>
    <s v="UPI"/>
    <s v="TXN100322"/>
    <x v="0"/>
  </r>
  <r>
    <d v="2023-12-18T00:00:00"/>
    <x v="11"/>
    <x v="2"/>
    <x v="0"/>
    <x v="4710"/>
    <x v="4795"/>
    <s v="Card"/>
    <s v="TXN100327"/>
    <x v="0"/>
  </r>
  <r>
    <d v="2023-12-18T00:00:00"/>
    <x v="11"/>
    <x v="0"/>
    <x v="0"/>
    <x v="4711"/>
    <x v="4796"/>
    <s v="Bank Transfer"/>
    <s v="TXN100469"/>
    <x v="0"/>
  </r>
  <r>
    <d v="2023-12-18T00:00:00"/>
    <x v="11"/>
    <x v="1"/>
    <x v="4"/>
    <x v="4712"/>
    <x v="4797"/>
    <s v="UPI"/>
    <s v="TXN103001"/>
    <x v="0"/>
  </r>
  <r>
    <d v="2023-12-18T00:00:00"/>
    <x v="11"/>
    <x v="1"/>
    <x v="4"/>
    <x v="4713"/>
    <x v="4798"/>
    <s v="UPI"/>
    <s v="TXN103848"/>
    <x v="0"/>
  </r>
  <r>
    <d v="2023-12-18T00:00:00"/>
    <x v="11"/>
    <x v="3"/>
    <x v="1"/>
    <x v="4714"/>
    <x v="4799"/>
    <s v="Cash"/>
    <s v="TXN105089"/>
    <x v="0"/>
  </r>
  <r>
    <d v="2023-12-18T00:00:00"/>
    <x v="11"/>
    <x v="0"/>
    <x v="3"/>
    <x v="4715"/>
    <x v="4800"/>
    <s v="Cash"/>
    <s v="TXN105613"/>
    <x v="0"/>
  </r>
  <r>
    <d v="2023-12-18T00:00:00"/>
    <x v="11"/>
    <x v="7"/>
    <x v="2"/>
    <x v="4716"/>
    <x v="4801"/>
    <s v="Card"/>
    <s v="TXN105968"/>
    <x v="0"/>
  </r>
  <r>
    <d v="2023-12-18T00:00:00"/>
    <x v="11"/>
    <x v="3"/>
    <x v="0"/>
    <x v="4717"/>
    <x v="4802"/>
    <s v="Card"/>
    <s v="TXN105995"/>
    <x v="0"/>
  </r>
  <r>
    <d v="2023-12-18T00:00:00"/>
    <x v="11"/>
    <x v="4"/>
    <x v="0"/>
    <x v="4718"/>
    <x v="4803"/>
    <s v="Bank Transfer"/>
    <s v="TXN106356"/>
    <x v="0"/>
  </r>
  <r>
    <d v="2023-12-18T00:00:00"/>
    <x v="11"/>
    <x v="4"/>
    <x v="4"/>
    <x v="4719"/>
    <x v="4804"/>
    <s v="Bank Transfer"/>
    <s v="TXN107521"/>
    <x v="0"/>
  </r>
  <r>
    <d v="2023-12-18T00:00:00"/>
    <x v="11"/>
    <x v="0"/>
    <x v="4"/>
    <x v="4720"/>
    <x v="4805"/>
    <s v="Bank Transfer"/>
    <s v="TXN109562"/>
    <x v="0"/>
  </r>
  <r>
    <d v="2023-12-18T00:00:00"/>
    <x v="11"/>
    <x v="6"/>
    <x v="2"/>
    <x v="4721"/>
    <x v="4806"/>
    <s v="Bank Transfer"/>
    <s v="REV100117"/>
    <x v="1"/>
  </r>
  <r>
    <d v="2023-12-18T00:00:00"/>
    <x v="11"/>
    <x v="6"/>
    <x v="0"/>
    <x v="1203"/>
    <x v="4807"/>
    <s v="Bank Transfer"/>
    <s v="REV100121"/>
    <x v="1"/>
  </r>
  <r>
    <d v="2023-12-18T00:00:00"/>
    <x v="11"/>
    <x v="6"/>
    <x v="0"/>
    <x v="160"/>
    <x v="829"/>
    <s v="Card"/>
    <s v="REV100178"/>
    <x v="1"/>
  </r>
  <r>
    <d v="2023-12-18T00:00:00"/>
    <x v="11"/>
    <x v="6"/>
    <x v="4"/>
    <x v="994"/>
    <x v="4808"/>
    <s v="UPI"/>
    <s v="REV101041"/>
    <x v="1"/>
  </r>
  <r>
    <d v="2023-12-18T00:00:00"/>
    <x v="11"/>
    <x v="5"/>
    <x v="4"/>
    <x v="1083"/>
    <x v="689"/>
    <s v="Card"/>
    <s v="REV101327"/>
    <x v="1"/>
  </r>
  <r>
    <d v="2023-12-18T00:00:00"/>
    <x v="11"/>
    <x v="5"/>
    <x v="1"/>
    <x v="419"/>
    <x v="14"/>
    <s v="Bank Transfer"/>
    <s v="REV101733"/>
    <x v="1"/>
  </r>
  <r>
    <d v="2023-12-18T00:00:00"/>
    <x v="11"/>
    <x v="5"/>
    <x v="3"/>
    <x v="4722"/>
    <x v="3779"/>
    <s v="UPI"/>
    <s v="REV101913"/>
    <x v="1"/>
  </r>
  <r>
    <d v="2023-12-18T00:00:00"/>
    <x v="11"/>
    <x v="5"/>
    <x v="2"/>
    <x v="2859"/>
    <x v="516"/>
    <s v="Card"/>
    <s v="REV102016"/>
    <x v="1"/>
  </r>
  <r>
    <d v="2023-12-18T00:00:00"/>
    <x v="11"/>
    <x v="5"/>
    <x v="0"/>
    <x v="2886"/>
    <x v="3012"/>
    <s v="Bank Transfer"/>
    <s v="REV102024"/>
    <x v="1"/>
  </r>
  <r>
    <d v="2023-12-18T00:00:00"/>
    <x v="11"/>
    <x v="6"/>
    <x v="0"/>
    <x v="2239"/>
    <x v="2402"/>
    <s v="Card"/>
    <s v="REV102145"/>
    <x v="1"/>
  </r>
  <r>
    <d v="2023-12-18T00:00:00"/>
    <x v="11"/>
    <x v="5"/>
    <x v="4"/>
    <x v="2525"/>
    <x v="4809"/>
    <s v="UPI"/>
    <s v="REV102554"/>
    <x v="1"/>
  </r>
  <r>
    <d v="2023-12-18T00:00:00"/>
    <x v="11"/>
    <x v="5"/>
    <x v="4"/>
    <x v="4723"/>
    <x v="4810"/>
    <s v="UPI"/>
    <s v="REV103231"/>
    <x v="1"/>
  </r>
  <r>
    <d v="2023-12-19T00:00:00"/>
    <x v="11"/>
    <x v="7"/>
    <x v="0"/>
    <x v="4724"/>
    <x v="4811"/>
    <s v="Card"/>
    <s v="TXN100020"/>
    <x v="0"/>
  </r>
  <r>
    <d v="2023-12-19T00:00:00"/>
    <x v="11"/>
    <x v="1"/>
    <x v="2"/>
    <x v="4725"/>
    <x v="4812"/>
    <s v="Card"/>
    <s v="TXN101415"/>
    <x v="0"/>
  </r>
  <r>
    <d v="2023-12-19T00:00:00"/>
    <x v="11"/>
    <x v="0"/>
    <x v="2"/>
    <x v="4726"/>
    <x v="4813"/>
    <s v="Cash"/>
    <s v="TXN101506"/>
    <x v="0"/>
  </r>
  <r>
    <d v="2023-12-19T00:00:00"/>
    <x v="11"/>
    <x v="3"/>
    <x v="1"/>
    <x v="4727"/>
    <x v="4814"/>
    <s v="Cash"/>
    <s v="TXN102745"/>
    <x v="0"/>
  </r>
  <r>
    <d v="2023-12-19T00:00:00"/>
    <x v="11"/>
    <x v="3"/>
    <x v="0"/>
    <x v="4728"/>
    <x v="4815"/>
    <s v="Bank Transfer"/>
    <s v="TXN102871"/>
    <x v="0"/>
  </r>
  <r>
    <d v="2023-12-19T00:00:00"/>
    <x v="11"/>
    <x v="0"/>
    <x v="2"/>
    <x v="4729"/>
    <x v="4816"/>
    <s v="Card"/>
    <s v="TXN103172"/>
    <x v="0"/>
  </r>
  <r>
    <d v="2023-12-19T00:00:00"/>
    <x v="11"/>
    <x v="2"/>
    <x v="2"/>
    <x v="4730"/>
    <x v="4817"/>
    <s v="Bank Transfer"/>
    <s v="TXN103226"/>
    <x v="0"/>
  </r>
  <r>
    <d v="2023-12-19T00:00:00"/>
    <x v="11"/>
    <x v="4"/>
    <x v="2"/>
    <x v="4731"/>
    <x v="4818"/>
    <s v="Bank Transfer"/>
    <s v="TXN103540"/>
    <x v="0"/>
  </r>
  <r>
    <d v="2023-12-19T00:00:00"/>
    <x v="11"/>
    <x v="4"/>
    <x v="0"/>
    <x v="4732"/>
    <x v="4819"/>
    <s v="Cash"/>
    <s v="TXN103675"/>
    <x v="0"/>
  </r>
  <r>
    <d v="2023-12-19T00:00:00"/>
    <x v="11"/>
    <x v="7"/>
    <x v="1"/>
    <x v="4733"/>
    <x v="4820"/>
    <s v="Card"/>
    <s v="TXN104883"/>
    <x v="0"/>
  </r>
  <r>
    <d v="2023-12-19T00:00:00"/>
    <x v="11"/>
    <x v="7"/>
    <x v="4"/>
    <x v="4734"/>
    <x v="4821"/>
    <s v="Cash"/>
    <s v="TXN106089"/>
    <x v="0"/>
  </r>
  <r>
    <d v="2023-12-19T00:00:00"/>
    <x v="11"/>
    <x v="3"/>
    <x v="2"/>
    <x v="4735"/>
    <x v="4822"/>
    <s v="Bank Transfer"/>
    <s v="TXN107373"/>
    <x v="0"/>
  </r>
  <r>
    <d v="2023-12-19T00:00:00"/>
    <x v="11"/>
    <x v="7"/>
    <x v="0"/>
    <x v="4736"/>
    <x v="4823"/>
    <s v="UPI"/>
    <s v="TXN107844"/>
    <x v="0"/>
  </r>
  <r>
    <d v="2023-12-19T00:00:00"/>
    <x v="11"/>
    <x v="7"/>
    <x v="3"/>
    <x v="4737"/>
    <x v="4824"/>
    <s v="UPI"/>
    <s v="TXN108034"/>
    <x v="0"/>
  </r>
  <r>
    <d v="2023-12-19T00:00:00"/>
    <x v="11"/>
    <x v="2"/>
    <x v="3"/>
    <x v="4738"/>
    <x v="3715"/>
    <s v="Card"/>
    <s v="TXN108108"/>
    <x v="0"/>
  </r>
  <r>
    <d v="2023-12-19T00:00:00"/>
    <x v="11"/>
    <x v="3"/>
    <x v="4"/>
    <x v="4739"/>
    <x v="4825"/>
    <s v="Cash"/>
    <s v="TXN108277"/>
    <x v="0"/>
  </r>
  <r>
    <d v="2023-12-19T00:00:00"/>
    <x v="11"/>
    <x v="4"/>
    <x v="2"/>
    <x v="4740"/>
    <x v="4826"/>
    <s v="UPI"/>
    <s v="TXN108649"/>
    <x v="0"/>
  </r>
  <r>
    <d v="2023-12-19T00:00:00"/>
    <x v="11"/>
    <x v="5"/>
    <x v="0"/>
    <x v="397"/>
    <x v="1672"/>
    <s v="Bank Transfer"/>
    <s v="REV100008"/>
    <x v="1"/>
  </r>
  <r>
    <d v="2023-12-19T00:00:00"/>
    <x v="11"/>
    <x v="5"/>
    <x v="2"/>
    <x v="358"/>
    <x v="539"/>
    <s v="UPI"/>
    <s v="REV100518"/>
    <x v="1"/>
  </r>
  <r>
    <d v="2023-12-19T00:00:00"/>
    <x v="11"/>
    <x v="5"/>
    <x v="2"/>
    <x v="955"/>
    <x v="1968"/>
    <s v="Card"/>
    <s v="REV100552"/>
    <x v="1"/>
  </r>
  <r>
    <d v="2023-12-19T00:00:00"/>
    <x v="11"/>
    <x v="5"/>
    <x v="1"/>
    <x v="3445"/>
    <x v="465"/>
    <s v="Bank Transfer"/>
    <s v="REV100961"/>
    <x v="1"/>
  </r>
  <r>
    <d v="2023-12-19T00:00:00"/>
    <x v="11"/>
    <x v="6"/>
    <x v="0"/>
    <x v="4741"/>
    <x v="313"/>
    <s v="Bank Transfer"/>
    <s v="REV101008"/>
    <x v="1"/>
  </r>
  <r>
    <d v="2023-12-19T00:00:00"/>
    <x v="11"/>
    <x v="5"/>
    <x v="2"/>
    <x v="3522"/>
    <x v="51"/>
    <s v="Bank Transfer"/>
    <s v="REV101095"/>
    <x v="1"/>
  </r>
  <r>
    <d v="2023-12-19T00:00:00"/>
    <x v="11"/>
    <x v="5"/>
    <x v="2"/>
    <x v="883"/>
    <x v="1331"/>
    <s v="Bank Transfer"/>
    <s v="REV101106"/>
    <x v="1"/>
  </r>
  <r>
    <d v="2023-12-19T00:00:00"/>
    <x v="11"/>
    <x v="5"/>
    <x v="2"/>
    <x v="2057"/>
    <x v="4827"/>
    <s v="Bank Transfer"/>
    <s v="REV101208"/>
    <x v="1"/>
  </r>
  <r>
    <d v="2023-12-19T00:00:00"/>
    <x v="11"/>
    <x v="6"/>
    <x v="0"/>
    <x v="633"/>
    <x v="330"/>
    <s v="Bank Transfer"/>
    <s v="REV101257"/>
    <x v="1"/>
  </r>
  <r>
    <d v="2023-12-19T00:00:00"/>
    <x v="11"/>
    <x v="5"/>
    <x v="1"/>
    <x v="2883"/>
    <x v="2495"/>
    <s v="Bank Transfer"/>
    <s v="REV101668"/>
    <x v="1"/>
  </r>
  <r>
    <d v="2023-12-19T00:00:00"/>
    <x v="11"/>
    <x v="6"/>
    <x v="4"/>
    <x v="3840"/>
    <x v="896"/>
    <s v="Bank Transfer"/>
    <s v="REV102053"/>
    <x v="1"/>
  </r>
  <r>
    <d v="2023-12-19T00:00:00"/>
    <x v="11"/>
    <x v="6"/>
    <x v="2"/>
    <x v="1910"/>
    <x v="1853"/>
    <s v="Card"/>
    <s v="REV102501"/>
    <x v="1"/>
  </r>
  <r>
    <d v="2023-12-19T00:00:00"/>
    <x v="11"/>
    <x v="5"/>
    <x v="0"/>
    <x v="1235"/>
    <x v="2601"/>
    <s v="Card"/>
    <s v="REV102664"/>
    <x v="1"/>
  </r>
  <r>
    <d v="2023-12-19T00:00:00"/>
    <x v="11"/>
    <x v="5"/>
    <x v="3"/>
    <x v="393"/>
    <x v="202"/>
    <s v="UPI"/>
    <s v="REV102730"/>
    <x v="1"/>
  </r>
  <r>
    <d v="2023-12-19T00:00:00"/>
    <x v="11"/>
    <x v="6"/>
    <x v="3"/>
    <x v="4742"/>
    <x v="4828"/>
    <s v="Bank Transfer"/>
    <s v="REV102756"/>
    <x v="1"/>
  </r>
  <r>
    <d v="2023-12-19T00:00:00"/>
    <x v="11"/>
    <x v="5"/>
    <x v="4"/>
    <x v="2079"/>
    <x v="3604"/>
    <s v="UPI"/>
    <s v="REV102813"/>
    <x v="1"/>
  </r>
  <r>
    <d v="2023-12-19T00:00:00"/>
    <x v="11"/>
    <x v="5"/>
    <x v="2"/>
    <x v="1056"/>
    <x v="486"/>
    <s v="Card"/>
    <s v="REV102936"/>
    <x v="1"/>
  </r>
  <r>
    <d v="2023-12-20T00:00:00"/>
    <x v="11"/>
    <x v="4"/>
    <x v="0"/>
    <x v="4743"/>
    <x v="4829"/>
    <s v="Bank Transfer"/>
    <s v="TXN101310"/>
    <x v="0"/>
  </r>
  <r>
    <d v="2023-12-20T00:00:00"/>
    <x v="11"/>
    <x v="1"/>
    <x v="4"/>
    <x v="4744"/>
    <x v="4830"/>
    <s v="Card"/>
    <s v="TXN101654"/>
    <x v="0"/>
  </r>
  <r>
    <d v="2023-12-20T00:00:00"/>
    <x v="11"/>
    <x v="0"/>
    <x v="4"/>
    <x v="4745"/>
    <x v="4831"/>
    <s v="Bank Transfer"/>
    <s v="TXN101810"/>
    <x v="0"/>
  </r>
  <r>
    <d v="2023-12-20T00:00:00"/>
    <x v="11"/>
    <x v="3"/>
    <x v="0"/>
    <x v="4746"/>
    <x v="4832"/>
    <s v="UPI"/>
    <s v="TXN103746"/>
    <x v="0"/>
  </r>
  <r>
    <d v="2023-12-20T00:00:00"/>
    <x v="11"/>
    <x v="3"/>
    <x v="0"/>
    <x v="4747"/>
    <x v="4833"/>
    <s v="Bank Transfer"/>
    <s v="TXN104061"/>
    <x v="0"/>
  </r>
  <r>
    <d v="2023-12-20T00:00:00"/>
    <x v="11"/>
    <x v="0"/>
    <x v="2"/>
    <x v="4748"/>
    <x v="4834"/>
    <s v="Bank Transfer"/>
    <s v="TXN108308"/>
    <x v="0"/>
  </r>
  <r>
    <d v="2023-12-20T00:00:00"/>
    <x v="11"/>
    <x v="4"/>
    <x v="4"/>
    <x v="4749"/>
    <x v="4835"/>
    <s v="Cash"/>
    <s v="TXN109712"/>
    <x v="0"/>
  </r>
  <r>
    <d v="2023-12-20T00:00:00"/>
    <x v="11"/>
    <x v="1"/>
    <x v="2"/>
    <x v="169"/>
    <x v="4836"/>
    <s v="Card"/>
    <s v="TXN109969"/>
    <x v="0"/>
  </r>
  <r>
    <d v="2023-12-20T00:00:00"/>
    <x v="11"/>
    <x v="5"/>
    <x v="0"/>
    <x v="3384"/>
    <x v="3443"/>
    <s v="Card"/>
    <s v="REV100484"/>
    <x v="1"/>
  </r>
  <r>
    <d v="2023-12-20T00:00:00"/>
    <x v="11"/>
    <x v="5"/>
    <x v="4"/>
    <x v="3357"/>
    <x v="200"/>
    <s v="Card"/>
    <s v="REV100609"/>
    <x v="1"/>
  </r>
  <r>
    <d v="2023-12-20T00:00:00"/>
    <x v="11"/>
    <x v="5"/>
    <x v="4"/>
    <x v="4750"/>
    <x v="4837"/>
    <s v="UPI"/>
    <s v="REV100660"/>
    <x v="1"/>
  </r>
  <r>
    <d v="2023-12-20T00:00:00"/>
    <x v="11"/>
    <x v="5"/>
    <x v="0"/>
    <x v="991"/>
    <x v="1387"/>
    <s v="Bank Transfer"/>
    <s v="REV101290"/>
    <x v="1"/>
  </r>
  <r>
    <d v="2023-12-20T00:00:00"/>
    <x v="11"/>
    <x v="6"/>
    <x v="0"/>
    <x v="1400"/>
    <x v="1106"/>
    <s v="Card"/>
    <s v="REV101402"/>
    <x v="1"/>
  </r>
  <r>
    <d v="2023-12-20T00:00:00"/>
    <x v="11"/>
    <x v="6"/>
    <x v="2"/>
    <x v="108"/>
    <x v="2866"/>
    <s v="Card"/>
    <s v="REV102823"/>
    <x v="1"/>
  </r>
  <r>
    <d v="2023-12-20T00:00:00"/>
    <x v="11"/>
    <x v="5"/>
    <x v="4"/>
    <x v="3589"/>
    <x v="135"/>
    <s v="Bank Transfer"/>
    <s v="REV103283"/>
    <x v="1"/>
  </r>
  <r>
    <d v="2023-12-20T00:00:00"/>
    <x v="11"/>
    <x v="5"/>
    <x v="2"/>
    <x v="108"/>
    <x v="4294"/>
    <s v="Bank Transfer"/>
    <s v="REV103374"/>
    <x v="1"/>
  </r>
  <r>
    <d v="2023-12-21T00:00:00"/>
    <x v="11"/>
    <x v="2"/>
    <x v="2"/>
    <x v="4751"/>
    <x v="4838"/>
    <s v="UPI"/>
    <s v="TXN107901"/>
    <x v="0"/>
  </r>
  <r>
    <d v="2023-12-21T00:00:00"/>
    <x v="11"/>
    <x v="0"/>
    <x v="0"/>
    <x v="4752"/>
    <x v="4839"/>
    <s v="Bank Transfer"/>
    <s v="TXN108614"/>
    <x v="0"/>
  </r>
  <r>
    <d v="2023-12-21T00:00:00"/>
    <x v="11"/>
    <x v="6"/>
    <x v="2"/>
    <x v="423"/>
    <x v="719"/>
    <s v="Card"/>
    <s v="REV102681"/>
    <x v="1"/>
  </r>
  <r>
    <d v="2023-12-21T00:00:00"/>
    <x v="11"/>
    <x v="6"/>
    <x v="0"/>
    <x v="279"/>
    <x v="731"/>
    <s v="Bank Transfer"/>
    <s v="REV102926"/>
    <x v="1"/>
  </r>
  <r>
    <d v="2023-12-22T00:00:00"/>
    <x v="11"/>
    <x v="4"/>
    <x v="4"/>
    <x v="4753"/>
    <x v="4840"/>
    <s v="Bank Transfer"/>
    <s v="TXN101153"/>
    <x v="0"/>
  </r>
  <r>
    <d v="2023-12-22T00:00:00"/>
    <x v="11"/>
    <x v="4"/>
    <x v="1"/>
    <x v="4544"/>
    <x v="4841"/>
    <s v="Cash"/>
    <s v="TXN102396"/>
    <x v="0"/>
  </r>
  <r>
    <d v="2023-12-22T00:00:00"/>
    <x v="11"/>
    <x v="0"/>
    <x v="1"/>
    <x v="4754"/>
    <x v="4842"/>
    <s v="Bank Transfer"/>
    <s v="TXN103509"/>
    <x v="0"/>
  </r>
  <r>
    <d v="2023-12-22T00:00:00"/>
    <x v="11"/>
    <x v="0"/>
    <x v="1"/>
    <x v="4755"/>
    <x v="4843"/>
    <s v="UPI"/>
    <s v="TXN107180"/>
    <x v="0"/>
  </r>
  <r>
    <d v="2023-12-22T00:00:00"/>
    <x v="11"/>
    <x v="1"/>
    <x v="2"/>
    <x v="3792"/>
    <x v="4844"/>
    <s v="Bank Transfer"/>
    <s v="TXN107956"/>
    <x v="0"/>
  </r>
  <r>
    <d v="2023-12-22T00:00:00"/>
    <x v="11"/>
    <x v="4"/>
    <x v="2"/>
    <x v="4756"/>
    <x v="4845"/>
    <s v="Bank Transfer"/>
    <s v="TXN109593"/>
    <x v="0"/>
  </r>
  <r>
    <d v="2023-12-22T00:00:00"/>
    <x v="11"/>
    <x v="3"/>
    <x v="1"/>
    <x v="4757"/>
    <x v="4846"/>
    <s v="Bank Transfer"/>
    <s v="TXN109749"/>
    <x v="0"/>
  </r>
  <r>
    <d v="2023-12-22T00:00:00"/>
    <x v="11"/>
    <x v="5"/>
    <x v="4"/>
    <x v="4758"/>
    <x v="4847"/>
    <s v="UPI"/>
    <s v="REV100423"/>
    <x v="1"/>
  </r>
  <r>
    <d v="2023-12-22T00:00:00"/>
    <x v="11"/>
    <x v="6"/>
    <x v="1"/>
    <x v="1042"/>
    <x v="1492"/>
    <s v="Bank Transfer"/>
    <s v="REV100845"/>
    <x v="1"/>
  </r>
  <r>
    <d v="2023-12-22T00:00:00"/>
    <x v="11"/>
    <x v="5"/>
    <x v="1"/>
    <x v="715"/>
    <x v="4848"/>
    <s v="Bank Transfer"/>
    <s v="REV101196"/>
    <x v="1"/>
  </r>
  <r>
    <d v="2023-12-22T00:00:00"/>
    <x v="11"/>
    <x v="6"/>
    <x v="1"/>
    <x v="678"/>
    <x v="4849"/>
    <s v="Bank Transfer"/>
    <s v="REV102435"/>
    <x v="1"/>
  </r>
  <r>
    <d v="2023-12-22T00:00:00"/>
    <x v="11"/>
    <x v="5"/>
    <x v="2"/>
    <x v="327"/>
    <x v="412"/>
    <s v="Bank Transfer"/>
    <s v="REV102702"/>
    <x v="1"/>
  </r>
  <r>
    <d v="2023-12-22T00:00:00"/>
    <x v="11"/>
    <x v="6"/>
    <x v="2"/>
    <x v="1232"/>
    <x v="4850"/>
    <s v="Bank Transfer"/>
    <s v="REV103242"/>
    <x v="1"/>
  </r>
  <r>
    <d v="2023-12-22T00:00:00"/>
    <x v="11"/>
    <x v="6"/>
    <x v="1"/>
    <x v="4076"/>
    <x v="2967"/>
    <s v="Bank Transfer"/>
    <s v="REV103300"/>
    <x v="1"/>
  </r>
  <r>
    <d v="2023-12-23T00:00:00"/>
    <x v="11"/>
    <x v="0"/>
    <x v="4"/>
    <x v="4759"/>
    <x v="4851"/>
    <s v="Cash"/>
    <s v="TXN100077"/>
    <x v="0"/>
  </r>
  <r>
    <d v="2023-12-23T00:00:00"/>
    <x v="11"/>
    <x v="7"/>
    <x v="4"/>
    <x v="4760"/>
    <x v="4852"/>
    <s v="Bank Transfer"/>
    <s v="TXN100899"/>
    <x v="0"/>
  </r>
  <r>
    <d v="2023-12-23T00:00:00"/>
    <x v="11"/>
    <x v="1"/>
    <x v="2"/>
    <x v="4761"/>
    <x v="4853"/>
    <s v="UPI"/>
    <s v="TXN101838"/>
    <x v="0"/>
  </r>
  <r>
    <d v="2023-12-23T00:00:00"/>
    <x v="11"/>
    <x v="2"/>
    <x v="1"/>
    <x v="4762"/>
    <x v="4854"/>
    <s v="Bank Transfer"/>
    <s v="TXN102368"/>
    <x v="0"/>
  </r>
  <r>
    <d v="2023-12-23T00:00:00"/>
    <x v="11"/>
    <x v="2"/>
    <x v="3"/>
    <x v="4763"/>
    <x v="4855"/>
    <s v="Bank Transfer"/>
    <s v="TXN102534"/>
    <x v="0"/>
  </r>
  <r>
    <d v="2023-12-23T00:00:00"/>
    <x v="11"/>
    <x v="2"/>
    <x v="1"/>
    <x v="4764"/>
    <x v="4856"/>
    <s v="Cash"/>
    <s v="TXN103913"/>
    <x v="0"/>
  </r>
  <r>
    <d v="2023-12-23T00:00:00"/>
    <x v="11"/>
    <x v="1"/>
    <x v="1"/>
    <x v="4765"/>
    <x v="4857"/>
    <s v="Card"/>
    <s v="TXN104224"/>
    <x v="0"/>
  </r>
  <r>
    <d v="2023-12-23T00:00:00"/>
    <x v="11"/>
    <x v="7"/>
    <x v="1"/>
    <x v="4766"/>
    <x v="4858"/>
    <s v="Card"/>
    <s v="TXN105522"/>
    <x v="0"/>
  </r>
  <r>
    <d v="2023-12-23T00:00:00"/>
    <x v="11"/>
    <x v="5"/>
    <x v="4"/>
    <x v="1371"/>
    <x v="2699"/>
    <s v="Card"/>
    <s v="REV100028"/>
    <x v="1"/>
  </r>
  <r>
    <d v="2023-12-23T00:00:00"/>
    <x v="11"/>
    <x v="5"/>
    <x v="4"/>
    <x v="955"/>
    <x v="3651"/>
    <s v="Card"/>
    <s v="REV100331"/>
    <x v="1"/>
  </r>
  <r>
    <d v="2023-12-23T00:00:00"/>
    <x v="11"/>
    <x v="5"/>
    <x v="2"/>
    <x v="882"/>
    <x v="2779"/>
    <s v="Card"/>
    <s v="REV100670"/>
    <x v="1"/>
  </r>
  <r>
    <d v="2023-12-23T00:00:00"/>
    <x v="11"/>
    <x v="6"/>
    <x v="1"/>
    <x v="2920"/>
    <x v="2402"/>
    <s v="Card"/>
    <s v="REV100833"/>
    <x v="1"/>
  </r>
  <r>
    <d v="2023-12-23T00:00:00"/>
    <x v="11"/>
    <x v="5"/>
    <x v="3"/>
    <x v="2885"/>
    <x v="4859"/>
    <s v="Bank Transfer"/>
    <s v="REV100887"/>
    <x v="1"/>
  </r>
  <r>
    <d v="2023-12-23T00:00:00"/>
    <x v="11"/>
    <x v="5"/>
    <x v="1"/>
    <x v="4509"/>
    <x v="4663"/>
    <s v="Bank Transfer"/>
    <s v="REV101353"/>
    <x v="1"/>
  </r>
  <r>
    <d v="2023-12-23T00:00:00"/>
    <x v="11"/>
    <x v="6"/>
    <x v="1"/>
    <x v="1368"/>
    <x v="1792"/>
    <s v="Bank Transfer"/>
    <s v="REV101465"/>
    <x v="1"/>
  </r>
  <r>
    <d v="2023-12-23T00:00:00"/>
    <x v="11"/>
    <x v="5"/>
    <x v="1"/>
    <x v="648"/>
    <x v="2997"/>
    <s v="Bank Transfer"/>
    <s v="REV101879"/>
    <x v="1"/>
  </r>
  <r>
    <d v="2023-12-24T00:00:00"/>
    <x v="11"/>
    <x v="7"/>
    <x v="0"/>
    <x v="4767"/>
    <x v="4860"/>
    <s v="UPI"/>
    <s v="TXN101338"/>
    <x v="0"/>
  </r>
  <r>
    <d v="2023-12-24T00:00:00"/>
    <x v="11"/>
    <x v="3"/>
    <x v="1"/>
    <x v="4768"/>
    <x v="4861"/>
    <s v="Card"/>
    <s v="TXN103663"/>
    <x v="0"/>
  </r>
  <r>
    <d v="2023-12-24T00:00:00"/>
    <x v="11"/>
    <x v="0"/>
    <x v="3"/>
    <x v="4769"/>
    <x v="4862"/>
    <s v="Cash"/>
    <s v="TXN103721"/>
    <x v="0"/>
  </r>
  <r>
    <d v="2023-12-24T00:00:00"/>
    <x v="11"/>
    <x v="2"/>
    <x v="3"/>
    <x v="4770"/>
    <x v="4863"/>
    <s v="Cash"/>
    <s v="TXN107705"/>
    <x v="0"/>
  </r>
  <r>
    <d v="2023-12-24T00:00:00"/>
    <x v="11"/>
    <x v="6"/>
    <x v="0"/>
    <x v="3248"/>
    <x v="2824"/>
    <s v="UPI"/>
    <s v="REV100494"/>
    <x v="1"/>
  </r>
  <r>
    <d v="2023-12-24T00:00:00"/>
    <x v="11"/>
    <x v="5"/>
    <x v="1"/>
    <x v="16"/>
    <x v="3080"/>
    <s v="Bank Transfer"/>
    <s v="REV101254"/>
    <x v="1"/>
  </r>
  <r>
    <d v="2023-12-24T00:00:00"/>
    <x v="11"/>
    <x v="5"/>
    <x v="3"/>
    <x v="53"/>
    <x v="3552"/>
    <s v="Bank Transfer"/>
    <s v="REV101280"/>
    <x v="1"/>
  </r>
  <r>
    <d v="2023-12-24T00:00:00"/>
    <x v="11"/>
    <x v="6"/>
    <x v="3"/>
    <x v="1862"/>
    <x v="2265"/>
    <s v="Bank Transfer"/>
    <s v="REV102623"/>
    <x v="1"/>
  </r>
  <r>
    <d v="2023-12-25T00:00:00"/>
    <x v="11"/>
    <x v="1"/>
    <x v="4"/>
    <x v="4771"/>
    <x v="4864"/>
    <s v="Cash"/>
    <s v="TXN100533"/>
    <x v="0"/>
  </r>
  <r>
    <d v="2023-12-25T00:00:00"/>
    <x v="11"/>
    <x v="1"/>
    <x v="0"/>
    <x v="4772"/>
    <x v="4865"/>
    <s v="UPI"/>
    <s v="TXN101564"/>
    <x v="0"/>
  </r>
  <r>
    <d v="2023-12-25T00:00:00"/>
    <x v="11"/>
    <x v="7"/>
    <x v="3"/>
    <x v="4773"/>
    <x v="4866"/>
    <s v="Card"/>
    <s v="TXN102410"/>
    <x v="0"/>
  </r>
  <r>
    <d v="2023-12-25T00:00:00"/>
    <x v="11"/>
    <x v="4"/>
    <x v="4"/>
    <x v="4774"/>
    <x v="4867"/>
    <s v="Bank Transfer"/>
    <s v="TXN102685"/>
    <x v="0"/>
  </r>
  <r>
    <d v="2023-12-25T00:00:00"/>
    <x v="11"/>
    <x v="4"/>
    <x v="1"/>
    <x v="4775"/>
    <x v="486"/>
    <s v="UPI"/>
    <s v="TXN102818"/>
    <x v="0"/>
  </r>
  <r>
    <d v="2023-12-25T00:00:00"/>
    <x v="11"/>
    <x v="1"/>
    <x v="4"/>
    <x v="4776"/>
    <x v="4868"/>
    <s v="UPI"/>
    <s v="TXN103230"/>
    <x v="0"/>
  </r>
  <r>
    <d v="2023-12-25T00:00:00"/>
    <x v="11"/>
    <x v="2"/>
    <x v="1"/>
    <x v="4777"/>
    <x v="4869"/>
    <s v="Card"/>
    <s v="TXN103764"/>
    <x v="0"/>
  </r>
  <r>
    <d v="2023-12-25T00:00:00"/>
    <x v="11"/>
    <x v="0"/>
    <x v="1"/>
    <x v="4778"/>
    <x v="4870"/>
    <s v="Bank Transfer"/>
    <s v="TXN104094"/>
    <x v="0"/>
  </r>
  <r>
    <d v="2023-12-25T00:00:00"/>
    <x v="11"/>
    <x v="2"/>
    <x v="2"/>
    <x v="4779"/>
    <x v="4871"/>
    <s v="UPI"/>
    <s v="TXN105025"/>
    <x v="0"/>
  </r>
  <r>
    <d v="2023-12-25T00:00:00"/>
    <x v="11"/>
    <x v="4"/>
    <x v="4"/>
    <x v="4780"/>
    <x v="4872"/>
    <s v="UPI"/>
    <s v="TXN107066"/>
    <x v="0"/>
  </r>
  <r>
    <d v="2023-12-25T00:00:00"/>
    <x v="11"/>
    <x v="2"/>
    <x v="4"/>
    <x v="4781"/>
    <x v="4873"/>
    <s v="Card"/>
    <s v="TXN107196"/>
    <x v="0"/>
  </r>
  <r>
    <d v="2023-12-25T00:00:00"/>
    <x v="11"/>
    <x v="1"/>
    <x v="2"/>
    <x v="4782"/>
    <x v="4874"/>
    <s v="Bank Transfer"/>
    <s v="TXN107207"/>
    <x v="0"/>
  </r>
  <r>
    <d v="2023-12-25T00:00:00"/>
    <x v="11"/>
    <x v="1"/>
    <x v="2"/>
    <x v="4783"/>
    <x v="4875"/>
    <s v="Cash"/>
    <s v="TXN107675"/>
    <x v="0"/>
  </r>
  <r>
    <d v="2023-12-25T00:00:00"/>
    <x v="11"/>
    <x v="7"/>
    <x v="0"/>
    <x v="4784"/>
    <x v="4876"/>
    <s v="Card"/>
    <s v="TXN107760"/>
    <x v="0"/>
  </r>
  <r>
    <d v="2023-12-25T00:00:00"/>
    <x v="11"/>
    <x v="2"/>
    <x v="2"/>
    <x v="4785"/>
    <x v="4877"/>
    <s v="Bank Transfer"/>
    <s v="TXN109135"/>
    <x v="0"/>
  </r>
  <r>
    <d v="2023-12-25T00:00:00"/>
    <x v="11"/>
    <x v="6"/>
    <x v="4"/>
    <x v="2410"/>
    <x v="936"/>
    <s v="Card"/>
    <s v="REV100210"/>
    <x v="1"/>
  </r>
  <r>
    <d v="2023-12-25T00:00:00"/>
    <x v="11"/>
    <x v="5"/>
    <x v="0"/>
    <x v="3163"/>
    <x v="2111"/>
    <s v="Card"/>
    <s v="REV100575"/>
    <x v="1"/>
  </r>
  <r>
    <d v="2023-12-25T00:00:00"/>
    <x v="11"/>
    <x v="6"/>
    <x v="3"/>
    <x v="328"/>
    <x v="1565"/>
    <s v="Bank Transfer"/>
    <s v="REV100852"/>
    <x v="1"/>
  </r>
  <r>
    <d v="2023-12-25T00:00:00"/>
    <x v="11"/>
    <x v="5"/>
    <x v="4"/>
    <x v="1836"/>
    <x v="2938"/>
    <s v="Bank Transfer"/>
    <s v="REV100939"/>
    <x v="1"/>
  </r>
  <r>
    <d v="2023-12-25T00:00:00"/>
    <x v="11"/>
    <x v="5"/>
    <x v="1"/>
    <x v="4426"/>
    <x v="3478"/>
    <s v="Card"/>
    <s v="REV100995"/>
    <x v="1"/>
  </r>
  <r>
    <d v="2023-12-25T00:00:00"/>
    <x v="11"/>
    <x v="5"/>
    <x v="4"/>
    <x v="2978"/>
    <x v="676"/>
    <s v="Bank Transfer"/>
    <s v="REV101107"/>
    <x v="1"/>
  </r>
  <r>
    <d v="2023-12-25T00:00:00"/>
    <x v="11"/>
    <x v="5"/>
    <x v="1"/>
    <x v="2747"/>
    <x v="4878"/>
    <s v="Bank Transfer"/>
    <s v="REV101294"/>
    <x v="1"/>
  </r>
  <r>
    <d v="2023-12-25T00:00:00"/>
    <x v="11"/>
    <x v="6"/>
    <x v="1"/>
    <x v="1854"/>
    <x v="84"/>
    <s v="Bank Transfer"/>
    <s v="REV101413"/>
    <x v="1"/>
  </r>
  <r>
    <d v="2023-12-25T00:00:00"/>
    <x v="11"/>
    <x v="6"/>
    <x v="2"/>
    <x v="235"/>
    <x v="425"/>
    <s v="Card"/>
    <s v="REV101713"/>
    <x v="1"/>
  </r>
  <r>
    <d v="2023-12-25T00:00:00"/>
    <x v="11"/>
    <x v="5"/>
    <x v="4"/>
    <x v="4786"/>
    <x v="4879"/>
    <s v="Card"/>
    <s v="REV102400"/>
    <x v="1"/>
  </r>
  <r>
    <d v="2023-12-25T00:00:00"/>
    <x v="11"/>
    <x v="5"/>
    <x v="4"/>
    <x v="2079"/>
    <x v="595"/>
    <s v="Bank Transfer"/>
    <s v="REV102443"/>
    <x v="1"/>
  </r>
  <r>
    <d v="2023-12-25T00:00:00"/>
    <x v="11"/>
    <x v="5"/>
    <x v="2"/>
    <x v="1276"/>
    <x v="4880"/>
    <s v="Bank Transfer"/>
    <s v="REV102446"/>
    <x v="1"/>
  </r>
  <r>
    <d v="2023-12-25T00:00:00"/>
    <x v="11"/>
    <x v="5"/>
    <x v="2"/>
    <x v="3787"/>
    <x v="4881"/>
    <s v="Bank Transfer"/>
    <s v="REV102615"/>
    <x v="1"/>
  </r>
  <r>
    <d v="2023-12-25T00:00:00"/>
    <x v="11"/>
    <x v="6"/>
    <x v="0"/>
    <x v="4787"/>
    <x v="4882"/>
    <s v="UPI"/>
    <s v="REV102641"/>
    <x v="1"/>
  </r>
  <r>
    <d v="2023-12-25T00:00:00"/>
    <x v="11"/>
    <x v="5"/>
    <x v="2"/>
    <x v="3436"/>
    <x v="190"/>
    <s v="Card"/>
    <s v="REV103088"/>
    <x v="1"/>
  </r>
  <r>
    <d v="2023-12-26T00:00:00"/>
    <x v="11"/>
    <x v="3"/>
    <x v="1"/>
    <x v="4788"/>
    <x v="4883"/>
    <s v="UPI"/>
    <s v="TXN102022"/>
    <x v="0"/>
  </r>
  <r>
    <d v="2023-12-26T00:00:00"/>
    <x v="11"/>
    <x v="1"/>
    <x v="4"/>
    <x v="4789"/>
    <x v="4884"/>
    <s v="Card"/>
    <s v="TXN102191"/>
    <x v="0"/>
  </r>
  <r>
    <d v="2023-12-26T00:00:00"/>
    <x v="11"/>
    <x v="0"/>
    <x v="0"/>
    <x v="4790"/>
    <x v="4885"/>
    <s v="Bank Transfer"/>
    <s v="TXN102318"/>
    <x v="0"/>
  </r>
  <r>
    <d v="2023-12-26T00:00:00"/>
    <x v="11"/>
    <x v="3"/>
    <x v="4"/>
    <x v="4791"/>
    <x v="4886"/>
    <s v="Card"/>
    <s v="TXN102705"/>
    <x v="0"/>
  </r>
  <r>
    <d v="2023-12-26T00:00:00"/>
    <x v="11"/>
    <x v="0"/>
    <x v="0"/>
    <x v="4792"/>
    <x v="4887"/>
    <s v="Cash"/>
    <s v="TXN104554"/>
    <x v="0"/>
  </r>
  <r>
    <d v="2023-12-26T00:00:00"/>
    <x v="11"/>
    <x v="4"/>
    <x v="3"/>
    <x v="4793"/>
    <x v="4888"/>
    <s v="Bank Transfer"/>
    <s v="TXN104671"/>
    <x v="0"/>
  </r>
  <r>
    <d v="2023-12-26T00:00:00"/>
    <x v="11"/>
    <x v="3"/>
    <x v="3"/>
    <x v="4794"/>
    <x v="4889"/>
    <s v="Card"/>
    <s v="TXN105829"/>
    <x v="0"/>
  </r>
  <r>
    <d v="2023-12-26T00:00:00"/>
    <x v="11"/>
    <x v="3"/>
    <x v="4"/>
    <x v="4795"/>
    <x v="4890"/>
    <s v="Cash"/>
    <s v="TXN106459"/>
    <x v="0"/>
  </r>
  <r>
    <d v="2023-12-26T00:00:00"/>
    <x v="11"/>
    <x v="2"/>
    <x v="4"/>
    <x v="4796"/>
    <x v="4891"/>
    <s v="UPI"/>
    <s v="TXN106980"/>
    <x v="0"/>
  </r>
  <r>
    <d v="2023-12-26T00:00:00"/>
    <x v="11"/>
    <x v="4"/>
    <x v="3"/>
    <x v="4797"/>
    <x v="4892"/>
    <s v="Card"/>
    <s v="TXN107394"/>
    <x v="0"/>
  </r>
  <r>
    <d v="2023-12-26T00:00:00"/>
    <x v="11"/>
    <x v="1"/>
    <x v="3"/>
    <x v="4798"/>
    <x v="3455"/>
    <s v="Card"/>
    <s v="TXN109972"/>
    <x v="0"/>
  </r>
  <r>
    <d v="2023-12-26T00:00:00"/>
    <x v="11"/>
    <x v="5"/>
    <x v="1"/>
    <x v="4799"/>
    <x v="3663"/>
    <s v="Bank Transfer"/>
    <s v="REV100717"/>
    <x v="1"/>
  </r>
  <r>
    <d v="2023-12-26T00:00:00"/>
    <x v="11"/>
    <x v="6"/>
    <x v="4"/>
    <x v="1759"/>
    <x v="4893"/>
    <s v="Card"/>
    <s v="REV100778"/>
    <x v="1"/>
  </r>
  <r>
    <d v="2023-12-26T00:00:00"/>
    <x v="11"/>
    <x v="5"/>
    <x v="0"/>
    <x v="987"/>
    <x v="359"/>
    <s v="UPI"/>
    <s v="REV100820"/>
    <x v="1"/>
  </r>
  <r>
    <d v="2023-12-26T00:00:00"/>
    <x v="11"/>
    <x v="5"/>
    <x v="4"/>
    <x v="2410"/>
    <x v="719"/>
    <s v="Bank Transfer"/>
    <s v="REV100944"/>
    <x v="1"/>
  </r>
  <r>
    <d v="2023-12-26T00:00:00"/>
    <x v="11"/>
    <x v="6"/>
    <x v="0"/>
    <x v="972"/>
    <x v="1660"/>
    <s v="Bank Transfer"/>
    <s v="REV101562"/>
    <x v="1"/>
  </r>
  <r>
    <d v="2023-12-26T00:00:00"/>
    <x v="11"/>
    <x v="6"/>
    <x v="3"/>
    <x v="4800"/>
    <x v="3046"/>
    <s v="Card"/>
    <s v="REV101598"/>
    <x v="1"/>
  </r>
  <r>
    <d v="2023-12-26T00:00:00"/>
    <x v="11"/>
    <x v="6"/>
    <x v="3"/>
    <x v="1357"/>
    <x v="3349"/>
    <s v="Card"/>
    <s v="REV101972"/>
    <x v="1"/>
  </r>
  <r>
    <d v="2023-12-26T00:00:00"/>
    <x v="11"/>
    <x v="5"/>
    <x v="4"/>
    <x v="4801"/>
    <x v="4894"/>
    <s v="Card"/>
    <s v="REV102187"/>
    <x v="1"/>
  </r>
  <r>
    <d v="2023-12-26T00:00:00"/>
    <x v="11"/>
    <x v="5"/>
    <x v="4"/>
    <x v="2711"/>
    <x v="719"/>
    <s v="Bank Transfer"/>
    <s v="REV102371"/>
    <x v="1"/>
  </r>
  <r>
    <d v="2023-12-26T00:00:00"/>
    <x v="11"/>
    <x v="5"/>
    <x v="3"/>
    <x v="675"/>
    <x v="2355"/>
    <s v="Bank Transfer"/>
    <s v="REV102513"/>
    <x v="1"/>
  </r>
  <r>
    <d v="2023-12-26T00:00:00"/>
    <x v="11"/>
    <x v="5"/>
    <x v="3"/>
    <x v="2318"/>
    <x v="1062"/>
    <s v="UPI"/>
    <s v="REV103376"/>
    <x v="1"/>
  </r>
  <r>
    <d v="2023-12-27T00:00:00"/>
    <x v="11"/>
    <x v="4"/>
    <x v="3"/>
    <x v="4802"/>
    <x v="4895"/>
    <s v="Bank Transfer"/>
    <s v="TXN101770"/>
    <x v="0"/>
  </r>
  <r>
    <d v="2023-12-27T00:00:00"/>
    <x v="11"/>
    <x v="2"/>
    <x v="2"/>
    <x v="4803"/>
    <x v="4896"/>
    <s v="Bank Transfer"/>
    <s v="TXN104619"/>
    <x v="0"/>
  </r>
  <r>
    <d v="2023-12-27T00:00:00"/>
    <x v="11"/>
    <x v="0"/>
    <x v="3"/>
    <x v="4804"/>
    <x v="4897"/>
    <s v="Bank Transfer"/>
    <s v="TXN107528"/>
    <x v="0"/>
  </r>
  <r>
    <d v="2023-12-27T00:00:00"/>
    <x v="11"/>
    <x v="3"/>
    <x v="3"/>
    <x v="4805"/>
    <x v="4898"/>
    <s v="Cash"/>
    <s v="TXN107855"/>
    <x v="0"/>
  </r>
  <r>
    <d v="2023-12-27T00:00:00"/>
    <x v="11"/>
    <x v="1"/>
    <x v="4"/>
    <x v="4806"/>
    <x v="4899"/>
    <s v="Cash"/>
    <s v="TXN107879"/>
    <x v="0"/>
  </r>
  <r>
    <d v="2023-12-27T00:00:00"/>
    <x v="11"/>
    <x v="3"/>
    <x v="1"/>
    <x v="4807"/>
    <x v="4900"/>
    <s v="Cash"/>
    <s v="TXN108394"/>
    <x v="0"/>
  </r>
  <r>
    <d v="2023-12-27T00:00:00"/>
    <x v="11"/>
    <x v="5"/>
    <x v="3"/>
    <x v="1184"/>
    <x v="4901"/>
    <s v="UPI"/>
    <s v="REV100642"/>
    <x v="1"/>
  </r>
  <r>
    <d v="2023-12-27T00:00:00"/>
    <x v="11"/>
    <x v="6"/>
    <x v="2"/>
    <x v="4808"/>
    <x v="515"/>
    <s v="Bank Transfer"/>
    <s v="REV101578"/>
    <x v="1"/>
  </r>
  <r>
    <d v="2023-12-27T00:00:00"/>
    <x v="11"/>
    <x v="6"/>
    <x v="3"/>
    <x v="436"/>
    <x v="488"/>
    <s v="UPI"/>
    <s v="REV102555"/>
    <x v="1"/>
  </r>
  <r>
    <d v="2023-12-27T00:00:00"/>
    <x v="11"/>
    <x v="5"/>
    <x v="3"/>
    <x v="1244"/>
    <x v="1731"/>
    <s v="Card"/>
    <s v="REV102668"/>
    <x v="1"/>
  </r>
  <r>
    <d v="2023-12-27T00:00:00"/>
    <x v="11"/>
    <x v="6"/>
    <x v="4"/>
    <x v="920"/>
    <x v="249"/>
    <s v="Bank Transfer"/>
    <s v="REV102677"/>
    <x v="1"/>
  </r>
  <r>
    <d v="2023-12-27T00:00:00"/>
    <x v="11"/>
    <x v="5"/>
    <x v="1"/>
    <x v="1551"/>
    <x v="4902"/>
    <s v="Bank Transfer"/>
    <s v="REV102851"/>
    <x v="1"/>
  </r>
  <r>
    <d v="2023-12-28T00:00:00"/>
    <x v="11"/>
    <x v="0"/>
    <x v="3"/>
    <x v="869"/>
    <x v="4903"/>
    <s v="Cash"/>
    <s v="TXN102208"/>
    <x v="0"/>
  </r>
  <r>
    <d v="2023-12-28T00:00:00"/>
    <x v="11"/>
    <x v="0"/>
    <x v="1"/>
    <x v="4809"/>
    <x v="4904"/>
    <s v="Bank Transfer"/>
    <s v="TXN102896"/>
    <x v="0"/>
  </r>
  <r>
    <d v="2023-12-28T00:00:00"/>
    <x v="11"/>
    <x v="1"/>
    <x v="2"/>
    <x v="4810"/>
    <x v="4905"/>
    <s v="Cash"/>
    <s v="TXN103246"/>
    <x v="0"/>
  </r>
  <r>
    <d v="2023-12-28T00:00:00"/>
    <x v="11"/>
    <x v="4"/>
    <x v="1"/>
    <x v="4811"/>
    <x v="4906"/>
    <s v="UPI"/>
    <s v="TXN104659"/>
    <x v="0"/>
  </r>
  <r>
    <d v="2023-12-28T00:00:00"/>
    <x v="11"/>
    <x v="7"/>
    <x v="3"/>
    <x v="4812"/>
    <x v="4907"/>
    <s v="Cash"/>
    <s v="TXN105014"/>
    <x v="0"/>
  </r>
  <r>
    <d v="2023-12-28T00:00:00"/>
    <x v="11"/>
    <x v="2"/>
    <x v="1"/>
    <x v="4813"/>
    <x v="4908"/>
    <s v="Cash"/>
    <s v="TXN107258"/>
    <x v="0"/>
  </r>
  <r>
    <d v="2023-12-28T00:00:00"/>
    <x v="11"/>
    <x v="0"/>
    <x v="4"/>
    <x v="4814"/>
    <x v="4909"/>
    <s v="Cash"/>
    <s v="TXN107862"/>
    <x v="0"/>
  </r>
  <r>
    <d v="2023-12-28T00:00:00"/>
    <x v="11"/>
    <x v="2"/>
    <x v="4"/>
    <x v="4815"/>
    <x v="4910"/>
    <s v="Cash"/>
    <s v="TXN108566"/>
    <x v="0"/>
  </r>
  <r>
    <d v="2023-12-28T00:00:00"/>
    <x v="11"/>
    <x v="3"/>
    <x v="3"/>
    <x v="4816"/>
    <x v="4911"/>
    <s v="UPI"/>
    <s v="TXN109585"/>
    <x v="0"/>
  </r>
  <r>
    <d v="2023-12-28T00:00:00"/>
    <x v="11"/>
    <x v="3"/>
    <x v="3"/>
    <x v="4817"/>
    <x v="4912"/>
    <s v="UPI"/>
    <s v="TXN109730"/>
    <x v="0"/>
  </r>
  <r>
    <d v="2023-12-28T00:00:00"/>
    <x v="11"/>
    <x v="6"/>
    <x v="3"/>
    <x v="955"/>
    <x v="813"/>
    <s v="Bank Transfer"/>
    <s v="REV100781"/>
    <x v="1"/>
  </r>
  <r>
    <d v="2023-12-28T00:00:00"/>
    <x v="11"/>
    <x v="5"/>
    <x v="1"/>
    <x v="1613"/>
    <x v="261"/>
    <s v="Bank Transfer"/>
    <s v="REV101011"/>
    <x v="1"/>
  </r>
  <r>
    <d v="2023-12-28T00:00:00"/>
    <x v="11"/>
    <x v="6"/>
    <x v="2"/>
    <x v="1355"/>
    <x v="4913"/>
    <s v="Card"/>
    <s v="REV101114"/>
    <x v="1"/>
  </r>
  <r>
    <d v="2023-12-28T00:00:00"/>
    <x v="11"/>
    <x v="5"/>
    <x v="1"/>
    <x v="3283"/>
    <x v="1706"/>
    <s v="Bank Transfer"/>
    <s v="REV101591"/>
    <x v="1"/>
  </r>
  <r>
    <d v="2023-12-28T00:00:00"/>
    <x v="11"/>
    <x v="5"/>
    <x v="3"/>
    <x v="4818"/>
    <x v="4914"/>
    <s v="Bank Transfer"/>
    <s v="REV101709"/>
    <x v="1"/>
  </r>
  <r>
    <d v="2023-12-28T00:00:00"/>
    <x v="11"/>
    <x v="5"/>
    <x v="1"/>
    <x v="1500"/>
    <x v="4915"/>
    <s v="Card"/>
    <s v="REV102468"/>
    <x v="1"/>
  </r>
  <r>
    <d v="2023-12-28T00:00:00"/>
    <x v="11"/>
    <x v="5"/>
    <x v="4"/>
    <x v="3356"/>
    <x v="468"/>
    <s v="Bank Transfer"/>
    <s v="REV102672"/>
    <x v="1"/>
  </r>
  <r>
    <d v="2023-12-28T00:00:00"/>
    <x v="11"/>
    <x v="6"/>
    <x v="4"/>
    <x v="1443"/>
    <x v="13"/>
    <s v="Card"/>
    <s v="REV102906"/>
    <x v="1"/>
  </r>
  <r>
    <d v="2023-12-28T00:00:00"/>
    <x v="11"/>
    <x v="5"/>
    <x v="3"/>
    <x v="2151"/>
    <x v="3048"/>
    <s v="UPI"/>
    <s v="REV103237"/>
    <x v="1"/>
  </r>
  <r>
    <d v="2023-12-28T00:00:00"/>
    <x v="11"/>
    <x v="5"/>
    <x v="3"/>
    <x v="724"/>
    <x v="1782"/>
    <s v="Card"/>
    <s v="REV103293"/>
    <x v="1"/>
  </r>
  <r>
    <d v="2023-12-29T00:00:00"/>
    <x v="11"/>
    <x v="4"/>
    <x v="0"/>
    <x v="4819"/>
    <x v="4916"/>
    <s v="Cash"/>
    <s v="TXN100342"/>
    <x v="0"/>
  </r>
  <r>
    <d v="2023-12-29T00:00:00"/>
    <x v="11"/>
    <x v="2"/>
    <x v="2"/>
    <x v="4820"/>
    <x v="4917"/>
    <s v="UPI"/>
    <s v="TXN100429"/>
    <x v="0"/>
  </r>
  <r>
    <d v="2023-12-29T00:00:00"/>
    <x v="11"/>
    <x v="1"/>
    <x v="1"/>
    <x v="4821"/>
    <x v="4918"/>
    <s v="Cash"/>
    <s v="TXN101545"/>
    <x v="0"/>
  </r>
  <r>
    <d v="2023-12-29T00:00:00"/>
    <x v="11"/>
    <x v="4"/>
    <x v="0"/>
    <x v="4822"/>
    <x v="4919"/>
    <s v="UPI"/>
    <s v="TXN102587"/>
    <x v="0"/>
  </r>
  <r>
    <d v="2023-12-29T00:00:00"/>
    <x v="11"/>
    <x v="1"/>
    <x v="3"/>
    <x v="4823"/>
    <x v="4920"/>
    <s v="Card"/>
    <s v="TXN103169"/>
    <x v="0"/>
  </r>
  <r>
    <d v="2023-12-29T00:00:00"/>
    <x v="11"/>
    <x v="1"/>
    <x v="4"/>
    <x v="4824"/>
    <x v="3999"/>
    <s v="Cash"/>
    <s v="TXN104167"/>
    <x v="0"/>
  </r>
  <r>
    <d v="2023-12-29T00:00:00"/>
    <x v="11"/>
    <x v="1"/>
    <x v="2"/>
    <x v="4825"/>
    <x v="4921"/>
    <s v="Card"/>
    <s v="TXN104799"/>
    <x v="0"/>
  </r>
  <r>
    <d v="2023-12-29T00:00:00"/>
    <x v="11"/>
    <x v="2"/>
    <x v="3"/>
    <x v="4826"/>
    <x v="4922"/>
    <s v="Cash"/>
    <s v="TXN104961"/>
    <x v="0"/>
  </r>
  <r>
    <d v="2023-12-29T00:00:00"/>
    <x v="11"/>
    <x v="1"/>
    <x v="1"/>
    <x v="4827"/>
    <x v="4923"/>
    <s v="UPI"/>
    <s v="TXN105105"/>
    <x v="0"/>
  </r>
  <r>
    <d v="2023-12-29T00:00:00"/>
    <x v="11"/>
    <x v="1"/>
    <x v="1"/>
    <x v="4828"/>
    <x v="4353"/>
    <s v="Cash"/>
    <s v="TXN105279"/>
    <x v="0"/>
  </r>
  <r>
    <d v="2023-12-29T00:00:00"/>
    <x v="11"/>
    <x v="3"/>
    <x v="1"/>
    <x v="4829"/>
    <x v="4924"/>
    <s v="Bank Transfer"/>
    <s v="TXN105531"/>
    <x v="0"/>
  </r>
  <r>
    <d v="2023-12-29T00:00:00"/>
    <x v="11"/>
    <x v="1"/>
    <x v="1"/>
    <x v="4830"/>
    <x v="4925"/>
    <s v="Bank Transfer"/>
    <s v="TXN106101"/>
    <x v="0"/>
  </r>
  <r>
    <d v="2023-12-29T00:00:00"/>
    <x v="11"/>
    <x v="1"/>
    <x v="4"/>
    <x v="4831"/>
    <x v="4926"/>
    <s v="UPI"/>
    <s v="TXN106340"/>
    <x v="0"/>
  </r>
  <r>
    <d v="2023-12-29T00:00:00"/>
    <x v="11"/>
    <x v="3"/>
    <x v="0"/>
    <x v="4832"/>
    <x v="4927"/>
    <s v="Bank Transfer"/>
    <s v="TXN106538"/>
    <x v="0"/>
  </r>
  <r>
    <d v="2023-12-29T00:00:00"/>
    <x v="11"/>
    <x v="4"/>
    <x v="1"/>
    <x v="4833"/>
    <x v="4928"/>
    <s v="Card"/>
    <s v="TXN108736"/>
    <x v="0"/>
  </r>
  <r>
    <d v="2023-12-29T00:00:00"/>
    <x v="11"/>
    <x v="7"/>
    <x v="0"/>
    <x v="4834"/>
    <x v="4929"/>
    <s v="UPI"/>
    <s v="TXN108787"/>
    <x v="0"/>
  </r>
  <r>
    <d v="2023-12-29T00:00:00"/>
    <x v="11"/>
    <x v="3"/>
    <x v="3"/>
    <x v="4835"/>
    <x v="4930"/>
    <s v="Bank Transfer"/>
    <s v="TXN109573"/>
    <x v="0"/>
  </r>
  <r>
    <d v="2023-12-29T00:00:00"/>
    <x v="11"/>
    <x v="5"/>
    <x v="0"/>
    <x v="1471"/>
    <x v="4532"/>
    <s v="Card"/>
    <s v="REV100127"/>
    <x v="1"/>
  </r>
  <r>
    <d v="2023-12-29T00:00:00"/>
    <x v="11"/>
    <x v="6"/>
    <x v="2"/>
    <x v="4836"/>
    <x v="11"/>
    <s v="Bank Transfer"/>
    <s v="REV100161"/>
    <x v="1"/>
  </r>
  <r>
    <d v="2023-12-29T00:00:00"/>
    <x v="11"/>
    <x v="5"/>
    <x v="1"/>
    <x v="3181"/>
    <x v="358"/>
    <s v="Card"/>
    <s v="REV100568"/>
    <x v="1"/>
  </r>
  <r>
    <d v="2023-12-29T00:00:00"/>
    <x v="11"/>
    <x v="6"/>
    <x v="0"/>
    <x v="1336"/>
    <x v="1237"/>
    <s v="Bank Transfer"/>
    <s v="REV100904"/>
    <x v="1"/>
  </r>
  <r>
    <d v="2023-12-29T00:00:00"/>
    <x v="11"/>
    <x v="5"/>
    <x v="3"/>
    <x v="4837"/>
    <x v="2416"/>
    <s v="Bank Transfer"/>
    <s v="REV101093"/>
    <x v="1"/>
  </r>
  <r>
    <d v="2023-12-29T00:00:00"/>
    <x v="11"/>
    <x v="5"/>
    <x v="4"/>
    <x v="3445"/>
    <x v="949"/>
    <s v="Card"/>
    <s v="REV101445"/>
    <x v="1"/>
  </r>
  <r>
    <d v="2023-12-29T00:00:00"/>
    <x v="11"/>
    <x v="5"/>
    <x v="2"/>
    <x v="3000"/>
    <x v="268"/>
    <s v="Bank Transfer"/>
    <s v="REV101636"/>
    <x v="1"/>
  </r>
  <r>
    <d v="2023-12-29T00:00:00"/>
    <x v="11"/>
    <x v="6"/>
    <x v="3"/>
    <x v="3382"/>
    <x v="2416"/>
    <s v="Bank Transfer"/>
    <s v="REV101693"/>
    <x v="1"/>
  </r>
  <r>
    <d v="2023-12-29T00:00:00"/>
    <x v="11"/>
    <x v="5"/>
    <x v="1"/>
    <x v="1549"/>
    <x v="3132"/>
    <s v="Bank Transfer"/>
    <s v="REV101738"/>
    <x v="1"/>
  </r>
  <r>
    <d v="2023-12-29T00:00:00"/>
    <x v="11"/>
    <x v="5"/>
    <x v="1"/>
    <x v="3407"/>
    <x v="1575"/>
    <s v="Card"/>
    <s v="REV101789"/>
    <x v="1"/>
  </r>
  <r>
    <d v="2023-12-29T00:00:00"/>
    <x v="11"/>
    <x v="5"/>
    <x v="1"/>
    <x v="3179"/>
    <x v="4552"/>
    <s v="Card"/>
    <s v="REV101882"/>
    <x v="1"/>
  </r>
  <r>
    <d v="2023-12-29T00:00:00"/>
    <x v="11"/>
    <x v="5"/>
    <x v="1"/>
    <x v="4187"/>
    <x v="3059"/>
    <s v="Bank Transfer"/>
    <s v="REV102058"/>
    <x v="1"/>
  </r>
  <r>
    <d v="2023-12-29T00:00:00"/>
    <x v="11"/>
    <x v="6"/>
    <x v="4"/>
    <x v="1321"/>
    <x v="2293"/>
    <s v="Bank Transfer"/>
    <s v="REV102139"/>
    <x v="1"/>
  </r>
  <r>
    <d v="2023-12-29T00:00:00"/>
    <x v="11"/>
    <x v="5"/>
    <x v="0"/>
    <x v="4838"/>
    <x v="2841"/>
    <s v="Card"/>
    <s v="REV102219"/>
    <x v="1"/>
  </r>
  <r>
    <d v="2023-12-29T00:00:00"/>
    <x v="11"/>
    <x v="5"/>
    <x v="1"/>
    <x v="1446"/>
    <x v="4931"/>
    <s v="Bank Transfer"/>
    <s v="REV102966"/>
    <x v="1"/>
  </r>
  <r>
    <d v="2023-12-29T00:00:00"/>
    <x v="11"/>
    <x v="5"/>
    <x v="0"/>
    <x v="532"/>
    <x v="3927"/>
    <s v="Card"/>
    <s v="REV102984"/>
    <x v="1"/>
  </r>
  <r>
    <d v="2023-12-29T00:00:00"/>
    <x v="11"/>
    <x v="5"/>
    <x v="3"/>
    <x v="4455"/>
    <x v="1883"/>
    <s v="Card"/>
    <s v="REV103234"/>
    <x v="1"/>
  </r>
  <r>
    <d v="2023-12-30T00:00:00"/>
    <x v="11"/>
    <x v="1"/>
    <x v="4"/>
    <x v="4839"/>
    <x v="4932"/>
    <s v="Cash"/>
    <s v="TXN100459"/>
    <x v="0"/>
  </r>
  <r>
    <d v="2023-12-30T00:00:00"/>
    <x v="11"/>
    <x v="7"/>
    <x v="0"/>
    <x v="4840"/>
    <x v="4933"/>
    <s v="Card"/>
    <s v="TXN101692"/>
    <x v="0"/>
  </r>
  <r>
    <d v="2023-12-30T00:00:00"/>
    <x v="11"/>
    <x v="3"/>
    <x v="1"/>
    <x v="3484"/>
    <x v="4934"/>
    <s v="Cash"/>
    <s v="TXN102039"/>
    <x v="0"/>
  </r>
  <r>
    <d v="2023-12-30T00:00:00"/>
    <x v="11"/>
    <x v="1"/>
    <x v="3"/>
    <x v="4841"/>
    <x v="4935"/>
    <s v="Cash"/>
    <s v="TXN102149"/>
    <x v="0"/>
  </r>
  <r>
    <d v="2023-12-30T00:00:00"/>
    <x v="11"/>
    <x v="1"/>
    <x v="0"/>
    <x v="4842"/>
    <x v="4936"/>
    <s v="Cash"/>
    <s v="TXN103582"/>
    <x v="0"/>
  </r>
  <r>
    <d v="2023-12-30T00:00:00"/>
    <x v="11"/>
    <x v="1"/>
    <x v="1"/>
    <x v="4843"/>
    <x v="4937"/>
    <s v="Bank Transfer"/>
    <s v="TXN104778"/>
    <x v="0"/>
  </r>
  <r>
    <d v="2023-12-30T00:00:00"/>
    <x v="11"/>
    <x v="7"/>
    <x v="1"/>
    <x v="4844"/>
    <x v="4938"/>
    <s v="Cash"/>
    <s v="TXN105830"/>
    <x v="0"/>
  </r>
  <r>
    <d v="2023-12-30T00:00:00"/>
    <x v="11"/>
    <x v="1"/>
    <x v="0"/>
    <x v="4845"/>
    <x v="4939"/>
    <s v="Card"/>
    <s v="TXN105842"/>
    <x v="0"/>
  </r>
  <r>
    <d v="2023-12-30T00:00:00"/>
    <x v="11"/>
    <x v="2"/>
    <x v="2"/>
    <x v="4846"/>
    <x v="4940"/>
    <s v="Card"/>
    <s v="TXN108175"/>
    <x v="0"/>
  </r>
  <r>
    <d v="2023-12-30T00:00:00"/>
    <x v="11"/>
    <x v="2"/>
    <x v="0"/>
    <x v="4847"/>
    <x v="4941"/>
    <s v="Card"/>
    <s v="TXN108216"/>
    <x v="0"/>
  </r>
  <r>
    <d v="2023-12-30T00:00:00"/>
    <x v="11"/>
    <x v="0"/>
    <x v="0"/>
    <x v="4848"/>
    <x v="4942"/>
    <s v="Card"/>
    <s v="TXN109933"/>
    <x v="0"/>
  </r>
  <r>
    <d v="2023-12-30T00:00:00"/>
    <x v="11"/>
    <x v="7"/>
    <x v="0"/>
    <x v="4849"/>
    <x v="4943"/>
    <s v="Card"/>
    <s v="TXN109935"/>
    <x v="0"/>
  </r>
  <r>
    <d v="2023-12-30T00:00:00"/>
    <x v="11"/>
    <x v="5"/>
    <x v="4"/>
    <x v="4850"/>
    <x v="4944"/>
    <s v="Bank Transfer"/>
    <s v="REV100175"/>
    <x v="1"/>
  </r>
  <r>
    <d v="2023-12-30T00:00:00"/>
    <x v="11"/>
    <x v="5"/>
    <x v="0"/>
    <x v="1020"/>
    <x v="4945"/>
    <s v="UPI"/>
    <s v="REV100621"/>
    <x v="1"/>
  </r>
  <r>
    <d v="2023-12-30T00:00:00"/>
    <x v="11"/>
    <x v="5"/>
    <x v="1"/>
    <x v="4851"/>
    <x v="4946"/>
    <s v="Card"/>
    <s v="REV100725"/>
    <x v="1"/>
  </r>
  <r>
    <d v="2023-12-30T00:00:00"/>
    <x v="11"/>
    <x v="5"/>
    <x v="3"/>
    <x v="2260"/>
    <x v="1221"/>
    <s v="Bank Transfer"/>
    <s v="REV100765"/>
    <x v="1"/>
  </r>
  <r>
    <d v="2023-12-30T00:00:00"/>
    <x v="11"/>
    <x v="5"/>
    <x v="0"/>
    <x v="3589"/>
    <x v="2997"/>
    <s v="Bank Transfer"/>
    <s v="REV101224"/>
    <x v="1"/>
  </r>
  <r>
    <d v="2023-12-30T00:00:00"/>
    <x v="11"/>
    <x v="5"/>
    <x v="1"/>
    <x v="3479"/>
    <x v="3602"/>
    <s v="Bank Transfer"/>
    <s v="REV101630"/>
    <x v="1"/>
  </r>
  <r>
    <d v="2023-12-30T00:00:00"/>
    <x v="11"/>
    <x v="5"/>
    <x v="1"/>
    <x v="1040"/>
    <x v="4436"/>
    <s v="Card"/>
    <s v="REV101973"/>
    <x v="1"/>
  </r>
  <r>
    <d v="2023-12-30T00:00:00"/>
    <x v="11"/>
    <x v="5"/>
    <x v="0"/>
    <x v="753"/>
    <x v="2367"/>
    <s v="Card"/>
    <s v="REV101976"/>
    <x v="1"/>
  </r>
  <r>
    <d v="2023-12-30T00:00:00"/>
    <x v="11"/>
    <x v="6"/>
    <x v="2"/>
    <x v="157"/>
    <x v="4947"/>
    <s v="Bank Transfer"/>
    <s v="REV102776"/>
    <x v="1"/>
  </r>
  <r>
    <d v="2023-12-30T00:00:00"/>
    <x v="11"/>
    <x v="5"/>
    <x v="0"/>
    <x v="139"/>
    <x v="3854"/>
    <s v="UPI"/>
    <s v="REV102791"/>
    <x v="1"/>
  </r>
  <r>
    <d v="2023-12-30T00:00:00"/>
    <x v="11"/>
    <x v="6"/>
    <x v="0"/>
    <x v="4040"/>
    <x v="4948"/>
    <s v="Bank Transfer"/>
    <s v="REV103359"/>
    <x v="1"/>
  </r>
  <r>
    <d v="2023-12-30T00:00:00"/>
    <x v="11"/>
    <x v="5"/>
    <x v="0"/>
    <x v="3747"/>
    <x v="2876"/>
    <s v="Bank Transfer"/>
    <s v="REV103361"/>
    <x v="1"/>
  </r>
  <r>
    <d v="2023-12-31T00:00:00"/>
    <x v="11"/>
    <x v="7"/>
    <x v="1"/>
    <x v="577"/>
    <x v="4949"/>
    <s v="Cash"/>
    <s v="TXN103725"/>
    <x v="0"/>
  </r>
  <r>
    <d v="2023-12-31T00:00:00"/>
    <x v="11"/>
    <x v="3"/>
    <x v="3"/>
    <x v="4852"/>
    <x v="4950"/>
    <s v="Bank Transfer"/>
    <s v="TXN104239"/>
    <x v="0"/>
  </r>
  <r>
    <d v="2023-12-31T00:00:00"/>
    <x v="11"/>
    <x v="7"/>
    <x v="4"/>
    <x v="4853"/>
    <x v="4951"/>
    <s v="Cash"/>
    <s v="TXN105228"/>
    <x v="0"/>
  </r>
  <r>
    <d v="2023-12-31T00:00:00"/>
    <x v="11"/>
    <x v="1"/>
    <x v="4"/>
    <x v="4854"/>
    <x v="4952"/>
    <s v="Bank Transfer"/>
    <s v="TXN105269"/>
    <x v="0"/>
  </r>
  <r>
    <d v="2023-12-31T00:00:00"/>
    <x v="11"/>
    <x v="4"/>
    <x v="4"/>
    <x v="4855"/>
    <x v="4953"/>
    <s v="Cash"/>
    <s v="TXN105625"/>
    <x v="0"/>
  </r>
  <r>
    <d v="2023-12-31T00:00:00"/>
    <x v="11"/>
    <x v="7"/>
    <x v="2"/>
    <x v="4856"/>
    <x v="4954"/>
    <s v="UPI"/>
    <s v="TXN106178"/>
    <x v="0"/>
  </r>
  <r>
    <d v="2023-12-31T00:00:00"/>
    <x v="11"/>
    <x v="4"/>
    <x v="2"/>
    <x v="4857"/>
    <x v="4955"/>
    <s v="UPI"/>
    <s v="TXN107167"/>
    <x v="0"/>
  </r>
  <r>
    <d v="2023-12-31T00:00:00"/>
    <x v="11"/>
    <x v="4"/>
    <x v="4"/>
    <x v="4858"/>
    <x v="4956"/>
    <s v="Card"/>
    <s v="TXN108513"/>
    <x v="0"/>
  </r>
  <r>
    <d v="2023-12-31T00:00:00"/>
    <x v="11"/>
    <x v="1"/>
    <x v="2"/>
    <x v="4859"/>
    <x v="4957"/>
    <s v="Bank Transfer"/>
    <s v="TXN109285"/>
    <x v="0"/>
  </r>
  <r>
    <d v="2023-12-31T00:00:00"/>
    <x v="11"/>
    <x v="6"/>
    <x v="1"/>
    <x v="2069"/>
    <x v="3836"/>
    <s v="UPI"/>
    <s v="REV101283"/>
    <x v="1"/>
  </r>
  <r>
    <d v="2023-12-31T00:00:00"/>
    <x v="11"/>
    <x v="5"/>
    <x v="3"/>
    <x v="4860"/>
    <x v="4958"/>
    <s v="Card"/>
    <s v="REV101471"/>
    <x v="1"/>
  </r>
  <r>
    <d v="2023-12-31T00:00:00"/>
    <x v="11"/>
    <x v="6"/>
    <x v="4"/>
    <x v="4861"/>
    <x v="4959"/>
    <s v="Bank Transfer"/>
    <s v="REV101772"/>
    <x v="1"/>
  </r>
  <r>
    <d v="2023-12-31T00:00:00"/>
    <x v="11"/>
    <x v="5"/>
    <x v="4"/>
    <x v="1746"/>
    <x v="4052"/>
    <s v="Bank Transfer"/>
    <s v="REV101786"/>
    <x v="1"/>
  </r>
  <r>
    <d v="2023-12-31T00:00:00"/>
    <x v="11"/>
    <x v="6"/>
    <x v="4"/>
    <x v="3025"/>
    <x v="3143"/>
    <s v="Bank Transfer"/>
    <s v="REV101917"/>
    <x v="1"/>
  </r>
  <r>
    <d v="2023-12-31T00:00:00"/>
    <x v="11"/>
    <x v="6"/>
    <x v="2"/>
    <x v="4862"/>
    <x v="11"/>
    <s v="Card"/>
    <s v="REV102082"/>
    <x v="1"/>
  </r>
  <r>
    <d v="2023-12-31T00:00:00"/>
    <x v="11"/>
    <x v="6"/>
    <x v="2"/>
    <x v="1608"/>
    <x v="4960"/>
    <s v="UPI"/>
    <s v="REV102429"/>
    <x v="1"/>
  </r>
  <r>
    <d v="2023-12-31T00:00:00"/>
    <x v="11"/>
    <x v="5"/>
    <x v="4"/>
    <x v="1947"/>
    <x v="2293"/>
    <s v="UPI"/>
    <s v="REV102883"/>
    <x v="1"/>
  </r>
  <r>
    <d v="2023-12-31T00:00:00"/>
    <x v="11"/>
    <x v="6"/>
    <x v="2"/>
    <x v="422"/>
    <x v="94"/>
    <s v="Bank Transfer"/>
    <s v="REV1031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6C8D4-17C8-489F-9AC3-D3B279FBF2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8:G28" firstHeaderRow="1" firstDataRow="2" firstDataCol="1"/>
  <pivotFields count="9">
    <pivotField numFmtId="165" showAll="0"/>
    <pivotField axis="axisCol" showAll="0">
      <items count="13">
        <item h="1" x="0"/>
        <item h="1" x="1"/>
        <item h="1" x="2"/>
        <item x="3"/>
        <item h="1" x="4"/>
        <item h="1" x="5"/>
        <item h="1" x="6"/>
        <item h="1" x="7"/>
        <item h="1" x="8"/>
        <item h="1" x="9"/>
        <item h="1" x="10"/>
        <item h="1" x="11"/>
        <item t="default"/>
      </items>
    </pivotField>
    <pivotField axis="axisRow" showAll="0">
      <items count="9">
        <item x="7"/>
        <item x="4"/>
        <item x="5"/>
        <item x="3"/>
        <item x="6"/>
        <item x="1"/>
        <item x="0"/>
        <item x="2"/>
        <item t="default"/>
      </items>
    </pivotField>
    <pivotField showAll="0">
      <items count="6">
        <item x="1"/>
        <item x="0"/>
        <item x="3"/>
        <item x="2"/>
        <item x="4"/>
        <item t="default"/>
      </items>
    </pivotField>
    <pivotField numFmtId="3" showAll="0"/>
    <pivotField dataField="1" numFmtId="3" showAll="0"/>
    <pivotField showAll="0"/>
    <pivotField showAll="0"/>
    <pivotField showAll="0">
      <items count="3">
        <item x="0"/>
        <item x="1"/>
        <item t="default"/>
      </items>
    </pivotField>
  </pivotFields>
  <rowFields count="1">
    <field x="2"/>
  </rowFields>
  <rowItems count="9">
    <i>
      <x/>
    </i>
    <i>
      <x v="1"/>
    </i>
    <i>
      <x v="2"/>
    </i>
    <i>
      <x v="3"/>
    </i>
    <i>
      <x v="4"/>
    </i>
    <i>
      <x v="5"/>
    </i>
    <i>
      <x v="6"/>
    </i>
    <i>
      <x v="7"/>
    </i>
    <i t="grand">
      <x/>
    </i>
  </rowItems>
  <colFields count="1">
    <field x="1"/>
  </colFields>
  <colItems count="2">
    <i>
      <x v="3"/>
    </i>
    <i t="grand">
      <x/>
    </i>
  </colItems>
  <dataFields count="1">
    <dataField name="Sum of Actual" fld="5" showDataAs="percentOfCol" baseField="0" baseItem="0" numFmtId="10"/>
  </dataFields>
  <chartFormats count="120">
    <chartFormat chart="3" format="120" series="1">
      <pivotArea type="data" outline="0" fieldPosition="0">
        <references count="2">
          <reference field="4294967294" count="1" selected="0">
            <x v="0"/>
          </reference>
          <reference field="1" count="1" selected="0">
            <x v="0"/>
          </reference>
        </references>
      </pivotArea>
    </chartFormat>
    <chartFormat chart="3" format="121">
      <pivotArea type="data" outline="0" fieldPosition="0">
        <references count="3">
          <reference field="4294967294" count="1" selected="0">
            <x v="0"/>
          </reference>
          <reference field="1" count="1" selected="0">
            <x v="0"/>
          </reference>
          <reference field="2" count="1" selected="0">
            <x v="0"/>
          </reference>
        </references>
      </pivotArea>
    </chartFormat>
    <chartFormat chart="3" format="122">
      <pivotArea type="data" outline="0" fieldPosition="0">
        <references count="3">
          <reference field="4294967294" count="1" selected="0">
            <x v="0"/>
          </reference>
          <reference field="1" count="1" selected="0">
            <x v="0"/>
          </reference>
          <reference field="2" count="1" selected="0">
            <x v="1"/>
          </reference>
        </references>
      </pivotArea>
    </chartFormat>
    <chartFormat chart="3" format="123">
      <pivotArea type="data" outline="0" fieldPosition="0">
        <references count="3">
          <reference field="4294967294" count="1" selected="0">
            <x v="0"/>
          </reference>
          <reference field="1" count="1" selected="0">
            <x v="0"/>
          </reference>
          <reference field="2" count="1" selected="0">
            <x v="2"/>
          </reference>
        </references>
      </pivotArea>
    </chartFormat>
    <chartFormat chart="3" format="124">
      <pivotArea type="data" outline="0" fieldPosition="0">
        <references count="3">
          <reference field="4294967294" count="1" selected="0">
            <x v="0"/>
          </reference>
          <reference field="1" count="1" selected="0">
            <x v="0"/>
          </reference>
          <reference field="2" count="1" selected="0">
            <x v="3"/>
          </reference>
        </references>
      </pivotArea>
    </chartFormat>
    <chartFormat chart="3" format="125">
      <pivotArea type="data" outline="0" fieldPosition="0">
        <references count="3">
          <reference field="4294967294" count="1" selected="0">
            <x v="0"/>
          </reference>
          <reference field="1" count="1" selected="0">
            <x v="0"/>
          </reference>
          <reference field="2" count="1" selected="0">
            <x v="4"/>
          </reference>
        </references>
      </pivotArea>
    </chartFormat>
    <chartFormat chart="3" format="126">
      <pivotArea type="data" outline="0" fieldPosition="0">
        <references count="3">
          <reference field="4294967294" count="1" selected="0">
            <x v="0"/>
          </reference>
          <reference field="1" count="1" selected="0">
            <x v="0"/>
          </reference>
          <reference field="2" count="1" selected="0">
            <x v="5"/>
          </reference>
        </references>
      </pivotArea>
    </chartFormat>
    <chartFormat chart="3" format="127">
      <pivotArea type="data" outline="0" fieldPosition="0">
        <references count="3">
          <reference field="4294967294" count="1" selected="0">
            <x v="0"/>
          </reference>
          <reference field="1" count="1" selected="0">
            <x v="0"/>
          </reference>
          <reference field="2" count="1" selected="0">
            <x v="6"/>
          </reference>
        </references>
      </pivotArea>
    </chartFormat>
    <chartFormat chart="3" format="128">
      <pivotArea type="data" outline="0" fieldPosition="0">
        <references count="3">
          <reference field="4294967294" count="1" selected="0">
            <x v="0"/>
          </reference>
          <reference field="1" count="1" selected="0">
            <x v="0"/>
          </reference>
          <reference field="2" count="1" selected="0">
            <x v="7"/>
          </reference>
        </references>
      </pivotArea>
    </chartFormat>
    <chartFormat chart="3" format="129" series="1">
      <pivotArea type="data" outline="0" fieldPosition="0">
        <references count="2">
          <reference field="4294967294" count="1" selected="0">
            <x v="0"/>
          </reference>
          <reference field="1" count="1" selected="0">
            <x v="1"/>
          </reference>
        </references>
      </pivotArea>
    </chartFormat>
    <chartFormat chart="3" format="130">
      <pivotArea type="data" outline="0" fieldPosition="0">
        <references count="3">
          <reference field="4294967294" count="1" selected="0">
            <x v="0"/>
          </reference>
          <reference field="1" count="1" selected="0">
            <x v="1"/>
          </reference>
          <reference field="2" count="1" selected="0">
            <x v="0"/>
          </reference>
        </references>
      </pivotArea>
    </chartFormat>
    <chartFormat chart="3" format="131">
      <pivotArea type="data" outline="0" fieldPosition="0">
        <references count="3">
          <reference field="4294967294" count="1" selected="0">
            <x v="0"/>
          </reference>
          <reference field="1" count="1" selected="0">
            <x v="1"/>
          </reference>
          <reference field="2" count="1" selected="0">
            <x v="1"/>
          </reference>
        </references>
      </pivotArea>
    </chartFormat>
    <chartFormat chart="3" format="132">
      <pivotArea type="data" outline="0" fieldPosition="0">
        <references count="3">
          <reference field="4294967294" count="1" selected="0">
            <x v="0"/>
          </reference>
          <reference field="1" count="1" selected="0">
            <x v="1"/>
          </reference>
          <reference field="2" count="1" selected="0">
            <x v="2"/>
          </reference>
        </references>
      </pivotArea>
    </chartFormat>
    <chartFormat chart="3" format="133">
      <pivotArea type="data" outline="0" fieldPosition="0">
        <references count="3">
          <reference field="4294967294" count="1" selected="0">
            <x v="0"/>
          </reference>
          <reference field="1" count="1" selected="0">
            <x v="1"/>
          </reference>
          <reference field="2" count="1" selected="0">
            <x v="3"/>
          </reference>
        </references>
      </pivotArea>
    </chartFormat>
    <chartFormat chart="3" format="134">
      <pivotArea type="data" outline="0" fieldPosition="0">
        <references count="3">
          <reference field="4294967294" count="1" selected="0">
            <x v="0"/>
          </reference>
          <reference field="1" count="1" selected="0">
            <x v="1"/>
          </reference>
          <reference field="2" count="1" selected="0">
            <x v="4"/>
          </reference>
        </references>
      </pivotArea>
    </chartFormat>
    <chartFormat chart="3" format="135">
      <pivotArea type="data" outline="0" fieldPosition="0">
        <references count="3">
          <reference field="4294967294" count="1" selected="0">
            <x v="0"/>
          </reference>
          <reference field="1" count="1" selected="0">
            <x v="1"/>
          </reference>
          <reference field="2" count="1" selected="0">
            <x v="5"/>
          </reference>
        </references>
      </pivotArea>
    </chartFormat>
    <chartFormat chart="3" format="136">
      <pivotArea type="data" outline="0" fieldPosition="0">
        <references count="3">
          <reference field="4294967294" count="1" selected="0">
            <x v="0"/>
          </reference>
          <reference field="1" count="1" selected="0">
            <x v="1"/>
          </reference>
          <reference field="2" count="1" selected="0">
            <x v="6"/>
          </reference>
        </references>
      </pivotArea>
    </chartFormat>
    <chartFormat chart="3" format="137">
      <pivotArea type="data" outline="0" fieldPosition="0">
        <references count="3">
          <reference field="4294967294" count="1" selected="0">
            <x v="0"/>
          </reference>
          <reference field="1" count="1" selected="0">
            <x v="1"/>
          </reference>
          <reference field="2" count="1" selected="0">
            <x v="7"/>
          </reference>
        </references>
      </pivotArea>
    </chartFormat>
    <chartFormat chart="3" format="138" series="1">
      <pivotArea type="data" outline="0" fieldPosition="0">
        <references count="2">
          <reference field="4294967294" count="1" selected="0">
            <x v="0"/>
          </reference>
          <reference field="1" count="1" selected="0">
            <x v="2"/>
          </reference>
        </references>
      </pivotArea>
    </chartFormat>
    <chartFormat chart="3" format="139">
      <pivotArea type="data" outline="0" fieldPosition="0">
        <references count="3">
          <reference field="4294967294" count="1" selected="0">
            <x v="0"/>
          </reference>
          <reference field="1" count="1" selected="0">
            <x v="2"/>
          </reference>
          <reference field="2" count="1" selected="0">
            <x v="0"/>
          </reference>
        </references>
      </pivotArea>
    </chartFormat>
    <chartFormat chart="3" format="140">
      <pivotArea type="data" outline="0" fieldPosition="0">
        <references count="3">
          <reference field="4294967294" count="1" selected="0">
            <x v="0"/>
          </reference>
          <reference field="1" count="1" selected="0">
            <x v="2"/>
          </reference>
          <reference field="2" count="1" selected="0">
            <x v="1"/>
          </reference>
        </references>
      </pivotArea>
    </chartFormat>
    <chartFormat chart="3" format="141">
      <pivotArea type="data" outline="0" fieldPosition="0">
        <references count="3">
          <reference field="4294967294" count="1" selected="0">
            <x v="0"/>
          </reference>
          <reference field="1" count="1" selected="0">
            <x v="2"/>
          </reference>
          <reference field="2" count="1" selected="0">
            <x v="2"/>
          </reference>
        </references>
      </pivotArea>
    </chartFormat>
    <chartFormat chart="3" format="142">
      <pivotArea type="data" outline="0" fieldPosition="0">
        <references count="3">
          <reference field="4294967294" count="1" selected="0">
            <x v="0"/>
          </reference>
          <reference field="1" count="1" selected="0">
            <x v="2"/>
          </reference>
          <reference field="2" count="1" selected="0">
            <x v="3"/>
          </reference>
        </references>
      </pivotArea>
    </chartFormat>
    <chartFormat chart="3" format="143">
      <pivotArea type="data" outline="0" fieldPosition="0">
        <references count="3">
          <reference field="4294967294" count="1" selected="0">
            <x v="0"/>
          </reference>
          <reference field="1" count="1" selected="0">
            <x v="2"/>
          </reference>
          <reference field="2" count="1" selected="0">
            <x v="4"/>
          </reference>
        </references>
      </pivotArea>
    </chartFormat>
    <chartFormat chart="3" format="144">
      <pivotArea type="data" outline="0" fieldPosition="0">
        <references count="3">
          <reference field="4294967294" count="1" selected="0">
            <x v="0"/>
          </reference>
          <reference field="1" count="1" selected="0">
            <x v="2"/>
          </reference>
          <reference field="2" count="1" selected="0">
            <x v="5"/>
          </reference>
        </references>
      </pivotArea>
    </chartFormat>
    <chartFormat chart="3" format="145">
      <pivotArea type="data" outline="0" fieldPosition="0">
        <references count="3">
          <reference field="4294967294" count="1" selected="0">
            <x v="0"/>
          </reference>
          <reference field="1" count="1" selected="0">
            <x v="2"/>
          </reference>
          <reference field="2" count="1" selected="0">
            <x v="6"/>
          </reference>
        </references>
      </pivotArea>
    </chartFormat>
    <chartFormat chart="3" format="146">
      <pivotArea type="data" outline="0" fieldPosition="0">
        <references count="3">
          <reference field="4294967294" count="1" selected="0">
            <x v="0"/>
          </reference>
          <reference field="1" count="1" selected="0">
            <x v="2"/>
          </reference>
          <reference field="2" count="1" selected="0">
            <x v="7"/>
          </reference>
        </references>
      </pivotArea>
    </chartFormat>
    <chartFormat chart="3" format="147" series="1">
      <pivotArea type="data" outline="0" fieldPosition="0">
        <references count="2">
          <reference field="4294967294" count="1" selected="0">
            <x v="0"/>
          </reference>
          <reference field="1" count="1" selected="0">
            <x v="3"/>
          </reference>
        </references>
      </pivotArea>
    </chartFormat>
    <chartFormat chart="3" format="148">
      <pivotArea type="data" outline="0" fieldPosition="0">
        <references count="3">
          <reference field="4294967294" count="1" selected="0">
            <x v="0"/>
          </reference>
          <reference field="1" count="1" selected="0">
            <x v="3"/>
          </reference>
          <reference field="2" count="1" selected="0">
            <x v="0"/>
          </reference>
        </references>
      </pivotArea>
    </chartFormat>
    <chartFormat chart="3" format="149">
      <pivotArea type="data" outline="0" fieldPosition="0">
        <references count="3">
          <reference field="4294967294" count="1" selected="0">
            <x v="0"/>
          </reference>
          <reference field="1" count="1" selected="0">
            <x v="3"/>
          </reference>
          <reference field="2" count="1" selected="0">
            <x v="1"/>
          </reference>
        </references>
      </pivotArea>
    </chartFormat>
    <chartFormat chart="3" format="150">
      <pivotArea type="data" outline="0" fieldPosition="0">
        <references count="3">
          <reference field="4294967294" count="1" selected="0">
            <x v="0"/>
          </reference>
          <reference field="1" count="1" selected="0">
            <x v="3"/>
          </reference>
          <reference field="2" count="1" selected="0">
            <x v="2"/>
          </reference>
        </references>
      </pivotArea>
    </chartFormat>
    <chartFormat chart="3" format="151">
      <pivotArea type="data" outline="0" fieldPosition="0">
        <references count="3">
          <reference field="4294967294" count="1" selected="0">
            <x v="0"/>
          </reference>
          <reference field="1" count="1" selected="0">
            <x v="3"/>
          </reference>
          <reference field="2" count="1" selected="0">
            <x v="3"/>
          </reference>
        </references>
      </pivotArea>
    </chartFormat>
    <chartFormat chart="3" format="152">
      <pivotArea type="data" outline="0" fieldPosition="0">
        <references count="3">
          <reference field="4294967294" count="1" selected="0">
            <x v="0"/>
          </reference>
          <reference field="1" count="1" selected="0">
            <x v="3"/>
          </reference>
          <reference field="2" count="1" selected="0">
            <x v="4"/>
          </reference>
        </references>
      </pivotArea>
    </chartFormat>
    <chartFormat chart="3" format="153">
      <pivotArea type="data" outline="0" fieldPosition="0">
        <references count="3">
          <reference field="4294967294" count="1" selected="0">
            <x v="0"/>
          </reference>
          <reference field="1" count="1" selected="0">
            <x v="3"/>
          </reference>
          <reference field="2" count="1" selected="0">
            <x v="5"/>
          </reference>
        </references>
      </pivotArea>
    </chartFormat>
    <chartFormat chart="3" format="154">
      <pivotArea type="data" outline="0" fieldPosition="0">
        <references count="3">
          <reference field="4294967294" count="1" selected="0">
            <x v="0"/>
          </reference>
          <reference field="1" count="1" selected="0">
            <x v="3"/>
          </reference>
          <reference field="2" count="1" selected="0">
            <x v="6"/>
          </reference>
        </references>
      </pivotArea>
    </chartFormat>
    <chartFormat chart="3" format="155">
      <pivotArea type="data" outline="0" fieldPosition="0">
        <references count="3">
          <reference field="4294967294" count="1" selected="0">
            <x v="0"/>
          </reference>
          <reference field="1" count="1" selected="0">
            <x v="3"/>
          </reference>
          <reference field="2" count="1" selected="0">
            <x v="7"/>
          </reference>
        </references>
      </pivotArea>
    </chartFormat>
    <chartFormat chart="3" format="156" series="1">
      <pivotArea type="data" outline="0" fieldPosition="0">
        <references count="2">
          <reference field="4294967294" count="1" selected="0">
            <x v="0"/>
          </reference>
          <reference field="1" count="1" selected="0">
            <x v="4"/>
          </reference>
        </references>
      </pivotArea>
    </chartFormat>
    <chartFormat chart="3" format="157">
      <pivotArea type="data" outline="0" fieldPosition="0">
        <references count="3">
          <reference field="4294967294" count="1" selected="0">
            <x v="0"/>
          </reference>
          <reference field="1" count="1" selected="0">
            <x v="4"/>
          </reference>
          <reference field="2" count="1" selected="0">
            <x v="0"/>
          </reference>
        </references>
      </pivotArea>
    </chartFormat>
    <chartFormat chart="3" format="158">
      <pivotArea type="data" outline="0" fieldPosition="0">
        <references count="3">
          <reference field="4294967294" count="1" selected="0">
            <x v="0"/>
          </reference>
          <reference field="1" count="1" selected="0">
            <x v="4"/>
          </reference>
          <reference field="2" count="1" selected="0">
            <x v="1"/>
          </reference>
        </references>
      </pivotArea>
    </chartFormat>
    <chartFormat chart="3" format="159">
      <pivotArea type="data" outline="0" fieldPosition="0">
        <references count="3">
          <reference field="4294967294" count="1" selected="0">
            <x v="0"/>
          </reference>
          <reference field="1" count="1" selected="0">
            <x v="4"/>
          </reference>
          <reference field="2" count="1" selected="0">
            <x v="2"/>
          </reference>
        </references>
      </pivotArea>
    </chartFormat>
    <chartFormat chart="3" format="160">
      <pivotArea type="data" outline="0" fieldPosition="0">
        <references count="3">
          <reference field="4294967294" count="1" selected="0">
            <x v="0"/>
          </reference>
          <reference field="1" count="1" selected="0">
            <x v="4"/>
          </reference>
          <reference field="2" count="1" selected="0">
            <x v="3"/>
          </reference>
        </references>
      </pivotArea>
    </chartFormat>
    <chartFormat chart="3" format="161">
      <pivotArea type="data" outline="0" fieldPosition="0">
        <references count="3">
          <reference field="4294967294" count="1" selected="0">
            <x v="0"/>
          </reference>
          <reference field="1" count="1" selected="0">
            <x v="4"/>
          </reference>
          <reference field="2" count="1" selected="0">
            <x v="4"/>
          </reference>
        </references>
      </pivotArea>
    </chartFormat>
    <chartFormat chart="3" format="162">
      <pivotArea type="data" outline="0" fieldPosition="0">
        <references count="3">
          <reference field="4294967294" count="1" selected="0">
            <x v="0"/>
          </reference>
          <reference field="1" count="1" selected="0">
            <x v="4"/>
          </reference>
          <reference field="2" count="1" selected="0">
            <x v="5"/>
          </reference>
        </references>
      </pivotArea>
    </chartFormat>
    <chartFormat chart="3" format="163">
      <pivotArea type="data" outline="0" fieldPosition="0">
        <references count="3">
          <reference field="4294967294" count="1" selected="0">
            <x v="0"/>
          </reference>
          <reference field="1" count="1" selected="0">
            <x v="4"/>
          </reference>
          <reference field="2" count="1" selected="0">
            <x v="6"/>
          </reference>
        </references>
      </pivotArea>
    </chartFormat>
    <chartFormat chart="3" format="164">
      <pivotArea type="data" outline="0" fieldPosition="0">
        <references count="3">
          <reference field="4294967294" count="1" selected="0">
            <x v="0"/>
          </reference>
          <reference field="1" count="1" selected="0">
            <x v="4"/>
          </reference>
          <reference field="2" count="1" selected="0">
            <x v="7"/>
          </reference>
        </references>
      </pivotArea>
    </chartFormat>
    <chartFormat chart="3" format="165" series="1">
      <pivotArea type="data" outline="0" fieldPosition="0">
        <references count="2">
          <reference field="4294967294" count="1" selected="0">
            <x v="0"/>
          </reference>
          <reference field="1" count="1" selected="0">
            <x v="5"/>
          </reference>
        </references>
      </pivotArea>
    </chartFormat>
    <chartFormat chart="3" format="166">
      <pivotArea type="data" outline="0" fieldPosition="0">
        <references count="3">
          <reference field="4294967294" count="1" selected="0">
            <x v="0"/>
          </reference>
          <reference field="1" count="1" selected="0">
            <x v="5"/>
          </reference>
          <reference field="2" count="1" selected="0">
            <x v="0"/>
          </reference>
        </references>
      </pivotArea>
    </chartFormat>
    <chartFormat chart="3" format="167">
      <pivotArea type="data" outline="0" fieldPosition="0">
        <references count="3">
          <reference field="4294967294" count="1" selected="0">
            <x v="0"/>
          </reference>
          <reference field="1" count="1" selected="0">
            <x v="5"/>
          </reference>
          <reference field="2" count="1" selected="0">
            <x v="1"/>
          </reference>
        </references>
      </pivotArea>
    </chartFormat>
    <chartFormat chart="3" format="168">
      <pivotArea type="data" outline="0" fieldPosition="0">
        <references count="3">
          <reference field="4294967294" count="1" selected="0">
            <x v="0"/>
          </reference>
          <reference field="1" count="1" selected="0">
            <x v="5"/>
          </reference>
          <reference field="2" count="1" selected="0">
            <x v="2"/>
          </reference>
        </references>
      </pivotArea>
    </chartFormat>
    <chartFormat chart="3" format="169">
      <pivotArea type="data" outline="0" fieldPosition="0">
        <references count="3">
          <reference field="4294967294" count="1" selected="0">
            <x v="0"/>
          </reference>
          <reference field="1" count="1" selected="0">
            <x v="5"/>
          </reference>
          <reference field="2" count="1" selected="0">
            <x v="3"/>
          </reference>
        </references>
      </pivotArea>
    </chartFormat>
    <chartFormat chart="3" format="170">
      <pivotArea type="data" outline="0" fieldPosition="0">
        <references count="3">
          <reference field="4294967294" count="1" selected="0">
            <x v="0"/>
          </reference>
          <reference field="1" count="1" selected="0">
            <x v="5"/>
          </reference>
          <reference field="2" count="1" selected="0">
            <x v="4"/>
          </reference>
        </references>
      </pivotArea>
    </chartFormat>
    <chartFormat chart="3" format="171">
      <pivotArea type="data" outline="0" fieldPosition="0">
        <references count="3">
          <reference field="4294967294" count="1" selected="0">
            <x v="0"/>
          </reference>
          <reference field="1" count="1" selected="0">
            <x v="5"/>
          </reference>
          <reference field="2" count="1" selected="0">
            <x v="5"/>
          </reference>
        </references>
      </pivotArea>
    </chartFormat>
    <chartFormat chart="3" format="172">
      <pivotArea type="data" outline="0" fieldPosition="0">
        <references count="3">
          <reference field="4294967294" count="1" selected="0">
            <x v="0"/>
          </reference>
          <reference field="1" count="1" selected="0">
            <x v="5"/>
          </reference>
          <reference field="2" count="1" selected="0">
            <x v="6"/>
          </reference>
        </references>
      </pivotArea>
    </chartFormat>
    <chartFormat chart="3" format="173">
      <pivotArea type="data" outline="0" fieldPosition="0">
        <references count="3">
          <reference field="4294967294" count="1" selected="0">
            <x v="0"/>
          </reference>
          <reference field="1" count="1" selected="0">
            <x v="5"/>
          </reference>
          <reference field="2" count="1" selected="0">
            <x v="7"/>
          </reference>
        </references>
      </pivotArea>
    </chartFormat>
    <chartFormat chart="3" format="174" series="1">
      <pivotArea type="data" outline="0" fieldPosition="0">
        <references count="2">
          <reference field="4294967294" count="1" selected="0">
            <x v="0"/>
          </reference>
          <reference field="1" count="1" selected="0">
            <x v="6"/>
          </reference>
        </references>
      </pivotArea>
    </chartFormat>
    <chartFormat chart="3" format="175">
      <pivotArea type="data" outline="0" fieldPosition="0">
        <references count="3">
          <reference field="4294967294" count="1" selected="0">
            <x v="0"/>
          </reference>
          <reference field="1" count="1" selected="0">
            <x v="6"/>
          </reference>
          <reference field="2" count="1" selected="0">
            <x v="0"/>
          </reference>
        </references>
      </pivotArea>
    </chartFormat>
    <chartFormat chart="3" format="176">
      <pivotArea type="data" outline="0" fieldPosition="0">
        <references count="3">
          <reference field="4294967294" count="1" selected="0">
            <x v="0"/>
          </reference>
          <reference field="1" count="1" selected="0">
            <x v="6"/>
          </reference>
          <reference field="2" count="1" selected="0">
            <x v="1"/>
          </reference>
        </references>
      </pivotArea>
    </chartFormat>
    <chartFormat chart="3" format="177">
      <pivotArea type="data" outline="0" fieldPosition="0">
        <references count="3">
          <reference field="4294967294" count="1" selected="0">
            <x v="0"/>
          </reference>
          <reference field="1" count="1" selected="0">
            <x v="6"/>
          </reference>
          <reference field="2" count="1" selected="0">
            <x v="2"/>
          </reference>
        </references>
      </pivotArea>
    </chartFormat>
    <chartFormat chart="3" format="178">
      <pivotArea type="data" outline="0" fieldPosition="0">
        <references count="3">
          <reference field="4294967294" count="1" selected="0">
            <x v="0"/>
          </reference>
          <reference field="1" count="1" selected="0">
            <x v="6"/>
          </reference>
          <reference field="2" count="1" selected="0">
            <x v="3"/>
          </reference>
        </references>
      </pivotArea>
    </chartFormat>
    <chartFormat chart="3" format="179">
      <pivotArea type="data" outline="0" fieldPosition="0">
        <references count="3">
          <reference field="4294967294" count="1" selected="0">
            <x v="0"/>
          </reference>
          <reference field="1" count="1" selected="0">
            <x v="6"/>
          </reference>
          <reference field="2" count="1" selected="0">
            <x v="4"/>
          </reference>
        </references>
      </pivotArea>
    </chartFormat>
    <chartFormat chart="3" format="180">
      <pivotArea type="data" outline="0" fieldPosition="0">
        <references count="3">
          <reference field="4294967294" count="1" selected="0">
            <x v="0"/>
          </reference>
          <reference field="1" count="1" selected="0">
            <x v="6"/>
          </reference>
          <reference field="2" count="1" selected="0">
            <x v="5"/>
          </reference>
        </references>
      </pivotArea>
    </chartFormat>
    <chartFormat chart="3" format="181">
      <pivotArea type="data" outline="0" fieldPosition="0">
        <references count="3">
          <reference field="4294967294" count="1" selected="0">
            <x v="0"/>
          </reference>
          <reference field="1" count="1" selected="0">
            <x v="6"/>
          </reference>
          <reference field="2" count="1" selected="0">
            <x v="6"/>
          </reference>
        </references>
      </pivotArea>
    </chartFormat>
    <chartFormat chart="3" format="182">
      <pivotArea type="data" outline="0" fieldPosition="0">
        <references count="3">
          <reference field="4294967294" count="1" selected="0">
            <x v="0"/>
          </reference>
          <reference field="1" count="1" selected="0">
            <x v="6"/>
          </reference>
          <reference field="2" count="1" selected="0">
            <x v="7"/>
          </reference>
        </references>
      </pivotArea>
    </chartFormat>
    <chartFormat chart="3" format="183" series="1">
      <pivotArea type="data" outline="0" fieldPosition="0">
        <references count="2">
          <reference field="4294967294" count="1" selected="0">
            <x v="0"/>
          </reference>
          <reference field="1" count="1" selected="0">
            <x v="7"/>
          </reference>
        </references>
      </pivotArea>
    </chartFormat>
    <chartFormat chart="3" format="184">
      <pivotArea type="data" outline="0" fieldPosition="0">
        <references count="3">
          <reference field="4294967294" count="1" selected="0">
            <x v="0"/>
          </reference>
          <reference field="1" count="1" selected="0">
            <x v="7"/>
          </reference>
          <reference field="2" count="1" selected="0">
            <x v="0"/>
          </reference>
        </references>
      </pivotArea>
    </chartFormat>
    <chartFormat chart="3" format="185">
      <pivotArea type="data" outline="0" fieldPosition="0">
        <references count="3">
          <reference field="4294967294" count="1" selected="0">
            <x v="0"/>
          </reference>
          <reference field="1" count="1" selected="0">
            <x v="7"/>
          </reference>
          <reference field="2" count="1" selected="0">
            <x v="1"/>
          </reference>
        </references>
      </pivotArea>
    </chartFormat>
    <chartFormat chart="3" format="186">
      <pivotArea type="data" outline="0" fieldPosition="0">
        <references count="3">
          <reference field="4294967294" count="1" selected="0">
            <x v="0"/>
          </reference>
          <reference field="1" count="1" selected="0">
            <x v="7"/>
          </reference>
          <reference field="2" count="1" selected="0">
            <x v="2"/>
          </reference>
        </references>
      </pivotArea>
    </chartFormat>
    <chartFormat chart="3" format="187">
      <pivotArea type="data" outline="0" fieldPosition="0">
        <references count="3">
          <reference field="4294967294" count="1" selected="0">
            <x v="0"/>
          </reference>
          <reference field="1" count="1" selected="0">
            <x v="7"/>
          </reference>
          <reference field="2" count="1" selected="0">
            <x v="3"/>
          </reference>
        </references>
      </pivotArea>
    </chartFormat>
    <chartFormat chart="3" format="188">
      <pivotArea type="data" outline="0" fieldPosition="0">
        <references count="3">
          <reference field="4294967294" count="1" selected="0">
            <x v="0"/>
          </reference>
          <reference field="1" count="1" selected="0">
            <x v="7"/>
          </reference>
          <reference field="2" count="1" selected="0">
            <x v="4"/>
          </reference>
        </references>
      </pivotArea>
    </chartFormat>
    <chartFormat chart="3" format="189">
      <pivotArea type="data" outline="0" fieldPosition="0">
        <references count="3">
          <reference field="4294967294" count="1" selected="0">
            <x v="0"/>
          </reference>
          <reference field="1" count="1" selected="0">
            <x v="7"/>
          </reference>
          <reference field="2" count="1" selected="0">
            <x v="5"/>
          </reference>
        </references>
      </pivotArea>
    </chartFormat>
    <chartFormat chart="3" format="190">
      <pivotArea type="data" outline="0" fieldPosition="0">
        <references count="3">
          <reference field="4294967294" count="1" selected="0">
            <x v="0"/>
          </reference>
          <reference field="1" count="1" selected="0">
            <x v="7"/>
          </reference>
          <reference field="2" count="1" selected="0">
            <x v="6"/>
          </reference>
        </references>
      </pivotArea>
    </chartFormat>
    <chartFormat chart="3" format="191">
      <pivotArea type="data" outline="0" fieldPosition="0">
        <references count="3">
          <reference field="4294967294" count="1" selected="0">
            <x v="0"/>
          </reference>
          <reference field="1" count="1" selected="0">
            <x v="7"/>
          </reference>
          <reference field="2" count="1" selected="0">
            <x v="7"/>
          </reference>
        </references>
      </pivotArea>
    </chartFormat>
    <chartFormat chart="3" format="192" series="1">
      <pivotArea type="data" outline="0" fieldPosition="0">
        <references count="2">
          <reference field="4294967294" count="1" selected="0">
            <x v="0"/>
          </reference>
          <reference field="1" count="1" selected="0">
            <x v="8"/>
          </reference>
        </references>
      </pivotArea>
    </chartFormat>
    <chartFormat chart="3" format="193">
      <pivotArea type="data" outline="0" fieldPosition="0">
        <references count="3">
          <reference field="4294967294" count="1" selected="0">
            <x v="0"/>
          </reference>
          <reference field="1" count="1" selected="0">
            <x v="8"/>
          </reference>
          <reference field="2" count="1" selected="0">
            <x v="0"/>
          </reference>
        </references>
      </pivotArea>
    </chartFormat>
    <chartFormat chart="3" format="194">
      <pivotArea type="data" outline="0" fieldPosition="0">
        <references count="3">
          <reference field="4294967294" count="1" selected="0">
            <x v="0"/>
          </reference>
          <reference field="1" count="1" selected="0">
            <x v="8"/>
          </reference>
          <reference field="2" count="1" selected="0">
            <x v="1"/>
          </reference>
        </references>
      </pivotArea>
    </chartFormat>
    <chartFormat chart="3" format="195">
      <pivotArea type="data" outline="0" fieldPosition="0">
        <references count="3">
          <reference field="4294967294" count="1" selected="0">
            <x v="0"/>
          </reference>
          <reference field="1" count="1" selected="0">
            <x v="8"/>
          </reference>
          <reference field="2" count="1" selected="0">
            <x v="2"/>
          </reference>
        </references>
      </pivotArea>
    </chartFormat>
    <chartFormat chart="3" format="196">
      <pivotArea type="data" outline="0" fieldPosition="0">
        <references count="3">
          <reference field="4294967294" count="1" selected="0">
            <x v="0"/>
          </reference>
          <reference field="1" count="1" selected="0">
            <x v="8"/>
          </reference>
          <reference field="2" count="1" selected="0">
            <x v="3"/>
          </reference>
        </references>
      </pivotArea>
    </chartFormat>
    <chartFormat chart="3" format="197">
      <pivotArea type="data" outline="0" fieldPosition="0">
        <references count="3">
          <reference field="4294967294" count="1" selected="0">
            <x v="0"/>
          </reference>
          <reference field="1" count="1" selected="0">
            <x v="8"/>
          </reference>
          <reference field="2" count="1" selected="0">
            <x v="4"/>
          </reference>
        </references>
      </pivotArea>
    </chartFormat>
    <chartFormat chart="3" format="198">
      <pivotArea type="data" outline="0" fieldPosition="0">
        <references count="3">
          <reference field="4294967294" count="1" selected="0">
            <x v="0"/>
          </reference>
          <reference field="1" count="1" selected="0">
            <x v="8"/>
          </reference>
          <reference field="2" count="1" selected="0">
            <x v="5"/>
          </reference>
        </references>
      </pivotArea>
    </chartFormat>
    <chartFormat chart="3" format="199">
      <pivotArea type="data" outline="0" fieldPosition="0">
        <references count="3">
          <reference field="4294967294" count="1" selected="0">
            <x v="0"/>
          </reference>
          <reference field="1" count="1" selected="0">
            <x v="8"/>
          </reference>
          <reference field="2" count="1" selected="0">
            <x v="6"/>
          </reference>
        </references>
      </pivotArea>
    </chartFormat>
    <chartFormat chart="3" format="200">
      <pivotArea type="data" outline="0" fieldPosition="0">
        <references count="3">
          <reference field="4294967294" count="1" selected="0">
            <x v="0"/>
          </reference>
          <reference field="1" count="1" selected="0">
            <x v="8"/>
          </reference>
          <reference field="2" count="1" selected="0">
            <x v="7"/>
          </reference>
        </references>
      </pivotArea>
    </chartFormat>
    <chartFormat chart="3" format="201" series="1">
      <pivotArea type="data" outline="0" fieldPosition="0">
        <references count="2">
          <reference field="4294967294" count="1" selected="0">
            <x v="0"/>
          </reference>
          <reference field="1" count="1" selected="0">
            <x v="9"/>
          </reference>
        </references>
      </pivotArea>
    </chartFormat>
    <chartFormat chart="3" format="202">
      <pivotArea type="data" outline="0" fieldPosition="0">
        <references count="3">
          <reference field="4294967294" count="1" selected="0">
            <x v="0"/>
          </reference>
          <reference field="1" count="1" selected="0">
            <x v="9"/>
          </reference>
          <reference field="2" count="1" selected="0">
            <x v="0"/>
          </reference>
        </references>
      </pivotArea>
    </chartFormat>
    <chartFormat chart="3" format="203">
      <pivotArea type="data" outline="0" fieldPosition="0">
        <references count="3">
          <reference field="4294967294" count="1" selected="0">
            <x v="0"/>
          </reference>
          <reference field="1" count="1" selected="0">
            <x v="9"/>
          </reference>
          <reference field="2" count="1" selected="0">
            <x v="1"/>
          </reference>
        </references>
      </pivotArea>
    </chartFormat>
    <chartFormat chart="3" format="204">
      <pivotArea type="data" outline="0" fieldPosition="0">
        <references count="3">
          <reference field="4294967294" count="1" selected="0">
            <x v="0"/>
          </reference>
          <reference field="1" count="1" selected="0">
            <x v="9"/>
          </reference>
          <reference field="2" count="1" selected="0">
            <x v="2"/>
          </reference>
        </references>
      </pivotArea>
    </chartFormat>
    <chartFormat chart="3" format="205">
      <pivotArea type="data" outline="0" fieldPosition="0">
        <references count="3">
          <reference field="4294967294" count="1" selected="0">
            <x v="0"/>
          </reference>
          <reference field="1" count="1" selected="0">
            <x v="9"/>
          </reference>
          <reference field="2" count="1" selected="0">
            <x v="3"/>
          </reference>
        </references>
      </pivotArea>
    </chartFormat>
    <chartFormat chart="3" format="206">
      <pivotArea type="data" outline="0" fieldPosition="0">
        <references count="3">
          <reference field="4294967294" count="1" selected="0">
            <x v="0"/>
          </reference>
          <reference field="1" count="1" selected="0">
            <x v="9"/>
          </reference>
          <reference field="2" count="1" selected="0">
            <x v="4"/>
          </reference>
        </references>
      </pivotArea>
    </chartFormat>
    <chartFormat chart="3" format="207">
      <pivotArea type="data" outline="0" fieldPosition="0">
        <references count="3">
          <reference field="4294967294" count="1" selected="0">
            <x v="0"/>
          </reference>
          <reference field="1" count="1" selected="0">
            <x v="9"/>
          </reference>
          <reference field="2" count="1" selected="0">
            <x v="5"/>
          </reference>
        </references>
      </pivotArea>
    </chartFormat>
    <chartFormat chart="3" format="208">
      <pivotArea type="data" outline="0" fieldPosition="0">
        <references count="3">
          <reference field="4294967294" count="1" selected="0">
            <x v="0"/>
          </reference>
          <reference field="1" count="1" selected="0">
            <x v="9"/>
          </reference>
          <reference field="2" count="1" selected="0">
            <x v="6"/>
          </reference>
        </references>
      </pivotArea>
    </chartFormat>
    <chartFormat chart="3" format="209">
      <pivotArea type="data" outline="0" fieldPosition="0">
        <references count="3">
          <reference field="4294967294" count="1" selected="0">
            <x v="0"/>
          </reference>
          <reference field="1" count="1" selected="0">
            <x v="9"/>
          </reference>
          <reference field="2" count="1" selected="0">
            <x v="7"/>
          </reference>
        </references>
      </pivotArea>
    </chartFormat>
    <chartFormat chart="3" format="210" series="1">
      <pivotArea type="data" outline="0" fieldPosition="0">
        <references count="2">
          <reference field="4294967294" count="1" selected="0">
            <x v="0"/>
          </reference>
          <reference field="1" count="1" selected="0">
            <x v="10"/>
          </reference>
        </references>
      </pivotArea>
    </chartFormat>
    <chartFormat chart="3" format="211">
      <pivotArea type="data" outline="0" fieldPosition="0">
        <references count="3">
          <reference field="4294967294" count="1" selected="0">
            <x v="0"/>
          </reference>
          <reference field="1" count="1" selected="0">
            <x v="10"/>
          </reference>
          <reference field="2" count="1" selected="0">
            <x v="0"/>
          </reference>
        </references>
      </pivotArea>
    </chartFormat>
    <chartFormat chart="3" format="212">
      <pivotArea type="data" outline="0" fieldPosition="0">
        <references count="3">
          <reference field="4294967294" count="1" selected="0">
            <x v="0"/>
          </reference>
          <reference field="1" count="1" selected="0">
            <x v="10"/>
          </reference>
          <reference field="2" count="1" selected="0">
            <x v="1"/>
          </reference>
        </references>
      </pivotArea>
    </chartFormat>
    <chartFormat chart="3" format="213">
      <pivotArea type="data" outline="0" fieldPosition="0">
        <references count="3">
          <reference field="4294967294" count="1" selected="0">
            <x v="0"/>
          </reference>
          <reference field="1" count="1" selected="0">
            <x v="10"/>
          </reference>
          <reference field="2" count="1" selected="0">
            <x v="2"/>
          </reference>
        </references>
      </pivotArea>
    </chartFormat>
    <chartFormat chart="3" format="214">
      <pivotArea type="data" outline="0" fieldPosition="0">
        <references count="3">
          <reference field="4294967294" count="1" selected="0">
            <x v="0"/>
          </reference>
          <reference field="1" count="1" selected="0">
            <x v="10"/>
          </reference>
          <reference field="2" count="1" selected="0">
            <x v="3"/>
          </reference>
        </references>
      </pivotArea>
    </chartFormat>
    <chartFormat chart="3" format="215">
      <pivotArea type="data" outline="0" fieldPosition="0">
        <references count="3">
          <reference field="4294967294" count="1" selected="0">
            <x v="0"/>
          </reference>
          <reference field="1" count="1" selected="0">
            <x v="10"/>
          </reference>
          <reference field="2" count="1" selected="0">
            <x v="4"/>
          </reference>
        </references>
      </pivotArea>
    </chartFormat>
    <chartFormat chart="3" format="216">
      <pivotArea type="data" outline="0" fieldPosition="0">
        <references count="3">
          <reference field="4294967294" count="1" selected="0">
            <x v="0"/>
          </reference>
          <reference field="1" count="1" selected="0">
            <x v="10"/>
          </reference>
          <reference field="2" count="1" selected="0">
            <x v="5"/>
          </reference>
        </references>
      </pivotArea>
    </chartFormat>
    <chartFormat chart="3" format="217">
      <pivotArea type="data" outline="0" fieldPosition="0">
        <references count="3">
          <reference field="4294967294" count="1" selected="0">
            <x v="0"/>
          </reference>
          <reference field="1" count="1" selected="0">
            <x v="10"/>
          </reference>
          <reference field="2" count="1" selected="0">
            <x v="6"/>
          </reference>
        </references>
      </pivotArea>
    </chartFormat>
    <chartFormat chart="3" format="218">
      <pivotArea type="data" outline="0" fieldPosition="0">
        <references count="3">
          <reference field="4294967294" count="1" selected="0">
            <x v="0"/>
          </reference>
          <reference field="1" count="1" selected="0">
            <x v="10"/>
          </reference>
          <reference field="2" count="1" selected="0">
            <x v="7"/>
          </reference>
        </references>
      </pivotArea>
    </chartFormat>
    <chartFormat chart="3" format="219" series="1">
      <pivotArea type="data" outline="0" fieldPosition="0">
        <references count="2">
          <reference field="4294967294" count="1" selected="0">
            <x v="0"/>
          </reference>
          <reference field="1" count="1" selected="0">
            <x v="11"/>
          </reference>
        </references>
      </pivotArea>
    </chartFormat>
    <chartFormat chart="3" format="220">
      <pivotArea type="data" outline="0" fieldPosition="0">
        <references count="3">
          <reference field="4294967294" count="1" selected="0">
            <x v="0"/>
          </reference>
          <reference field="1" count="1" selected="0">
            <x v="11"/>
          </reference>
          <reference field="2" count="1" selected="0">
            <x v="0"/>
          </reference>
        </references>
      </pivotArea>
    </chartFormat>
    <chartFormat chart="3" format="221">
      <pivotArea type="data" outline="0" fieldPosition="0">
        <references count="3">
          <reference field="4294967294" count="1" selected="0">
            <x v="0"/>
          </reference>
          <reference field="1" count="1" selected="0">
            <x v="11"/>
          </reference>
          <reference field="2" count="1" selected="0">
            <x v="1"/>
          </reference>
        </references>
      </pivotArea>
    </chartFormat>
    <chartFormat chart="3" format="222">
      <pivotArea type="data" outline="0" fieldPosition="0">
        <references count="3">
          <reference field="4294967294" count="1" selected="0">
            <x v="0"/>
          </reference>
          <reference field="1" count="1" selected="0">
            <x v="11"/>
          </reference>
          <reference field="2" count="1" selected="0">
            <x v="2"/>
          </reference>
        </references>
      </pivotArea>
    </chartFormat>
    <chartFormat chart="3" format="223">
      <pivotArea type="data" outline="0" fieldPosition="0">
        <references count="3">
          <reference field="4294967294" count="1" selected="0">
            <x v="0"/>
          </reference>
          <reference field="1" count="1" selected="0">
            <x v="11"/>
          </reference>
          <reference field="2" count="1" selected="0">
            <x v="3"/>
          </reference>
        </references>
      </pivotArea>
    </chartFormat>
    <chartFormat chart="3" format="224">
      <pivotArea type="data" outline="0" fieldPosition="0">
        <references count="3">
          <reference field="4294967294" count="1" selected="0">
            <x v="0"/>
          </reference>
          <reference field="1" count="1" selected="0">
            <x v="11"/>
          </reference>
          <reference field="2" count="1" selected="0">
            <x v="4"/>
          </reference>
        </references>
      </pivotArea>
    </chartFormat>
    <chartFormat chart="3" format="225">
      <pivotArea type="data" outline="0" fieldPosition="0">
        <references count="3">
          <reference field="4294967294" count="1" selected="0">
            <x v="0"/>
          </reference>
          <reference field="1" count="1" selected="0">
            <x v="11"/>
          </reference>
          <reference field="2" count="1" selected="0">
            <x v="5"/>
          </reference>
        </references>
      </pivotArea>
    </chartFormat>
    <chartFormat chart="3" format="226">
      <pivotArea type="data" outline="0" fieldPosition="0">
        <references count="3">
          <reference field="4294967294" count="1" selected="0">
            <x v="0"/>
          </reference>
          <reference field="1" count="1" selected="0">
            <x v="11"/>
          </reference>
          <reference field="2" count="1" selected="0">
            <x v="6"/>
          </reference>
        </references>
      </pivotArea>
    </chartFormat>
    <chartFormat chart="3" format="227">
      <pivotArea type="data" outline="0" fieldPosition="0">
        <references count="3">
          <reference field="4294967294" count="1" selected="0">
            <x v="0"/>
          </reference>
          <reference field="1" count="1" selected="0">
            <x v="11"/>
          </reference>
          <reference field="2" count="1" selected="0">
            <x v="7"/>
          </reference>
        </references>
      </pivotArea>
    </chartFormat>
    <chartFormat chart="6" format="237" series="1">
      <pivotArea type="data" outline="0" fieldPosition="0">
        <references count="2">
          <reference field="4294967294" count="1" selected="0">
            <x v="0"/>
          </reference>
          <reference field="1" count="1" selected="0">
            <x v="1"/>
          </reference>
        </references>
      </pivotArea>
    </chartFormat>
    <chartFormat chart="6" format="238" series="1">
      <pivotArea type="data" outline="0" fieldPosition="0">
        <references count="2">
          <reference field="4294967294" count="1" selected="0">
            <x v="0"/>
          </reference>
          <reference field="1" count="1" selected="0">
            <x v="2"/>
          </reference>
        </references>
      </pivotArea>
    </chartFormat>
    <chartFormat chart="6" format="239" series="1">
      <pivotArea type="data" outline="0" fieldPosition="0">
        <references count="2">
          <reference field="4294967294" count="1" selected="0">
            <x v="0"/>
          </reference>
          <reference field="1" count="1" selected="0">
            <x v="3"/>
          </reference>
        </references>
      </pivotArea>
    </chartFormat>
    <chartFormat chart="6" format="240" series="1">
      <pivotArea type="data" outline="0" fieldPosition="0">
        <references count="2">
          <reference field="4294967294" count="1" selected="0">
            <x v="0"/>
          </reference>
          <reference field="1" count="1" selected="0">
            <x v="4"/>
          </reference>
        </references>
      </pivotArea>
    </chartFormat>
    <chartFormat chart="6" format="241" series="1">
      <pivotArea type="data" outline="0" fieldPosition="0">
        <references count="2">
          <reference field="4294967294" count="1" selected="0">
            <x v="0"/>
          </reference>
          <reference field="1" count="1" selected="0">
            <x v="0"/>
          </reference>
        </references>
      </pivotArea>
    </chartFormat>
    <chartFormat chart="6" format="242" series="1">
      <pivotArea type="data" outline="0" fieldPosition="0">
        <references count="2">
          <reference field="4294967294" count="1" selected="0">
            <x v="0"/>
          </reference>
          <reference field="1" count="1" selected="0">
            <x v="11"/>
          </reference>
        </references>
      </pivotArea>
    </chartFormat>
    <chartFormat chart="6" format="243" series="1">
      <pivotArea type="data" outline="0" fieldPosition="0">
        <references count="2">
          <reference field="4294967294" count="1" selected="0">
            <x v="0"/>
          </reference>
          <reference field="1" count="1" selected="0">
            <x v="10"/>
          </reference>
        </references>
      </pivotArea>
    </chartFormat>
    <chartFormat chart="6" format="244" series="1">
      <pivotArea type="data" outline="0" fieldPosition="0">
        <references count="2">
          <reference field="4294967294" count="1" selected="0">
            <x v="0"/>
          </reference>
          <reference field="1" count="1" selected="0">
            <x v="9"/>
          </reference>
        </references>
      </pivotArea>
    </chartFormat>
    <chartFormat chart="6" format="245" series="1">
      <pivotArea type="data" outline="0" fieldPosition="0">
        <references count="2">
          <reference field="4294967294" count="1" selected="0">
            <x v="0"/>
          </reference>
          <reference field="1" count="1" selected="0">
            <x v="8"/>
          </reference>
        </references>
      </pivotArea>
    </chartFormat>
    <chartFormat chart="6" format="246" series="1">
      <pivotArea type="data" outline="0" fieldPosition="0">
        <references count="2">
          <reference field="4294967294" count="1" selected="0">
            <x v="0"/>
          </reference>
          <reference field="1" count="1" selected="0">
            <x v="7"/>
          </reference>
        </references>
      </pivotArea>
    </chartFormat>
    <chartFormat chart="6" format="247" series="1">
      <pivotArea type="data" outline="0" fieldPosition="0">
        <references count="2">
          <reference field="4294967294" count="1" selected="0">
            <x v="0"/>
          </reference>
          <reference field="1" count="1" selected="0">
            <x v="6"/>
          </reference>
        </references>
      </pivotArea>
    </chartFormat>
    <chartFormat chart="6" format="248"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78D27-F7C2-4C87-A2C3-9AAB1E9306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G13" firstHeaderRow="1" firstDataRow="2" firstDataCol="1"/>
  <pivotFields count="9">
    <pivotField numFmtId="165" showAll="0"/>
    <pivotField axis="axisCol" showAll="0">
      <items count="13">
        <item h="1" x="0"/>
        <item h="1" x="1"/>
        <item h="1" x="2"/>
        <item x="3"/>
        <item h="1" x="4"/>
        <item h="1" x="5"/>
        <item h="1" x="6"/>
        <item h="1" x="7"/>
        <item h="1" x="8"/>
        <item h="1" x="9"/>
        <item h="1" x="10"/>
        <item h="1" x="11"/>
        <item t="default"/>
      </items>
    </pivotField>
    <pivotField axis="axisRow" showAll="0">
      <items count="9">
        <item x="7"/>
        <item x="4"/>
        <item x="5"/>
        <item x="3"/>
        <item x="6"/>
        <item x="1"/>
        <item x="0"/>
        <item x="2"/>
        <item t="default"/>
      </items>
    </pivotField>
    <pivotField showAll="0">
      <items count="6">
        <item x="1"/>
        <item x="0"/>
        <item x="3"/>
        <item x="2"/>
        <item x="4"/>
        <item t="default"/>
      </items>
    </pivotField>
    <pivotField dataField="1" numFmtId="3" showAll="0"/>
    <pivotField numFmtId="3" showAll="0"/>
    <pivotField showAll="0"/>
    <pivotField showAll="0"/>
    <pivotField showAll="0">
      <items count="3">
        <item x="0"/>
        <item x="1"/>
        <item t="default"/>
      </items>
    </pivotField>
  </pivotFields>
  <rowFields count="1">
    <field x="2"/>
  </rowFields>
  <rowItems count="9">
    <i>
      <x/>
    </i>
    <i>
      <x v="1"/>
    </i>
    <i>
      <x v="2"/>
    </i>
    <i>
      <x v="3"/>
    </i>
    <i>
      <x v="4"/>
    </i>
    <i>
      <x v="5"/>
    </i>
    <i>
      <x v="6"/>
    </i>
    <i>
      <x v="7"/>
    </i>
    <i t="grand">
      <x/>
    </i>
  </rowItems>
  <colFields count="1">
    <field x="1"/>
  </colFields>
  <colItems count="2">
    <i>
      <x v="3"/>
    </i>
    <i t="grand">
      <x/>
    </i>
  </colItems>
  <dataFields count="1">
    <dataField name="Sum of Budget" fld="4" showDataAs="percentOfCol" baseField="0" baseItem="0" numFmtId="10"/>
  </dataFields>
  <chartFormats count="12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2" format="120" series="1">
      <pivotArea type="data" outline="0" fieldPosition="0">
        <references count="2">
          <reference field="4294967294" count="1" selected="0">
            <x v="0"/>
          </reference>
          <reference field="1" count="1" selected="0">
            <x v="0"/>
          </reference>
        </references>
      </pivotArea>
    </chartFormat>
    <chartFormat chart="2" format="121">
      <pivotArea type="data" outline="0" fieldPosition="0">
        <references count="3">
          <reference field="4294967294" count="1" selected="0">
            <x v="0"/>
          </reference>
          <reference field="1" count="1" selected="0">
            <x v="0"/>
          </reference>
          <reference field="2" count="1" selected="0">
            <x v="0"/>
          </reference>
        </references>
      </pivotArea>
    </chartFormat>
    <chartFormat chart="2" format="122">
      <pivotArea type="data" outline="0" fieldPosition="0">
        <references count="3">
          <reference field="4294967294" count="1" selected="0">
            <x v="0"/>
          </reference>
          <reference field="1" count="1" selected="0">
            <x v="0"/>
          </reference>
          <reference field="2" count="1" selected="0">
            <x v="1"/>
          </reference>
        </references>
      </pivotArea>
    </chartFormat>
    <chartFormat chart="2" format="123">
      <pivotArea type="data" outline="0" fieldPosition="0">
        <references count="3">
          <reference field="4294967294" count="1" selected="0">
            <x v="0"/>
          </reference>
          <reference field="1" count="1" selected="0">
            <x v="0"/>
          </reference>
          <reference field="2" count="1" selected="0">
            <x v="2"/>
          </reference>
        </references>
      </pivotArea>
    </chartFormat>
    <chartFormat chart="2" format="124">
      <pivotArea type="data" outline="0" fieldPosition="0">
        <references count="3">
          <reference field="4294967294" count="1" selected="0">
            <x v="0"/>
          </reference>
          <reference field="1" count="1" selected="0">
            <x v="0"/>
          </reference>
          <reference field="2" count="1" selected="0">
            <x v="3"/>
          </reference>
        </references>
      </pivotArea>
    </chartFormat>
    <chartFormat chart="2" format="125">
      <pivotArea type="data" outline="0" fieldPosition="0">
        <references count="3">
          <reference field="4294967294" count="1" selected="0">
            <x v="0"/>
          </reference>
          <reference field="1" count="1" selected="0">
            <x v="0"/>
          </reference>
          <reference field="2" count="1" selected="0">
            <x v="4"/>
          </reference>
        </references>
      </pivotArea>
    </chartFormat>
    <chartFormat chart="2" format="126">
      <pivotArea type="data" outline="0" fieldPosition="0">
        <references count="3">
          <reference field="4294967294" count="1" selected="0">
            <x v="0"/>
          </reference>
          <reference field="1" count="1" selected="0">
            <x v="0"/>
          </reference>
          <reference field="2" count="1" selected="0">
            <x v="5"/>
          </reference>
        </references>
      </pivotArea>
    </chartFormat>
    <chartFormat chart="2" format="127">
      <pivotArea type="data" outline="0" fieldPosition="0">
        <references count="3">
          <reference field="4294967294" count="1" selected="0">
            <x v="0"/>
          </reference>
          <reference field="1" count="1" selected="0">
            <x v="0"/>
          </reference>
          <reference field="2" count="1" selected="0">
            <x v="6"/>
          </reference>
        </references>
      </pivotArea>
    </chartFormat>
    <chartFormat chart="2" format="128">
      <pivotArea type="data" outline="0" fieldPosition="0">
        <references count="3">
          <reference field="4294967294" count="1" selected="0">
            <x v="0"/>
          </reference>
          <reference field="1" count="1" selected="0">
            <x v="0"/>
          </reference>
          <reference field="2" count="1" selected="0">
            <x v="7"/>
          </reference>
        </references>
      </pivotArea>
    </chartFormat>
    <chartFormat chart="2" format="129" series="1">
      <pivotArea type="data" outline="0" fieldPosition="0">
        <references count="2">
          <reference field="4294967294" count="1" selected="0">
            <x v="0"/>
          </reference>
          <reference field="1" count="1" selected="0">
            <x v="1"/>
          </reference>
        </references>
      </pivotArea>
    </chartFormat>
    <chartFormat chart="2" format="130">
      <pivotArea type="data" outline="0" fieldPosition="0">
        <references count="3">
          <reference field="4294967294" count="1" selected="0">
            <x v="0"/>
          </reference>
          <reference field="1" count="1" selected="0">
            <x v="1"/>
          </reference>
          <reference field="2" count="1" selected="0">
            <x v="0"/>
          </reference>
        </references>
      </pivotArea>
    </chartFormat>
    <chartFormat chart="2" format="131">
      <pivotArea type="data" outline="0" fieldPosition="0">
        <references count="3">
          <reference field="4294967294" count="1" selected="0">
            <x v="0"/>
          </reference>
          <reference field="1" count="1" selected="0">
            <x v="1"/>
          </reference>
          <reference field="2" count="1" selected="0">
            <x v="1"/>
          </reference>
        </references>
      </pivotArea>
    </chartFormat>
    <chartFormat chart="2" format="132">
      <pivotArea type="data" outline="0" fieldPosition="0">
        <references count="3">
          <reference field="4294967294" count="1" selected="0">
            <x v="0"/>
          </reference>
          <reference field="1" count="1" selected="0">
            <x v="1"/>
          </reference>
          <reference field="2" count="1" selected="0">
            <x v="2"/>
          </reference>
        </references>
      </pivotArea>
    </chartFormat>
    <chartFormat chart="2" format="133">
      <pivotArea type="data" outline="0" fieldPosition="0">
        <references count="3">
          <reference field="4294967294" count="1" selected="0">
            <x v="0"/>
          </reference>
          <reference field="1" count="1" selected="0">
            <x v="1"/>
          </reference>
          <reference field="2" count="1" selected="0">
            <x v="3"/>
          </reference>
        </references>
      </pivotArea>
    </chartFormat>
    <chartFormat chart="2" format="134">
      <pivotArea type="data" outline="0" fieldPosition="0">
        <references count="3">
          <reference field="4294967294" count="1" selected="0">
            <x v="0"/>
          </reference>
          <reference field="1" count="1" selected="0">
            <x v="1"/>
          </reference>
          <reference field="2" count="1" selected="0">
            <x v="4"/>
          </reference>
        </references>
      </pivotArea>
    </chartFormat>
    <chartFormat chart="2" format="135">
      <pivotArea type="data" outline="0" fieldPosition="0">
        <references count="3">
          <reference field="4294967294" count="1" selected="0">
            <x v="0"/>
          </reference>
          <reference field="1" count="1" selected="0">
            <x v="1"/>
          </reference>
          <reference field="2" count="1" selected="0">
            <x v="5"/>
          </reference>
        </references>
      </pivotArea>
    </chartFormat>
    <chartFormat chart="2" format="136">
      <pivotArea type="data" outline="0" fieldPosition="0">
        <references count="3">
          <reference field="4294967294" count="1" selected="0">
            <x v="0"/>
          </reference>
          <reference field="1" count="1" selected="0">
            <x v="1"/>
          </reference>
          <reference field="2" count="1" selected="0">
            <x v="6"/>
          </reference>
        </references>
      </pivotArea>
    </chartFormat>
    <chartFormat chart="2" format="137">
      <pivotArea type="data" outline="0" fieldPosition="0">
        <references count="3">
          <reference field="4294967294" count="1" selected="0">
            <x v="0"/>
          </reference>
          <reference field="1" count="1" selected="0">
            <x v="1"/>
          </reference>
          <reference field="2" count="1" selected="0">
            <x v="7"/>
          </reference>
        </references>
      </pivotArea>
    </chartFormat>
    <chartFormat chart="2" format="138" series="1">
      <pivotArea type="data" outline="0" fieldPosition="0">
        <references count="2">
          <reference field="4294967294" count="1" selected="0">
            <x v="0"/>
          </reference>
          <reference field="1" count="1" selected="0">
            <x v="2"/>
          </reference>
        </references>
      </pivotArea>
    </chartFormat>
    <chartFormat chart="2" format="139">
      <pivotArea type="data" outline="0" fieldPosition="0">
        <references count="3">
          <reference field="4294967294" count="1" selected="0">
            <x v="0"/>
          </reference>
          <reference field="1" count="1" selected="0">
            <x v="2"/>
          </reference>
          <reference field="2" count="1" selected="0">
            <x v="0"/>
          </reference>
        </references>
      </pivotArea>
    </chartFormat>
    <chartFormat chart="2" format="140">
      <pivotArea type="data" outline="0" fieldPosition="0">
        <references count="3">
          <reference field="4294967294" count="1" selected="0">
            <x v="0"/>
          </reference>
          <reference field="1" count="1" selected="0">
            <x v="2"/>
          </reference>
          <reference field="2" count="1" selected="0">
            <x v="1"/>
          </reference>
        </references>
      </pivotArea>
    </chartFormat>
    <chartFormat chart="2" format="141">
      <pivotArea type="data" outline="0" fieldPosition="0">
        <references count="3">
          <reference field="4294967294" count="1" selected="0">
            <x v="0"/>
          </reference>
          <reference field="1" count="1" selected="0">
            <x v="2"/>
          </reference>
          <reference field="2" count="1" selected="0">
            <x v="2"/>
          </reference>
        </references>
      </pivotArea>
    </chartFormat>
    <chartFormat chart="2" format="142">
      <pivotArea type="data" outline="0" fieldPosition="0">
        <references count="3">
          <reference field="4294967294" count="1" selected="0">
            <x v="0"/>
          </reference>
          <reference field="1" count="1" selected="0">
            <x v="2"/>
          </reference>
          <reference field="2" count="1" selected="0">
            <x v="3"/>
          </reference>
        </references>
      </pivotArea>
    </chartFormat>
    <chartFormat chart="2" format="143">
      <pivotArea type="data" outline="0" fieldPosition="0">
        <references count="3">
          <reference field="4294967294" count="1" selected="0">
            <x v="0"/>
          </reference>
          <reference field="1" count="1" selected="0">
            <x v="2"/>
          </reference>
          <reference field="2" count="1" selected="0">
            <x v="4"/>
          </reference>
        </references>
      </pivotArea>
    </chartFormat>
    <chartFormat chart="2" format="144">
      <pivotArea type="data" outline="0" fieldPosition="0">
        <references count="3">
          <reference field="4294967294" count="1" selected="0">
            <x v="0"/>
          </reference>
          <reference field="1" count="1" selected="0">
            <x v="2"/>
          </reference>
          <reference field="2" count="1" selected="0">
            <x v="5"/>
          </reference>
        </references>
      </pivotArea>
    </chartFormat>
    <chartFormat chart="2" format="145">
      <pivotArea type="data" outline="0" fieldPosition="0">
        <references count="3">
          <reference field="4294967294" count="1" selected="0">
            <x v="0"/>
          </reference>
          <reference field="1" count="1" selected="0">
            <x v="2"/>
          </reference>
          <reference field="2" count="1" selected="0">
            <x v="6"/>
          </reference>
        </references>
      </pivotArea>
    </chartFormat>
    <chartFormat chart="2" format="146">
      <pivotArea type="data" outline="0" fieldPosition="0">
        <references count="3">
          <reference field="4294967294" count="1" selected="0">
            <x v="0"/>
          </reference>
          <reference field="1" count="1" selected="0">
            <x v="2"/>
          </reference>
          <reference field="2" count="1" selected="0">
            <x v="7"/>
          </reference>
        </references>
      </pivotArea>
    </chartFormat>
    <chartFormat chart="2" format="147" series="1">
      <pivotArea type="data" outline="0" fieldPosition="0">
        <references count="2">
          <reference field="4294967294" count="1" selected="0">
            <x v="0"/>
          </reference>
          <reference field="1" count="1" selected="0">
            <x v="3"/>
          </reference>
        </references>
      </pivotArea>
    </chartFormat>
    <chartFormat chart="2" format="148">
      <pivotArea type="data" outline="0" fieldPosition="0">
        <references count="3">
          <reference field="4294967294" count="1" selected="0">
            <x v="0"/>
          </reference>
          <reference field="1" count="1" selected="0">
            <x v="3"/>
          </reference>
          <reference field="2" count="1" selected="0">
            <x v="0"/>
          </reference>
        </references>
      </pivotArea>
    </chartFormat>
    <chartFormat chart="2" format="149">
      <pivotArea type="data" outline="0" fieldPosition="0">
        <references count="3">
          <reference field="4294967294" count="1" selected="0">
            <x v="0"/>
          </reference>
          <reference field="1" count="1" selected="0">
            <x v="3"/>
          </reference>
          <reference field="2" count="1" selected="0">
            <x v="1"/>
          </reference>
        </references>
      </pivotArea>
    </chartFormat>
    <chartFormat chart="2" format="150">
      <pivotArea type="data" outline="0" fieldPosition="0">
        <references count="3">
          <reference field="4294967294" count="1" selected="0">
            <x v="0"/>
          </reference>
          <reference field="1" count="1" selected="0">
            <x v="3"/>
          </reference>
          <reference field="2" count="1" selected="0">
            <x v="2"/>
          </reference>
        </references>
      </pivotArea>
    </chartFormat>
    <chartFormat chart="2" format="151">
      <pivotArea type="data" outline="0" fieldPosition="0">
        <references count="3">
          <reference field="4294967294" count="1" selected="0">
            <x v="0"/>
          </reference>
          <reference field="1" count="1" selected="0">
            <x v="3"/>
          </reference>
          <reference field="2" count="1" selected="0">
            <x v="3"/>
          </reference>
        </references>
      </pivotArea>
    </chartFormat>
    <chartFormat chart="2" format="152">
      <pivotArea type="data" outline="0" fieldPosition="0">
        <references count="3">
          <reference field="4294967294" count="1" selected="0">
            <x v="0"/>
          </reference>
          <reference field="1" count="1" selected="0">
            <x v="3"/>
          </reference>
          <reference field="2" count="1" selected="0">
            <x v="4"/>
          </reference>
        </references>
      </pivotArea>
    </chartFormat>
    <chartFormat chart="2" format="153">
      <pivotArea type="data" outline="0" fieldPosition="0">
        <references count="3">
          <reference field="4294967294" count="1" selected="0">
            <x v="0"/>
          </reference>
          <reference field="1" count="1" selected="0">
            <x v="3"/>
          </reference>
          <reference field="2" count="1" selected="0">
            <x v="5"/>
          </reference>
        </references>
      </pivotArea>
    </chartFormat>
    <chartFormat chart="2" format="154">
      <pivotArea type="data" outline="0" fieldPosition="0">
        <references count="3">
          <reference field="4294967294" count="1" selected="0">
            <x v="0"/>
          </reference>
          <reference field="1" count="1" selected="0">
            <x v="3"/>
          </reference>
          <reference field="2" count="1" selected="0">
            <x v="6"/>
          </reference>
        </references>
      </pivotArea>
    </chartFormat>
    <chartFormat chart="2" format="155">
      <pivotArea type="data" outline="0" fieldPosition="0">
        <references count="3">
          <reference field="4294967294" count="1" selected="0">
            <x v="0"/>
          </reference>
          <reference field="1" count="1" selected="0">
            <x v="3"/>
          </reference>
          <reference field="2" count="1" selected="0">
            <x v="7"/>
          </reference>
        </references>
      </pivotArea>
    </chartFormat>
    <chartFormat chart="2" format="156" series="1">
      <pivotArea type="data" outline="0" fieldPosition="0">
        <references count="2">
          <reference field="4294967294" count="1" selected="0">
            <x v="0"/>
          </reference>
          <reference field="1" count="1" selected="0">
            <x v="4"/>
          </reference>
        </references>
      </pivotArea>
    </chartFormat>
    <chartFormat chart="2" format="157">
      <pivotArea type="data" outline="0" fieldPosition="0">
        <references count="3">
          <reference field="4294967294" count="1" selected="0">
            <x v="0"/>
          </reference>
          <reference field="1" count="1" selected="0">
            <x v="4"/>
          </reference>
          <reference field="2" count="1" selected="0">
            <x v="0"/>
          </reference>
        </references>
      </pivotArea>
    </chartFormat>
    <chartFormat chart="2" format="158">
      <pivotArea type="data" outline="0" fieldPosition="0">
        <references count="3">
          <reference field="4294967294" count="1" selected="0">
            <x v="0"/>
          </reference>
          <reference field="1" count="1" selected="0">
            <x v="4"/>
          </reference>
          <reference field="2" count="1" selected="0">
            <x v="1"/>
          </reference>
        </references>
      </pivotArea>
    </chartFormat>
    <chartFormat chart="2" format="159">
      <pivotArea type="data" outline="0" fieldPosition="0">
        <references count="3">
          <reference field="4294967294" count="1" selected="0">
            <x v="0"/>
          </reference>
          <reference field="1" count="1" selected="0">
            <x v="4"/>
          </reference>
          <reference field="2" count="1" selected="0">
            <x v="2"/>
          </reference>
        </references>
      </pivotArea>
    </chartFormat>
    <chartFormat chart="2" format="160">
      <pivotArea type="data" outline="0" fieldPosition="0">
        <references count="3">
          <reference field="4294967294" count="1" selected="0">
            <x v="0"/>
          </reference>
          <reference field="1" count="1" selected="0">
            <x v="4"/>
          </reference>
          <reference field="2" count="1" selected="0">
            <x v="3"/>
          </reference>
        </references>
      </pivotArea>
    </chartFormat>
    <chartFormat chart="2" format="161">
      <pivotArea type="data" outline="0" fieldPosition="0">
        <references count="3">
          <reference field="4294967294" count="1" selected="0">
            <x v="0"/>
          </reference>
          <reference field="1" count="1" selected="0">
            <x v="4"/>
          </reference>
          <reference field="2" count="1" selected="0">
            <x v="4"/>
          </reference>
        </references>
      </pivotArea>
    </chartFormat>
    <chartFormat chart="2" format="162">
      <pivotArea type="data" outline="0" fieldPosition="0">
        <references count="3">
          <reference field="4294967294" count="1" selected="0">
            <x v="0"/>
          </reference>
          <reference field="1" count="1" selected="0">
            <x v="4"/>
          </reference>
          <reference field="2" count="1" selected="0">
            <x v="5"/>
          </reference>
        </references>
      </pivotArea>
    </chartFormat>
    <chartFormat chart="2" format="163">
      <pivotArea type="data" outline="0" fieldPosition="0">
        <references count="3">
          <reference field="4294967294" count="1" selected="0">
            <x v="0"/>
          </reference>
          <reference field="1" count="1" selected="0">
            <x v="4"/>
          </reference>
          <reference field="2" count="1" selected="0">
            <x v="6"/>
          </reference>
        </references>
      </pivotArea>
    </chartFormat>
    <chartFormat chart="2" format="164">
      <pivotArea type="data" outline="0" fieldPosition="0">
        <references count="3">
          <reference field="4294967294" count="1" selected="0">
            <x v="0"/>
          </reference>
          <reference field="1" count="1" selected="0">
            <x v="4"/>
          </reference>
          <reference field="2" count="1" selected="0">
            <x v="7"/>
          </reference>
        </references>
      </pivotArea>
    </chartFormat>
    <chartFormat chart="2" format="165" series="1">
      <pivotArea type="data" outline="0" fieldPosition="0">
        <references count="2">
          <reference field="4294967294" count="1" selected="0">
            <x v="0"/>
          </reference>
          <reference field="1" count="1" selected="0">
            <x v="5"/>
          </reference>
        </references>
      </pivotArea>
    </chartFormat>
    <chartFormat chart="2" format="166">
      <pivotArea type="data" outline="0" fieldPosition="0">
        <references count="3">
          <reference field="4294967294" count="1" selected="0">
            <x v="0"/>
          </reference>
          <reference field="1" count="1" selected="0">
            <x v="5"/>
          </reference>
          <reference field="2" count="1" selected="0">
            <x v="0"/>
          </reference>
        </references>
      </pivotArea>
    </chartFormat>
    <chartFormat chart="2" format="167">
      <pivotArea type="data" outline="0" fieldPosition="0">
        <references count="3">
          <reference field="4294967294" count="1" selected="0">
            <x v="0"/>
          </reference>
          <reference field="1" count="1" selected="0">
            <x v="5"/>
          </reference>
          <reference field="2" count="1" selected="0">
            <x v="1"/>
          </reference>
        </references>
      </pivotArea>
    </chartFormat>
    <chartFormat chart="2" format="168">
      <pivotArea type="data" outline="0" fieldPosition="0">
        <references count="3">
          <reference field="4294967294" count="1" selected="0">
            <x v="0"/>
          </reference>
          <reference field="1" count="1" selected="0">
            <x v="5"/>
          </reference>
          <reference field="2" count="1" selected="0">
            <x v="2"/>
          </reference>
        </references>
      </pivotArea>
    </chartFormat>
    <chartFormat chart="2" format="169">
      <pivotArea type="data" outline="0" fieldPosition="0">
        <references count="3">
          <reference field="4294967294" count="1" selected="0">
            <x v="0"/>
          </reference>
          <reference field="1" count="1" selected="0">
            <x v="5"/>
          </reference>
          <reference field="2" count="1" selected="0">
            <x v="3"/>
          </reference>
        </references>
      </pivotArea>
    </chartFormat>
    <chartFormat chart="2" format="170">
      <pivotArea type="data" outline="0" fieldPosition="0">
        <references count="3">
          <reference field="4294967294" count="1" selected="0">
            <x v="0"/>
          </reference>
          <reference field="1" count="1" selected="0">
            <x v="5"/>
          </reference>
          <reference field="2" count="1" selected="0">
            <x v="4"/>
          </reference>
        </references>
      </pivotArea>
    </chartFormat>
    <chartFormat chart="2" format="171">
      <pivotArea type="data" outline="0" fieldPosition="0">
        <references count="3">
          <reference field="4294967294" count="1" selected="0">
            <x v="0"/>
          </reference>
          <reference field="1" count="1" selected="0">
            <x v="5"/>
          </reference>
          <reference field="2" count="1" selected="0">
            <x v="5"/>
          </reference>
        </references>
      </pivotArea>
    </chartFormat>
    <chartFormat chart="2" format="172">
      <pivotArea type="data" outline="0" fieldPosition="0">
        <references count="3">
          <reference field="4294967294" count="1" selected="0">
            <x v="0"/>
          </reference>
          <reference field="1" count="1" selected="0">
            <x v="5"/>
          </reference>
          <reference field="2" count="1" selected="0">
            <x v="6"/>
          </reference>
        </references>
      </pivotArea>
    </chartFormat>
    <chartFormat chart="2" format="173">
      <pivotArea type="data" outline="0" fieldPosition="0">
        <references count="3">
          <reference field="4294967294" count="1" selected="0">
            <x v="0"/>
          </reference>
          <reference field="1" count="1" selected="0">
            <x v="5"/>
          </reference>
          <reference field="2" count="1" selected="0">
            <x v="7"/>
          </reference>
        </references>
      </pivotArea>
    </chartFormat>
    <chartFormat chart="2" format="174" series="1">
      <pivotArea type="data" outline="0" fieldPosition="0">
        <references count="2">
          <reference field="4294967294" count="1" selected="0">
            <x v="0"/>
          </reference>
          <reference field="1" count="1" selected="0">
            <x v="6"/>
          </reference>
        </references>
      </pivotArea>
    </chartFormat>
    <chartFormat chart="2" format="175">
      <pivotArea type="data" outline="0" fieldPosition="0">
        <references count="3">
          <reference field="4294967294" count="1" selected="0">
            <x v="0"/>
          </reference>
          <reference field="1" count="1" selected="0">
            <x v="6"/>
          </reference>
          <reference field="2" count="1" selected="0">
            <x v="0"/>
          </reference>
        </references>
      </pivotArea>
    </chartFormat>
    <chartFormat chart="2" format="176">
      <pivotArea type="data" outline="0" fieldPosition="0">
        <references count="3">
          <reference field="4294967294" count="1" selected="0">
            <x v="0"/>
          </reference>
          <reference field="1" count="1" selected="0">
            <x v="6"/>
          </reference>
          <reference field="2" count="1" selected="0">
            <x v="1"/>
          </reference>
        </references>
      </pivotArea>
    </chartFormat>
    <chartFormat chart="2" format="177">
      <pivotArea type="data" outline="0" fieldPosition="0">
        <references count="3">
          <reference field="4294967294" count="1" selected="0">
            <x v="0"/>
          </reference>
          <reference field="1" count="1" selected="0">
            <x v="6"/>
          </reference>
          <reference field="2" count="1" selected="0">
            <x v="2"/>
          </reference>
        </references>
      </pivotArea>
    </chartFormat>
    <chartFormat chart="2" format="178">
      <pivotArea type="data" outline="0" fieldPosition="0">
        <references count="3">
          <reference field="4294967294" count="1" selected="0">
            <x v="0"/>
          </reference>
          <reference field="1" count="1" selected="0">
            <x v="6"/>
          </reference>
          <reference field="2" count="1" selected="0">
            <x v="3"/>
          </reference>
        </references>
      </pivotArea>
    </chartFormat>
    <chartFormat chart="2" format="179">
      <pivotArea type="data" outline="0" fieldPosition="0">
        <references count="3">
          <reference field="4294967294" count="1" selected="0">
            <x v="0"/>
          </reference>
          <reference field="1" count="1" selected="0">
            <x v="6"/>
          </reference>
          <reference field="2" count="1" selected="0">
            <x v="4"/>
          </reference>
        </references>
      </pivotArea>
    </chartFormat>
    <chartFormat chart="2" format="180">
      <pivotArea type="data" outline="0" fieldPosition="0">
        <references count="3">
          <reference field="4294967294" count="1" selected="0">
            <x v="0"/>
          </reference>
          <reference field="1" count="1" selected="0">
            <x v="6"/>
          </reference>
          <reference field="2" count="1" selected="0">
            <x v="5"/>
          </reference>
        </references>
      </pivotArea>
    </chartFormat>
    <chartFormat chart="2" format="181">
      <pivotArea type="data" outline="0" fieldPosition="0">
        <references count="3">
          <reference field="4294967294" count="1" selected="0">
            <x v="0"/>
          </reference>
          <reference field="1" count="1" selected="0">
            <x v="6"/>
          </reference>
          <reference field="2" count="1" selected="0">
            <x v="6"/>
          </reference>
        </references>
      </pivotArea>
    </chartFormat>
    <chartFormat chart="2" format="182">
      <pivotArea type="data" outline="0" fieldPosition="0">
        <references count="3">
          <reference field="4294967294" count="1" selected="0">
            <x v="0"/>
          </reference>
          <reference field="1" count="1" selected="0">
            <x v="6"/>
          </reference>
          <reference field="2" count="1" selected="0">
            <x v="7"/>
          </reference>
        </references>
      </pivotArea>
    </chartFormat>
    <chartFormat chart="2" format="183" series="1">
      <pivotArea type="data" outline="0" fieldPosition="0">
        <references count="2">
          <reference field="4294967294" count="1" selected="0">
            <x v="0"/>
          </reference>
          <reference field="1" count="1" selected="0">
            <x v="7"/>
          </reference>
        </references>
      </pivotArea>
    </chartFormat>
    <chartFormat chart="2" format="184">
      <pivotArea type="data" outline="0" fieldPosition="0">
        <references count="3">
          <reference field="4294967294" count="1" selected="0">
            <x v="0"/>
          </reference>
          <reference field="1" count="1" selected="0">
            <x v="7"/>
          </reference>
          <reference field="2" count="1" selected="0">
            <x v="0"/>
          </reference>
        </references>
      </pivotArea>
    </chartFormat>
    <chartFormat chart="2" format="185">
      <pivotArea type="data" outline="0" fieldPosition="0">
        <references count="3">
          <reference field="4294967294" count="1" selected="0">
            <x v="0"/>
          </reference>
          <reference field="1" count="1" selected="0">
            <x v="7"/>
          </reference>
          <reference field="2" count="1" selected="0">
            <x v="1"/>
          </reference>
        </references>
      </pivotArea>
    </chartFormat>
    <chartFormat chart="2" format="186">
      <pivotArea type="data" outline="0" fieldPosition="0">
        <references count="3">
          <reference field="4294967294" count="1" selected="0">
            <x v="0"/>
          </reference>
          <reference field="1" count="1" selected="0">
            <x v="7"/>
          </reference>
          <reference field="2" count="1" selected="0">
            <x v="2"/>
          </reference>
        </references>
      </pivotArea>
    </chartFormat>
    <chartFormat chart="2" format="187">
      <pivotArea type="data" outline="0" fieldPosition="0">
        <references count="3">
          <reference field="4294967294" count="1" selected="0">
            <x v="0"/>
          </reference>
          <reference field="1" count="1" selected="0">
            <x v="7"/>
          </reference>
          <reference field="2" count="1" selected="0">
            <x v="3"/>
          </reference>
        </references>
      </pivotArea>
    </chartFormat>
    <chartFormat chart="2" format="188">
      <pivotArea type="data" outline="0" fieldPosition="0">
        <references count="3">
          <reference field="4294967294" count="1" selected="0">
            <x v="0"/>
          </reference>
          <reference field="1" count="1" selected="0">
            <x v="7"/>
          </reference>
          <reference field="2" count="1" selected="0">
            <x v="4"/>
          </reference>
        </references>
      </pivotArea>
    </chartFormat>
    <chartFormat chart="2" format="189">
      <pivotArea type="data" outline="0" fieldPosition="0">
        <references count="3">
          <reference field="4294967294" count="1" selected="0">
            <x v="0"/>
          </reference>
          <reference field="1" count="1" selected="0">
            <x v="7"/>
          </reference>
          <reference field="2" count="1" selected="0">
            <x v="5"/>
          </reference>
        </references>
      </pivotArea>
    </chartFormat>
    <chartFormat chart="2" format="190">
      <pivotArea type="data" outline="0" fieldPosition="0">
        <references count="3">
          <reference field="4294967294" count="1" selected="0">
            <x v="0"/>
          </reference>
          <reference field="1" count="1" selected="0">
            <x v="7"/>
          </reference>
          <reference field="2" count="1" selected="0">
            <x v="6"/>
          </reference>
        </references>
      </pivotArea>
    </chartFormat>
    <chartFormat chart="2" format="191">
      <pivotArea type="data" outline="0" fieldPosition="0">
        <references count="3">
          <reference field="4294967294" count="1" selected="0">
            <x v="0"/>
          </reference>
          <reference field="1" count="1" selected="0">
            <x v="7"/>
          </reference>
          <reference field="2" count="1" selected="0">
            <x v="7"/>
          </reference>
        </references>
      </pivotArea>
    </chartFormat>
    <chartFormat chart="2" format="192" series="1">
      <pivotArea type="data" outline="0" fieldPosition="0">
        <references count="2">
          <reference field="4294967294" count="1" selected="0">
            <x v="0"/>
          </reference>
          <reference field="1" count="1" selected="0">
            <x v="8"/>
          </reference>
        </references>
      </pivotArea>
    </chartFormat>
    <chartFormat chart="2" format="193">
      <pivotArea type="data" outline="0" fieldPosition="0">
        <references count="3">
          <reference field="4294967294" count="1" selected="0">
            <x v="0"/>
          </reference>
          <reference field="1" count="1" selected="0">
            <x v="8"/>
          </reference>
          <reference field="2" count="1" selected="0">
            <x v="0"/>
          </reference>
        </references>
      </pivotArea>
    </chartFormat>
    <chartFormat chart="2" format="194">
      <pivotArea type="data" outline="0" fieldPosition="0">
        <references count="3">
          <reference field="4294967294" count="1" selected="0">
            <x v="0"/>
          </reference>
          <reference field="1" count="1" selected="0">
            <x v="8"/>
          </reference>
          <reference field="2" count="1" selected="0">
            <x v="1"/>
          </reference>
        </references>
      </pivotArea>
    </chartFormat>
    <chartFormat chart="2" format="195">
      <pivotArea type="data" outline="0" fieldPosition="0">
        <references count="3">
          <reference field="4294967294" count="1" selected="0">
            <x v="0"/>
          </reference>
          <reference field="1" count="1" selected="0">
            <x v="8"/>
          </reference>
          <reference field="2" count="1" selected="0">
            <x v="2"/>
          </reference>
        </references>
      </pivotArea>
    </chartFormat>
    <chartFormat chart="2" format="196">
      <pivotArea type="data" outline="0" fieldPosition="0">
        <references count="3">
          <reference field="4294967294" count="1" selected="0">
            <x v="0"/>
          </reference>
          <reference field="1" count="1" selected="0">
            <x v="8"/>
          </reference>
          <reference field="2" count="1" selected="0">
            <x v="3"/>
          </reference>
        </references>
      </pivotArea>
    </chartFormat>
    <chartFormat chart="2" format="197">
      <pivotArea type="data" outline="0" fieldPosition="0">
        <references count="3">
          <reference field="4294967294" count="1" selected="0">
            <x v="0"/>
          </reference>
          <reference field="1" count="1" selected="0">
            <x v="8"/>
          </reference>
          <reference field="2" count="1" selected="0">
            <x v="4"/>
          </reference>
        </references>
      </pivotArea>
    </chartFormat>
    <chartFormat chart="2" format="198">
      <pivotArea type="data" outline="0" fieldPosition="0">
        <references count="3">
          <reference field="4294967294" count="1" selected="0">
            <x v="0"/>
          </reference>
          <reference field="1" count="1" selected="0">
            <x v="8"/>
          </reference>
          <reference field="2" count="1" selected="0">
            <x v="5"/>
          </reference>
        </references>
      </pivotArea>
    </chartFormat>
    <chartFormat chart="2" format="199">
      <pivotArea type="data" outline="0" fieldPosition="0">
        <references count="3">
          <reference field="4294967294" count="1" selected="0">
            <x v="0"/>
          </reference>
          <reference field="1" count="1" selected="0">
            <x v="8"/>
          </reference>
          <reference field="2" count="1" selected="0">
            <x v="6"/>
          </reference>
        </references>
      </pivotArea>
    </chartFormat>
    <chartFormat chart="2" format="200">
      <pivotArea type="data" outline="0" fieldPosition="0">
        <references count="3">
          <reference field="4294967294" count="1" selected="0">
            <x v="0"/>
          </reference>
          <reference field="1" count="1" selected="0">
            <x v="8"/>
          </reference>
          <reference field="2" count="1" selected="0">
            <x v="7"/>
          </reference>
        </references>
      </pivotArea>
    </chartFormat>
    <chartFormat chart="2" format="201" series="1">
      <pivotArea type="data" outline="0" fieldPosition="0">
        <references count="2">
          <reference field="4294967294" count="1" selected="0">
            <x v="0"/>
          </reference>
          <reference field="1" count="1" selected="0">
            <x v="9"/>
          </reference>
        </references>
      </pivotArea>
    </chartFormat>
    <chartFormat chart="2" format="202">
      <pivotArea type="data" outline="0" fieldPosition="0">
        <references count="3">
          <reference field="4294967294" count="1" selected="0">
            <x v="0"/>
          </reference>
          <reference field="1" count="1" selected="0">
            <x v="9"/>
          </reference>
          <reference field="2" count="1" selected="0">
            <x v="0"/>
          </reference>
        </references>
      </pivotArea>
    </chartFormat>
    <chartFormat chart="2" format="203">
      <pivotArea type="data" outline="0" fieldPosition="0">
        <references count="3">
          <reference field="4294967294" count="1" selected="0">
            <x v="0"/>
          </reference>
          <reference field="1" count="1" selected="0">
            <x v="9"/>
          </reference>
          <reference field="2" count="1" selected="0">
            <x v="1"/>
          </reference>
        </references>
      </pivotArea>
    </chartFormat>
    <chartFormat chart="2" format="204">
      <pivotArea type="data" outline="0" fieldPosition="0">
        <references count="3">
          <reference field="4294967294" count="1" selected="0">
            <x v="0"/>
          </reference>
          <reference field="1" count="1" selected="0">
            <x v="9"/>
          </reference>
          <reference field="2" count="1" selected="0">
            <x v="2"/>
          </reference>
        </references>
      </pivotArea>
    </chartFormat>
    <chartFormat chart="2" format="205">
      <pivotArea type="data" outline="0" fieldPosition="0">
        <references count="3">
          <reference field="4294967294" count="1" selected="0">
            <x v="0"/>
          </reference>
          <reference field="1" count="1" selected="0">
            <x v="9"/>
          </reference>
          <reference field="2" count="1" selected="0">
            <x v="3"/>
          </reference>
        </references>
      </pivotArea>
    </chartFormat>
    <chartFormat chart="2" format="206">
      <pivotArea type="data" outline="0" fieldPosition="0">
        <references count="3">
          <reference field="4294967294" count="1" selected="0">
            <x v="0"/>
          </reference>
          <reference field="1" count="1" selected="0">
            <x v="9"/>
          </reference>
          <reference field="2" count="1" selected="0">
            <x v="4"/>
          </reference>
        </references>
      </pivotArea>
    </chartFormat>
    <chartFormat chart="2" format="207">
      <pivotArea type="data" outline="0" fieldPosition="0">
        <references count="3">
          <reference field="4294967294" count="1" selected="0">
            <x v="0"/>
          </reference>
          <reference field="1" count="1" selected="0">
            <x v="9"/>
          </reference>
          <reference field="2" count="1" selected="0">
            <x v="5"/>
          </reference>
        </references>
      </pivotArea>
    </chartFormat>
    <chartFormat chart="2" format="208">
      <pivotArea type="data" outline="0" fieldPosition="0">
        <references count="3">
          <reference field="4294967294" count="1" selected="0">
            <x v="0"/>
          </reference>
          <reference field="1" count="1" selected="0">
            <x v="9"/>
          </reference>
          <reference field="2" count="1" selected="0">
            <x v="6"/>
          </reference>
        </references>
      </pivotArea>
    </chartFormat>
    <chartFormat chart="2" format="209">
      <pivotArea type="data" outline="0" fieldPosition="0">
        <references count="3">
          <reference field="4294967294" count="1" selected="0">
            <x v="0"/>
          </reference>
          <reference field="1" count="1" selected="0">
            <x v="9"/>
          </reference>
          <reference field="2" count="1" selected="0">
            <x v="7"/>
          </reference>
        </references>
      </pivotArea>
    </chartFormat>
    <chartFormat chart="2" format="210" series="1">
      <pivotArea type="data" outline="0" fieldPosition="0">
        <references count="2">
          <reference field="4294967294" count="1" selected="0">
            <x v="0"/>
          </reference>
          <reference field="1" count="1" selected="0">
            <x v="10"/>
          </reference>
        </references>
      </pivotArea>
    </chartFormat>
    <chartFormat chart="2" format="211">
      <pivotArea type="data" outline="0" fieldPosition="0">
        <references count="3">
          <reference field="4294967294" count="1" selected="0">
            <x v="0"/>
          </reference>
          <reference field="1" count="1" selected="0">
            <x v="10"/>
          </reference>
          <reference field="2" count="1" selected="0">
            <x v="0"/>
          </reference>
        </references>
      </pivotArea>
    </chartFormat>
    <chartFormat chart="2" format="212">
      <pivotArea type="data" outline="0" fieldPosition="0">
        <references count="3">
          <reference field="4294967294" count="1" selected="0">
            <x v="0"/>
          </reference>
          <reference field="1" count="1" selected="0">
            <x v="10"/>
          </reference>
          <reference field="2" count="1" selected="0">
            <x v="1"/>
          </reference>
        </references>
      </pivotArea>
    </chartFormat>
    <chartFormat chart="2" format="213">
      <pivotArea type="data" outline="0" fieldPosition="0">
        <references count="3">
          <reference field="4294967294" count="1" selected="0">
            <x v="0"/>
          </reference>
          <reference field="1" count="1" selected="0">
            <x v="10"/>
          </reference>
          <reference field="2" count="1" selected="0">
            <x v="2"/>
          </reference>
        </references>
      </pivotArea>
    </chartFormat>
    <chartFormat chart="2" format="214">
      <pivotArea type="data" outline="0" fieldPosition="0">
        <references count="3">
          <reference field="4294967294" count="1" selected="0">
            <x v="0"/>
          </reference>
          <reference field="1" count="1" selected="0">
            <x v="10"/>
          </reference>
          <reference field="2" count="1" selected="0">
            <x v="3"/>
          </reference>
        </references>
      </pivotArea>
    </chartFormat>
    <chartFormat chart="2" format="215">
      <pivotArea type="data" outline="0" fieldPosition="0">
        <references count="3">
          <reference field="4294967294" count="1" selected="0">
            <x v="0"/>
          </reference>
          <reference field="1" count="1" selected="0">
            <x v="10"/>
          </reference>
          <reference field="2" count="1" selected="0">
            <x v="4"/>
          </reference>
        </references>
      </pivotArea>
    </chartFormat>
    <chartFormat chart="2" format="216">
      <pivotArea type="data" outline="0" fieldPosition="0">
        <references count="3">
          <reference field="4294967294" count="1" selected="0">
            <x v="0"/>
          </reference>
          <reference field="1" count="1" selected="0">
            <x v="10"/>
          </reference>
          <reference field="2" count="1" selected="0">
            <x v="5"/>
          </reference>
        </references>
      </pivotArea>
    </chartFormat>
    <chartFormat chart="2" format="217">
      <pivotArea type="data" outline="0" fieldPosition="0">
        <references count="3">
          <reference field="4294967294" count="1" selected="0">
            <x v="0"/>
          </reference>
          <reference field="1" count="1" selected="0">
            <x v="10"/>
          </reference>
          <reference field="2" count="1" selected="0">
            <x v="6"/>
          </reference>
        </references>
      </pivotArea>
    </chartFormat>
    <chartFormat chart="2" format="218">
      <pivotArea type="data" outline="0" fieldPosition="0">
        <references count="3">
          <reference field="4294967294" count="1" selected="0">
            <x v="0"/>
          </reference>
          <reference field="1" count="1" selected="0">
            <x v="10"/>
          </reference>
          <reference field="2" count="1" selected="0">
            <x v="7"/>
          </reference>
        </references>
      </pivotArea>
    </chartFormat>
    <chartFormat chart="2" format="219" series="1">
      <pivotArea type="data" outline="0" fieldPosition="0">
        <references count="2">
          <reference field="4294967294" count="1" selected="0">
            <x v="0"/>
          </reference>
          <reference field="1" count="1" selected="0">
            <x v="11"/>
          </reference>
        </references>
      </pivotArea>
    </chartFormat>
    <chartFormat chart="2" format="220">
      <pivotArea type="data" outline="0" fieldPosition="0">
        <references count="3">
          <reference field="4294967294" count="1" selected="0">
            <x v="0"/>
          </reference>
          <reference field="1" count="1" selected="0">
            <x v="11"/>
          </reference>
          <reference field="2" count="1" selected="0">
            <x v="0"/>
          </reference>
        </references>
      </pivotArea>
    </chartFormat>
    <chartFormat chart="2" format="221">
      <pivotArea type="data" outline="0" fieldPosition="0">
        <references count="3">
          <reference field="4294967294" count="1" selected="0">
            <x v="0"/>
          </reference>
          <reference field="1" count="1" selected="0">
            <x v="11"/>
          </reference>
          <reference field="2" count="1" selected="0">
            <x v="1"/>
          </reference>
        </references>
      </pivotArea>
    </chartFormat>
    <chartFormat chart="2" format="222">
      <pivotArea type="data" outline="0" fieldPosition="0">
        <references count="3">
          <reference field="4294967294" count="1" selected="0">
            <x v="0"/>
          </reference>
          <reference field="1" count="1" selected="0">
            <x v="11"/>
          </reference>
          <reference field="2" count="1" selected="0">
            <x v="2"/>
          </reference>
        </references>
      </pivotArea>
    </chartFormat>
    <chartFormat chart="2" format="223">
      <pivotArea type="data" outline="0" fieldPosition="0">
        <references count="3">
          <reference field="4294967294" count="1" selected="0">
            <x v="0"/>
          </reference>
          <reference field="1" count="1" selected="0">
            <x v="11"/>
          </reference>
          <reference field="2" count="1" selected="0">
            <x v="3"/>
          </reference>
        </references>
      </pivotArea>
    </chartFormat>
    <chartFormat chart="2" format="224">
      <pivotArea type="data" outline="0" fieldPosition="0">
        <references count="3">
          <reference field="4294967294" count="1" selected="0">
            <x v="0"/>
          </reference>
          <reference field="1" count="1" selected="0">
            <x v="11"/>
          </reference>
          <reference field="2" count="1" selected="0">
            <x v="4"/>
          </reference>
        </references>
      </pivotArea>
    </chartFormat>
    <chartFormat chart="2" format="225">
      <pivotArea type="data" outline="0" fieldPosition="0">
        <references count="3">
          <reference field="4294967294" count="1" selected="0">
            <x v="0"/>
          </reference>
          <reference field="1" count="1" selected="0">
            <x v="11"/>
          </reference>
          <reference field="2" count="1" selected="0">
            <x v="5"/>
          </reference>
        </references>
      </pivotArea>
    </chartFormat>
    <chartFormat chart="2" format="226">
      <pivotArea type="data" outline="0" fieldPosition="0">
        <references count="3">
          <reference field="4294967294" count="1" selected="0">
            <x v="0"/>
          </reference>
          <reference field="1" count="1" selected="0">
            <x v="11"/>
          </reference>
          <reference field="2" count="1" selected="0">
            <x v="6"/>
          </reference>
        </references>
      </pivotArea>
    </chartFormat>
    <chartFormat chart="2" format="227">
      <pivotArea type="data" outline="0" fieldPosition="0">
        <references count="3">
          <reference field="4294967294" count="1" selected="0">
            <x v="0"/>
          </reference>
          <reference field="1" count="1" selected="0">
            <x v="1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9C2F54-A64E-488E-A82F-7A5C163FE477}" name="PivotTable5" cacheId="0"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A3:C8" firstHeaderRow="0" firstDataRow="1" firstDataCol="1"/>
  <pivotFields count="9">
    <pivotField numFmtId="165" showAll="0"/>
    <pivotField axis="axisRow" showAll="0">
      <items count="13">
        <item h="1" x="0"/>
        <item h="1" x="1"/>
        <item h="1" x="2"/>
        <item x="3"/>
        <item h="1" x="4"/>
        <item h="1" x="5"/>
        <item h="1" x="6"/>
        <item h="1" x="7"/>
        <item h="1" x="8"/>
        <item h="1" x="9"/>
        <item h="1" x="10"/>
        <item h="1" x="11"/>
        <item t="default"/>
      </items>
    </pivotField>
    <pivotField showAll="0"/>
    <pivotField showAll="0"/>
    <pivotField dataField="1" numFmtId="3" showAll="0">
      <items count="4864">
        <item x="2749"/>
        <item x="2461"/>
        <item x="2640"/>
        <item x="214"/>
        <item x="4459"/>
        <item x="4371"/>
        <item x="3218"/>
        <item x="1409"/>
        <item x="4842"/>
        <item x="4663"/>
        <item x="2563"/>
        <item x="2808"/>
        <item x="998"/>
        <item x="3416"/>
        <item x="1377"/>
        <item x="2865"/>
        <item x="2094"/>
        <item x="2191"/>
        <item x="1577"/>
        <item x="383"/>
        <item x="3632"/>
        <item x="2501"/>
        <item x="2493"/>
        <item x="1334"/>
        <item x="1153"/>
        <item x="1156"/>
        <item x="1000"/>
        <item x="4452"/>
        <item x="331"/>
        <item x="937"/>
        <item x="3743"/>
        <item x="2483"/>
        <item x="1429"/>
        <item x="2223"/>
        <item x="4109"/>
        <item x="1301"/>
        <item x="4533"/>
        <item x="4440"/>
        <item x="2157"/>
        <item x="4318"/>
        <item x="1616"/>
        <item x="662"/>
        <item x="4719"/>
        <item x="4115"/>
        <item x="867"/>
        <item x="399"/>
        <item x="3444"/>
        <item x="3893"/>
        <item x="4020"/>
        <item x="2298"/>
        <item x="4348"/>
        <item x="2337"/>
        <item x="4496"/>
        <item x="4336"/>
        <item x="4773"/>
        <item x="4813"/>
        <item x="2003"/>
        <item x="4138"/>
        <item x="432"/>
        <item x="2620"/>
        <item x="4304"/>
        <item x="2301"/>
        <item x="2066"/>
        <item x="2556"/>
        <item x="2091"/>
        <item x="3138"/>
        <item x="1533"/>
        <item x="1510"/>
        <item x="747"/>
        <item x="2543"/>
        <item x="1047"/>
        <item x="2854"/>
        <item x="581"/>
        <item x="2338"/>
        <item x="3148"/>
        <item x="4235"/>
        <item x="3779"/>
        <item x="2756"/>
        <item x="4614"/>
        <item x="2639"/>
        <item x="2082"/>
        <item x="3090"/>
        <item x="1831"/>
        <item x="1014"/>
        <item x="3752"/>
        <item x="1210"/>
        <item x="4735"/>
        <item x="3699"/>
        <item x="1738"/>
        <item x="4378"/>
        <item x="1264"/>
        <item x="2482"/>
        <item x="333"/>
        <item x="2227"/>
        <item x="3684"/>
        <item x="612"/>
        <item x="2856"/>
        <item x="323"/>
        <item x="4600"/>
        <item x="1814"/>
        <item x="2716"/>
        <item x="3074"/>
        <item x="4221"/>
        <item x="2248"/>
        <item x="93"/>
        <item x="1597"/>
        <item x="2566"/>
        <item x="3202"/>
        <item x="3496"/>
        <item x="2872"/>
        <item x="4582"/>
        <item x="1617"/>
        <item x="3420"/>
        <item x="4829"/>
        <item x="3960"/>
        <item x="3222"/>
        <item x="3848"/>
        <item x="3233"/>
        <item x="3970"/>
        <item x="4009"/>
        <item x="3447"/>
        <item x="3462"/>
        <item x="2158"/>
        <item x="4111"/>
        <item x="4761"/>
        <item x="2302"/>
        <item x="3579"/>
        <item x="797"/>
        <item x="1159"/>
        <item x="3735"/>
        <item x="873"/>
        <item x="22"/>
        <item x="2647"/>
        <item x="1700"/>
        <item x="3951"/>
        <item x="405"/>
        <item x="3458"/>
        <item x="3623"/>
        <item x="3526"/>
        <item x="1639"/>
        <item x="3129"/>
        <item x="241"/>
        <item x="4607"/>
        <item x="782"/>
        <item x="4492"/>
        <item x="3230"/>
        <item x="1782"/>
        <item x="3143"/>
        <item x="2609"/>
        <item x="2229"/>
        <item x="2532"/>
        <item x="1416"/>
        <item x="3808"/>
        <item x="4097"/>
        <item x="977"/>
        <item x="1956"/>
        <item x="335"/>
        <item x="3097"/>
        <item x="2704"/>
        <item x="1527"/>
        <item x="3221"/>
        <item x="4067"/>
        <item x="3729"/>
        <item x="2484"/>
        <item x="1973"/>
        <item x="4024"/>
        <item x="3396"/>
        <item x="4150"/>
        <item x="2312"/>
        <item x="2713"/>
        <item x="3766"/>
        <item x="2423"/>
        <item x="4060"/>
        <item x="1980"/>
        <item x="2666"/>
        <item x="1030"/>
        <item x="1740"/>
        <item x="1270"/>
        <item x="2403"/>
        <item x="4392"/>
        <item x="1331"/>
        <item x="3728"/>
        <item x="4690"/>
        <item x="1977"/>
        <item x="2603"/>
        <item x="4081"/>
        <item x="815"/>
        <item x="2202"/>
        <item x="1678"/>
        <item x="4075"/>
        <item x="2982"/>
        <item x="1212"/>
        <item x="2619"/>
        <item x="4073"/>
        <item x="3530"/>
        <item x="4832"/>
        <item x="2873"/>
        <item x="3720"/>
        <item x="4788"/>
        <item x="4720"/>
        <item x="2289"/>
        <item x="1766"/>
        <item x="4083"/>
        <item x="3101"/>
        <item x="28"/>
        <item x="2830"/>
        <item x="1621"/>
        <item x="1598"/>
        <item x="2320"/>
        <item x="1227"/>
        <item x="2734"/>
        <item x="2179"/>
        <item x="3011"/>
        <item x="3087"/>
        <item x="92"/>
        <item x="3239"/>
        <item x="3298"/>
        <item x="1897"/>
        <item x="4796"/>
        <item x="4144"/>
        <item x="742"/>
        <item x="2445"/>
        <item x="2004"/>
        <item x="1656"/>
        <item x="3817"/>
        <item x="3687"/>
        <item x="3428"/>
        <item x="1432"/>
        <item x="309"/>
        <item x="4615"/>
        <item x="1284"/>
        <item x="1214"/>
        <item x="4590"/>
        <item x="2791"/>
        <item x="3824"/>
        <item x="4331"/>
        <item x="4366"/>
        <item x="89"/>
        <item x="3256"/>
        <item x="4149"/>
        <item x="1514"/>
        <item x="2322"/>
        <item x="3453"/>
        <item x="2595"/>
        <item x="2588"/>
        <item x="3346"/>
        <item x="3188"/>
        <item x="835"/>
        <item x="1575"/>
        <item x="657"/>
        <item x="4499"/>
        <item x="2350"/>
        <item x="1856"/>
        <item x="4142"/>
        <item x="332"/>
        <item x="1888"/>
        <item x="471"/>
        <item x="4324"/>
        <item x="2143"/>
        <item x="4802"/>
        <item x="2407"/>
        <item x="3340"/>
        <item x="3978"/>
        <item x="3161"/>
        <item x="4262"/>
        <item x="2955"/>
        <item x="2557"/>
        <item x="623"/>
        <item x="3217"/>
        <item x="1457"/>
        <item x="794"/>
        <item x="1995"/>
        <item x="664"/>
        <item x="472"/>
        <item x="3448"/>
        <item x="2103"/>
        <item x="2540"/>
        <item x="4172"/>
        <item x="1813"/>
        <item x="1792"/>
        <item x="1563"/>
        <item x="926"/>
        <item x="2774"/>
        <item x="974"/>
        <item x="2807"/>
        <item x="522"/>
        <item x="103"/>
        <item x="891"/>
        <item x="1145"/>
        <item x="4232"/>
        <item x="4844"/>
        <item x="4154"/>
        <item x="2836"/>
        <item x="4183"/>
        <item x="210"/>
        <item x="3285"/>
        <item x="4661"/>
        <item x="1511"/>
        <item x="1141"/>
        <item x="4687"/>
        <item x="4676"/>
        <item x="165"/>
        <item x="4745"/>
        <item x="4032"/>
        <item x="415"/>
        <item x="367"/>
        <item x="686"/>
        <item x="2732"/>
        <item x="3832"/>
        <item x="979"/>
        <item x="1833"/>
        <item x="4084"/>
        <item x="2109"/>
        <item x="4162"/>
        <item x="4560"/>
        <item x="3895"/>
        <item x="4016"/>
        <item x="381"/>
        <item x="18"/>
        <item x="3635"/>
        <item x="277"/>
        <item x="2589"/>
        <item x="1333"/>
        <item x="4593"/>
        <item x="3504"/>
        <item x="2144"/>
        <item x="146"/>
        <item x="2600"/>
        <item x="3082"/>
        <item x="4471"/>
        <item x="4157"/>
        <item x="2822"/>
        <item x="4130"/>
        <item x="3902"/>
        <item x="2198"/>
        <item x="2165"/>
        <item x="2323"/>
        <item x="4688"/>
        <item x="1935"/>
        <item x="4278"/>
        <item x="3231"/>
        <item x="147"/>
        <item x="3266"/>
        <item x="964"/>
        <item x="3214"/>
        <item x="4732"/>
        <item x="3418"/>
        <item x="3988"/>
        <item x="4388"/>
        <item x="4605"/>
        <item x="3216"/>
        <item x="2369"/>
        <item x="2675"/>
        <item x="3548"/>
        <item x="4228"/>
        <item x="4611"/>
        <item x="2093"/>
        <item x="4442"/>
        <item x="518"/>
        <item x="1557"/>
        <item x="4726"/>
        <item x="4072"/>
        <item x="1899"/>
        <item x="4642"/>
        <item x="3072"/>
        <item x="1480"/>
        <item x="3652"/>
        <item x="113"/>
        <item x="3198"/>
        <item x="3692"/>
        <item x="3859"/>
        <item x="2193"/>
        <item x="2269"/>
        <item x="554"/>
        <item x="3303"/>
        <item x="4161"/>
        <item x="4380"/>
        <item x="4512"/>
        <item x="338"/>
        <item x="1124"/>
        <item x="2215"/>
        <item x="2744"/>
        <item x="3836"/>
        <item x="3975"/>
        <item x="77"/>
        <item x="412"/>
        <item x="1241"/>
        <item x="4825"/>
        <item x="3939"/>
        <item x="3891"/>
        <item x="2932"/>
        <item x="2658"/>
        <item x="3823"/>
        <item x="3331"/>
        <item x="4100"/>
        <item x="1269"/>
        <item x="1272"/>
        <item x="601"/>
        <item x="2677"/>
        <item x="2441"/>
        <item x="1887"/>
        <item x="3236"/>
        <item x="4465"/>
        <item x="451"/>
        <item x="1587"/>
        <item x="2021"/>
        <item x="1380"/>
        <item x="3020"/>
        <item x="3491"/>
        <item x="1131"/>
        <item x="951"/>
        <item x="1493"/>
        <item x="1181"/>
        <item x="2552"/>
        <item x="3712"/>
        <item x="4803"/>
        <item x="1498"/>
        <item x="3422"/>
        <item x="1364"/>
        <item x="2798"/>
        <item x="1535"/>
        <item x="583"/>
        <item x="3894"/>
        <item x="416"/>
        <item x="644"/>
        <item x="2606"/>
        <item x="3350"/>
        <item x="3629"/>
        <item x="4521"/>
        <item x="3100"/>
        <item x="4140"/>
        <item x="2464"/>
        <item x="749"/>
        <item x="3388"/>
        <item x="3146"/>
        <item x="4502"/>
        <item x="4007"/>
        <item x="3071"/>
        <item x="3965"/>
        <item x="1192"/>
        <item x="3849"/>
        <item x="305"/>
        <item x="2769"/>
        <item x="3645"/>
        <item x="3160"/>
        <item x="3997"/>
        <item x="2040"/>
        <item x="2736"/>
        <item x="2655"/>
        <item x="1428"/>
        <item x="4135"/>
        <item x="3782"/>
        <item x="292"/>
        <item x="2706"/>
        <item x="4654"/>
        <item x="2192"/>
        <item x="1128"/>
        <item x="4610"/>
        <item x="925"/>
        <item x="1763"/>
        <item x="3819"/>
        <item x="2585"/>
        <item x="682"/>
        <item x="2331"/>
        <item x="966"/>
        <item x="2419"/>
        <item x="200"/>
        <item x="512"/>
        <item x="4822"/>
        <item x="2824"/>
        <item x="2905"/>
        <item x="1009"/>
        <item x="4827"/>
        <item x="3126"/>
        <item x="3137"/>
        <item x="468"/>
        <item x="1772"/>
        <item x="2408"/>
        <item x="2131"/>
        <item x="2839"/>
        <item x="796"/>
        <item x="4116"/>
        <item x="231"/>
        <item x="3182"/>
        <item x="3187"/>
        <item x="3633"/>
        <item x="1074"/>
        <item x="2321"/>
        <item x="3989"/>
        <item x="2599"/>
        <item x="3454"/>
        <item x="4250"/>
        <item x="4823"/>
        <item x="3147"/>
        <item x="4123"/>
        <item x="4252"/>
        <item x="3911"/>
        <item x="3634"/>
        <item x="3568"/>
        <item x="3058"/>
        <item x="4599"/>
        <item x="1796"/>
        <item x="948"/>
        <item x="228"/>
        <item x="3549"/>
        <item x="2529"/>
        <item x="4031"/>
        <item x="2653"/>
        <item x="4026"/>
        <item x="4466"/>
        <item x="1050"/>
        <item x="413"/>
        <item x="1506"/>
        <item x="1709"/>
        <item x="3983"/>
        <item x="27"/>
        <item x="4718"/>
        <item x="1314"/>
        <item x="1826"/>
        <item x="3689"/>
        <item x="731"/>
        <item x="2907"/>
        <item x="1715"/>
        <item x="4604"/>
        <item x="1130"/>
        <item x="1546"/>
        <item x="4056"/>
        <item x="6"/>
        <item x="1095"/>
        <item x="500"/>
        <item x="2631"/>
        <item x="781"/>
        <item x="2444"/>
        <item x="3937"/>
        <item x="1461"/>
        <item x="2200"/>
        <item x="4311"/>
        <item x="2177"/>
        <item x="1668"/>
        <item x="3927"/>
        <item x="3191"/>
        <item x="2466"/>
        <item x="2960"/>
        <item x="1749"/>
        <item x="4301"/>
        <item x="3094"/>
        <item x="4526"/>
        <item x="3662"/>
        <item x="4811"/>
        <item x="2780"/>
        <item x="4677"/>
        <item x="3821"/>
        <item x="1048"/>
        <item x="390"/>
        <item x="4774"/>
        <item x="3358"/>
        <item x="1637"/>
        <item x="3487"/>
        <item x="2765"/>
        <item x="3914"/>
        <item x="3136"/>
        <item x="4652"/>
        <item x="2551"/>
        <item x="4341"/>
        <item x="3972"/>
        <item x="1605"/>
        <item x="3605"/>
        <item x="3215"/>
        <item x="2821"/>
        <item x="4326"/>
        <item x="2250"/>
        <item x="4629"/>
        <item x="2344"/>
        <item x="1099"/>
        <item x="4323"/>
        <item x="2583"/>
        <item x="1450"/>
        <item x="3754"/>
        <item x="4464"/>
        <item x="1918"/>
        <item x="3617"/>
        <item x="1556"/>
        <item x="325"/>
        <item x="47"/>
        <item x="697"/>
        <item x="4517"/>
        <item x="369"/>
        <item x="4145"/>
        <item x="372"/>
        <item x="2764"/>
        <item x="3624"/>
        <item x="44"/>
        <item x="166"/>
        <item x="2656"/>
        <item x="1847"/>
        <item x="3252"/>
        <item x="2942"/>
        <item x="3852"/>
        <item x="1154"/>
        <item x="3485"/>
        <item x="3616"/>
        <item x="4795"/>
        <item x="4085"/>
        <item x="2024"/>
        <item x="4626"/>
        <item x="3942"/>
        <item x="2888"/>
        <item x="718"/>
        <item x="463"/>
        <item x="3946"/>
        <item x="3816"/>
        <item x="2912"/>
        <item x="3378"/>
        <item x="1945"/>
        <item x="1160"/>
        <item x="3486"/>
        <item x="2751"/>
        <item x="2688"/>
        <item x="3945"/>
        <item x="3519"/>
        <item x="4418"/>
        <item x="3708"/>
        <item x="3664"/>
        <item x="2967"/>
        <item x="431"/>
        <item x="4522"/>
        <item x="2930"/>
        <item x="3865"/>
        <item x="1281"/>
        <item x="4757"/>
        <item x="1345"/>
        <item x="2906"/>
        <item x="3275"/>
        <item x="638"/>
        <item x="516"/>
        <item x="3006"/>
        <item x="4532"/>
        <item x="2949"/>
        <item x="1215"/>
        <item x="257"/>
        <item x="3013"/>
        <item x="935"/>
        <item x="1819"/>
        <item x="2945"/>
        <item x="3672"/>
        <item x="4685"/>
        <item x="2226"/>
        <item x="3598"/>
        <item x="4772"/>
        <item x="4106"/>
        <item x="4556"/>
        <item x="2902"/>
        <item x="3677"/>
        <item x="4746"/>
        <item x="3744"/>
        <item x="465"/>
        <item x="2237"/>
        <item x="4498"/>
        <item x="833"/>
        <item x="1255"/>
        <item x="1151"/>
        <item x="1689"/>
        <item x="4667"/>
        <item x="2809"/>
        <item x="2161"/>
        <item x="2686"/>
        <item x="3379"/>
        <item x="3394"/>
        <item x="4707"/>
        <item x="1034"/>
        <item x="492"/>
        <item x="3888"/>
        <item x="2630"/>
        <item x="4223"/>
        <item x="2133"/>
        <item x="1880"/>
        <item x="874"/>
        <item x="3443"/>
        <item x="1895"/>
        <item x="1984"/>
        <item x="4536"/>
        <item x="3843"/>
        <item x="958"/>
        <item x="2692"/>
        <item x="2252"/>
        <item x="792"/>
        <item x="1013"/>
        <item x="621"/>
        <item x="427"/>
        <item x="2738"/>
        <item x="4409"/>
        <item x="877"/>
        <item x="2491"/>
        <item x="4763"/>
        <item x="2553"/>
        <item x="4781"/>
        <item x="2720"/>
        <item x="3915"/>
        <item x="4239"/>
        <item x="3610"/>
        <item x="857"/>
        <item x="2222"/>
        <item x="2006"/>
        <item x="757"/>
        <item x="2268"/>
        <item x="1769"/>
        <item x="4419"/>
        <item x="3789"/>
        <item x="3171"/>
        <item x="3311"/>
        <item x="4069"/>
        <item x="3494"/>
        <item x="4212"/>
        <item x="4186"/>
        <item x="145"/>
        <item x="4005"/>
        <item x="4566"/>
        <item x="4259"/>
        <item x="527"/>
        <item x="688"/>
        <item x="4030"/>
        <item x="892"/>
        <item x="4734"/>
        <item x="4062"/>
        <item x="3033"/>
        <item x="3818"/>
        <item x="2915"/>
        <item x="4845"/>
        <item x="4616"/>
        <item x="2076"/>
        <item x="251"/>
        <item x="3099"/>
        <item x="3864"/>
        <item x="4786"/>
        <item x="723"/>
        <item x="1660"/>
        <item x="4710"/>
        <item x="2294"/>
        <item x="3400"/>
        <item x="805"/>
        <item x="834"/>
        <item x="2621"/>
        <item x="2217"/>
        <item x="3903"/>
        <item x="3837"/>
        <item x="4291"/>
        <item x="3532"/>
        <item x="2002"/>
        <item x="3359"/>
        <item x="1701"/>
        <item x="681"/>
        <item x="4619"/>
        <item x="2562"/>
        <item x="1923"/>
        <item x="2657"/>
        <item x="674"/>
        <item x="4164"/>
        <item x="454"/>
        <item x="1115"/>
        <item x="2358"/>
        <item x="3604"/>
        <item x="593"/>
        <item x="2752"/>
        <item x="2028"/>
        <item x="2743"/>
        <item x="4319"/>
        <item x="1857"/>
        <item x="4783"/>
        <item x="4818"/>
        <item x="1251"/>
        <item x="3873"/>
        <item x="1063"/>
        <item x="1497"/>
        <item x="2440"/>
        <item x="273"/>
        <item x="965"/>
        <item x="1024"/>
        <item x="270"/>
        <item x="2212"/>
        <item x="1338"/>
        <item x="3607"/>
        <item x="1183"/>
        <item x="3348"/>
        <item x="446"/>
        <item x="3327"/>
        <item x="2515"/>
        <item x="801"/>
        <item x="2944"/>
        <item x="1925"/>
        <item x="2463"/>
        <item x="79"/>
        <item x="4576"/>
        <item x="2964"/>
        <item x="810"/>
        <item x="256"/>
        <item x="4302"/>
        <item x="3964"/>
        <item x="880"/>
        <item x="21"/>
        <item x="491"/>
        <item x="4"/>
        <item x="3871"/>
        <item x="2874"/>
        <item x="3700"/>
        <item x="4393"/>
        <item x="3341"/>
        <item x="811"/>
        <item x="4721"/>
        <item x="666"/>
        <item x="4493"/>
        <item x="2087"/>
        <item x="3524"/>
        <item x="3977"/>
        <item x="1655"/>
        <item x="4797"/>
        <item x="1173"/>
        <item x="3952"/>
        <item x="3012"/>
        <item x="4456"/>
        <item x="3724"/>
        <item x="1795"/>
        <item x="1298"/>
        <item x="3241"/>
        <item x="67"/>
        <item x="3393"/>
        <item x="2534"/>
        <item x="1474"/>
        <item x="4151"/>
        <item x="3142"/>
        <item x="618"/>
        <item x="4279"/>
        <item x="3319"/>
        <item x="2753"/>
        <item x="4780"/>
        <item x="2220"/>
        <item x="2265"/>
        <item x="809"/>
        <item x="806"/>
        <item x="142"/>
        <item x="711"/>
        <item x="3674"/>
        <item x="386"/>
        <item x="3117"/>
        <item x="3224"/>
        <item x="517"/>
        <item x="2783"/>
        <item x="3516"/>
        <item x="3769"/>
        <item x="1930"/>
        <item x="1933"/>
        <item x="2225"/>
        <item x="4295"/>
        <item x="1062"/>
        <item x="549"/>
        <item x="502"/>
        <item x="1373"/>
        <item x="4665"/>
        <item x="1522"/>
        <item x="4156"/>
        <item x="4358"/>
        <item x="2851"/>
        <item x="2498"/>
        <item x="1330"/>
        <item x="1349"/>
        <item x="475"/>
        <item x="1393"/>
        <item x="2347"/>
        <item x="3371"/>
        <item x="45"/>
        <item x="2355"/>
        <item x="898"/>
        <item x="700"/>
        <item x="10"/>
        <item x="3119"/>
        <item x="2015"/>
        <item x="4158"/>
        <item x="949"/>
        <item x="1808"/>
        <item x="3135"/>
        <item x="667"/>
        <item x="2670"/>
        <item x="3259"/>
        <item x="3306"/>
        <item x="4004"/>
        <item x="2614"/>
        <item x="2974"/>
        <item x="3010"/>
        <item x="2494"/>
        <item x="2336"/>
        <item x="4365"/>
        <item x="4631"/>
        <item x="2914"/>
        <item x="1437"/>
        <item x="2364"/>
        <item x="564"/>
        <item x="1599"/>
        <item x="1654"/>
        <item x="1001"/>
        <item x="4178"/>
        <item x="1698"/>
        <item x="4021"/>
        <item x="3693"/>
        <item x="3930"/>
        <item x="3518"/>
        <item x="3043"/>
        <item x="2290"/>
        <item x="4011"/>
        <item x="1869"/>
        <item x="159"/>
        <item x="3398"/>
        <item x="2273"/>
        <item x="3304"/>
        <item x="4168"/>
        <item x="2505"/>
        <item x="4820"/>
        <item x="2825"/>
        <item x="3990"/>
        <item x="3318"/>
        <item x="4742"/>
        <item x="1505"/>
        <item x="4666"/>
        <item x="403"/>
        <item x="4548"/>
        <item x="1478"/>
        <item x="4779"/>
        <item x="2691"/>
        <item x="3281"/>
        <item x="732"/>
        <item x="2805"/>
        <item x="3399"/>
        <item x="2300"/>
        <item x="2729"/>
        <item x="3200"/>
        <item x="1584"/>
        <item x="2110"/>
        <item x="592"/>
        <item x="4451"/>
        <item x="4098"/>
        <item x="1155"/>
        <item x="659"/>
        <item x="1630"/>
        <item x="713"/>
        <item x="1999"/>
        <item x="2558"/>
        <item x="3190"/>
        <item x="2832"/>
        <item x="4281"/>
        <item x="3592"/>
        <item x="4724"/>
        <item x="4831"/>
        <item x="4641"/>
        <item x="2490"/>
        <item x="2029"/>
        <item x="1588"/>
        <item x="4648"/>
        <item x="2459"/>
        <item x="3466"/>
        <item x="3413"/>
        <item x="1971"/>
        <item x="4347"/>
        <item x="2601"/>
        <item x="3847"/>
        <item x="4588"/>
        <item x="660"/>
        <item x="3325"/>
        <item x="773"/>
        <item x="553"/>
        <item x="2258"/>
        <item x="4220"/>
        <item x="4523"/>
        <item x="3577"/>
        <item x="3767"/>
        <item x="625"/>
        <item x="4609"/>
        <item x="3844"/>
        <item x="227"/>
        <item x="4769"/>
        <item x="4174"/>
        <item x="3661"/>
        <item x="4475"/>
        <item x="3110"/>
        <item x="1179"/>
        <item x="3140"/>
        <item x="2397"/>
        <item x="4495"/>
        <item x="1246"/>
        <item x="3009"/>
        <item x="3745"/>
        <item x="675"/>
        <item x="2130"/>
        <item x="4423"/>
        <item x="4568"/>
        <item x="2966"/>
        <item x="4501"/>
        <item x="2864"/>
        <item x="1158"/>
        <item x="4861"/>
        <item x="3861"/>
        <item x="3571"/>
        <item x="2381"/>
        <item x="1926"/>
        <item x="3574"/>
        <item x="2712"/>
        <item x="2911"/>
        <item x="1870"/>
        <item x="1208"/>
        <item x="1274"/>
        <item x="2758"/>
        <item x="1765"/>
        <item x="1182"/>
        <item x="2"/>
        <item x="1889"/>
        <item x="3748"/>
        <item x="779"/>
        <item x="701"/>
        <item x="1969"/>
        <item x="2754"/>
        <item x="3995"/>
        <item x="548"/>
        <item x="1641"/>
        <item x="1954"/>
        <item x="3386"/>
        <item x="2304"/>
        <item x="1059"/>
        <item x="3611"/>
        <item x="1543"/>
        <item x="1421"/>
        <item x="2782"/>
        <item x="4093"/>
        <item x="2142"/>
        <item x="470"/>
        <item x="622"/>
        <item x="58"/>
        <item x="2280"/>
        <item x="994"/>
        <item x="975"/>
        <item x="382"/>
        <item x="1823"/>
        <item x="3791"/>
        <item x="3627"/>
        <item x="1257"/>
        <item x="1125"/>
        <item x="963"/>
        <item x="1679"/>
        <item x="239"/>
        <item x="1963"/>
        <item x="4421"/>
        <item x="3707"/>
        <item x="56"/>
        <item x="1218"/>
        <item x="3461"/>
        <item x="4335"/>
        <item x="87"/>
        <item x="3572"/>
        <item x="2813"/>
        <item x="751"/>
        <item x="3363"/>
        <item x="3653"/>
        <item x="4255"/>
        <item x="3691"/>
        <item x="2796"/>
        <item x="1863"/>
        <item x="499"/>
        <item x="4368"/>
        <item x="354"/>
        <item x="1843"/>
        <item x="322"/>
        <item x="2411"/>
        <item x="1282"/>
        <item x="658"/>
        <item x="2991"/>
        <item x="1211"/>
        <item x="148"/>
        <item x="3654"/>
        <item x="3904"/>
        <item x="4683"/>
        <item x="2044"/>
        <item x="3128"/>
        <item x="995"/>
        <item x="3482"/>
        <item x="576"/>
        <item x="3159"/>
        <item x="2149"/>
        <item x="521"/>
        <item x="4589"/>
        <item x="4633"/>
        <item x="156"/>
        <item x="4793"/>
        <item x="960"/>
        <item x="4416"/>
        <item x="4008"/>
        <item x="3387"/>
        <item x="1309"/>
        <item x="752"/>
        <item x="839"/>
        <item x="3242"/>
        <item x="1084"/>
        <item x="4356"/>
        <item x="1357"/>
        <item x="3742"/>
        <item x="3034"/>
        <item x="3234"/>
        <item x="2404"/>
        <item x="2417"/>
        <item x="4261"/>
        <item x="1434"/>
        <item x="3417"/>
        <item x="3736"/>
        <item x="4282"/>
        <item x="4503"/>
        <item x="2702"/>
        <item x="1035"/>
        <item x="3593"/>
        <item x="4249"/>
        <item x="2153"/>
        <item x="539"/>
        <item x="695"/>
        <item x="602"/>
        <item x="584"/>
        <item x="1853"/>
        <item x="3899"/>
        <item x="3796"/>
        <item x="2957"/>
        <item x="1459"/>
        <item x="2579"/>
        <item x="2725"/>
        <item x="2651"/>
        <item x="1224"/>
        <item x="2348"/>
        <item x="2806"/>
        <item x="3575"/>
        <item x="171"/>
        <item x="1280"/>
        <item x="160"/>
        <item x="3170"/>
        <item x="1347"/>
        <item x="2961"/>
        <item x="1456"/>
        <item x="4134"/>
        <item x="2434"/>
        <item x="2669"/>
        <item x="3426"/>
        <item x="3437"/>
        <item x="3423"/>
        <item x="2908"/>
        <item x="1615"/>
        <item x="1562"/>
        <item x="1722"/>
        <item x="4558"/>
        <item x="3875"/>
        <item x="1203"/>
        <item x="3651"/>
        <item x="2608"/>
        <item x="4563"/>
        <item x="4195"/>
        <item x="4455"/>
        <item x="4695"/>
        <item x="3431"/>
        <item x="4458"/>
        <item x="2742"/>
        <item x="3201"/>
        <item x="2438"/>
        <item x="4674"/>
        <item x="2533"/>
        <item x="3558"/>
        <item x="3683"/>
        <item x="2788"/>
        <item x="3220"/>
        <item x="3106"/>
        <item x="3799"/>
        <item x="3268"/>
        <item x="1824"/>
        <item x="696"/>
        <item x="540"/>
        <item x="3103"/>
        <item x="4059"/>
        <item x="818"/>
        <item x="2773"/>
        <item x="4547"/>
        <item x="3088"/>
        <item x="1627"/>
        <item x="4357"/>
        <item x="168"/>
        <item x="4754"/>
        <item x="4229"/>
        <item x="655"/>
        <item x="1315"/>
        <item x="649"/>
        <item x="4853"/>
        <item x="1092"/>
        <item x="3968"/>
        <item x="3658"/>
        <item x="765"/>
        <item x="105"/>
        <item x="2319"/>
        <item x="915"/>
        <item x="379"/>
        <item x="1266"/>
        <item x="556"/>
        <item x="75"/>
        <item x="996"/>
        <item x="2470"/>
        <item x="4088"/>
        <item x="2281"/>
        <item x="703"/>
        <item x="86"/>
        <item x="1900"/>
        <item x="4791"/>
        <item x="820"/>
        <item x="4673"/>
        <item x="3807"/>
        <item x="1122"/>
        <item x="1959"/>
        <item x="2995"/>
        <item x="452"/>
        <item x="2370"/>
        <item x="535"/>
        <item x="4716"/>
        <item x="917"/>
        <item x="143"/>
        <item x="182"/>
        <item x="3434"/>
        <item x="3640"/>
        <item x="1146"/>
        <item x="803"/>
        <item x="624"/>
        <item x="4332"/>
        <item x="3785"/>
        <item x="533"/>
        <item x="1553"/>
        <item x="422"/>
        <item x="294"/>
        <item x="980"/>
        <item x="2719"/>
        <item x="414"/>
        <item x="3695"/>
        <item x="2376"/>
        <item x="70"/>
        <item x="1248"/>
        <item x="1103"/>
        <item x="4103"/>
        <item x="3174"/>
        <item x="4360"/>
        <item x="1784"/>
        <item x="4497"/>
        <item x="4752"/>
        <item x="2155"/>
        <item x="4184"/>
        <item x="1164"/>
        <item x="4003"/>
        <item x="91"/>
        <item x="1549"/>
        <item x="3705"/>
        <item x="1529"/>
        <item x="1665"/>
        <item x="4515"/>
        <item x="1088"/>
        <item x="4709"/>
        <item x="458"/>
        <item x="4749"/>
        <item x="852"/>
        <item x="1635"/>
        <item x="4297"/>
        <item x="2520"/>
        <item x="3391"/>
        <item x="2503"/>
        <item x="983"/>
        <item x="1879"/>
        <item x="4299"/>
        <item x="3924"/>
        <item x="4748"/>
        <item x="3760"/>
        <item x="2750"/>
        <item x="1960"/>
        <item x="4137"/>
        <item x="2781"/>
        <item x="1793"/>
        <item x="2847"/>
        <item x="4500"/>
        <item x="1571"/>
        <item x="3521"/>
        <item x="57"/>
        <item x="493"/>
        <item x="95"/>
        <item x="4270"/>
        <item x="3175"/>
        <item x="3993"/>
        <item x="141"/>
        <item x="1327"/>
        <item x="3822"/>
        <item x="3290"/>
        <item x="2682"/>
        <item x="4848"/>
        <item x="1670"/>
        <item x="774"/>
        <item x="1134"/>
        <item x="3738"/>
        <item x="3925"/>
        <item x="3731"/>
        <item x="1042"/>
        <item x="2041"/>
        <item x="3667"/>
        <item x="4125"/>
        <item x="3186"/>
        <item x="4509"/>
        <item x="1921"/>
        <item x="4591"/>
        <item x="3219"/>
        <item x="2502"/>
        <item x="604"/>
        <item x="3001"/>
        <item x="4478"/>
        <item x="2568"/>
        <item x="4693"/>
        <item x="4029"/>
        <item x="4381"/>
        <item x="2026"/>
        <item x="1508"/>
        <item x="3265"/>
        <item x="652"/>
        <item x="1485"/>
        <item x="1955"/>
        <item x="1838"/>
        <item x="628"/>
        <item x="3205"/>
        <item x="1902"/>
        <item x="23"/>
        <item x="775"/>
        <item x="1465"/>
        <item x="1230"/>
        <item x="869"/>
        <item x="4058"/>
        <item x="735"/>
        <item x="559"/>
        <item x="4477"/>
        <item x="3996"/>
        <item x="3206"/>
        <item x="4470"/>
        <item x="2371"/>
        <item x="3320"/>
        <item x="2011"/>
        <item x="2500"/>
        <item x="1353"/>
        <item x="3507"/>
        <item x="719"/>
        <item x="2039"/>
        <item x="4846"/>
        <item x="1691"/>
        <item x="4847"/>
        <item x="2176"/>
        <item x="3133"/>
        <item x="3158"/>
        <item x="2633"/>
        <item x="2963"/>
        <item x="1302"/>
        <item x="2965"/>
        <item x="1770"/>
        <item x="2889"/>
        <item x="2954"/>
        <item x="3441"/>
        <item x="144"/>
        <item x="737"/>
        <item x="3032"/>
        <item x="2400"/>
        <item x="741"/>
        <item x="3203"/>
        <item x="3793"/>
        <item x="4622"/>
        <item x="2221"/>
        <item x="119"/>
        <item x="3717"/>
        <item x="3232"/>
        <item x="1520"/>
        <item x="1163"/>
        <item x="3189"/>
        <item x="3529"/>
        <item x="1975"/>
        <item x="2420"/>
        <item x="2453"/>
        <item x="1854"/>
        <item x="293"/>
        <item x="1271"/>
        <item x="1898"/>
        <item x="4812"/>
        <item x="3666"/>
        <item x="2547"/>
        <item x="3322"/>
        <item x="1407"/>
        <item x="3585"/>
        <item x="2956"/>
        <item x="4320"/>
        <item x="2077"/>
        <item x="4798"/>
        <item x="3223"/>
        <item x="1294"/>
        <item x="1126"/>
        <item x="3562"/>
        <item x="4636"/>
        <item x="2197"/>
        <item x="42"/>
        <item x="2860"/>
        <item x="3813"/>
        <item x="2795"/>
        <item x="1094"/>
        <item x="2737"/>
        <item x="1842"/>
        <item x="3464"/>
        <item x="4859"/>
        <item x="684"/>
        <item x="4041"/>
        <item x="2833"/>
        <item x="3113"/>
        <item x="866"/>
        <item x="4337"/>
        <item x="2760"/>
        <item x="4006"/>
        <item x="4657"/>
        <item x="2181"/>
        <item x="4809"/>
        <item x="2517"/>
        <item x="944"/>
        <item x="1756"/>
        <item x="2549"/>
        <item x="2310"/>
        <item x="155"/>
        <item x="3468"/>
        <item x="4126"/>
        <item x="2674"/>
        <item x="1604"/>
        <item x="4637"/>
        <item x="187"/>
        <item x="1171"/>
        <item x="2119"/>
        <item x="4033"/>
        <item x="3112"/>
        <item x="1994"/>
        <item x="4188"/>
        <item x="4101"/>
        <item x="4836"/>
        <item x="4316"/>
        <item x="1642"/>
        <item x="4298"/>
        <item x="2317"/>
        <item x="3890"/>
        <item x="2208"/>
        <item x="2776"/>
        <item x="642"/>
        <item x="1803"/>
        <item x="3887"/>
        <item x="53"/>
        <item x="4488"/>
        <item x="1844"/>
        <item x="2137"/>
        <item x="4113"/>
        <item x="3811"/>
        <item x="2590"/>
        <item x="2841"/>
        <item x="3313"/>
        <item x="1111"/>
        <item x="2020"/>
        <item x="836"/>
        <item x="1735"/>
        <item x="683"/>
        <item x="287"/>
        <item x="896"/>
        <item x="4571"/>
        <item x="2519"/>
        <item x="715"/>
        <item x="1789"/>
        <item x="1695"/>
        <item x="2018"/>
        <item x="3257"/>
        <item x="445"/>
        <item x="722"/>
        <item x="3141"/>
        <item x="2867"/>
        <item x="3877"/>
        <item x="3543"/>
        <item x="1530"/>
        <item x="3271"/>
        <item x="2953"/>
        <item x="588"/>
        <item x="1517"/>
        <item x="435"/>
        <item x="3809"/>
        <item x="744"/>
        <item x="641"/>
        <item x="1152"/>
        <item x="2266"/>
        <item x="1458"/>
        <item x="275"/>
        <item x="2531"/>
        <item x="3213"/>
        <item x="1002"/>
        <item x="4141"/>
        <item x="969"/>
        <item x="4473"/>
        <item x="1652"/>
        <item x="798"/>
        <item x="3092"/>
        <item x="3511"/>
        <item x="698"/>
        <item x="901"/>
        <item x="3663"/>
        <item x="3737"/>
        <item x="3573"/>
        <item x="265"/>
        <item x="3599"/>
        <item x="3321"/>
        <item x="1231"/>
        <item x="2452"/>
        <item x="360"/>
        <item x="4205"/>
        <item x="2645"/>
        <item x="1710"/>
        <item x="3841"/>
        <item x="2246"/>
        <item x="671"/>
        <item x="2210"/>
        <item x="2152"/>
        <item x="4273"/>
        <item x="3563"/>
        <item x="2439"/>
        <item x="1239"/>
        <item x="3040"/>
        <item x="4400"/>
        <item x="831"/>
        <item x="3603"/>
        <item x="190"/>
        <item x="4288"/>
        <item x="1554"/>
        <item x="1460"/>
        <item x="650"/>
        <item x="2199"/>
        <item x="827"/>
        <item x="11"/>
        <item x="1273"/>
        <item x="3979"/>
        <item x="2814"/>
        <item x="3523"/>
        <item x="829"/>
        <item x="3709"/>
        <item x="819"/>
        <item x="3364"/>
        <item x="3373"/>
        <item x="3192"/>
        <item x="905"/>
        <item x="2958"/>
        <item x="1697"/>
        <item x="2999"/>
        <item x="1237"/>
        <item x="1340"/>
        <item x="350"/>
        <item x="4777"/>
        <item x="2838"/>
        <item x="4612"/>
        <item x="717"/>
        <item x="3356"/>
        <item x="1764"/>
        <item x="4733"/>
        <item x="4227"/>
        <item x="1892"/>
        <item x="3022"/>
        <item x="3710"/>
        <item x="2334"/>
        <item x="3901"/>
        <item x="4658"/>
        <item x="114"/>
        <item x="348"/>
        <item x="2118"/>
        <item x="2432"/>
        <item x="4472"/>
        <item x="3806"/>
        <item x="2159"/>
        <item x="3339"/>
        <item x="4363"/>
        <item x="2522"/>
        <item x="3750"/>
        <item x="1992"/>
        <item x="4099"/>
        <item x="1848"/>
        <item x="1972"/>
        <item x="280"/>
        <item x="2017"/>
        <item x="3525"/>
        <item x="3351"/>
        <item x="4538"/>
        <item x="640"/>
        <item x="4076"/>
        <item x="4355"/>
        <item x="2627"/>
        <item x="1937"/>
        <item x="4272"/>
        <item x="1542"/>
        <item x="501"/>
        <item x="2660"/>
        <item x="2934"/>
        <item x="3777"/>
        <item x="2492"/>
        <item x="4306"/>
        <item x="2056"/>
        <item x="4640"/>
        <item x="2262"/>
        <item x="2108"/>
        <item x="830"/>
        <item x="4242"/>
        <item x="2449"/>
        <item x="924"/>
        <item x="288"/>
        <item x="3938"/>
        <item x="4792"/>
        <item x="234"/>
        <item x="448"/>
        <item x="575"/>
        <item x="2850"/>
        <item x="4670"/>
        <item x="7"/>
        <item x="3722"/>
        <item x="791"/>
        <item x="4094"/>
        <item x="2242"/>
        <item x="1440"/>
        <item x="2480"/>
        <item x="306"/>
        <item x="1726"/>
        <item x="1123"/>
        <item x="1957"/>
        <item x="330"/>
        <item x="444"/>
        <item x="956"/>
        <item x="2981"/>
        <item x="1275"/>
        <item x="3105"/>
        <item x="1713"/>
        <item x="2882"/>
        <item x="4572"/>
        <item x="2185"/>
        <item x="4765"/>
        <item x="3999"/>
        <item x="4567"/>
        <item x="2587"/>
        <item x="1374"/>
        <item x="2389"/>
        <item x="3539"/>
        <item x="3959"/>
        <item x="2264"/>
        <item x="4694"/>
        <item x="138"/>
        <item x="4620"/>
        <item x="1714"/>
        <item x="175"/>
        <item x="447"/>
        <item x="1720"/>
        <item x="1815"/>
        <item x="2340"/>
        <item x="192"/>
        <item x="3332"/>
        <item x="1072"/>
        <item x="2978"/>
        <item x="2665"/>
        <item x="4449"/>
        <item x="4731"/>
        <item x="1247"/>
        <item x="1053"/>
        <item x="352"/>
        <item x="2367"/>
        <item x="889"/>
        <item x="4105"/>
        <item x="2219"/>
        <item x="1019"/>
        <item x="2597"/>
        <item x="4367"/>
        <item x="4046"/>
        <item x="4585"/>
        <item x="2740"/>
        <item x="4468"/>
        <item x="2861"/>
        <item x="828"/>
        <item x="4217"/>
        <item x="4634"/>
        <item x="1962"/>
        <item x="4050"/>
        <item x="4166"/>
        <item x="4539"/>
        <item x="1912"/>
        <item x="3212"/>
        <item x="3183"/>
        <item x="2027"/>
        <item x="2486"/>
        <item x="194"/>
        <item x="4800"/>
        <item x="2097"/>
        <item x="130"/>
        <item x="921"/>
        <item x="4266"/>
        <item x="2746"/>
        <item x="351"/>
        <item x="1445"/>
        <item x="4048"/>
        <item x="4581"/>
        <item x="2766"/>
        <item x="3144"/>
        <item x="927"/>
        <item x="2871"/>
        <item x="3679"/>
        <item x="1396"/>
        <item x="2388"/>
        <item x="1753"/>
        <item x="914"/>
        <item x="989"/>
        <item x="2495"/>
        <item x="392"/>
        <item x="922"/>
        <item x="302"/>
        <item x="2859"/>
        <item x="1221"/>
        <item x="1178"/>
        <item x="2065"/>
        <item x="2148"/>
        <item x="2447"/>
        <item x="1277"/>
        <item x="4159"/>
        <item x="2989"/>
        <item x="1774"/>
        <item x="2349"/>
        <item x="1981"/>
        <item x="3992"/>
        <item x="876"/>
        <item x="668"/>
        <item x="3557"/>
        <item x="1405"/>
        <item x="2671"/>
        <item x="3059"/>
        <item x="2105"/>
        <item x="4555"/>
        <item x="2476"/>
        <item x="1500"/>
        <item x="3892"/>
        <item x="4701"/>
        <item x="1594"/>
        <item x="3508"/>
        <item x="1948"/>
        <item x="780"/>
        <item x="4364"/>
        <item x="3934"/>
        <item x="2624"/>
        <item x="4644"/>
        <item x="2513"/>
        <item x="4283"/>
        <item x="1323"/>
        <item x="1194"/>
        <item x="855"/>
        <item x="4310"/>
        <item x="1341"/>
        <item x="3295"/>
        <item x="4675"/>
        <item x="2951"/>
        <item x="2224"/>
        <item x="4546"/>
        <item x="1872"/>
        <item x="1747"/>
        <item x="3505"/>
        <item x="1865"/>
        <item x="2727"/>
        <item x="1733"/>
        <item x="2581"/>
        <item x="196"/>
        <item x="1102"/>
        <item x="2767"/>
        <item x="1016"/>
        <item x="3004"/>
        <item x="1017"/>
        <item x="3095"/>
        <item x="3846"/>
        <item x="411"/>
        <item x="4139"/>
        <item x="1648"/>
        <item x="3783"/>
        <item x="1292"/>
        <item x="1293"/>
        <item x="3595"/>
        <item x="462"/>
        <item x="4197"/>
        <item x="4598"/>
        <item x="2837"/>
        <item x="3360"/>
        <item x="36"/>
        <item x="2113"/>
        <item x="2988"/>
        <item x="1335"/>
        <item x="2896"/>
        <item x="1317"/>
        <item x="4678"/>
        <item x="366"/>
        <item x="16"/>
        <item x="3349"/>
        <item x="2474"/>
        <item x="790"/>
        <item x="4117"/>
        <item x="3772"/>
        <item x="1415"/>
        <item x="476"/>
        <item x="1846"/>
        <item x="301"/>
        <item x="529"/>
        <item x="4289"/>
        <item x="1423"/>
        <item x="1979"/>
        <item x="3559"/>
        <item x="1967"/>
        <item x="687"/>
        <item x="2762"/>
        <item x="121"/>
        <item x="1607"/>
        <item x="3800"/>
        <item x="1054"/>
        <item x="3858"/>
        <item x="3913"/>
        <item x="267"/>
        <item x="1390"/>
        <item x="402"/>
        <item x="3613"/>
        <item x="4775"/>
        <item x="597"/>
        <item x="3102"/>
        <item x="4215"/>
        <item x="1223"/>
        <item x="1578"/>
        <item x="4339"/>
        <item x="317"/>
        <item x="4333"/>
        <item x="2883"/>
        <item x="4422"/>
        <item x="4635"/>
        <item x="2849"/>
        <item x="132"/>
        <item x="2132"/>
        <item x="2366"/>
        <item x="543"/>
        <item x="2203"/>
        <item x="3499"/>
        <item x="976"/>
        <item x="961"/>
        <item x="1837"/>
        <item x="3073"/>
        <item x="3093"/>
        <item x="482"/>
        <item x="3467"/>
        <item x="1734"/>
        <item x="4432"/>
        <item x="107"/>
        <item x="4305"/>
        <item x="4403"/>
        <item x="1392"/>
        <item x="895"/>
        <item x="108"/>
        <item x="3936"/>
        <item x="2863"/>
        <item x="120"/>
        <item x="3933"/>
        <item x="1184"/>
        <item x="789"/>
        <item x="4315"/>
        <item x="2431"/>
        <item x="2623"/>
        <item x="993"/>
        <item x="3833"/>
        <item x="1528"/>
        <item x="2536"/>
        <item x="3323"/>
        <item x="3125"/>
        <item x="2051"/>
        <item x="3615"/>
        <item x="2512"/>
        <item x="656"/>
        <item x="4120"/>
        <item x="261"/>
        <item x="1402"/>
        <item x="982"/>
        <item x="2421"/>
        <item x="2313"/>
        <item x="1727"/>
        <item x="4038"/>
        <item x="4739"/>
        <item x="4862"/>
        <item x="4529"/>
        <item x="4445"/>
        <item x="3050"/>
        <item x="738"/>
        <item x="3166"/>
        <item x="2862"/>
        <item x="2559"/>
        <item x="1404"/>
        <item x="236"/>
        <item x="1704"/>
        <item x="2613"/>
        <item x="1680"/>
        <item x="2555"/>
        <item x="2333"/>
        <item x="2539"/>
        <item x="2213"/>
        <item x="2994"/>
        <item x="3702"/>
        <item x="2803"/>
        <item x="3787"/>
        <item x="428"/>
        <item x="4436"/>
        <item x="3484"/>
        <item x="4722"/>
        <item x="3941"/>
        <item x="2325"/>
        <item x="2450"/>
        <item x="4287"/>
        <item x="1860"/>
        <item x="2125"/>
        <item x="2972"/>
        <item x="3089"/>
        <item x="1073"/>
        <item x="1129"/>
        <item x="3919"/>
        <item x="129"/>
        <item x="3019"/>
        <item x="359"/>
        <item x="186"/>
        <item x="1840"/>
        <item x="3863"/>
        <item x="785"/>
        <item x="1206"/>
        <item x="2881"/>
        <item x="1688"/>
        <item x="3411"/>
        <item x="1226"/>
        <item x="3127"/>
        <item x="3542"/>
        <item x="2106"/>
        <item x="33"/>
        <item x="4086"/>
        <item x="1138"/>
        <item x="844"/>
        <item x="2842"/>
        <item x="3076"/>
        <item x="3797"/>
        <item x="2626"/>
        <item x="1997"/>
        <item x="2386"/>
        <item x="2335"/>
        <item x="3935"/>
        <item x="2973"/>
        <item x="2560"/>
        <item x="1958"/>
        <item x="4216"/>
        <item x="4307"/>
        <item x="2384"/>
        <item x="1874"/>
        <item x="2260"/>
        <item x="4268"/>
        <item x="590"/>
        <item x="3052"/>
        <item x="104"/>
        <item x="437"/>
        <item x="899"/>
        <item x="2708"/>
        <item x="217"/>
        <item x="821"/>
        <item x="1664"/>
        <item x="2604"/>
        <item x="1022"/>
        <item x="2834"/>
        <item x="4092"/>
        <item x="1259"/>
        <item x="3625"/>
        <item x="1986"/>
        <item x="4251"/>
        <item x="3798"/>
        <item x="4770"/>
        <item x="4608"/>
        <item x="3152"/>
        <item x="1352"/>
        <item x="1332"/>
        <item x="1496"/>
        <item x="3037"/>
        <item x="4390"/>
        <item x="122"/>
        <item x="3098"/>
        <item x="212"/>
        <item x="2392"/>
        <item x="2288"/>
        <item x="3643"/>
        <item x="4391"/>
        <item x="4343"/>
        <item x="394"/>
        <item x="854"/>
        <item x="3606"/>
        <item x="2173"/>
        <item x="1290"/>
        <item x="2201"/>
        <item x="1702"/>
        <item x="4190"/>
        <item x="4460"/>
        <item x="1235"/>
        <item x="4592"/>
        <item x="1682"/>
        <item x="1805"/>
        <item x="66"/>
        <item x="404"/>
        <item x="3046"/>
        <item x="4725"/>
        <item x="3225"/>
        <item x="2789"/>
        <item x="4399"/>
        <item x="226"/>
        <item x="3078"/>
        <item x="2025"/>
        <item x="4691"/>
        <item x="3958"/>
        <item x="85"/>
        <item x="4017"/>
        <item x="1917"/>
        <item x="1358"/>
        <item x="2050"/>
        <item x="4234"/>
        <item x="3550"/>
        <item x="1827"/>
        <item x="812"/>
        <item x="1590"/>
        <item x="1051"/>
        <item x="3528"/>
        <item x="4457"/>
        <item x="3343"/>
        <item x="3057"/>
        <item x="1507"/>
        <item x="4376"/>
        <item x="2605"/>
        <item x="153"/>
        <item x="4628"/>
        <item x="2705"/>
        <item x="3778"/>
        <item x="2401"/>
        <item x="2784"/>
        <item x="1121"/>
        <item x="4516"/>
        <item x="1877"/>
        <item x="1431"/>
        <item x="356"/>
        <item x="705"/>
        <item x="1209"/>
        <item x="2811"/>
        <item x="2081"/>
        <item x="1908"/>
        <item x="4260"/>
        <item x="4476"/>
        <item x="4236"/>
        <item x="4344"/>
        <item x="2980"/>
        <item x="477"/>
        <item x="2414"/>
        <item x="2083"/>
        <item x="1463"/>
        <item x="4730"/>
        <item x="770"/>
        <item x="3596"/>
        <item x="613"/>
        <item x="4379"/>
        <item x="40"/>
        <item x="3296"/>
        <item x="530"/>
        <item x="1029"/>
        <item x="3080"/>
        <item x="303"/>
        <item x="4429"/>
        <item x="912"/>
        <item x="3121"/>
        <item x="3068"/>
        <item x="4505"/>
        <item x="3910"/>
        <item x="3460"/>
        <item x="49"/>
        <item x="872"/>
        <item x="4035"/>
        <item x="3427"/>
        <item x="2526"/>
        <item x="3096"/>
        <item x="2373"/>
        <item x="4531"/>
        <item x="726"/>
        <item x="1462"/>
        <item x="4728"/>
        <item x="4373"/>
        <item x="3636"/>
        <item x="1657"/>
        <item x="762"/>
        <item x="4226"/>
        <item x="1601"/>
        <item x="2286"/>
        <item x="513"/>
        <item x="349"/>
        <item x="3776"/>
        <item x="278"/>
        <item x="3301"/>
        <item x="220"/>
        <item x="4577"/>
        <item x="632"/>
        <item x="3868"/>
        <item x="2886"/>
        <item x="106"/>
        <item x="4121"/>
        <item x="3771"/>
        <item x="4104"/>
        <item x="2891"/>
        <item x="266"/>
        <item x="962"/>
        <item x="1636"/>
        <item x="2802"/>
        <item x="654"/>
        <item x="1435"/>
        <item x="4550"/>
        <item x="882"/>
        <item x="1943"/>
        <item x="1249"/>
        <item x="4483"/>
        <item x="861"/>
        <item x="3066"/>
        <item x="4510"/>
        <item x="3622"/>
        <item x="3091"/>
        <item x="1366"/>
        <item x="1083"/>
        <item x="4596"/>
        <item x="2507"/>
        <item x="1242"/>
        <item x="2676"/>
        <item x="3060"/>
        <item x="3755"/>
        <item x="1706"/>
        <item x="4206"/>
        <item x="883"/>
        <item x="1512"/>
        <item x="3515"/>
        <item x="3856"/>
        <item x="614"/>
        <item x="1564"/>
        <item x="4697"/>
        <item x="4340"/>
        <item x="2770"/>
        <item x="2667"/>
        <item x="918"/>
        <item x="4196"/>
        <item x="3353"/>
        <item x="2913"/>
        <item x="4224"/>
        <item x="3940"/>
        <item x="2399"/>
        <item x="1033"/>
        <item x="537"/>
        <item x="736"/>
        <item x="38"/>
        <item x="246"/>
        <item x="4651"/>
        <item x="1676"/>
        <item x="2239"/>
        <item x="546"/>
        <item x="3820"/>
        <item x="1699"/>
        <item x="343"/>
        <item x="3297"/>
        <item x="3746"/>
        <item x="2554"/>
        <item x="244"/>
        <item x="109"/>
        <item x="2777"/>
        <item x="4285"/>
        <item x="3781"/>
        <item x="972"/>
        <item x="2043"/>
        <item x="380"/>
        <item x="2455"/>
        <item x="2442"/>
        <item x="8"/>
        <item x="0"/>
        <item x="3014"/>
        <item x="4453"/>
        <item x="755"/>
        <item x="3527"/>
        <item x="4849"/>
        <item x="4551"/>
        <item x="1362"/>
        <item x="509"/>
        <item x="4191"/>
        <item x="2542"/>
        <item x="637"/>
        <item x="4165"/>
        <item x="766"/>
        <item x="708"/>
        <item x="3842"/>
        <item x="3648"/>
        <item x="1658"/>
        <item x="2544"/>
        <item x="2471"/>
        <item x="1008"/>
        <item x="4036"/>
        <item x="1939"/>
        <item x="1197"/>
        <item x="4396"/>
        <item x="440"/>
        <item x="3876"/>
        <item x="3555"/>
        <item x="1773"/>
        <item x="3536"/>
        <item x="2127"/>
        <item x="887"/>
        <item x="1010"/>
        <item x="4778"/>
        <item x="1509"/>
        <item x="377"/>
        <item x="4561"/>
        <item x="665"/>
        <item x="3362"/>
        <item x="2625"/>
        <item x="4329"/>
        <item x="3969"/>
        <item x="1583"/>
        <item x="2228"/>
        <item x="1579"/>
        <item x="26"/>
        <item x="1794"/>
        <item x="2570"/>
        <item x="2664"/>
        <item x="4124"/>
        <item x="2178"/>
        <item x="3439"/>
        <item x="1278"/>
        <item x="3756"/>
        <item x="3706"/>
        <item x="4858"/>
        <item x="885"/>
        <item x="3740"/>
        <item x="694"/>
        <item x="3583"/>
        <item x="3115"/>
        <item x="4790"/>
        <item x="1751"/>
        <item x="578"/>
        <item x="541"/>
        <item x="4632"/>
        <item x="76"/>
        <item x="2061"/>
        <item x="2307"/>
        <item x="162"/>
        <item x="97"/>
        <item x="3442"/>
        <item x="4715"/>
        <item x="2916"/>
        <item x="4025"/>
        <item x="1961"/>
        <item x="743"/>
        <item x="2826"/>
        <item x="4810"/>
        <item x="3540"/>
        <item x="1495"/>
        <item x="2359"/>
        <item x="4487"/>
        <item x="3289"/>
        <item x="721"/>
        <item x="1576"/>
        <item x="3172"/>
        <item x="3488"/>
        <item x="534"/>
        <item x="1730"/>
        <item x="3260"/>
        <item x="544"/>
        <item x="480"/>
        <item x="3081"/>
        <item x="126"/>
        <item x="3455"/>
        <item x="2541"/>
        <item x="3382"/>
        <item x="3812"/>
        <item x="385"/>
        <item x="2711"/>
        <item x="3883"/>
        <item x="1859"/>
        <item x="1313"/>
        <item x="2218"/>
        <item x="3021"/>
        <item x="1093"/>
        <item x="4096"/>
        <item x="3385"/>
        <item x="232"/>
        <item x="878"/>
        <item x="904"/>
        <item x="2451"/>
        <item x="3641"/>
        <item x="1068"/>
        <item x="1161"/>
        <item x="3547"/>
        <item x="1490"/>
        <item x="2433"/>
        <item x="4155"/>
        <item x="3567"/>
        <item x="4573"/>
        <item x="3376"/>
        <item x="4839"/>
        <item x="344"/>
        <item x="252"/>
        <item x="206"/>
        <item x="1195"/>
        <item x="3857"/>
        <item x="222"/>
        <item x="4177"/>
        <item x="2477"/>
        <item x="4185"/>
        <item x="859"/>
        <item x="2046"/>
        <item x="1686"/>
        <item x="4489"/>
        <item x="634"/>
        <item x="2810"/>
        <item x="1816"/>
        <item x="3049"/>
        <item x="1296"/>
        <item x="1441"/>
        <item x="2363"/>
        <item x="4428"/>
        <item x="4044"/>
        <item x="43"/>
        <item x="3177"/>
        <item x="1056"/>
        <item x="1659"/>
        <item x="1718"/>
        <item x="3038"/>
        <item x="2162"/>
        <item x="2497"/>
        <item x="2309"/>
        <item x="3597"/>
        <item x="2869"/>
        <item x="788"/>
        <item x="3790"/>
        <item x="3045"/>
        <item x="55"/>
        <item x="2979"/>
        <item x="4447"/>
        <item x="2134"/>
        <item x="3889"/>
        <item x="841"/>
        <item x="4826"/>
        <item x="3749"/>
        <item x="1849"/>
        <item x="3109"/>
        <item x="603"/>
        <item x="4023"/>
        <item x="255"/>
        <item x="3882"/>
        <item x="4584"/>
        <item x="4372"/>
        <item x="4245"/>
        <item x="4738"/>
        <item x="378"/>
        <item x="274"/>
        <item x="3375"/>
        <item x="1447"/>
        <item x="4852"/>
        <item x="455"/>
        <item x="4736"/>
        <item x="551"/>
        <item x="2129"/>
        <item x="2577"/>
        <item x="1673"/>
        <item x="3017"/>
        <item x="81"/>
        <item x="2263"/>
        <item x="2993"/>
        <item x="2102"/>
        <item x="80"/>
        <item x="1026"/>
        <item x="825"/>
        <item x="4163"/>
        <item x="3229"/>
        <item x="2146"/>
        <item x="3251"/>
        <item x="940"/>
        <item x="3069"/>
        <item x="515"/>
        <item x="678"/>
        <item x="4549"/>
        <item x="1851"/>
        <item x="282"/>
        <item x="2761"/>
        <item x="466"/>
        <item x="661"/>
        <item x="429"/>
        <item x="1204"/>
        <item x="1810"/>
        <item x="3513"/>
        <item x="2303"/>
        <item x="3044"/>
        <item x="1245"/>
        <item x="3471"/>
        <item x="4680"/>
        <item x="4621"/>
        <item x="3949"/>
        <item x="1494"/>
        <item x="2593"/>
        <item x="2251"/>
        <item x="4181"/>
        <item x="2413"/>
        <item x="1537"/>
        <item x="3139"/>
        <item x="764"/>
        <item x="4189"/>
        <item x="1565"/>
        <item x="4274"/>
        <item x="2855"/>
        <item x="1150"/>
        <item x="498"/>
        <item x="1291"/>
        <item x="2353"/>
        <item x="167"/>
        <item x="1350"/>
        <item x="1082"/>
        <item x="1174"/>
        <item x="2272"/>
        <item x="2892"/>
        <item x="2069"/>
        <item x="582"/>
        <item x="1491"/>
        <item x="1832"/>
        <item x="50"/>
        <item x="4370"/>
        <item x="3554"/>
        <item x="2779"/>
        <item x="538"/>
        <item x="3646"/>
        <item x="1561"/>
        <item x="928"/>
        <item x="48"/>
        <item x="1998"/>
        <item x="4662"/>
        <item x="1086"/>
        <item x="3538"/>
        <item x="2772"/>
        <item x="1486"/>
        <item x="3389"/>
        <item x="1057"/>
        <item x="777"/>
        <item x="4001"/>
        <item x="1305"/>
        <item x="1953"/>
        <item x="863"/>
        <item x="2104"/>
        <item x="4461"/>
        <item x="1518"/>
        <item x="3834"/>
        <item x="2511"/>
        <item x="4467"/>
        <item x="573"/>
        <item x="3469"/>
        <item x="2983"/>
        <item x="2014"/>
        <item x="1443"/>
        <item x="3421"/>
        <item x="3621"/>
        <item x="1985"/>
        <item x="3801"/>
        <item x="3300"/>
        <item x="173"/>
        <item x="3120"/>
        <item x="3204"/>
        <item x="3944"/>
        <item x="1430"/>
        <item x="34"/>
        <item x="3917"/>
        <item x="202"/>
        <item x="4684"/>
        <item x="1087"/>
        <item x="1818"/>
        <item x="2231"/>
        <item x="1504"/>
        <item x="1466"/>
        <item x="4199"/>
        <item x="1439"/>
        <item x="616"/>
        <item x="814"/>
        <item x="3436"/>
        <item x="653"/>
        <item x="2116"/>
        <item x="1787"/>
        <item x="804"/>
        <item x="3669"/>
        <item x="2426"/>
        <item x="4817"/>
        <item x="484"/>
        <item x="4594"/>
        <item x="3668"/>
        <item x="1966"/>
        <item x="3199"/>
        <item x="3908"/>
        <item x="2496"/>
        <item x="3039"/>
        <item x="813"/>
        <item x="2920"/>
        <item x="702"/>
        <item x="32"/>
        <item x="1036"/>
        <item x="4753"/>
        <item x="4617"/>
        <item x="110"/>
        <item x="1606"/>
        <item x="1839"/>
        <item x="875"/>
        <item x="154"/>
        <item x="947"/>
        <item x="393"/>
        <item x="1360"/>
        <item x="2673"/>
        <item x="2254"/>
        <item x="2395"/>
        <item x="219"/>
        <item x="2895"/>
        <item x="1413"/>
        <item x="1365"/>
        <item x="376"/>
        <item x="3827"/>
        <item x="2835"/>
        <item x="817"/>
        <item x="4824"/>
        <item x="2123"/>
        <item x="3685"/>
        <item x="997"/>
        <item x="1147"/>
        <item x="2170"/>
        <item x="418"/>
        <item x="758"/>
        <item x="923"/>
        <item x="3994"/>
        <item x="1970"/>
        <item x="3675"/>
        <item x="1804"/>
        <item x="4254"/>
        <item x="358"/>
        <item x="3954"/>
        <item x="2045"/>
        <item x="4148"/>
        <item x="2775"/>
        <item x="567"/>
        <item x="1070"/>
        <item x="4312"/>
        <item x="4578"/>
        <item x="4705"/>
        <item x="4028"/>
        <item x="1855"/>
        <item x="2406"/>
        <item x="4638"/>
        <item x="1018"/>
        <item x="2785"/>
        <item x="2659"/>
        <item x="4167"/>
        <item x="1903"/>
        <item x="2718"/>
        <item x="3023"/>
        <item x="2368"/>
        <item x="631"/>
        <item x="2926"/>
        <item x="3357"/>
        <item x="3029"/>
        <item x="1448"/>
        <item x="1834"/>
        <item x="3929"/>
        <item x="286"/>
        <item x="1464"/>
        <item x="890"/>
        <item x="2291"/>
        <item x="1632"/>
        <item x="497"/>
        <item x="4713"/>
        <item x="2402"/>
        <item x="4014"/>
        <item x="2530"/>
        <item x="1807"/>
        <item x="2561"/>
        <item x="1741"/>
        <item x="1023"/>
        <item x="3697"/>
        <item x="3998"/>
        <item x="3909"/>
        <item x="4102"/>
        <item x="4441"/>
        <item x="3690"/>
        <item x="2374"/>
        <item x="1372"/>
        <item x="1324"/>
        <item x="74"/>
        <item x="4369"/>
        <item x="117"/>
        <item x="169"/>
        <item x="249"/>
        <item x="4597"/>
        <item x="4147"/>
        <item x="4277"/>
        <item x="648"/>
        <item x="846"/>
        <item x="4292"/>
        <item x="2279"/>
        <item x="4768"/>
        <item x="2343"/>
        <item x="2422"/>
        <item x="1555"/>
        <item x="769"/>
        <item x="1320"/>
        <item x="1586"/>
        <item x="557"/>
        <item x="2594"/>
        <item x="3869"/>
        <item x="1732"/>
        <item x="2528"/>
        <item x="4222"/>
        <item x="526"/>
        <item x="2755"/>
        <item x="1106"/>
        <item x="2580"/>
        <item x="3334"/>
        <item x="4051"/>
        <item x="3083"/>
        <item x="1346"/>
        <item x="967"/>
        <item x="201"/>
        <item x="4843"/>
        <item x="4481"/>
        <item x="902"/>
        <item x="2875"/>
        <item x="4653"/>
        <item x="2079"/>
        <item x="1484"/>
        <item x="3104"/>
        <item x="3025"/>
        <item x="2175"/>
        <item x="1371"/>
        <item x="1806"/>
        <item x="1671"/>
        <item x="778"/>
        <item x="3953"/>
        <item x="4737"/>
        <item x="4469"/>
        <item x="396"/>
        <item x="4022"/>
        <item x="3918"/>
        <item x="596"/>
        <item x="2047"/>
        <item x="4704"/>
        <item x="3768"/>
        <item x="2695"/>
        <item x="2342"/>
        <item x="1829"/>
        <item x="4210"/>
        <item x="636"/>
        <item x="225"/>
        <item x="3255"/>
        <item x="1003"/>
        <item x="1198"/>
        <item x="1253"/>
        <item x="2550"/>
        <item x="3522"/>
        <item x="2927"/>
        <item x="3569"/>
        <item x="3274"/>
        <item x="3451"/>
        <item x="4524"/>
        <item x="504"/>
        <item x="1412"/>
        <item x="3419"/>
        <item x="1043"/>
        <item x="3328"/>
        <item x="4263"/>
        <item x="992"/>
        <item x="950"/>
        <item x="102"/>
        <item x="2545"/>
        <item x="436"/>
        <item x="4840"/>
        <item x="1797"/>
        <item x="1233"/>
        <item x="485"/>
        <item x="3974"/>
        <item x="1329"/>
        <item x="2638"/>
        <item x="4759"/>
        <item x="1526"/>
        <item x="2996"/>
        <item x="3282"/>
        <item x="4407"/>
        <item x="3042"/>
        <item x="3395"/>
        <item x="3269"/>
        <item x="1595"/>
        <item x="860"/>
        <item x="2479"/>
        <item x="310"/>
        <item x="1873"/>
        <item x="884"/>
        <item x="2448"/>
        <item x="1449"/>
        <item x="673"/>
        <item x="2831"/>
        <item x="1736"/>
        <item x="4656"/>
        <item x="1552"/>
        <item x="1828"/>
        <item x="289"/>
        <item x="4439"/>
        <item x="1085"/>
        <item x="3751"/>
        <item x="1950"/>
        <item x="2107"/>
        <item x="2628"/>
        <item x="1905"/>
        <item x="184"/>
        <item x="4729"/>
        <item x="2728"/>
        <item x="824"/>
        <item x="2853"/>
        <item x="740"/>
        <item x="164"/>
        <item x="4040"/>
        <item x="2887"/>
        <item x="1717"/>
        <item x="4057"/>
        <item x="1418"/>
        <item x="870"/>
        <item x="1411"/>
        <item x="4267"/>
        <item x="676"/>
        <item x="952"/>
        <item x="4334"/>
        <item x="2327"/>
        <item x="230"/>
        <item x="595"/>
        <item x="1375"/>
        <item x="4528"/>
        <item x="3276"/>
        <item x="2164"/>
        <item x="2010"/>
        <item x="2329"/>
        <item x="233"/>
        <item x="2446"/>
        <item x="1267"/>
        <item x="1139"/>
        <item x="3971"/>
        <item x="3835"/>
        <item x="4187"/>
        <item x="933"/>
        <item x="3591"/>
        <item x="2230"/>
        <item x="560"/>
        <item x="4740"/>
        <item x="434"/>
        <item x="2396"/>
        <item x="3450"/>
        <item x="283"/>
        <item x="1061"/>
        <item x="3254"/>
        <item x="1885"/>
        <item x="2240"/>
        <item x="4490"/>
        <item x="4454"/>
        <item x="4171"/>
        <item x="4071"/>
        <item x="1666"/>
        <item x="1176"/>
        <item x="203"/>
        <item x="4714"/>
        <item x="1836"/>
        <item x="2970"/>
        <item x="4410"/>
        <item x="3403"/>
        <item x="4218"/>
        <item x="4837"/>
        <item x="373"/>
        <item x="4433"/>
        <item x="938"/>
        <item x="2013"/>
        <item x="4580"/>
        <item x="3825"/>
        <item x="140"/>
        <item x="3193"/>
        <item x="2975"/>
        <item x="3470"/>
        <item x="3866"/>
        <item x="2793"/>
        <item x="2572"/>
        <item x="4398"/>
        <item x="991"/>
        <item x="984"/>
        <item x="772"/>
        <item x="2030"/>
        <item x="3051"/>
        <item x="1705"/>
        <item x="2141"/>
        <item x="1108"/>
        <item x="4702"/>
        <item x="807"/>
        <item x="1220"/>
        <item x="3176"/>
        <item x="72"/>
        <item x="2844"/>
        <item x="3145"/>
        <item x="1114"/>
        <item x="4314"/>
        <item x="133"/>
        <item x="19"/>
        <item x="2897"/>
        <item x="1488"/>
        <item x="3365"/>
        <item x="240"/>
        <item x="946"/>
        <item x="558"/>
        <item x="2283"/>
        <item x="3630"/>
        <item x="1609"/>
        <item x="1825"/>
        <item x="1142"/>
        <item x="4807"/>
        <item x="204"/>
        <item x="1367"/>
        <item x="932"/>
        <item x="1219"/>
        <item x="2939"/>
        <item x="1861"/>
        <item x="179"/>
        <item x="4271"/>
        <item x="449"/>
        <item x="871"/>
        <item x="727"/>
        <item x="4545"/>
        <item x="4480"/>
        <item x="3361"/>
        <item x="3226"/>
        <item x="496"/>
        <item x="1175"/>
        <item x="1066"/>
        <item x="1240"/>
        <item x="4703"/>
        <item x="4290"/>
        <item x="1244"/>
        <item x="3537"/>
        <item x="1752"/>
        <item x="2723"/>
        <item x="276"/>
        <item x="4122"/>
        <item x="1406"/>
        <item x="279"/>
        <item x="1809"/>
        <item x="285"/>
        <item x="62"/>
        <item x="4387"/>
        <item x="4095"/>
        <item x="2763"/>
        <item x="1685"/>
        <item x="213"/>
        <item x="1940"/>
        <item x="987"/>
        <item x="3207"/>
        <item x="2717"/>
        <item x="1791"/>
        <item x="1414"/>
        <item x="4066"/>
        <item x="689"/>
        <item x="4070"/>
        <item x="4747"/>
        <item x="555"/>
        <item x="2090"/>
        <item x="1776"/>
        <item x="4486"/>
        <item x="2730"/>
        <item x="620"/>
        <item x="1046"/>
        <item x="858"/>
        <item x="1288"/>
        <item x="1515"/>
        <item x="2578"/>
        <item x="3031"/>
        <item x="1005"/>
        <item x="336"/>
        <item x="4328"/>
        <item x="4253"/>
        <item x="710"/>
        <item x="4265"/>
        <item x="3278"/>
        <item x="1669"/>
        <item x="3195"/>
        <item x="3506"/>
        <item x="3923"/>
        <item x="409"/>
        <item x="2475"/>
        <item x="2968"/>
        <item x="1800"/>
        <item x="1812"/>
        <item x="3474"/>
        <item x="2757"/>
        <item x="235"/>
        <item x="577"/>
        <item x="2270"/>
        <item x="1190"/>
        <item x="1622"/>
        <item x="52"/>
        <item x="1871"/>
        <item x="2481"/>
        <item x="478"/>
        <item x="198"/>
        <item x="2360"/>
        <item x="2611"/>
        <item x="3976"/>
        <item x="643"/>
        <item x="3509"/>
        <item x="2088"/>
        <item x="2285"/>
        <item x="4776"/>
        <item x="2092"/>
        <item x="2314"/>
        <item x="542"/>
        <item x="3715"/>
        <item x="3294"/>
        <item x="2243"/>
        <item x="3545"/>
        <item x="2074"/>
        <item x="680"/>
        <item x="4133"/>
        <item x="125"/>
        <item x="4192"/>
        <item x="2890"/>
        <item x="4554"/>
        <item x="2147"/>
        <item x="909"/>
        <item x="1600"/>
        <item x="4696"/>
        <item x="2086"/>
        <item x="566"/>
        <item x="1910"/>
        <item x="753"/>
        <item x="3905"/>
        <item x="586"/>
        <item x="3253"/>
        <item x="3173"/>
        <item x="4394"/>
        <item x="822"/>
        <item x="1283"/>
        <item x="1391"/>
        <item x="337"/>
        <item x="2085"/>
        <item x="238"/>
        <item x="2346"/>
        <item x="216"/>
        <item x="519"/>
        <item x="2324"/>
        <item x="2122"/>
        <item x="563"/>
        <item x="2527"/>
        <item x="2305"/>
        <item x="3520"/>
        <item x="3194"/>
        <item x="3015"/>
        <item x="4389"/>
        <item x="2361"/>
        <item x="1481"/>
        <item x="3041"/>
        <item x="3845"/>
        <item x="3055"/>
        <item x="1243"/>
        <item x="1382"/>
        <item x="1256"/>
        <item x="4000"/>
        <item x="4830"/>
        <item x="2790"/>
        <item x="3765"/>
        <item x="1287"/>
        <item x="2823"/>
        <item x="999"/>
        <item x="340"/>
        <item x="2115"/>
        <item x="3725"/>
        <item x="3114"/>
        <item x="4207"/>
        <item x="955"/>
        <item x="1384"/>
        <item x="4760"/>
        <item x="893"/>
        <item x="1875"/>
        <item x="298"/>
        <item x="1395"/>
        <item x="3064"/>
        <item x="2567"/>
        <item x="2019"/>
        <item x="4762"/>
        <item x="3727"/>
        <item x="1768"/>
        <item x="245"/>
        <item x="826"/>
        <item x="3879"/>
        <item x="619"/>
        <item x="1386"/>
        <item x="1116"/>
        <item x="600"/>
        <item x="4537"/>
        <item x="1638"/>
        <item x="1931"/>
        <item x="2121"/>
        <item x="1045"/>
        <item x="746"/>
        <item x="1344"/>
        <item x="3716"/>
        <item x="3456"/>
        <item x="4717"/>
        <item x="2703"/>
        <item x="1779"/>
        <item x="4049"/>
        <item x="3237"/>
        <item x="3018"/>
        <item x="1476"/>
        <item x="3156"/>
        <item x="2870"/>
        <item x="3688"/>
        <item x="4755"/>
        <item x="2592"/>
        <item x="4785"/>
        <item x="3612"/>
        <item x="1492"/>
        <item x="195"/>
        <item x="849"/>
        <item x="4520"/>
        <item x="4435"/>
        <item x="3228"/>
        <item x="3497"/>
        <item x="1326"/>
        <item x="4034"/>
        <item x="959"/>
        <item x="243"/>
        <item x="3366"/>
        <item x="1067"/>
        <item x="626"/>
        <item x="3056"/>
        <item x="2801"/>
        <item x="253"/>
        <item x="1645"/>
        <item x="1071"/>
        <item x="3546"/>
        <item x="197"/>
        <item x="1681"/>
        <item x="3601"/>
        <item x="4018"/>
        <item x="1300"/>
        <item x="1354"/>
        <item x="3472"/>
        <item x="4679"/>
        <item x="633"/>
        <item x="2518"/>
        <item x="2724"/>
        <item x="4068"/>
        <item x="1690"/>
        <item x="1927"/>
        <item x="2330"/>
        <item x="400"/>
        <item x="1025"/>
        <item x="505"/>
        <item x="1254"/>
        <item x="4540"/>
        <item x="2909"/>
        <item x="605"/>
        <item x="734"/>
        <item x="2063"/>
        <item x="4816"/>
        <item x="1580"/>
        <item x="2816"/>
        <item x="599"/>
        <item x="474"/>
        <item x="2857"/>
        <item x="699"/>
        <item x="64"/>
        <item x="353"/>
        <item x="3984"/>
        <item x="2244"/>
        <item x="419"/>
        <item x="2940"/>
        <item x="4534"/>
        <item x="1318"/>
        <item x="4386"/>
        <item x="1089"/>
        <item x="4513"/>
        <item x="2697"/>
        <item x="2375"/>
        <item x="2183"/>
        <item x="3802"/>
        <item x="2893"/>
        <item x="2680"/>
        <item x="2284"/>
        <item x="3541"/>
        <item x="3344"/>
        <item x="4491"/>
        <item x="4087"/>
        <item x="2308"/>
        <item x="3922"/>
        <item x="4170"/>
        <item x="51"/>
        <item x="4322"/>
        <item x="139"/>
        <item x="1947"/>
        <item x="2933"/>
        <item x="2904"/>
        <item x="3345"/>
        <item x="82"/>
        <item x="3775"/>
        <item x="61"/>
        <item x="1422"/>
        <item x="2650"/>
        <item x="1545"/>
        <item x="3333"/>
        <item x="1132"/>
        <item x="4672"/>
        <item x="4426"/>
        <item x="3070"/>
        <item x="978"/>
        <item x="2277"/>
        <item x="423"/>
        <item x="329"/>
        <item x="2249"/>
        <item x="3277"/>
        <item x="4660"/>
        <item x="3243"/>
        <item x="2163"/>
        <item x="307"/>
        <item x="1896"/>
        <item x="98"/>
        <item x="1620"/>
        <item x="3805"/>
        <item x="2564"/>
        <item x="2646"/>
        <item x="1028"/>
        <item x="2903"/>
        <item x="4819"/>
        <item x="2947"/>
        <item x="3881"/>
        <item x="990"/>
        <item x="4855"/>
        <item x="3665"/>
        <item x="2598"/>
        <item x="1433"/>
        <item x="840"/>
        <item x="3150"/>
        <item x="3886"/>
        <item x="2990"/>
        <item x="3153"/>
        <item x="1767"/>
        <item x="1687"/>
        <item x="1667"/>
        <item x="3587"/>
        <item x="127"/>
        <item x="2917"/>
        <item x="1011"/>
        <item x="101"/>
        <item x="2033"/>
        <item x="2245"/>
        <item x="2817"/>
        <item x="759"/>
        <item x="1585"/>
        <item x="1934"/>
        <item x="1762"/>
        <item x="2504"/>
        <item x="709"/>
        <item x="2468"/>
        <item x="3184"/>
        <item x="3874"/>
        <item x="1941"/>
        <item x="2172"/>
        <item x="1503"/>
        <item x="2385"/>
        <item x="4494"/>
        <item x="1472"/>
        <item x="355"/>
        <item x="334"/>
        <item x="4535"/>
        <item x="3053"/>
        <item x="3510"/>
        <item x="630"/>
        <item x="4511"/>
        <item x="2167"/>
        <item x="2042"/>
        <item x="3582"/>
        <item x="4565"/>
        <item x="4444"/>
        <item x="2962"/>
        <item x="1631"/>
        <item x="3586"/>
        <item x="4012"/>
        <item x="3247"/>
        <item x="2618"/>
        <item x="4427"/>
        <item x="1559"/>
        <item x="1893"/>
        <item x="4317"/>
        <item x="3262"/>
        <item x="2055"/>
        <item x="2771"/>
        <item x="150"/>
        <item x="4256"/>
        <item x="712"/>
        <item x="3286"/>
        <item x="308"/>
        <item x="4544"/>
        <item x="2576"/>
        <item x="716"/>
        <item x="1990"/>
        <item x="4342"/>
        <item x="714"/>
        <item x="1920"/>
        <item x="4244"/>
        <item x="1771"/>
        <item x="3283"/>
        <item x="894"/>
        <item x="1817"/>
        <item x="3880"/>
        <item x="4010"/>
        <item x="3164"/>
        <item x="3600"/>
        <item x="4756"/>
        <item x="2070"/>
        <item x="771"/>
        <item x="1634"/>
        <item x="281"/>
        <item x="3831"/>
        <item x="487"/>
        <item x="4698"/>
        <item x="3307"/>
        <item x="3273"/>
        <item x="1308"/>
        <item x="3352"/>
        <item x="1394"/>
        <item x="1285"/>
        <item x="1653"/>
        <item x="2409"/>
        <item x="1696"/>
        <item x="3739"/>
        <item x="2797"/>
        <item x="4211"/>
        <item x="2299"/>
        <item x="3165"/>
        <item x="1135"/>
        <item x="913"/>
        <item x="3492"/>
        <item x="1180"/>
        <item x="3723"/>
        <item x="327"/>
        <item x="2339"/>
        <item x="1110"/>
        <item x="585"/>
        <item x="2096"/>
        <item x="2031"/>
        <item x="704"/>
        <item x="1723"/>
        <item x="397"/>
        <item x="3962"/>
        <item x="3535"/>
        <item x="2794"/>
        <item x="2278"/>
        <item x="4794"/>
        <item x="1993"/>
        <item x="3209"/>
        <item x="1451"/>
        <item x="1693"/>
        <item x="387"/>
        <item x="4180"/>
        <item x="888"/>
        <item x="479"/>
        <item x="3162"/>
        <item x="1513"/>
        <item x="439"/>
        <item x="1841"/>
        <item x="510"/>
        <item x="4815"/>
        <item x="692"/>
        <item x="1611"/>
        <item x="290"/>
        <item x="3753"/>
        <item x="2315"/>
        <item x="1662"/>
        <item x="934"/>
        <item x="1403"/>
        <item x="1112"/>
        <item x="1381"/>
        <item x="4655"/>
        <item x="1748"/>
        <item x="1786"/>
        <item x="4504"/>
        <item x="4074"/>
        <item x="2380"/>
        <item x="2582"/>
        <item x="552"/>
        <item x="224"/>
        <item x="4091"/>
        <item x="745"/>
        <item x="3686"/>
        <item x="669"/>
        <item x="3054"/>
        <item x="1328"/>
        <item x="2393"/>
        <item x="2049"/>
        <item x="1006"/>
        <item x="808"/>
        <item x="2345"/>
        <item x="2233"/>
        <item x="2987"/>
        <item x="3647"/>
        <item x="1703"/>
        <item x="1944"/>
        <item x="1798"/>
        <item x="1862"/>
        <item x="193"/>
        <item x="3299"/>
        <item x="2467"/>
        <item x="2073"/>
        <item x="4559"/>
        <item x="4338"/>
        <item x="2696"/>
        <item x="1531"/>
        <item x="939"/>
        <item x="837"/>
        <item x="4706"/>
        <item x="1069"/>
        <item x="4203"/>
        <item x="3063"/>
        <item x="2984"/>
        <item x="528"/>
        <item x="4618"/>
        <item x="180"/>
        <item x="4751"/>
        <item x="460"/>
        <item x="4828"/>
        <item x="2485"/>
        <item x="4411"/>
        <item x="4374"/>
        <item x="2410"/>
        <item x="3973"/>
        <item x="438"/>
        <item x="4169"/>
        <item x="3449"/>
        <item x="4243"/>
        <item x="4119"/>
        <item x="128"/>
        <item x="2652"/>
        <item x="3312"/>
        <item x="4345"/>
        <item x="847"/>
        <item x="3065"/>
        <item x="3784"/>
        <item x="304"/>
        <item x="1716"/>
        <item x="3"/>
        <item x="2607"/>
        <item x="4002"/>
        <item x="1052"/>
        <item x="862"/>
        <item x="3185"/>
        <item x="4835"/>
        <item x="4061"/>
        <item x="720"/>
        <item x="2139"/>
        <item x="3432"/>
        <item x="3956"/>
        <item x="1359"/>
        <item x="4413"/>
        <item x="3000"/>
        <item x="46"/>
        <item x="3556"/>
        <item x="3860"/>
        <item x="4743"/>
        <item x="1027"/>
        <item x="99"/>
        <item x="3694"/>
        <item x="1342"/>
        <item x="299"/>
        <item x="943"/>
        <item x="2394"/>
        <item x="1438"/>
        <item x="1351"/>
        <item x="920"/>
        <item x="4744"/>
        <item x="903"/>
        <item x="3620"/>
        <item x="2921"/>
        <item x="4269"/>
        <item x="1785"/>
        <item x="3896"/>
        <item x="1262"/>
        <item x="2156"/>
        <item x="868"/>
        <item x="3377"/>
        <item x="2938"/>
        <item x="1572"/>
        <item x="2211"/>
        <item x="4727"/>
        <item x="1021"/>
        <item x="1216"/>
        <item x="4354"/>
        <item x="4689"/>
        <item x="3414"/>
        <item x="4280"/>
        <item x="2848"/>
        <item x="968"/>
        <item x="3985"/>
        <item x="2922"/>
        <item x="1343"/>
        <item x="2145"/>
        <item x="832"/>
        <item x="945"/>
        <item x="973"/>
        <item x="1238"/>
        <item x="4771"/>
        <item x="2694"/>
        <item x="1312"/>
        <item x="4764"/>
        <item x="1976"/>
        <item x="725"/>
        <item x="2005"/>
        <item x="3642"/>
        <item x="185"/>
        <item x="629"/>
        <item x="488"/>
        <item x="4286"/>
        <item x="3986"/>
        <item x="2206"/>
        <item x="2894"/>
        <item x="3412"/>
        <item x="3342"/>
        <item x="3711"/>
        <item x="547"/>
        <item x="199"/>
        <item x="3077"/>
        <item x="37"/>
        <item x="1"/>
        <item x="941"/>
        <item x="69"/>
        <item x="2001"/>
        <item x="3810"/>
        <item x="4562"/>
        <item x="1368"/>
        <item x="3987"/>
        <item x="3315"/>
        <item x="384"/>
        <item x="1922"/>
        <item x="2234"/>
        <item x="2075"/>
        <item x="3839"/>
        <item x="3698"/>
        <item x="1907"/>
        <item x="3931"/>
        <item x="611"/>
        <item x="4583"/>
        <item x="1788"/>
        <item x="2462"/>
        <item x="2546"/>
        <item x="1385"/>
        <item x="795"/>
        <item x="767"/>
        <item x="1140"/>
        <item x="615"/>
        <item x="3714"/>
        <item x="1835"/>
        <item x="3475"/>
        <item x="3594"/>
        <item x="3649"/>
        <item x="1252"/>
        <item x="3111"/>
        <item x="4296"/>
        <item x="2693"/>
        <item x="469"/>
        <item x="1483"/>
        <item x="853"/>
        <item x="2663"/>
        <item x="188"/>
        <item x="897"/>
        <item x="733"/>
        <item x="3637"/>
        <item x="2840"/>
        <item x="848"/>
        <item x="321"/>
        <item x="690"/>
        <item x="3578"/>
        <item x="3263"/>
        <item x="370"/>
        <item x="4805"/>
        <item x="254"/>
        <item x="2062"/>
        <item x="1644"/>
        <item x="467"/>
        <item x="3330"/>
        <item x="1295"/>
        <item x="4643"/>
        <item x="3085"/>
        <item x="4659"/>
        <item x="3370"/>
        <item x="2058"/>
        <item x="1711"/>
        <item x="707"/>
        <item x="495"/>
        <item x="4450"/>
        <item x="269"/>
        <item x="5"/>
        <item x="4650"/>
        <item x="1780"/>
        <item x="1868"/>
        <item x="4574"/>
        <item x="4246"/>
        <item x="3440"/>
        <item x="1692"/>
        <item x="4430"/>
        <item x="362"/>
        <item x="4054"/>
        <item x="685"/>
        <item x="4219"/>
        <item x="3676"/>
        <item x="1188"/>
        <item x="3741"/>
        <item x="4767"/>
        <item x="2941"/>
        <item x="2971"/>
        <item x="639"/>
        <item x="4834"/>
        <item x="1388"/>
        <item x="1420"/>
        <item x="3517"/>
        <item x="3761"/>
        <item x="4293"/>
        <item x="2114"/>
        <item x="2714"/>
        <item x="4463"/>
        <item x="2997"/>
        <item x="4173"/>
        <item x="1536"/>
        <item x="3678"/>
        <item x="4402"/>
        <item x="1473"/>
        <item x="3108"/>
        <item x="3584"/>
        <item x="1101"/>
        <item x="724"/>
        <item x="1177"/>
        <item x="610"/>
        <item x="2733"/>
        <item x="3433"/>
        <item x="1080"/>
        <item x="1633"/>
        <item x="3163"/>
        <item x="1982"/>
        <item x="3430"/>
        <item x="4414"/>
        <item x="4649"/>
        <item x="391"/>
        <item x="1534"/>
        <item x="1107"/>
        <item x="258"/>
        <item x="4525"/>
        <item x="3292"/>
        <item x="3372"/>
        <item x="1946"/>
        <item x="3490"/>
        <item x="441"/>
        <item x="433"/>
        <item x="2929"/>
        <item x="3196"/>
        <item x="1952"/>
        <item x="1516"/>
        <item x="3383"/>
        <item x="3963"/>
        <item x="4193"/>
        <item x="1582"/>
        <item x="3660"/>
        <item x="1117"/>
        <item x="4055"/>
        <item x="3179"/>
        <item x="2282"/>
        <item x="3267"/>
        <item x="2267"/>
        <item x="2685"/>
        <item x="2514"/>
        <item x="1427"/>
        <item x="4143"/>
        <item x="3168"/>
        <item x="1570"/>
        <item x="3589"/>
        <item x="3531"/>
        <item x="3862"/>
        <item x="2715"/>
        <item x="1884"/>
        <item x="2876"/>
        <item x="2866"/>
        <item x="2602"/>
        <item x="2637"/>
        <item x="1781"/>
        <item x="1201"/>
        <item x="4247"/>
        <item x="4377"/>
        <item x="1909"/>
        <item x="1297"/>
        <item x="1683"/>
        <item x="1602"/>
        <item x="3840"/>
        <item x="163"/>
        <item x="981"/>
        <item x="1389"/>
        <item x="2064"/>
        <item x="4300"/>
        <item x="525"/>
        <item x="2256"/>
        <item x="1731"/>
        <item x="1040"/>
        <item x="2818"/>
        <item x="4129"/>
        <item x="1619"/>
        <item x="1336"/>
        <item x="2622"/>
        <item x="1058"/>
        <item x="3980"/>
        <item x="3452"/>
        <item x="3249"/>
        <item x="2424"/>
        <item x="4530"/>
        <item x="2465"/>
        <item x="569"/>
        <item x="2726"/>
        <item x="4114"/>
        <item x="4833"/>
        <item x="2443"/>
        <item x="3855"/>
        <item x="2499"/>
        <item x="2852"/>
        <item x="3016"/>
        <item x="3763"/>
        <item x="3631"/>
        <item x="4420"/>
        <item x="291"/>
        <item x="3614"/>
        <item x="421"/>
        <item x="4325"/>
        <item x="1044"/>
        <item x="2067"/>
        <item x="2687"/>
        <item x="1924"/>
        <item x="1624"/>
        <item x="4230"/>
        <item x="2986"/>
        <item x="4625"/>
        <item x="3544"/>
        <item x="1996"/>
        <item x="4541"/>
        <item x="25"/>
        <item x="1077"/>
        <item x="4424"/>
        <item x="3210"/>
        <item x="3628"/>
        <item x="1932"/>
        <item x="2174"/>
        <item x="2668"/>
        <item x="3240"/>
        <item x="763"/>
        <item x="3211"/>
        <item x="1119"/>
        <item x="3402"/>
        <item x="365"/>
        <item x="672"/>
        <item x="3609"/>
        <item x="3310"/>
        <item x="3235"/>
        <item x="3920"/>
        <item x="4639"/>
        <item x="4431"/>
        <item x="3107"/>
        <item x="1041"/>
        <item x="2372"/>
        <item x="3446"/>
        <item x="300"/>
        <item x="2023"/>
        <item x="3794"/>
        <item x="2487"/>
        <item x="2586"/>
        <item x="520"/>
        <item x="1891"/>
        <item x="3227"/>
        <item x="1596"/>
        <item x="1310"/>
        <item x="931"/>
        <item x="3703"/>
        <item x="3757"/>
        <item x="115"/>
        <item x="341"/>
        <item x="3314"/>
        <item x="2072"/>
        <item x="4027"/>
        <item x="3762"/>
        <item x="4110"/>
        <item x="4579"/>
        <item x="2681"/>
        <item x="371"/>
        <item x="3838"/>
        <item x="4231"/>
        <item x="1684"/>
        <item x="2171"/>
        <item x="1193"/>
        <item x="2427"/>
        <item x="457"/>
        <item x="2910"/>
        <item x="1232"/>
        <item x="2473"/>
        <item x="2112"/>
        <item x="3921"/>
        <item x="328"/>
        <item x="2053"/>
        <item x="3280"/>
        <item x="3130"/>
        <item x="1189"/>
        <item x="1311"/>
        <item x="2341"/>
        <item x="3602"/>
        <item x="2931"/>
        <item x="2168"/>
        <item x="1127"/>
        <item x="2969"/>
        <item x="3483"/>
        <item x="646"/>
        <item x="4712"/>
        <item x="2804"/>
        <item x="1258"/>
        <item x="4692"/>
        <item x="2216"/>
        <item x="1890"/>
        <item x="324"/>
        <item x="1260"/>
        <item x="136"/>
        <item x="4564"/>
        <item x="4349"/>
        <item x="1321"/>
        <item x="3759"/>
        <item x="3514"/>
        <item x="3167"/>
        <item x="2629"/>
        <item x="3590"/>
        <item x="3084"/>
        <item x="1677"/>
        <item x="368"/>
        <item x="3671"/>
        <item x="3581"/>
        <item x="2362"/>
        <item x="1983"/>
        <item x="568"/>
        <item x="2928"/>
        <item x="2354"/>
        <item x="2768"/>
        <item x="2124"/>
        <item x="2435"/>
        <item x="1754"/>
        <item x="2521"/>
        <item x="4375"/>
        <item x="3885"/>
        <item x="3670"/>
        <item x="3734"/>
        <item x="1532"/>
        <item x="209"/>
        <item x="4132"/>
        <item x="1376"/>
        <item x="1196"/>
        <item x="760"/>
        <item x="486"/>
        <item x="3459"/>
        <item x="1012"/>
        <item x="207"/>
        <item x="2008"/>
        <item x="4082"/>
        <item x="3726"/>
        <item x="2565"/>
        <item x="4784"/>
        <item x="134"/>
        <item x="3961"/>
        <item x="986"/>
        <item x="2679"/>
        <item x="1974"/>
        <item x="242"/>
        <item x="2575"/>
        <item x="4627"/>
        <item x="1213"/>
        <item x="271"/>
        <item x="1306"/>
        <item x="420"/>
        <item x="1479"/>
        <item x="3086"/>
        <item x="3374"/>
        <item x="4406"/>
        <item x="3803"/>
        <item x="3079"/>
        <item x="4225"/>
        <item x="1801"/>
        <item x="3169"/>
        <item x="1400"/>
        <item x="123"/>
        <item x="4804"/>
        <item x="3476"/>
        <item x="1901"/>
        <item x="2778"/>
        <item x="2488"/>
        <item x="4090"/>
        <item x="4359"/>
        <item x="13"/>
        <item x="2180"/>
        <item x="1229"/>
        <item x="215"/>
        <item x="3479"/>
        <item x="4806"/>
        <item x="158"/>
        <item x="4570"/>
        <item x="1452"/>
        <item x="607"/>
        <item x="3730"/>
        <item x="1424"/>
        <item x="4446"/>
        <item x="3124"/>
        <item x="4204"/>
        <item x="3500"/>
        <item x="208"/>
        <item x="4854"/>
        <item x="2698"/>
        <item x="856"/>
        <item x="1755"/>
        <item x="3780"/>
        <item x="4395"/>
        <item x="3401"/>
        <item x="2140"/>
        <item x="339"/>
        <item x="1436"/>
        <item x="250"/>
        <item x="4213"/>
        <item x="311"/>
        <item x="2648"/>
        <item x="3397"/>
        <item x="3713"/>
        <item x="3758"/>
        <item x="12"/>
        <item x="4321"/>
        <item x="580"/>
        <item x="507"/>
        <item x="2383"/>
        <item x="1032"/>
        <item x="3502"/>
        <item x="3473"/>
        <item x="2271"/>
        <item x="608"/>
        <item x="3828"/>
        <item x="4664"/>
        <item x="2084"/>
        <item x="2214"/>
        <item x="511"/>
        <item x="4766"/>
        <item x="2946"/>
        <item x="1444"/>
        <item x="2820"/>
        <item x="4080"/>
        <item x="2418"/>
        <item x="3906"/>
        <item x="2415"/>
        <item x="2959"/>
        <item x="71"/>
        <item x="609"/>
        <item x="1965"/>
        <item x="1547"/>
        <item x="761"/>
        <item x="4595"/>
        <item x="4198"/>
        <item x="248"/>
        <item x="1162"/>
        <item x="24"/>
        <item x="3650"/>
        <item x="1348"/>
        <item x="3181"/>
        <item x="2943"/>
        <item x="2160"/>
        <item x="936"/>
        <item x="4019"/>
        <item x="4789"/>
        <item x="4711"/>
        <item x="262"/>
        <item x="3347"/>
        <item x="3721"/>
        <item x="1378"/>
        <item x="1968"/>
        <item x="663"/>
        <item x="3580"/>
        <item x="1276"/>
        <item x="4182"/>
        <item x="1049"/>
        <item x="691"/>
        <item x="1672"/>
        <item x="3770"/>
        <item x="425"/>
        <item x="3258"/>
        <item x="1852"/>
        <item x="4575"/>
        <item x="748"/>
        <item x="4248"/>
        <item x="176"/>
        <item x="1097"/>
        <item x="2405"/>
        <item x="263"/>
        <item x="3272"/>
        <item x="916"/>
        <item x="2596"/>
        <item x="2689"/>
        <item x="1593"/>
        <item x="4782"/>
        <item x="1387"/>
        <item x="347"/>
        <item x="450"/>
        <item x="524"/>
        <item x="398"/>
        <item x="1144"/>
        <item x="2101"/>
        <item x="17"/>
        <item x="2296"/>
        <item x="2052"/>
        <item x="550"/>
        <item x="312"/>
        <item x="1265"/>
        <item x="2745"/>
        <item x="1916"/>
        <item x="1589"/>
        <item x="223"/>
        <item x="1307"/>
        <item x="430"/>
        <item x="1525"/>
        <item x="181"/>
        <item x="389"/>
        <item x="3566"/>
        <item x="3338"/>
        <item x="1942"/>
        <item x="1878"/>
        <item x="1113"/>
        <item x="845"/>
        <item x="4313"/>
        <item x="532"/>
        <item x="3570"/>
        <item x="545"/>
        <item x="3907"/>
        <item x="1640"/>
        <item x="1172"/>
        <item x="453"/>
        <item x="1881"/>
        <item x="3916"/>
        <item x="2478"/>
        <item x="4275"/>
        <item x="1538"/>
        <item x="3035"/>
        <item x="4856"/>
        <item x="152"/>
        <item x="1316"/>
        <item x="94"/>
        <item x="4264"/>
        <item x="3030"/>
        <item x="4438"/>
        <item x="1746"/>
        <item x="2000"/>
        <item x="1919"/>
        <item x="1821"/>
        <item x="4606"/>
        <item x="4276"/>
        <item x="3561"/>
        <item x="4284"/>
        <item x="2828"/>
        <item x="3495"/>
        <item x="3704"/>
        <item x="4412"/>
        <item x="1544"/>
        <item x="2535"/>
        <item x="2377"/>
        <item x="579"/>
        <item x="1453"/>
        <item x="1207"/>
        <item x="2735"/>
        <item x="1845"/>
        <item x="259"/>
        <item x="1928"/>
        <item x="3867"/>
        <item x="2117"/>
        <item x="3830"/>
        <item x="1031"/>
        <item x="54"/>
        <item x="3002"/>
        <item x="2387"/>
        <item x="318"/>
        <item x="1157"/>
        <item x="401"/>
        <item x="3407"/>
        <item x="4179"/>
        <item x="3036"/>
        <item x="3326"/>
        <item x="3238"/>
        <item x="3644"/>
        <item x="218"/>
        <item x="481"/>
        <item x="2120"/>
        <item x="1268"/>
        <item x="2489"/>
        <item x="4131"/>
        <item x="3132"/>
        <item x="1548"/>
        <item x="2985"/>
        <item x="3478"/>
        <item x="1603"/>
        <item x="2194"/>
        <item x="2195"/>
        <item x="2095"/>
        <item x="211"/>
        <item x="2918"/>
        <item x="2937"/>
        <item x="4484"/>
        <item x="443"/>
        <item x="4841"/>
        <item x="3560"/>
        <item x="4112"/>
        <item x="572"/>
        <item x="3415"/>
        <item x="2311"/>
        <item x="1304"/>
        <item x="2297"/>
        <item x="1737"/>
        <item x="473"/>
        <item x="3180"/>
        <item x="3673"/>
        <item x="3826"/>
        <item x="1708"/>
        <item x="2644"/>
        <item x="1560"/>
        <item x="1750"/>
        <item x="3967"/>
        <item x="565"/>
        <item x="1455"/>
        <item x="29"/>
        <item x="910"/>
        <item x="4233"/>
        <item x="3118"/>
        <item x="635"/>
        <item x="494"/>
        <item x="3786"/>
        <item x="2662"/>
        <item x="2690"/>
        <item x="3943"/>
        <item x="272"/>
        <item x="3884"/>
        <item x="2247"/>
        <item x="1075"/>
        <item x="1783"/>
        <item x="2150"/>
        <item x="1143"/>
        <item x="388"/>
        <item x="1614"/>
        <item x="4309"/>
        <item x="3773"/>
        <item x="953"/>
        <item x="4202"/>
        <item x="2868"/>
        <item x="124"/>
        <item x="3932"/>
        <item x="3493"/>
        <item x="2054"/>
        <item x="2538"/>
        <item x="2209"/>
        <item x="68"/>
        <item x="1361"/>
        <item x="1573"/>
        <item x="3003"/>
        <item x="3795"/>
        <item x="3122"/>
        <item x="1915"/>
        <item x="237"/>
        <item x="172"/>
        <item x="1876"/>
        <item x="1558"/>
        <item x="2741"/>
        <item x="1205"/>
        <item x="3498"/>
        <item x="2976"/>
        <item x="900"/>
        <item x="1894"/>
        <item x="1299"/>
        <item x="1886"/>
        <item x="3279"/>
        <item x="1355"/>
        <item x="2071"/>
        <item x="1007"/>
        <item x="316"/>
        <item x="2196"/>
        <item x="1629"/>
        <item x="3912"/>
        <item x="3287"/>
        <item x="1858"/>
        <item x="2524"/>
        <item x="4482"/>
        <item x="1236"/>
        <item x="4814"/>
        <item x="4557"/>
        <item x="3792"/>
        <item x="3445"/>
        <item x="1225"/>
        <item x="229"/>
        <item x="60"/>
        <item x="1228"/>
        <item x="1363"/>
        <item x="247"/>
        <item x="793"/>
        <item x="3250"/>
        <item x="116"/>
        <item x="3390"/>
        <item x="2707"/>
        <item x="2436"/>
        <item x="4723"/>
        <item x="426"/>
        <item x="417"/>
        <item x="1724"/>
        <item x="1091"/>
        <item x="1936"/>
        <item x="3966"/>
        <item x="4037"/>
        <item x="1647"/>
        <item x="2128"/>
        <item x="464"/>
        <item x="2437"/>
        <item x="364"/>
        <item x="1060"/>
        <item x="4569"/>
        <item x="4437"/>
        <item x="784"/>
        <item x="1076"/>
        <item x="2683"/>
        <item x="1065"/>
        <item x="2998"/>
        <item x="1739"/>
        <item x="3248"/>
        <item x="2649"/>
        <item x="4479"/>
        <item x="3335"/>
        <item x="1867"/>
        <item x="4601"/>
        <item x="1104"/>
        <item x="111"/>
        <item x="4045"/>
        <item x="3659"/>
        <item x="4209"/>
        <item x="1719"/>
        <item x="2516"/>
        <item x="2382"/>
        <item x="2898"/>
        <item x="1454"/>
        <item x="3302"/>
        <item x="3410"/>
        <item x="523"/>
        <item x="750"/>
        <item x="4401"/>
        <item x="4043"/>
        <item x="3067"/>
        <item x="2316"/>
        <item x="1410"/>
        <item x="59"/>
        <item x="4417"/>
        <item x="1978"/>
        <item x="2584"/>
        <item x="90"/>
        <item x="1149"/>
        <item x="73"/>
        <item x="1721"/>
        <item x="1015"/>
        <item x="3701"/>
        <item x="3957"/>
        <item x="4821"/>
        <item x="1728"/>
        <item x="2326"/>
        <item x="2328"/>
        <item x="3134"/>
        <item x="2416"/>
        <item x="2287"/>
        <item x="149"/>
        <item x="1482"/>
        <item x="693"/>
        <item x="1191"/>
        <item x="4052"/>
        <item x="1408"/>
        <item x="2678"/>
        <item x="4047"/>
        <item x="1098"/>
        <item x="100"/>
        <item x="1712"/>
        <item x="3329"/>
        <item x="2009"/>
        <item x="4647"/>
        <item x="4153"/>
        <item x="754"/>
        <item x="2731"/>
        <item x="591"/>
        <item x="2390"/>
        <item x="3435"/>
        <item x="2241"/>
        <item x="1742"/>
        <item x="2792"/>
        <item x="4136"/>
        <item x="1566"/>
        <item x="3123"/>
        <item x="4353"/>
        <item x="3149"/>
        <item x="20"/>
        <item x="2759"/>
        <item x="3950"/>
        <item x="2569"/>
        <item x="4146"/>
        <item x="408"/>
        <item x="1379"/>
        <item x="2253"/>
        <item x="4308"/>
        <item x="3565"/>
        <item x="4258"/>
        <item x="2351"/>
        <item x="4857"/>
        <item x="2022"/>
        <item x="2617"/>
        <item x="1090"/>
        <item x="4408"/>
        <item x="4346"/>
        <item x="4514"/>
        <item x="170"/>
        <item x="30"/>
        <item x="2948"/>
        <item x="2356"/>
        <item x="1250"/>
        <item x="3512"/>
        <item x="2684"/>
        <item x="1618"/>
        <item x="3719"/>
        <item x="4462"/>
        <item x="1610"/>
        <item x="3288"/>
        <item x="3696"/>
        <item x="442"/>
        <item x="2654"/>
        <item x="2332"/>
        <item x="1096"/>
        <item x="4485"/>
        <item x="174"/>
        <item x="3429"/>
        <item x="4686"/>
        <item x="1356"/>
        <item x="1811"/>
        <item x="3955"/>
        <item x="2571"/>
        <item x="4208"/>
        <item x="2819"/>
        <item x="2007"/>
        <item x="1830"/>
        <item x="3465"/>
        <item x="1168"/>
        <item x="776"/>
        <item x="2454"/>
        <item x="1988"/>
        <item x="118"/>
        <item x="4127"/>
        <item x="2016"/>
        <item x="1037"/>
        <item x="598"/>
        <item x="787"/>
        <item x="205"/>
        <item x="1475"/>
        <item x="2190"/>
        <item x="1120"/>
        <item x="3264"/>
        <item x="2739"/>
        <item x="2643"/>
        <item x="514"/>
        <item x="3851"/>
        <item x="2057"/>
        <item x="3246"/>
        <item x="424"/>
        <item x="728"/>
        <item x="14"/>
        <item x="314"/>
        <item x="1539"/>
        <item x="260"/>
        <item x="2635"/>
        <item x="3048"/>
        <item x="3291"/>
        <item x="2166"/>
        <item x="2935"/>
        <item x="919"/>
        <item x="3293"/>
        <item x="1471"/>
        <item x="1541"/>
        <item x="908"/>
        <item x="2098"/>
        <item x="2709"/>
        <item x="3369"/>
        <item x="1775"/>
        <item x="2012"/>
        <item x="268"/>
        <item x="1759"/>
        <item x="4838"/>
        <item x="816"/>
        <item x="483"/>
        <item x="1625"/>
        <item x="178"/>
        <item x="2378"/>
        <item x="3337"/>
        <item x="2138"/>
        <item x="3424"/>
        <item x="489"/>
        <item x="4613"/>
        <item x="4352"/>
        <item x="4240"/>
        <item x="3062"/>
        <item x="319"/>
        <item x="3680"/>
        <item x="2080"/>
        <item x="1951"/>
        <item x="823"/>
        <item x="1339"/>
        <item x="1777"/>
        <item x="395"/>
        <item x="3481"/>
        <item x="886"/>
        <item x="1038"/>
        <item x="1521"/>
        <item x="1078"/>
        <item x="1499"/>
        <item x="842"/>
        <item x="2151"/>
        <item x="1802"/>
        <item x="2923"/>
        <item x="2829"/>
        <item x="1882"/>
        <item x="1286"/>
        <item x="1938"/>
        <item x="1234"/>
        <item x="3309"/>
        <item x="3681"/>
        <item x="1651"/>
        <item x="4507"/>
        <item x="297"/>
        <item x="459"/>
        <item x="1760"/>
        <item x="2879"/>
        <item x="31"/>
        <item x="112"/>
        <item x="2100"/>
        <item x="313"/>
        <item x="531"/>
        <item x="183"/>
        <item x="2078"/>
        <item x="3533"/>
        <item x="1822"/>
        <item x="2591"/>
        <item x="2936"/>
        <item x="3463"/>
        <item x="357"/>
        <item x="3131"/>
        <item x="942"/>
        <item x="4351"/>
        <item x="2506"/>
        <item x="3155"/>
        <item x="83"/>
        <item x="4214"/>
        <item x="3384"/>
        <item x="3926"/>
        <item x="1758"/>
        <item x="2845"/>
        <item x="374"/>
        <item x="1200"/>
        <item x="1039"/>
        <item x="4241"/>
        <item x="970"/>
        <item x="4079"/>
        <item x="1470"/>
        <item x="3336"/>
        <item x="706"/>
        <item x="4708"/>
        <item x="907"/>
        <item x="957"/>
        <item x="2573"/>
        <item x="1904"/>
        <item x="4201"/>
        <item x="3854"/>
        <item x="2977"/>
        <item x="4350"/>
        <item x="929"/>
        <item x="570"/>
        <item x="3898"/>
        <item x="151"/>
        <item x="4587"/>
        <item x="2634"/>
        <item x="2846"/>
        <item x="363"/>
        <item x="3853"/>
        <item x="157"/>
        <item x="3116"/>
        <item x="1778"/>
        <item x="3655"/>
        <item x="3154"/>
        <item x="3981"/>
        <item x="3151"/>
        <item x="2748"/>
        <item x="2034"/>
        <item x="1020"/>
        <item x="4586"/>
        <item x="2877"/>
        <item x="606"/>
        <item x="2276"/>
        <item x="2038"/>
        <item x="2154"/>
        <item x="574"/>
        <item x="4065"/>
        <item x="1370"/>
        <item x="3024"/>
        <item x="1133"/>
        <item x="1675"/>
        <item x="35"/>
        <item x="2900"/>
        <item x="2037"/>
        <item x="3005"/>
        <item x="1643"/>
        <item x="2430"/>
        <item x="2318"/>
        <item x="1446"/>
        <item x="4434"/>
        <item x="1137"/>
        <item x="1337"/>
        <item x="562"/>
        <item x="3392"/>
        <item x="2036"/>
        <item x="1081"/>
        <item x="2878"/>
        <item x="131"/>
        <item x="361"/>
        <item x="2357"/>
        <item x="3814"/>
        <item x="1694"/>
        <item x="2232"/>
        <item x="985"/>
        <item x="2800"/>
        <item x="4064"/>
        <item x="3552"/>
        <item x="2275"/>
        <item x="1136"/>
        <item x="2205"/>
        <item x="1186"/>
        <item x="3178"/>
        <item x="1866"/>
        <item x="177"/>
        <item x="786"/>
        <item x="2089"/>
        <item x="2182"/>
        <item x="1148"/>
        <item x="881"/>
        <item x="3747"/>
        <item x="1626"/>
        <item x="2636"/>
        <item x="799"/>
        <item x="1663"/>
        <item x="864"/>
        <item x="1166"/>
        <item x="2469"/>
        <item x="456"/>
        <item x="1790"/>
        <item x="1477"/>
        <item x="1567"/>
        <item x="1004"/>
        <item x="536"/>
        <item x="911"/>
        <item x="1426"/>
        <item x="1222"/>
        <item x="2899"/>
        <item x="1757"/>
        <item x="2747"/>
        <item x="4646"/>
        <item x="1397"/>
        <item x="296"/>
        <item x="3982"/>
        <item x="1964"/>
        <item x="2815"/>
        <item x="4681"/>
        <item x="3608"/>
        <item x="1929"/>
        <item x="802"/>
        <item x="264"/>
        <item x="1261"/>
        <item x="3380"/>
        <item x="3027"/>
        <item x="4443"/>
        <item x="189"/>
        <item x="1729"/>
        <item x="1906"/>
        <item x="4257"/>
        <item x="2135"/>
        <item x="1949"/>
        <item x="1401"/>
        <item x="346"/>
        <item x="2099"/>
        <item x="2843"/>
        <item x="617"/>
        <item x="65"/>
        <item x="1202"/>
        <item x="3317"/>
        <item x="2884"/>
        <item x="4107"/>
        <item x="4238"/>
        <item x="2428"/>
        <item x="2523"/>
        <item x="2259"/>
        <item x="627"/>
        <item x="906"/>
        <item x="3075"/>
        <item x="1799"/>
        <item x="4552"/>
        <item x="2425"/>
        <item x="2169"/>
        <item x="670"/>
        <item x="2612"/>
        <item x="2610"/>
        <item x="729"/>
        <item x="4015"/>
        <item x="3551"/>
        <item x="2721"/>
        <item x="2189"/>
        <item x="41"/>
        <item x="730"/>
        <item x="1569"/>
        <item x="3639"/>
        <item x="3732"/>
        <item x="2615"/>
        <item x="39"/>
        <item x="3534"/>
        <item x="461"/>
        <item x="1581"/>
        <item x="1319"/>
        <item x="1592"/>
        <item x="1325"/>
        <item x="589"/>
        <item x="1369"/>
        <item x="3626"/>
        <item x="1079"/>
        <item x="2548"/>
        <item x="4108"/>
        <item x="2525"/>
        <item x="375"/>
        <item x="3047"/>
        <item x="3405"/>
        <item x="3354"/>
        <item x="3404"/>
        <item x="3815"/>
        <item x="2429"/>
        <item x="2641"/>
        <item x="2701"/>
        <item x="1864"/>
        <item x="3576"/>
        <item x="3368"/>
        <item x="3788"/>
        <item x="4382"/>
        <item x="4385"/>
        <item x="1501"/>
        <item x="739"/>
        <item x="2632"/>
        <item x="1322"/>
        <item x="1820"/>
        <item x="3564"/>
        <item x="651"/>
        <item x="3157"/>
        <item x="2509"/>
        <item x="3850"/>
        <item x="4128"/>
        <item x="342"/>
        <item x="3270"/>
        <item x="3878"/>
        <item x="137"/>
        <item x="1745"/>
        <item x="1105"/>
        <item x="1442"/>
        <item x="3900"/>
        <item x="1674"/>
        <item x="1118"/>
        <item x="3619"/>
        <item x="2950"/>
        <item x="2111"/>
        <item x="4741"/>
        <item x="988"/>
        <item x="2472"/>
        <item x="3928"/>
        <item x="1383"/>
        <item x="3656"/>
        <item x="2456"/>
        <item x="2292"/>
        <item x="3489"/>
        <item x="1502"/>
        <item x="4089"/>
        <item x="1989"/>
        <item x="4176"/>
        <item x="1608"/>
        <item x="1613"/>
        <item x="2068"/>
        <item x="4474"/>
        <item x="3870"/>
        <item x="4383"/>
        <item x="4801"/>
        <item x="2136"/>
        <item x="2048"/>
        <item x="4624"/>
        <item x="4669"/>
        <item x="4799"/>
        <item x="1468"/>
        <item x="63"/>
        <item x="191"/>
        <item x="3026"/>
        <item x="1761"/>
        <item x="843"/>
        <item x="1523"/>
        <item x="3425"/>
        <item x="4362"/>
        <item x="2992"/>
        <item x="2700"/>
        <item x="1398"/>
        <item x="768"/>
        <item x="2924"/>
        <item x="4668"/>
        <item x="2187"/>
        <item x="4415"/>
        <item x="594"/>
        <item x="677"/>
        <item x="490"/>
        <item x="1289"/>
        <item x="561"/>
        <item x="1519"/>
        <item x="96"/>
        <item x="571"/>
        <item x="1540"/>
        <item x="3438"/>
        <item x="2812"/>
        <item x="135"/>
        <item x="2255"/>
        <item x="800"/>
        <item x="4175"/>
        <item x="3355"/>
        <item x="1165"/>
        <item x="2858"/>
        <item x="645"/>
        <item x="1911"/>
        <item x="1055"/>
        <item x="1650"/>
        <item x="2919"/>
        <item x="326"/>
        <item x="506"/>
        <item x="2236"/>
        <item x="4630"/>
        <item x="1661"/>
        <item x="3947"/>
        <item x="2235"/>
        <item x="3208"/>
        <item x="2257"/>
        <item x="2885"/>
        <item x="2035"/>
        <item x="1169"/>
        <item x="2391"/>
        <item x="4519"/>
        <item x="1628"/>
        <item x="879"/>
        <item x="4042"/>
        <item x="3872"/>
        <item x="4527"/>
        <item x="4404"/>
        <item x="4850"/>
        <item x="954"/>
        <item x="2616"/>
        <item x="4118"/>
        <item x="1568"/>
        <item x="2574"/>
        <item x="508"/>
        <item x="971"/>
        <item x="3324"/>
        <item x="345"/>
        <item x="2457"/>
        <item x="1913"/>
        <item x="3588"/>
        <item x="1167"/>
        <item x="1419"/>
        <item x="3764"/>
        <item x="284"/>
        <item x="2186"/>
        <item x="2710"/>
        <item x="1425"/>
        <item x="9"/>
        <item x="3477"/>
        <item x="4506"/>
        <item x="3804"/>
        <item x="3007"/>
        <item x="4303"/>
        <item x="320"/>
        <item x="865"/>
        <item x="4063"/>
        <item x="1850"/>
        <item x="1551"/>
        <item x="3733"/>
        <item x="1743"/>
        <item x="2880"/>
        <item x="3316"/>
        <item x="4160"/>
        <item x="4397"/>
        <item x="3008"/>
        <item x="4699"/>
        <item x="3774"/>
        <item x="4039"/>
        <item x="1744"/>
        <item x="1467"/>
        <item x="2510"/>
        <item x="4671"/>
        <item x="4758"/>
        <item x="295"/>
        <item x="15"/>
        <item x="2925"/>
        <item x="1469"/>
        <item x="3408"/>
        <item x="3308"/>
        <item x="783"/>
        <item x="2379"/>
        <item x="1489"/>
        <item x="4645"/>
        <item x="3897"/>
        <item x="315"/>
        <item x="3028"/>
        <item x="503"/>
        <item x="1550"/>
        <item x="3657"/>
        <item x="2661"/>
        <item x="3829"/>
        <item x="4425"/>
        <item x="4808"/>
        <item x="1524"/>
        <item x="1064"/>
        <item x="4543"/>
        <item x="2398"/>
        <item x="2799"/>
        <item x="4077"/>
        <item x="756"/>
        <item x="1303"/>
        <item x="2722"/>
        <item x="4602"/>
        <item x="4013"/>
        <item x="4200"/>
        <item x="1646"/>
        <item x="2458"/>
        <item x="3367"/>
        <item x="4361"/>
        <item x="3406"/>
        <item x="2295"/>
        <item x="1100"/>
        <item x="4405"/>
        <item x="4448"/>
        <item x="3991"/>
        <item x="4384"/>
        <item x="4237"/>
        <item x="930"/>
        <item x="2032"/>
        <item x="2952"/>
        <item x="4750"/>
        <item x="410"/>
        <item x="78"/>
        <item x="3197"/>
        <item x="2060"/>
        <item x="161"/>
        <item x="3409"/>
        <item x="4152"/>
        <item x="587"/>
        <item x="2059"/>
        <item x="2293"/>
        <item x="1109"/>
        <item x="3244"/>
        <item x="2238"/>
        <item x="4518"/>
        <item x="3305"/>
        <item x="4294"/>
        <item x="2207"/>
        <item x="4851"/>
        <item x="3480"/>
        <item x="2786"/>
        <item x="851"/>
        <item x="84"/>
        <item x="3284"/>
        <item x="2352"/>
        <item x="3501"/>
        <item x="1649"/>
        <item x="2365"/>
        <item x="2261"/>
        <item x="2460"/>
        <item x="1707"/>
        <item x="4623"/>
        <item x="3457"/>
        <item x="2184"/>
        <item x="4542"/>
        <item x="4508"/>
        <item x="2204"/>
        <item x="2126"/>
        <item x="1574"/>
        <item x="1725"/>
        <item x="3261"/>
        <item x="2188"/>
        <item x="3682"/>
        <item x="850"/>
        <item x="1187"/>
        <item x="2642"/>
        <item x="647"/>
        <item x="3618"/>
        <item x="3381"/>
        <item x="3638"/>
        <item x="4603"/>
        <item x="1623"/>
        <item x="1417"/>
        <item x="1263"/>
        <item x="4330"/>
        <item x="2508"/>
        <item x="2787"/>
        <item x="3948"/>
        <item x="1883"/>
        <item x="1199"/>
        <item x="4682"/>
        <item x="4053"/>
        <item x="1591"/>
        <item x="221"/>
        <item x="1185"/>
        <item x="406"/>
        <item x="3553"/>
        <item x="1487"/>
        <item x="679"/>
        <item x="1612"/>
        <item x="2699"/>
        <item x="1217"/>
        <item x="2901"/>
        <item x="1170"/>
        <item x="1987"/>
        <item x="3718"/>
        <item x="2827"/>
        <item x="4860"/>
        <item x="4327"/>
        <item x="3245"/>
        <item x="4078"/>
        <item x="1279"/>
        <item x="1991"/>
        <item x="838"/>
        <item x="2274"/>
        <item x="4700"/>
        <item x="4194"/>
        <item x="4553"/>
        <item x="2537"/>
        <item x="2306"/>
        <item x="1914"/>
        <item x="3503"/>
        <item x="2412"/>
        <item x="88"/>
        <item x="2672"/>
        <item x="4787"/>
        <item x="407"/>
        <item x="1399"/>
        <item x="3061"/>
        <item t="default"/>
      </items>
    </pivotField>
    <pivotField dataField="1" numFmtId="3" showAll="0">
      <items count="4962">
        <item x="2905"/>
        <item x="4586"/>
        <item x="259"/>
        <item x="4924"/>
        <item x="4788"/>
        <item x="3470"/>
        <item x="4321"/>
        <item x="4170"/>
        <item x="4313"/>
        <item x="4909"/>
        <item x="2323"/>
        <item x="1235"/>
        <item x="2368"/>
        <item x="3062"/>
        <item x="2787"/>
        <item x="4685"/>
        <item x="2977"/>
        <item x="1454"/>
        <item x="67"/>
        <item x="4387"/>
        <item x="1836"/>
        <item x="4670"/>
        <item x="4550"/>
        <item x="3745"/>
        <item x="673"/>
        <item x="1879"/>
        <item x="4077"/>
        <item x="3557"/>
        <item x="2591"/>
        <item x="2671"/>
        <item x="1786"/>
        <item x="3887"/>
        <item x="115"/>
        <item x="3625"/>
        <item x="276"/>
        <item x="1900"/>
        <item x="1338"/>
        <item x="279"/>
        <item x="4627"/>
        <item x="4559"/>
        <item x="2208"/>
        <item x="4139"/>
        <item x="168"/>
        <item x="2258"/>
        <item x="2315"/>
        <item x="3551"/>
        <item x="2572"/>
        <item x="1519"/>
        <item x="310"/>
        <item x="2663"/>
        <item x="4598"/>
        <item x="162"/>
        <item x="386"/>
        <item x="3331"/>
        <item x="3259"/>
        <item x="3495"/>
        <item x="4368"/>
        <item x="4533"/>
        <item x="1133"/>
        <item x="2131"/>
        <item x="1871"/>
        <item x="3767"/>
        <item x="1765"/>
        <item x="3639"/>
        <item x="3658"/>
        <item x="2909"/>
        <item x="819"/>
        <item x="1681"/>
        <item x="4796"/>
        <item x="4646"/>
        <item x="1682"/>
        <item x="2224"/>
        <item x="2791"/>
        <item x="452"/>
        <item x="4358"/>
        <item x="4567"/>
        <item x="3992"/>
        <item x="24"/>
        <item x="3659"/>
        <item x="1710"/>
        <item x="4686"/>
        <item x="2793"/>
        <item x="1510"/>
        <item x="3585"/>
        <item x="3031"/>
        <item x="4484"/>
        <item x="4845"/>
        <item x="4322"/>
        <item x="2443"/>
        <item x="4488"/>
        <item x="1462"/>
        <item x="3653"/>
        <item x="3741"/>
        <item x="4731"/>
        <item x="352"/>
        <item x="2129"/>
        <item x="883"/>
        <item x="2239"/>
        <item x="470"/>
        <item x="2501"/>
        <item x="1560"/>
        <item x="2153"/>
        <item x="3292"/>
        <item x="3361"/>
        <item x="4359"/>
        <item x="2818"/>
        <item x="4459"/>
        <item x="2653"/>
        <item x="4330"/>
        <item x="3453"/>
        <item x="2154"/>
        <item x="1512"/>
        <item x="1428"/>
        <item x="2862"/>
        <item x="3904"/>
        <item x="3154"/>
        <item x="498"/>
        <item x="857"/>
        <item x="3247"/>
        <item x="768"/>
        <item x="1709"/>
        <item x="4799"/>
        <item x="1911"/>
        <item x="3657"/>
        <item x="2147"/>
        <item x="22"/>
        <item x="1992"/>
        <item x="4054"/>
        <item x="4925"/>
        <item x="2500"/>
        <item x="1135"/>
        <item x="740"/>
        <item x="2763"/>
        <item x="3378"/>
        <item x="3634"/>
        <item x="1327"/>
        <item x="2511"/>
        <item x="2803"/>
        <item x="785"/>
        <item x="2206"/>
        <item x="4540"/>
        <item x="478"/>
        <item x="529"/>
        <item x="2235"/>
        <item x="2284"/>
        <item x="4708"/>
        <item x="1702"/>
        <item x="2953"/>
        <item x="695"/>
        <item x="4838"/>
        <item x="2544"/>
        <item x="566"/>
        <item x="2584"/>
        <item x="2301"/>
        <item x="4866"/>
        <item x="757"/>
        <item x="3630"/>
        <item x="3203"/>
        <item x="3034"/>
        <item x="2425"/>
        <item x="4546"/>
        <item x="471"/>
        <item x="2183"/>
        <item x="2006"/>
        <item x="3367"/>
        <item x="3983"/>
        <item x="293"/>
        <item x="4445"/>
        <item x="675"/>
        <item x="2275"/>
        <item x="4860"/>
        <item x="112"/>
        <item x="3690"/>
        <item x="4165"/>
        <item x="1770"/>
        <item x="974"/>
        <item x="4349"/>
        <item x="3724"/>
        <item x="555"/>
        <item x="1963"/>
        <item x="2590"/>
        <item x="4864"/>
        <item x="4450"/>
        <item x="3090"/>
        <item x="4635"/>
        <item x="474"/>
        <item x="748"/>
        <item x="1117"/>
        <item x="1149"/>
        <item x="3700"/>
        <item x="3575"/>
        <item x="3346"/>
        <item x="4023"/>
        <item x="4525"/>
        <item x="1783"/>
        <item x="1991"/>
        <item x="3892"/>
        <item x="365"/>
        <item x="4654"/>
        <item x="44"/>
        <item x="4751"/>
        <item x="3804"/>
        <item x="4136"/>
        <item x="2728"/>
        <item x="2504"/>
        <item x="1098"/>
        <item x="2031"/>
        <item x="944"/>
        <item x="4888"/>
        <item x="3307"/>
        <item x="2314"/>
        <item x="1344"/>
        <item x="1971"/>
        <item x="438"/>
        <item x="1233"/>
        <item x="2612"/>
        <item x="1508"/>
        <item x="3995"/>
        <item x="439"/>
        <item x="4917"/>
        <item x="1626"/>
        <item x="2669"/>
        <item x="1934"/>
        <item x="4426"/>
        <item x="3352"/>
        <item x="2956"/>
        <item x="1894"/>
        <item x="4727"/>
        <item x="169"/>
        <item x="2836"/>
        <item x="2593"/>
        <item x="2775"/>
        <item x="4015"/>
        <item x="4140"/>
        <item x="2300"/>
        <item x="4064"/>
        <item x="3536"/>
        <item x="4593"/>
        <item x="2456"/>
        <item x="1933"/>
        <item x="607"/>
        <item x="4374"/>
        <item x="1550"/>
        <item x="4264"/>
        <item x="2304"/>
        <item x="4161"/>
        <item x="1876"/>
        <item x="250"/>
        <item x="3758"/>
        <item x="1034"/>
        <item x="3481"/>
        <item x="1413"/>
        <item x="2761"/>
        <item x="3646"/>
        <item x="2256"/>
        <item x="863"/>
        <item x="2565"/>
        <item x="217"/>
        <item x="2130"/>
        <item x="3773"/>
        <item x="1732"/>
        <item x="2232"/>
        <item x="4021"/>
        <item x="1057"/>
        <item x="4908"/>
        <item x="4821"/>
        <item x="4288"/>
        <item x="4645"/>
        <item x="3491"/>
        <item x="3680"/>
        <item x="888"/>
        <item x="709"/>
        <item x="2101"/>
        <item x="2747"/>
        <item x="4156"/>
        <item x="4820"/>
        <item x="2945"/>
        <item x="1328"/>
        <item x="2221"/>
        <item x="1392"/>
        <item x="1877"/>
        <item x="1094"/>
        <item x="3319"/>
        <item x="3715"/>
        <item x="727"/>
        <item x="2272"/>
        <item x="871"/>
        <item x="3351"/>
        <item x="3832"/>
        <item x="3942"/>
        <item x="1378"/>
        <item x="1589"/>
        <item x="3993"/>
        <item x="887"/>
        <item x="1064"/>
        <item x="4716"/>
        <item x="355"/>
        <item x="4273"/>
        <item x="4500"/>
        <item x="2345"/>
        <item x="4835"/>
        <item x="1789"/>
        <item x="4604"/>
        <item x="2399"/>
        <item x="549"/>
        <item x="2050"/>
        <item x="3414"/>
        <item x="2302"/>
        <item x="186"/>
        <item x="3573"/>
        <item x="3456"/>
        <item x="3800"/>
        <item x="4942"/>
        <item x="2528"/>
        <item x="3441"/>
        <item x="4448"/>
        <item x="1418"/>
        <item x="322"/>
        <item x="244"/>
        <item x="210"/>
        <item x="2986"/>
        <item x="353"/>
        <item x="4608"/>
        <item x="3496"/>
        <item x="3770"/>
        <item x="373"/>
        <item x="4549"/>
        <item x="908"/>
        <item x="3723"/>
        <item x="1054"/>
        <item x="644"/>
        <item x="3311"/>
        <item x="3518"/>
        <item x="3255"/>
        <item x="3156"/>
        <item x="4580"/>
        <item x="3114"/>
        <item x="4036"/>
        <item x="2446"/>
        <item x="3688"/>
        <item x="1083"/>
        <item x="391"/>
        <item x="3397"/>
        <item x="2597"/>
        <item x="3170"/>
        <item x="4366"/>
        <item x="605"/>
        <item x="432"/>
        <item x="3409"/>
        <item x="367"/>
        <item x="2170"/>
        <item x="1311"/>
        <item x="196"/>
        <item x="101"/>
        <item x="2867"/>
        <item x="1136"/>
        <item x="454"/>
        <item x="1697"/>
        <item x="3762"/>
        <item x="1345"/>
        <item x="3237"/>
        <item x="649"/>
        <item x="4920"/>
        <item x="4415"/>
        <item x="2358"/>
        <item x="4262"/>
        <item x="4061"/>
        <item x="4303"/>
        <item x="869"/>
        <item x="1683"/>
        <item x="3091"/>
        <item x="2892"/>
        <item x="2487"/>
        <item x="1734"/>
        <item x="691"/>
        <item x="1213"/>
        <item x="4404"/>
        <item x="3949"/>
        <item x="2682"/>
        <item x="3498"/>
        <item x="4274"/>
        <item x="2430"/>
        <item x="3218"/>
        <item x="3323"/>
        <item x="1330"/>
        <item x="2447"/>
        <item x="4286"/>
        <item x="4522"/>
        <item x="3135"/>
        <item x="469"/>
        <item x="458"/>
        <item x="3393"/>
        <item x="3719"/>
        <item x="2890"/>
        <item x="1993"/>
        <item x="4730"/>
        <item x="1921"/>
        <item x="3980"/>
        <item x="1938"/>
        <item x="1147"/>
        <item x="3672"/>
        <item x="4603"/>
        <item x="3499"/>
        <item x="2377"/>
        <item x="3139"/>
        <item x="3022"/>
        <item x="2010"/>
        <item x="1972"/>
        <item x="3740"/>
        <item x="1411"/>
        <item x="910"/>
        <item x="423"/>
        <item x="4179"/>
        <item x="4301"/>
        <item x="4644"/>
        <item x="4871"/>
        <item x="2005"/>
        <item x="988"/>
        <item x="1156"/>
        <item x="4006"/>
        <item x="2348"/>
        <item x="4392"/>
        <item x="368"/>
        <item x="4856"/>
        <item x="1484"/>
        <item x="3210"/>
        <item x="1365"/>
        <item x="2171"/>
        <item x="816"/>
        <item x="1242"/>
        <item x="4952"/>
        <item x="1154"/>
        <item x="3016"/>
        <item x="3837"/>
        <item x="4081"/>
        <item x="2616"/>
        <item x="1578"/>
        <item x="369"/>
        <item x="4929"/>
        <item x="421"/>
        <item x="2485"/>
        <item x="2234"/>
        <item x="149"/>
        <item x="2369"/>
        <item x="4032"/>
        <item x="4261"/>
        <item x="4516"/>
        <item x="1093"/>
        <item x="1258"/>
        <item x="1753"/>
        <item x="3501"/>
        <item x="4400"/>
        <item x="1844"/>
        <item x="1119"/>
        <item x="1409"/>
        <item x="3506"/>
        <item x="3457"/>
        <item x="2268"/>
        <item x="4146"/>
        <item x="2822"/>
        <item x="519"/>
        <item x="3674"/>
        <item x="4672"/>
        <item x="841"/>
        <item x="2305"/>
        <item x="3191"/>
        <item x="4217"/>
        <item x="3360"/>
        <item x="4072"/>
        <item x="3649"/>
        <item x="1096"/>
        <item x="4332"/>
        <item x="3485"/>
        <item x="1737"/>
        <item x="2018"/>
        <item x="4010"/>
        <item x="1598"/>
        <item x="3664"/>
        <item x="278"/>
        <item x="1636"/>
        <item x="2539"/>
        <item x="712"/>
        <item x="2741"/>
        <item x="4246"/>
        <item x="2918"/>
        <item x="3872"/>
        <item x="2575"/>
        <item x="3908"/>
        <item x="1802"/>
        <item x="1717"/>
        <item x="1824"/>
        <item x="4167"/>
        <item x="1305"/>
        <item x="1256"/>
        <item x="845"/>
        <item x="1407"/>
        <item x="3956"/>
        <item x="3798"/>
        <item x="3755"/>
        <item x="2459"/>
        <item x="4221"/>
        <item x="3593"/>
        <item x="3716"/>
        <item x="407"/>
        <item x="4879"/>
        <item x="3487"/>
        <item x="3845"/>
        <item x="1346"/>
        <item x="4223"/>
        <item x="1740"/>
        <item x="3151"/>
        <item x="2703"/>
        <item x="4899"/>
        <item x="2091"/>
        <item x="4471"/>
        <item x="2713"/>
        <item x="2907"/>
        <item x="4263"/>
        <item x="92"/>
        <item x="4068"/>
        <item x="2889"/>
        <item x="1677"/>
        <item x="3291"/>
        <item x="948"/>
        <item x="4914"/>
        <item x="1509"/>
        <item x="2759"/>
        <item x="3679"/>
        <item x="2654"/>
        <item x="4114"/>
        <item x="3179"/>
        <item x="1701"/>
        <item x="523"/>
        <item x="749"/>
        <item x="4681"/>
        <item x="823"/>
        <item x="1177"/>
        <item x="1497"/>
        <item x="324"/>
        <item x="120"/>
        <item x="747"/>
        <item x="1186"/>
        <item x="2267"/>
        <item x="886"/>
        <item x="3742"/>
        <item x="430"/>
        <item x="4614"/>
        <item x="3765"/>
        <item x="1597"/>
        <item x="2120"/>
        <item x="3874"/>
        <item x="143"/>
        <item x="4618"/>
        <item x="1195"/>
        <item x="1451"/>
        <item x="2840"/>
        <item x="4514"/>
        <item x="3193"/>
        <item x="4570"/>
        <item x="2530"/>
        <item x="3626"/>
        <item x="1896"/>
        <item x="1188"/>
        <item x="3171"/>
        <item x="2855"/>
        <item x="3214"/>
        <item x="782"/>
        <item x="1276"/>
        <item x="3343"/>
        <item x="968"/>
        <item x="2452"/>
        <item x="4853"/>
        <item x="972"/>
        <item x="2637"/>
        <item x="627"/>
        <item x="2303"/>
        <item x="1882"/>
        <item x="3814"/>
        <item x="1523"/>
        <item x="3433"/>
        <item x="499"/>
        <item x="3747"/>
        <item x="1166"/>
        <item x="4703"/>
        <item x="891"/>
        <item x="3465"/>
        <item x="4351"/>
        <item x="2128"/>
        <item x="4661"/>
        <item x="2525"/>
        <item x="2833"/>
        <item x="2437"/>
        <item x="1310"/>
        <item x="2632"/>
        <item x="3026"/>
        <item x="4636"/>
        <item x="615"/>
        <item x="3660"/>
        <item x="1129"/>
        <item x="1838"/>
        <item x="2406"/>
        <item x="987"/>
        <item x="2002"/>
        <item x="4746"/>
        <item x="2697"/>
        <item x="2202"/>
        <item x="3594"/>
        <item x="4460"/>
        <item x="2236"/>
        <item x="2712"/>
        <item x="3676"/>
        <item x="2556"/>
        <item x="4004"/>
        <item x="77"/>
        <item x="3124"/>
        <item x="2588"/>
        <item x="2706"/>
        <item x="2648"/>
        <item x="1437"/>
        <item x="229"/>
        <item x="4585"/>
        <item x="1246"/>
        <item x="4341"/>
        <item x="4937"/>
        <item x="2286"/>
        <item x="2244"/>
        <item x="4673"/>
        <item x="2521"/>
        <item x="182"/>
        <item x="1128"/>
        <item x="553"/>
        <item x="2645"/>
        <item x="3881"/>
        <item x="3782"/>
        <item x="1290"/>
        <item x="803"/>
        <item x="4098"/>
        <item x="1396"/>
        <item x="351"/>
        <item x="1961"/>
        <item x="3202"/>
        <item x="231"/>
        <item x="4231"/>
        <item x="45"/>
        <item x="2860"/>
        <item x="2685"/>
        <item x="1460"/>
        <item x="3417"/>
        <item x="2121"/>
        <item x="3787"/>
        <item x="4831"/>
        <item x="3118"/>
        <item x="698"/>
        <item x="2901"/>
        <item x="629"/>
        <item x="3163"/>
        <item x="2159"/>
        <item x="973"/>
        <item x="4455"/>
        <item x="1252"/>
        <item x="561"/>
        <item x="2262"/>
        <item x="2832"/>
        <item x="1918"/>
        <item x="3275"/>
        <item x="3007"/>
        <item x="2439"/>
        <item x="89"/>
        <item x="1852"/>
        <item x="4889"/>
        <item x="3231"/>
        <item x="3321"/>
        <item x="2100"/>
        <item x="721"/>
        <item x="2739"/>
        <item x="164"/>
        <item x="1185"/>
        <item x="3578"/>
        <item x="3276"/>
        <item x="947"/>
        <item x="4633"/>
        <item x="1698"/>
        <item x="2079"/>
        <item x="4424"/>
        <item x="4464"/>
        <item x="3436"/>
        <item x="2611"/>
        <item x="1635"/>
        <item x="2008"/>
        <item x="1257"/>
        <item x="3383"/>
        <item x="4204"/>
        <item x="2687"/>
        <item x="4397"/>
        <item x="105"/>
        <item x="3570"/>
        <item x="682"/>
        <item x="4922"/>
        <item x="3965"/>
        <item x="4127"/>
        <item x="75"/>
        <item x="1043"/>
        <item x="4919"/>
        <item x="2718"/>
        <item x="3855"/>
        <item x="4795"/>
        <item x="3790"/>
        <item x="424"/>
        <item x="3586"/>
        <item x="4803"/>
        <item x="4806"/>
        <item x="1184"/>
        <item x="1433"/>
        <item x="2127"/>
        <item x="21"/>
        <item x="2445"/>
        <item x="2720"/>
        <item x="3051"/>
        <item x="4406"/>
        <item x="3934"/>
        <item x="4093"/>
        <item x="4935"/>
        <item x="762"/>
        <item x="2053"/>
        <item x="4169"/>
        <item x="889"/>
        <item x="4195"/>
        <item x="2705"/>
        <item x="1668"/>
        <item x="2627"/>
        <item x="1436"/>
        <item x="3673"/>
        <item x="4676"/>
        <item x="2422"/>
        <item x="2607"/>
        <item x="1478"/>
        <item x="4749"/>
        <item x="4577"/>
        <item x="3315"/>
        <item x="1015"/>
        <item x="4769"/>
        <item x="3144"/>
        <item x="332"/>
        <item x="2554"/>
        <item x="2957"/>
        <item x="3555"/>
        <item x="3379"/>
        <item x="1558"/>
        <item x="2496"/>
        <item x="1314"/>
        <item x="349"/>
        <item x="4103"/>
        <item x="4194"/>
        <item x="2538"/>
        <item x="4377"/>
        <item x="56"/>
        <item x="3401"/>
        <item x="4096"/>
        <item x="634"/>
        <item x="4056"/>
        <item x="3972"/>
        <item x="4545"/>
        <item x="4017"/>
        <item x="1260"/>
        <item x="437"/>
        <item x="1873"/>
        <item x="3213"/>
        <item x="4022"/>
        <item x="1676"/>
        <item x="1680"/>
        <item x="90"/>
        <item x="4678"/>
        <item x="2373"/>
        <item x="4483"/>
        <item x="1254"/>
        <item x="2478"/>
        <item x="3052"/>
        <item x="144"/>
        <item x="1003"/>
        <item x="215"/>
        <item x="4239"/>
        <item x="2295"/>
        <item x="2930"/>
        <item x="1821"/>
        <item x="4117"/>
        <item x="170"/>
        <item x="2069"/>
        <item x="3440"/>
        <item x="305"/>
        <item x="3703"/>
        <item x="3636"/>
        <item x="158"/>
        <item x="3824"/>
        <item x="4312"/>
        <item x="4034"/>
        <item x="157"/>
        <item x="2730"/>
        <item x="1065"/>
        <item x="4808"/>
        <item x="3543"/>
        <item x="4617"/>
        <item x="1275"/>
        <item x="942"/>
        <item x="2331"/>
        <item x="858"/>
        <item x="3889"/>
        <item x="1067"/>
        <item x="4655"/>
        <item x="557"/>
        <item x="10"/>
        <item x="385"/>
        <item x="4265"/>
        <item x="3317"/>
        <item x="1960"/>
        <item x="2972"/>
        <item x="546"/>
        <item x="4938"/>
        <item x="2931"/>
        <item x="1700"/>
        <item x="1333"/>
        <item x="1784"/>
        <item x="1353"/>
        <item x="2755"/>
        <item x="4684"/>
        <item x="2025"/>
        <item x="113"/>
        <item x="3318"/>
        <item x="4396"/>
        <item x="4867"/>
        <item x="3189"/>
        <item x="3789"/>
        <item x="4449"/>
        <item x="4465"/>
        <item x="2035"/>
        <item x="729"/>
        <item x="704"/>
        <item x="1231"/>
        <item x="3472"/>
        <item x="2805"/>
        <item x="2364"/>
        <item x="2322"/>
        <item x="4439"/>
        <item x="3954"/>
        <item x="4959"/>
        <item x="3898"/>
        <item x="827"/>
        <item x="2884"/>
        <item x="3717"/>
        <item x="4432"/>
        <item x="2158"/>
        <item x="3434"/>
        <item x="957"/>
        <item x="4458"/>
        <item x="1323"/>
        <item x="4003"/>
        <item x="928"/>
        <item x="4369"/>
        <item x="1445"/>
        <item x="3061"/>
        <item x="3641"/>
        <item x="1232"/>
        <item x="4416"/>
        <item x="4320"/>
        <item x="706"/>
        <item x="1570"/>
        <item x="2195"/>
        <item x="3215"/>
        <item x="86"/>
        <item x="2589"/>
        <item x="4381"/>
        <item x="569"/>
        <item x="618"/>
        <item x="2581"/>
        <item x="2370"/>
        <item x="3959"/>
        <item x="3867"/>
        <item x="683"/>
        <item x="2595"/>
        <item x="3734"/>
        <item x="1631"/>
        <item x="778"/>
        <item x="1108"/>
        <item x="2477"/>
        <item x="3610"/>
        <item x="4441"/>
        <item x="436"/>
        <item x="4721"/>
        <item x="3603"/>
        <item x="2919"/>
        <item x="406"/>
        <item x="4258"/>
        <item x="3057"/>
        <item x="3937"/>
        <item x="4625"/>
        <item x="769"/>
        <item x="2168"/>
        <item x="2205"/>
        <item x="1986"/>
        <item x="4828"/>
        <item x="2063"/>
        <item x="4936"/>
        <item x="2927"/>
        <item x="1284"/>
        <item x="1289"/>
        <item x="3083"/>
        <item x="4115"/>
        <item x="659"/>
        <item x="1501"/>
        <item x="580"/>
        <item x="1798"/>
        <item x="2587"/>
        <item x="2088"/>
        <item x="3785"/>
        <item x="2176"/>
        <item x="810"/>
        <item x="1348"/>
        <item x="2360"/>
        <item x="1101"/>
        <item x="2344"/>
        <item x="2382"/>
        <item x="4104"/>
        <item x="3544"/>
        <item x="2902"/>
        <item x="4521"/>
        <item x="692"/>
        <item x="3997"/>
        <item x="4759"/>
        <item x="4278"/>
        <item x="3368"/>
        <item x="3846"/>
        <item x="3701"/>
        <item x="2061"/>
        <item x="3332"/>
        <item x="2801"/>
        <item x="4248"/>
        <item x="3859"/>
        <item x="1860"/>
        <item x="2622"/>
        <item x="999"/>
        <item x="1517"/>
        <item x="4218"/>
        <item x="4318"/>
        <item x="2963"/>
        <item x="180"/>
        <item x="3613"/>
        <item x="1965"/>
        <item x="4933"/>
        <item x="2468"/>
        <item x="1050"/>
        <item x="2408"/>
        <item x="4158"/>
        <item x="3271"/>
        <item x="2248"/>
        <item x="2165"/>
        <item x="1715"/>
        <item x="4478"/>
        <item x="3529"/>
        <item x="4923"/>
        <item x="2992"/>
        <item x="751"/>
        <item x="2404"/>
        <item x="966"/>
        <item x="3309"/>
        <item x="4695"/>
        <item x="4250"/>
        <item x="703"/>
        <item x="3866"/>
        <item x="3468"/>
        <item x="3475"/>
        <item x="4568"/>
        <item x="2849"/>
        <item x="3364"/>
        <item x="4832"/>
        <item x="4781"/>
        <item x="4496"/>
        <item x="1375"/>
        <item x="1720"/>
        <item x="670"/>
        <item x="3479"/>
        <item x="545"/>
        <item x="4621"/>
        <item x="4383"/>
        <item x="3829"/>
        <item x="3917"/>
        <item x="277"/>
        <item x="2655"/>
        <item x="3962"/>
        <item x="3463"/>
        <item x="1474"/>
        <item x="4687"/>
        <item x="3489"/>
        <item x="2070"/>
        <item x="4669"/>
        <item x="4735"/>
        <item x="1531"/>
        <item x="2228"/>
        <item x="4297"/>
        <item x="3933"/>
        <item x="1946"/>
        <item x="1857"/>
        <item x="959"/>
        <item x="1366"/>
        <item x="1216"/>
        <item x="3815"/>
        <item x="3522"/>
        <item x="2708"/>
        <item x="946"/>
        <item x="2979"/>
        <item x="1148"/>
        <item x="2334"/>
        <item x="614"/>
        <item x="2505"/>
        <item x="4722"/>
        <item x="1729"/>
        <item x="525"/>
        <item x="842"/>
        <item x="2628"/>
        <item x="4858"/>
        <item x="3946"/>
        <item x="4353"/>
        <item x="4092"/>
        <item x="2436"/>
        <item x="1947"/>
        <item x="1207"/>
        <item x="497"/>
        <item x="4870"/>
        <item x="3416"/>
        <item x="4745"/>
        <item x="46"/>
        <item x="982"/>
        <item x="508"/>
        <item x="1889"/>
        <item x="2355"/>
        <item x="4062"/>
        <item x="2940"/>
        <item x="4260"/>
        <item x="4807"/>
        <item x="1059"/>
        <item x="2012"/>
        <item x="4039"/>
        <item x="1806"/>
        <item x="2140"/>
        <item x="933"/>
        <item x="4024"/>
        <item x="154"/>
        <item x="1004"/>
        <item x="4553"/>
        <item x="619"/>
        <item x="2066"/>
        <item x="275"/>
        <item x="3164"/>
        <item x="2095"/>
        <item x="1621"/>
        <item x="1261"/>
        <item x="380"/>
        <item x="3979"/>
        <item x="4941"/>
        <item x="4456"/>
        <item x="2503"/>
        <item x="2724"/>
        <item x="3950"/>
        <item x="2853"/>
        <item x="1471"/>
        <item x="4513"/>
        <item x="2983"/>
        <item x="1180"/>
        <item x="2660"/>
        <item x="690"/>
        <item x="2306"/>
        <item x="3991"/>
        <item x="3913"/>
        <item x="3314"/>
        <item x="656"/>
        <item x="147"/>
        <item x="2837"/>
        <item x="1913"/>
        <item x="1090"/>
        <item x="3428"/>
        <item x="1272"/>
        <item x="2550"/>
        <item x="3011"/>
        <item x="821"/>
        <item x="4210"/>
        <item x="4848"/>
        <item x="3388"/>
        <item x="2988"/>
        <item x="2758"/>
        <item x="2569"/>
        <item x="1801"/>
        <item x="4417"/>
        <item x="19"/>
        <item x="4399"/>
        <item x="2704"/>
        <item x="3890"/>
        <item x="541"/>
        <item x="2624"/>
        <item x="2906"/>
        <item x="552"/>
        <item x="1223"/>
        <item x="812"/>
        <item x="3884"/>
        <item x="3119"/>
        <item x="1678"/>
        <item x="4365"/>
        <item x="4306"/>
        <item x="1924"/>
        <item x="2665"/>
        <item x="4518"/>
        <item x="3087"/>
        <item x="3473"/>
        <item x="2426"/>
        <item x="3349"/>
        <item x="4830"/>
        <item x="1425"/>
        <item x="1816"/>
        <item x="839"/>
        <item x="440"/>
        <item x="4243"/>
        <item x="2885"/>
        <item x="1515"/>
        <item x="36"/>
        <item x="245"/>
        <item x="1286"/>
        <item x="2078"/>
        <item x="865"/>
        <item x="1628"/>
        <item x="4779"/>
        <item x="4275"/>
        <item x="1614"/>
        <item x="2062"/>
        <item x="1359"/>
        <item x="4442"/>
        <item x="3955"/>
        <item x="70"/>
        <item x="4257"/>
        <item x="3835"/>
        <item x="1520"/>
        <item x="4340"/>
        <item x="4852"/>
        <item x="2636"/>
        <item x="2826"/>
        <item x="4742"/>
        <item x="2329"/>
        <item x="3150"/>
        <item x="4300"/>
        <item x="1036"/>
        <item x="1785"/>
        <item x="4840"/>
        <item x="4259"/>
        <item x="4198"/>
        <item x="371"/>
        <item x="3345"/>
        <item x="4226"/>
        <item x="881"/>
        <item x="4794"/>
        <item x="1814"/>
        <item x="2109"/>
        <item x="3017"/>
        <item x="1661"/>
        <item x="3092"/>
        <item x="914"/>
        <item x="2083"/>
        <item x="4903"/>
        <item x="4723"/>
        <item x="108"/>
        <item x="2074"/>
        <item x="3365"/>
        <item x="3160"/>
        <item x="3783"/>
        <item x="230"/>
        <item x="1541"/>
        <item x="1649"/>
        <item x="1379"/>
        <item x="504"/>
        <item x="3138"/>
        <item x="3176"/>
        <item x="2921"/>
        <item x="2882"/>
        <item x="1410"/>
        <item x="522"/>
        <item x="979"/>
        <item x="4331"/>
        <item x="360"/>
        <item x="1958"/>
        <item x="2817"/>
        <item x="3112"/>
        <item x="1522"/>
        <item x="720"/>
        <item x="4234"/>
        <item x="4163"/>
        <item x="2349"/>
        <item x="326"/>
        <item x="188"/>
        <item x="1326"/>
        <item x="4599"/>
        <item x="661"/>
        <item x="3912"/>
        <item x="1997"/>
        <item x="905"/>
        <item x="4529"/>
        <item x="2454"/>
        <item x="1576"/>
        <item x="2563"/>
        <item x="1139"/>
        <item x="4921"/>
        <item x="2266"/>
        <item x="4932"/>
        <item x="3821"/>
        <item x="457"/>
        <item x="1549"/>
        <item x="3711"/>
        <item x="4191"/>
        <item x="2579"/>
        <item x="4657"/>
        <item x="1833"/>
        <item x="2138"/>
        <item x="57"/>
        <item x="3464"/>
        <item x="1415"/>
        <item x="3919"/>
        <item x="578"/>
        <item x="1017"/>
        <item x="4861"/>
        <item x="1883"/>
        <item x="5"/>
        <item x="4542"/>
        <item x="3722"/>
        <item x="3196"/>
        <item x="4651"/>
        <item x="1530"/>
        <item x="60"/>
        <item x="1492"/>
        <item x="1796"/>
        <item x="2420"/>
        <item x="2551"/>
        <item x="4886"/>
        <item x="3612"/>
        <item x="1049"/>
        <item x="3768"/>
        <item x="4760"/>
        <item x="2865"/>
        <item x="2112"/>
        <item x="2858"/>
        <item x="2766"/>
        <item x="370"/>
        <item x="4752"/>
        <item x="4663"/>
        <item x="2656"/>
        <item x="4710"/>
        <item x="1932"/>
        <item x="1983"/>
        <item x="3000"/>
        <item x="2598"/>
        <item x="929"/>
        <item x="1540"/>
        <item x="1014"/>
        <item x="2807"/>
        <item x="235"/>
        <item x="2473"/>
        <item x="2259"/>
        <item x="3175"/>
        <item x="410"/>
        <item x="4076"/>
        <item x="3444"/>
        <item x="4101"/>
        <item x="2966"/>
        <item x="2081"/>
        <item x="3471"/>
        <item x="1426"/>
        <item x="3609"/>
        <item x="2630"/>
        <item x="2726"/>
        <item x="4100"/>
        <item x="4147"/>
        <item x="85"/>
        <item x="1974"/>
        <item x="771"/>
        <item x="3714"/>
        <item x="1793"/>
        <item x="1828"/>
        <item x="240"/>
        <item x="2090"/>
        <item x="3861"/>
        <item x="3900"/>
        <item x="2"/>
        <item x="3728"/>
        <item x="3848"/>
        <item x="1820"/>
        <item x="348"/>
        <item x="4801"/>
        <item x="2254"/>
        <item x="3077"/>
        <item x="935"/>
        <item x="3103"/>
        <item x="2495"/>
        <item x="3718"/>
        <item x="2635"/>
        <item x="3071"/>
        <item x="2094"/>
        <item x="1583"/>
        <item x="3387"/>
        <item x="2321"/>
        <item x="3059"/>
        <item x="2717"/>
        <item x="2785"/>
        <item x="3168"/>
        <item x="4069"/>
        <item x="3595"/>
        <item x="464"/>
        <item x="3427"/>
        <item x="986"/>
        <item x="4134"/>
        <item x="4089"/>
        <item x="2553"/>
        <item x="1104"/>
        <item x="588"/>
        <item x="2257"/>
        <item x="2642"/>
        <item x="530"/>
        <item x="3675"/>
        <item x="220"/>
        <item x="2285"/>
        <item x="970"/>
        <item x="664"/>
        <item x="3454"/>
        <item x="2948"/>
        <item x="1875"/>
        <item x="1220"/>
        <item x="1458"/>
        <item x="3067"/>
        <item x="4423"/>
        <item x="657"/>
        <item x="1679"/>
        <item x="3806"/>
        <item x="4629"/>
        <item x="2647"/>
        <item x="2240"/>
        <item x="1297"/>
        <item x="3395"/>
        <item x="3313"/>
        <item x="2943"/>
        <item x="4927"/>
        <item x="818"/>
        <item x="3875"/>
        <item x="3870"/>
        <item x="4555"/>
        <item x="4713"/>
        <item x="4106"/>
        <item x="963"/>
        <item x="1030"/>
        <item x="1389"/>
        <item x="3384"/>
        <item x="3827"/>
        <item x="3229"/>
        <item x="1858"/>
        <item x="43"/>
        <item x="4565"/>
        <item x="550"/>
        <item x="1504"/>
        <item x="1657"/>
        <item x="4950"/>
        <item x="1654"/>
        <item x="741"/>
        <item x="3065"/>
        <item x="2282"/>
        <item x="4787"/>
        <item x="4777"/>
        <item x="848"/>
        <item x="2967"/>
        <item x="3372"/>
        <item x="4576"/>
        <item x="3562"/>
        <item x="2444"/>
        <item x="4326"/>
        <item x="2033"/>
        <item x="2040"/>
        <item x="1167"/>
        <item x="596"/>
        <item x="895"/>
        <item x="1699"/>
        <item x="687"/>
        <item x="4095"/>
        <item x="4774"/>
        <item x="1479"/>
        <item x="3560"/>
        <item x="636"/>
        <item x="1016"/>
        <item x="1566"/>
        <item x="3788"/>
        <item x="237"/>
        <item x="2573"/>
        <item x="2419"/>
        <item x="2729"/>
        <item x="3751"/>
        <item x="4816"/>
        <item x="838"/>
        <item x="84"/>
        <item x="1516"/>
        <item x="2896"/>
        <item x="2116"/>
        <item x="2866"/>
        <item x="693"/>
        <item x="3073"/>
        <item x="1673"/>
        <item x="3375"/>
        <item x="4702"/>
        <item x="4043"/>
        <item x="2058"/>
        <item x="2139"/>
        <item x="1839"/>
        <item x="1544"/>
        <item x="3505"/>
        <item x="1270"/>
        <item x="3033"/>
        <item x="395"/>
        <item x="1131"/>
        <item x="3450"/>
        <item x="984"/>
        <item x="3305"/>
        <item x="4031"/>
        <item x="4421"/>
        <item x="829"/>
        <item x="1711"/>
        <item x="3772"/>
        <item x="137"/>
        <item x="2448"/>
        <item x="3400"/>
        <item x="3608"/>
        <item x="4660"/>
        <item x="1060"/>
        <item x="160"/>
        <item x="3776"/>
        <item x="4357"/>
        <item x="3975"/>
        <item x="4203"/>
        <item x="3098"/>
        <item x="2346"/>
        <item x="338"/>
        <item x="28"/>
        <item x="3981"/>
        <item x="2878"/>
        <item x="2783"/>
        <item x="4295"/>
        <item x="4675"/>
        <item x="1633"/>
        <item x="2904"/>
        <item x="4726"/>
        <item x="4829"/>
        <item x="3148"/>
        <item x="4744"/>
        <item x="1642"/>
        <item x="4029"/>
        <item x="40"/>
        <item x="3903"/>
        <item x="694"/>
        <item x="1009"/>
        <item x="3082"/>
        <item x="1209"/>
        <item x="3391"/>
        <item x="267"/>
        <item x="4814"/>
        <item x="2960"/>
        <item x="4754"/>
        <item x="4045"/>
        <item x="1977"/>
        <item x="998"/>
        <item x="2482"/>
        <item x="3219"/>
        <item x="116"/>
        <item x="1684"/>
        <item x="1078"/>
        <item x="1867"/>
        <item x="2201"/>
        <item x="612"/>
        <item x="3245"/>
        <item x="4872"/>
        <item x="3093"/>
        <item x="2578"/>
        <item x="468"/>
        <item x="2786"/>
        <item x="427"/>
        <item x="1005"/>
        <item x="3228"/>
        <item x="3891"/>
        <item x="2667"/>
        <item x="1927"/>
        <item x="4851"/>
        <item x="717"/>
        <item x="2156"/>
        <item x="647"/>
        <item x="3206"/>
        <item x="3526"/>
        <item x="3922"/>
        <item x="4162"/>
        <item x="3840"/>
        <item x="679"/>
        <item x="4123"/>
        <item x="4294"/>
        <item x="2071"/>
        <item x="1001"/>
        <item x="4211"/>
        <item x="11"/>
        <item x="4429"/>
        <item x="3696"/>
        <item x="2216"/>
        <item x="2009"/>
        <item x="119"/>
        <item x="1859"/>
        <item x="1647"/>
        <item x="3757"/>
        <item x="2692"/>
        <item x="1324"/>
        <item x="2617"/>
        <item x="1340"/>
        <item x="3338"/>
        <item x="1592"/>
        <item x="4009"/>
        <item x="3261"/>
        <item x="2567"/>
        <item x="3225"/>
        <item x="4763"/>
        <item x="4765"/>
        <item x="2923"/>
        <item x="744"/>
        <item x="1021"/>
        <item x="94"/>
        <item x="830"/>
        <item x="2596"/>
        <item x="1024"/>
        <item x="2773"/>
        <item x="2498"/>
        <item x="1922"/>
        <item x="4715"/>
        <item x="93"/>
        <item x="4547"/>
        <item x="1249"/>
        <item x="3377"/>
        <item x="3100"/>
        <item x="2639"/>
        <item x="2968"/>
        <item x="528"/>
        <item x="4370"/>
        <item x="96"/>
        <item x="4398"/>
        <item x="505"/>
        <item x="354"/>
        <item x="153"/>
        <item x="3074"/>
        <item x="121"/>
        <item x="594"/>
        <item x="2795"/>
        <item x="2869"/>
        <item x="4691"/>
        <item x="2332"/>
        <item x="2336"/>
        <item x="2395"/>
        <item x="3412"/>
        <item x="2609"/>
        <item x="581"/>
        <item x="2246"/>
        <item x="3566"/>
        <item x="3337"/>
        <item x="743"/>
        <item x="3252"/>
        <item x="3113"/>
        <item x="2509"/>
        <item x="1447"/>
        <item x="2117"/>
        <item x="4364"/>
        <item x="53"/>
        <item x="4780"/>
        <item x="941"/>
        <item x="1268"/>
        <item x="3036"/>
        <item x="1325"/>
        <item x="2310"/>
        <item x="1218"/>
        <item x="3109"/>
        <item x="252"/>
        <item x="3330"/>
        <item x="3572"/>
        <item x="2125"/>
        <item x="622"/>
        <item x="4953"/>
        <item x="4881"/>
        <item x="672"/>
        <item x="955"/>
        <item x="3559"/>
        <item x="2274"/>
        <item x="2212"/>
        <item x="2861"/>
        <item x="1007"/>
        <item x="1498"/>
        <item x="79"/>
        <item x="516"/>
        <item x="3822"/>
        <item x="1552"/>
        <item x="1088"/>
        <item x="4059"/>
        <item x="66"/>
        <item x="476"/>
        <item x="3117"/>
        <item x="3864"/>
        <item x="788"/>
        <item x="3080"/>
        <item x="1144"/>
        <item x="3230"/>
        <item x="1439"/>
        <item x="3132"/>
        <item x="2172"/>
        <item x="3693"/>
        <item x="558"/>
        <item x="3042"/>
        <item x="2641"/>
        <item x="2543"/>
        <item x="1228"/>
        <item x="1648"/>
        <item x="556"/>
        <item x="4271"/>
        <item x="971"/>
        <item x="4519"/>
        <item x="3127"/>
        <item x="4150"/>
        <item x="1594"/>
        <item x="676"/>
        <item x="4245"/>
        <item x="3990"/>
        <item x="65"/>
        <item x="4943"/>
        <item x="3984"/>
        <item x="3480"/>
        <item x="1134"/>
        <item x="3886"/>
        <item x="1441"/>
        <item x="4028"/>
        <item x="300"/>
        <item x="2903"/>
        <item x="2371"/>
        <item x="4623"/>
        <item x="940"/>
        <item x="1588"/>
        <item x="2037"/>
        <item x="991"/>
        <item x="1178"/>
        <item x="1079"/>
        <item x="3977"/>
        <item x="3961"/>
        <item x="1964"/>
        <item x="4461"/>
        <item x="4187"/>
        <item x="576"/>
        <item x="255"/>
        <item x="263"/>
        <item x="213"/>
        <item x="4671"/>
        <item x="492"/>
        <item x="1769"/>
        <item x="2586"/>
        <item x="1855"/>
        <item x="4177"/>
        <item x="4048"/>
        <item x="3403"/>
        <item x="4430"/>
        <item x="4050"/>
        <item x="4110"/>
        <item x="417"/>
        <item x="234"/>
        <item x="2424"/>
        <item x="2996"/>
        <item x="243"/>
        <item x="1317"/>
        <item x="2657"/>
        <item x="1008"/>
        <item x="3792"/>
        <item x="2804"/>
        <item x="2003"/>
        <item x="2145"/>
        <item x="302"/>
        <item x="2727"/>
        <item x="1863"/>
        <item x="4775"/>
        <item x="2549"/>
        <item x="3839"/>
        <item x="4898"/>
        <item x="3851"/>
        <item x="1790"/>
        <item x="2662"/>
        <item x="864"/>
        <item x="4199"/>
        <item x="2096"/>
        <item x="2193"/>
        <item x="4362"/>
        <item x="2518"/>
        <item x="1255"/>
        <item x="621"/>
        <item x="2874"/>
        <item x="495"/>
        <item x="3596"/>
        <item x="1582"/>
        <item x="190"/>
        <item x="4277"/>
        <item x="2307"/>
        <item x="1819"/>
        <item x="877"/>
        <item x="2225"/>
        <item x="2789"/>
        <item x="2615"/>
        <item x="2780"/>
        <item x="2552"/>
        <item x="118"/>
        <item x="1694"/>
        <item x="2413"/>
        <item x="3921"/>
        <item x="4324"/>
        <item x="539"/>
        <item x="4551"/>
        <item x="3643"/>
        <item x="2779"/>
        <item x="4120"/>
        <item x="3137"/>
        <item x="1455"/>
        <item x="509"/>
        <item x="3226"/>
        <item x="2664"/>
        <item x="1506"/>
        <item x="3652"/>
        <item x="3665"/>
        <item x="1714"/>
        <item x="122"/>
        <item x="926"/>
        <item x="388"/>
        <item x="1500"/>
        <item x="1861"/>
        <item x="3712"/>
        <item x="1155"/>
        <item x="2613"/>
        <item x="4517"/>
        <item x="1282"/>
        <item x="323"/>
        <item x="34"/>
        <item x="3637"/>
        <item x="3296"/>
        <item x="2476"/>
        <item x="1787"/>
        <item x="2911"/>
        <item x="3769"/>
        <item x="2691"/>
        <item x="3601"/>
        <item x="2777"/>
        <item x="2372"/>
        <item x="3085"/>
        <item x="1667"/>
        <item x="3779"/>
        <item x="2182"/>
        <item x="3177"/>
        <item x="954"/>
        <item x="2571"/>
        <item x="1941"/>
        <item x="3957"/>
        <item x="2474"/>
        <item x="3107"/>
        <item x="4266"/>
        <item x="3691"/>
        <item x="2854"/>
        <item x="3752"/>
        <item x="2105"/>
        <item x="880"/>
        <item x="909"/>
        <item x="919"/>
        <item x="269"/>
        <item x="3221"/>
        <item x="1395"/>
        <item x="2458"/>
        <item x="2684"/>
        <item x="455"/>
        <item x="3764"/>
        <item x="1283"/>
        <item x="2361"/>
        <item x="2629"/>
        <item x="2562"/>
        <item x="1312"/>
        <item x="55"/>
        <item x="1336"/>
        <item x="1841"/>
        <item x="2431"/>
        <item x="3816"/>
        <item x="1942"/>
        <item x="2574"/>
        <item x="173"/>
        <item x="2922"/>
        <item x="4819"/>
        <item x="2938"/>
        <item x="2871"/>
        <item x="2174"/>
        <item x="1089"/>
        <item x="825"/>
        <item x="2838"/>
        <item x="2118"/>
        <item x="3683"/>
        <item x="2696"/>
        <item x="2925"/>
        <item x="1331"/>
        <item x="106"/>
        <item x="1842"/>
        <item x="4190"/>
        <item x="2021"/>
        <item x="2338"/>
        <item x="1928"/>
        <item x="1572"/>
        <item x="3571"/>
        <item x="3181"/>
        <item x="4018"/>
        <item x="3607"/>
        <item x="4877"/>
        <item x="4200"/>
        <item x="1164"/>
        <item x="2465"/>
        <item x="2488"/>
        <item x="481"/>
        <item x="4385"/>
        <item x="3876"/>
        <item x="382"/>
        <item x="1990"/>
        <item x="165"/>
        <item x="1002"/>
        <item x="3421"/>
        <item x="2291"/>
        <item x="4885"/>
        <item x="826"/>
        <item x="2594"/>
        <item x="4683"/>
        <item x="4339"/>
        <item x="33"/>
        <item x="894"/>
        <item x="3533"/>
        <item x="4620"/>
        <item x="1033"/>
        <item x="16"/>
        <item x="710"/>
        <item x="630"/>
        <item x="185"/>
        <item x="733"/>
        <item x="2540"/>
        <item x="2772"/>
        <item x="667"/>
        <item x="3386"/>
        <item x="3050"/>
        <item x="1354"/>
        <item x="4628"/>
        <item x="4824"/>
        <item x="4181"/>
        <item x="1070"/>
        <item x="1190"/>
        <item x="4310"/>
        <item x="2412"/>
        <item x="131"/>
        <item x="3574"/>
        <item x="2270"/>
        <item x="4453"/>
        <item x="3302"/>
        <item x="1846"/>
        <item x="603"/>
        <item x="2767"/>
        <item x="2209"/>
        <item x="1077"/>
        <item x="398"/>
        <item x="2403"/>
        <item x="3799"/>
        <item x="4926"/>
        <item x="1797"/>
        <item x="4196"/>
        <item x="2835"/>
        <item x="4201"/>
        <item x="38"/>
        <item x="1435"/>
        <item x="3408"/>
        <item x="4915"/>
        <item x="4222"/>
        <item x="2625"/>
        <item x="560"/>
        <item x="3129"/>
        <item x="3190"/>
        <item x="2695"/>
        <item x="4957"/>
        <item x="579"/>
        <item x="1347"/>
        <item x="2732"/>
        <item x="897"/>
        <item x="899"/>
        <item x="2672"/>
        <item x="3721"/>
        <item x="780"/>
        <item x="925"/>
        <item x="4337"/>
        <item x="2834"/>
        <item x="3713"/>
        <item x="204"/>
        <item x="3791"/>
        <item x="1013"/>
        <item x="1182"/>
        <item x="4099"/>
        <item x="3431"/>
        <item x="1616"/>
        <item x="1610"/>
        <item x="4197"/>
        <item x="2944"/>
        <item x="2537"/>
        <item x="2954"/>
        <item x="257"/>
        <item x="4761"/>
        <item x="2899"/>
        <item x="923"/>
        <item x="586"/>
        <item x="3254"/>
        <item x="2813"/>
        <item x="554"/>
        <item x="2592"/>
        <item x="2857"/>
        <item x="441"/>
        <item x="1608"/>
        <item x="4764"/>
        <item x="4304"/>
        <item x="1227"/>
        <item x="4168"/>
        <item x="4137"/>
        <item x="2059"/>
        <item x="1103"/>
        <item x="828"/>
        <item x="4616"/>
        <item x="3930"/>
        <item x="2995"/>
        <item x="4583"/>
        <item x="1935"/>
        <item x="547"/>
        <item x="2731"/>
        <item x="3116"/>
        <item x="4793"/>
        <item x="1221"/>
        <item x="969"/>
        <item x="2188"/>
        <item x="4382"/>
        <item x="3552"/>
        <item x="1459"/>
        <item x="2520"/>
        <item x="1074"/>
        <item x="3134"/>
        <item x="1774"/>
        <item x="2736"/>
        <item x="4701"/>
        <item x="1810"/>
        <item x="1241"/>
        <item x="107"/>
        <item x="1102"/>
        <item x="3862"/>
        <item x="2073"/>
        <item x="4425"/>
        <item x="3088"/>
        <item x="2499"/>
        <item x="1143"/>
        <item x="4090"/>
        <item x="2602"/>
        <item x="1612"/>
        <item x="4762"/>
        <item x="3211"/>
        <item x="2737"/>
        <item x="1755"/>
        <item x="2872"/>
        <item x="152"/>
        <item x="2541"/>
        <item x="1728"/>
        <item x="3265"/>
        <item x="4335"/>
        <item x="1142"/>
        <item x="2207"/>
        <item x="1571"/>
        <item x="124"/>
        <item x="1069"/>
        <item x="487"/>
        <item x="814"/>
        <item x="854"/>
        <item x="3347"/>
        <item x="1293"/>
        <item x="4800"/>
        <item x="1973"/>
        <item x="3046"/>
        <item x="1488"/>
        <item x="431"/>
        <item x="4477"/>
        <item x="608"/>
        <item x="1278"/>
        <item x="4573"/>
        <item x="1467"/>
        <item x="2319"/>
        <item x="1081"/>
        <item x="306"/>
        <item x="4343"/>
        <item x="4523"/>
        <item x="201"/>
        <item x="3554"/>
        <item x="1611"/>
        <item x="3101"/>
        <item x="3966"/>
        <item x="288"/>
        <item x="4647"/>
        <item x="2155"/>
        <item x="2085"/>
        <item x="2694"/>
        <item x="655"/>
        <item x="1795"/>
        <item x="2178"/>
        <item x="2255"/>
        <item x="247"/>
        <item x="1035"/>
        <item x="2489"/>
        <item x="4600"/>
        <item x="1385"/>
        <item x="2020"/>
        <item x="4934"/>
        <item x="2680"/>
        <item x="3269"/>
        <item x="544"/>
        <item x="3217"/>
        <item x="409"/>
        <item x="412"/>
        <item x="3455"/>
        <item x="2961"/>
        <item x="4317"/>
        <item x="3901"/>
        <item x="2577"/>
        <item x="3018"/>
        <item x="4572"/>
        <item x="2180"/>
        <item x="977"/>
        <item x="879"/>
        <item x="3931"/>
        <item x="2926"/>
        <item x="287"/>
        <item x="3969"/>
        <item x="1884"/>
        <item x="2542"/>
        <item x="1203"/>
        <item x="4524"/>
        <item x="3807"/>
        <item x="760"/>
        <item x="1891"/>
        <item x="4457"/>
        <item x="4413"/>
        <item x="920"/>
        <item x="1068"/>
        <item x="2812"/>
        <item x="3539"/>
        <item x="719"/>
        <item x="1000"/>
        <item x="739"/>
        <item x="4452"/>
        <item x="3604"/>
        <item x="597"/>
        <item x="1767"/>
        <item x="2962"/>
        <item x="3801"/>
        <item x="3678"/>
        <item x="1865"/>
        <item x="4596"/>
        <item x="3941"/>
        <item x="1559"/>
        <item x="1586"/>
        <item x="2557"/>
        <item x="1281"/>
        <item x="1414"/>
        <item x="3187"/>
        <item x="2842"/>
        <item x="4283"/>
        <item x="3398"/>
        <item x="3306"/>
        <item x="3629"/>
        <item x="1431"/>
        <item x="3731"/>
        <item x="3141"/>
        <item x="482"/>
        <item x="4308"/>
        <item x="2781"/>
        <item x="195"/>
        <item x="593"/>
        <item x="4409"/>
        <item x="962"/>
        <item x="4070"/>
        <item x="4556"/>
        <item x="1926"/>
        <item x="387"/>
        <item x="2184"/>
        <item x="2226"/>
        <item x="366"/>
        <item x="4148"/>
        <item x="1377"/>
        <item x="344"/>
        <item x="2324"/>
        <item x="3251"/>
        <item x="1660"/>
        <item x="1229"/>
        <item x="2351"/>
        <item x="3451"/>
        <item x="1687"/>
        <item x="2271"/>
        <item x="4901"/>
        <item x="4007"/>
        <item x="4905"/>
        <item x="318"/>
        <item x="1158"/>
        <item x="1851"/>
        <item x="1259"/>
        <item x="4012"/>
        <item x="128"/>
        <item x="4293"/>
        <item x="4085"/>
        <item x="3013"/>
        <item x="3012"/>
        <item x="2249"/>
        <item x="4494"/>
        <item x="3424"/>
        <item x="23"/>
        <item x="1726"/>
        <item x="4497"/>
        <item x="4592"/>
        <item x="404"/>
        <item x="3038"/>
        <item x="125"/>
        <item x="611"/>
        <item x="4236"/>
        <item x="2102"/>
        <item x="1982"/>
        <item x="2402"/>
        <item x="4328"/>
        <item x="1145"/>
        <item x="1975"/>
        <item x="1073"/>
        <item x="584"/>
        <item x="4038"/>
        <item x="138"/>
        <item x="2029"/>
        <item x="4578"/>
        <item x="2197"/>
        <item x="3865"/>
        <item x="2821"/>
        <item x="3316"/>
        <item x="813"/>
        <item x="274"/>
        <item x="1956"/>
        <item x="4948"/>
        <item x="3537"/>
        <item x="4241"/>
        <item x="1295"/>
        <item x="4652"/>
        <item x="1675"/>
        <item x="501"/>
        <item x="2160"/>
        <item x="631"/>
        <item x="3667"/>
        <item x="2438"/>
        <item x="378"/>
        <item x="1595"/>
        <item x="4638"/>
        <item x="2947"/>
        <item x="2604"/>
        <item x="3633"/>
        <item x="1557"/>
        <item x="624"/>
        <item x="383"/>
        <item x="4515"/>
        <item x="1829"/>
        <item x="3216"/>
        <item x="2746"/>
        <item x="1888"/>
        <item x="3945"/>
        <item x="1464"/>
        <item x="512"/>
        <item x="836"/>
        <item x="2191"/>
        <item x="3759"/>
        <item x="1370"/>
        <item x="2238"/>
        <item x="3153"/>
        <item x="358"/>
        <item x="1082"/>
        <item x="2643"/>
        <item x="1313"/>
        <item x="3"/>
        <item x="843"/>
        <item x="1600"/>
        <item x="4502"/>
        <item x="3438"/>
        <item x="2689"/>
        <item x="637"/>
        <item x="4427"/>
        <item x="2480"/>
        <item x="350"/>
        <item x="860"/>
        <item x="2823"/>
        <item x="1800"/>
        <item x="4336"/>
        <item x="4078"/>
        <item x="1980"/>
        <item x="1342"/>
        <item x="377"/>
        <item x="1822"/>
        <item x="3238"/>
        <item x="1690"/>
        <item x="3973"/>
        <item x="3910"/>
        <item x="3362"/>
        <item x="537"/>
        <item x="2391"/>
        <item x="2211"/>
        <item x="3497"/>
        <item x="1791"/>
        <item x="3070"/>
        <item x="731"/>
        <item x="1630"/>
        <item x="4849"/>
        <item x="806"/>
        <item x="3209"/>
        <item x="1542"/>
        <item x="2337"/>
        <item x="2600"/>
        <item x="3963"/>
        <item x="1355"/>
        <item x="3452"/>
        <item x="3888"/>
        <item x="486"/>
        <item x="1696"/>
        <item x="3784"/>
        <item x="1948"/>
        <item x="2631"/>
        <item x="2325"/>
        <item x="641"/>
        <item x="1735"/>
        <item x="738"/>
        <item x="42"/>
        <item x="1248"/>
        <item x="907"/>
        <item x="1750"/>
        <item x="3583"/>
        <item x="2955"/>
        <item x="3198"/>
        <item x="3778"/>
        <item x="1381"/>
        <item x="671"/>
        <item x="1271"/>
        <item x="1627"/>
        <item x="488"/>
        <item x="381"/>
        <item x="4230"/>
        <item x="4955"/>
        <item x="4227"/>
        <item x="3819"/>
        <item x="282"/>
        <item x="232"/>
        <item x="284"/>
        <item x="339"/>
        <item x="1200"/>
        <item x="1477"/>
        <item x="418"/>
        <item x="548"/>
        <item x="3655"/>
        <item x="3152"/>
        <item x="681"/>
        <item x="4758"/>
        <item x="199"/>
        <item x="129"/>
        <item x="3818"/>
        <item x="226"/>
        <item x="6"/>
        <item x="3239"/>
        <item x="4797"/>
        <item x="3084"/>
        <item x="1339"/>
        <item x="359"/>
        <item x="3538"/>
        <item x="951"/>
        <item x="1380"/>
        <item x="1159"/>
        <item x="166"/>
        <item x="2042"/>
        <item x="770"/>
        <item x="4041"/>
        <item x="2605"/>
        <item x="1308"/>
        <item x="4505"/>
        <item x="3192"/>
        <item x="794"/>
        <item x="4044"/>
        <item x="4563"/>
        <item x="1843"/>
        <item x="3121"/>
        <item x="4119"/>
        <item x="3542"/>
        <item x="792"/>
        <item x="4813"/>
        <item x="1113"/>
        <item x="859"/>
        <item x="1494"/>
        <item x="3669"/>
        <item x="4562"/>
        <item x="1968"/>
        <item x="2524"/>
        <item x="2982"/>
        <item x="1757"/>
        <item x="1949"/>
        <item x="4747"/>
        <item x="1749"/>
        <item x="1371"/>
        <item x="4789"/>
        <item x="104"/>
        <item x="4634"/>
        <item x="1528"/>
        <item x="3579"/>
        <item x="379"/>
        <item x="222"/>
        <item x="2508"/>
        <item x="1623"/>
        <item x="191"/>
        <item x="3999"/>
        <item x="4668"/>
        <item x="2340"/>
        <item x="1130"/>
        <item x="356"/>
        <item x="992"/>
        <item x="4113"/>
        <item x="2107"/>
        <item x="475"/>
        <item x="949"/>
        <item x="2113"/>
        <item x="49"/>
        <item x="3483"/>
        <item x="4047"/>
        <item x="1215"/>
        <item x="192"/>
        <item x="2298"/>
        <item x="271"/>
        <item x="2386"/>
        <item x="1315"/>
        <item x="340"/>
        <item x="3075"/>
        <item x="1832"/>
        <item x="4581"/>
        <item x="3056"/>
        <item x="777"/>
        <item x="1827"/>
        <item x="4579"/>
        <item x="1923"/>
        <item x="3863"/>
        <item x="2299"/>
        <item x="835"/>
        <item x="3459"/>
        <item x="4298"/>
        <item x="797"/>
        <item x="1202"/>
        <item x="123"/>
        <item x="2455"/>
        <item x="2318"/>
        <item x="2734"/>
        <item x="397"/>
        <item x="2868"/>
        <item x="3726"/>
        <item x="832"/>
        <item x="4643"/>
        <item x="4124"/>
        <item x="50"/>
        <item x="4346"/>
        <item x="1412"/>
        <item x="2017"/>
        <item x="390"/>
        <item x="1099"/>
        <item x="272"/>
        <item x="1440"/>
        <item x="3513"/>
        <item x="562"/>
        <item x="4315"/>
        <item x="4180"/>
        <item x="3838"/>
        <item x="503"/>
        <item x="3143"/>
        <item x="3246"/>
        <item x="4027"/>
        <item x="463"/>
        <item x="1196"/>
        <item x="3484"/>
        <item x="3600"/>
        <item x="4658"/>
        <item x="753"/>
        <item x="268"/>
        <item x="102"/>
        <item x="3257"/>
        <item x="1674"/>
        <item x="3976"/>
        <item x="4005"/>
        <item x="4463"/>
        <item x="51"/>
        <item x="4193"/>
        <item x="1217"/>
        <item x="2106"/>
        <item x="4055"/>
        <item x="1518"/>
        <item x="590"/>
        <item x="2185"/>
        <item x="2381"/>
        <item x="1864"/>
        <item x="2744"/>
        <item x="849"/>
        <item x="3561"/>
        <item x="3322"/>
        <item x="309"/>
        <item x="613"/>
        <item x="4677"/>
        <item x="225"/>
        <item x="3235"/>
        <item x="69"/>
        <item x="3828"/>
        <item x="3817"/>
        <item x="1811"/>
        <item x="2973"/>
        <item x="852"/>
        <item x="3739"/>
        <item x="4276"/>
        <item x="2640"/>
        <item x="3053"/>
        <item x="197"/>
        <item x="26"/>
        <item x="3106"/>
        <item x="3039"/>
        <item x="976"/>
        <item x="3584"/>
        <item x="1053"/>
        <item x="1652"/>
        <item x="4790"/>
        <item x="218"/>
        <item x="4626"/>
        <item x="444"/>
        <item x="307"/>
        <item x="3244"/>
        <item x="3149"/>
        <item x="2229"/>
        <item x="3232"/>
        <item x="2749"/>
        <item x="2203"/>
        <item x="790"/>
        <item x="1878"/>
        <item x="1818"/>
        <item x="2958"/>
        <item x="2462"/>
        <item x="4083"/>
        <item x="4073"/>
        <item x="3289"/>
        <item x="3615"/>
        <item x="2123"/>
        <item x="4706"/>
        <item x="3842"/>
        <item x="2416"/>
        <item x="402"/>
        <item x="533"/>
        <item x="3120"/>
        <item x="1120"/>
        <item x="775"/>
        <item x="3381"/>
        <item x="2555"/>
        <item x="3597"/>
        <item x="2893"/>
        <item x="1153"/>
        <item x="389"/>
        <item x="686"/>
        <item x="4282"/>
        <item x="1287"/>
        <item x="1809"/>
        <item x="295"/>
        <item x="2281"/>
        <item x="4495"/>
        <item x="2709"/>
        <item x="3624"/>
        <item x="1121"/>
        <item x="1419"/>
        <item x="2748"/>
        <item x="3320"/>
        <item x="1539"/>
        <item x="260"/>
        <item x="833"/>
        <item x="80"/>
        <item x="4388"/>
        <item x="3558"/>
        <item x="1095"/>
        <item x="491"/>
        <item x="228"/>
        <item x="2359"/>
        <item x="81"/>
        <item x="4541"/>
        <item x="3582"/>
        <item x="4408"/>
        <item x="1398"/>
        <item x="1450"/>
        <item x="3524"/>
        <item x="1107"/>
        <item x="2683"/>
        <item x="3514"/>
        <item x="4155"/>
        <item x="1247"/>
        <item x="4208"/>
        <item x="2134"/>
        <item x="4692"/>
        <item x="4042"/>
        <item x="3474"/>
        <item x="1019"/>
        <item x="2352"/>
        <item x="645"/>
        <item x="817"/>
        <item x="911"/>
        <item x="776"/>
        <item x="1919"/>
        <item x="950"/>
        <item x="194"/>
        <item x="308"/>
        <item x="1721"/>
        <item x="2601"/>
        <item x="3797"/>
        <item x="4501"/>
        <item x="4014"/>
        <item x="1862"/>
        <item x="4207"/>
        <item x="600"/>
        <item x="2870"/>
        <item x="3354"/>
        <item x="2620"/>
        <item x="3833"/>
        <item x="2087"/>
        <item x="4667"/>
        <item x="2483"/>
        <item x="742"/>
        <item x="3425"/>
        <item x="1212"/>
        <item x="965"/>
        <item x="906"/>
        <item x="2490"/>
        <item x="3233"/>
        <item x="1356"/>
        <item x="3437"/>
        <item x="2187"/>
        <item x="1718"/>
        <item x="2970"/>
        <item x="3902"/>
        <item x="184"/>
        <item x="428"/>
        <item x="1367"/>
        <item x="1012"/>
        <item x="3951"/>
        <item x="4345"/>
        <item x="2108"/>
        <item x="1930"/>
        <item x="3130"/>
        <item x="2719"/>
        <item x="2675"/>
        <item x="3188"/>
        <item x="4352"/>
        <item x="4249"/>
        <item x="3341"/>
        <item x="602"/>
        <item x="997"/>
        <item x="2222"/>
        <item x="4011"/>
        <item x="2959"/>
        <item x="1534"/>
        <item x="2929"/>
        <item x="2115"/>
        <item x="855"/>
        <item x="2457"/>
        <item x="117"/>
        <item x="2999"/>
        <item x="2710"/>
        <item x="1393"/>
        <item x="2218"/>
        <item x="2057"/>
        <item x="4884"/>
        <item x="54"/>
        <item x="4067"/>
        <item x="3290"/>
        <item x="3224"/>
        <item x="1603"/>
        <item x="4928"/>
        <item x="1364"/>
        <item x="399"/>
        <item x="2034"/>
        <item x="1329"/>
        <item x="171"/>
        <item x="3020"/>
        <item x="4371"/>
        <item x="1731"/>
        <item x="4910"/>
        <item x="4314"/>
        <item x="1403"/>
        <item x="2167"/>
        <item x="4049"/>
        <item x="3250"/>
        <item x="2721"/>
        <item x="425"/>
        <item x="4102"/>
        <item x="114"/>
        <item x="4544"/>
        <item x="4391"/>
        <item x="3284"/>
        <item x="74"/>
        <item x="1747"/>
        <item x="2560"/>
        <item x="3142"/>
        <item x="2897"/>
        <item x="3334"/>
        <item x="1491"/>
        <item x="1197"/>
        <item x="3735"/>
        <item x="1848"/>
        <item x="531"/>
        <item x="2392"/>
        <item x="2806"/>
        <item x="4189"/>
        <item x="2175"/>
        <item x="3411"/>
        <item x="1741"/>
        <item x="3906"/>
        <item x="4088"/>
        <item x="4183"/>
        <item x="4225"/>
        <item x="724"/>
        <item x="1898"/>
        <item x="2989"/>
        <item x="1807"/>
        <item x="3841"/>
        <item x="2526"/>
        <item x="1989"/>
        <item x="1706"/>
        <item x="1157"/>
        <item x="4571"/>
        <item x="799"/>
        <item x="2032"/>
        <item x="1493"/>
        <item x="2219"/>
        <item x="273"/>
        <item x="4019"/>
        <item x="1853"/>
        <item x="1988"/>
        <item x="1637"/>
        <item x="1772"/>
        <item x="1026"/>
        <item x="4360"/>
        <item x="4834"/>
        <item x="3166"/>
        <item x="1420"/>
        <item x="4589"/>
        <item x="3737"/>
        <item x="1179"/>
        <item x="2400"/>
        <item x="1916"/>
        <item x="3432"/>
        <item x="872"/>
        <item x="884"/>
        <item x="212"/>
        <item x="981"/>
        <item x="2427"/>
        <item x="2152"/>
        <item x="3272"/>
        <item x="4384"/>
        <item x="3068"/>
        <item x="773"/>
        <item x="2227"/>
        <item x="145"/>
        <item x="3651"/>
        <item x="4582"/>
        <item x="280"/>
        <item x="4956"/>
        <item x="341"/>
        <item x="4008"/>
        <item x="3656"/>
        <item x="292"/>
        <item x="1397"/>
        <item x="1561"/>
        <item x="1"/>
        <item x="1976"/>
        <item x="3169"/>
        <item x="97"/>
        <item x="2099"/>
        <item x="3086"/>
        <item x="898"/>
        <item x="1020"/>
        <item x="1132"/>
        <item x="460"/>
        <item x="4229"/>
        <item x="507"/>
        <item x="283"/>
        <item x="1752"/>
        <item x="3183"/>
        <item x="784"/>
        <item x="3645"/>
        <item x="3199"/>
        <item x="1967"/>
        <item x="68"/>
        <item x="2065"/>
        <item x="978"/>
        <item x="2407"/>
        <item x="4121"/>
        <item x="511"/>
        <item x="2880"/>
        <item x="1653"/>
        <item x="1321"/>
        <item x="4344"/>
        <item x="3749"/>
        <item x="3882"/>
        <item x="2512"/>
        <item x="3058"/>
        <item x="4896"/>
        <item x="466"/>
        <item x="4665"/>
        <item x="3308"/>
        <item x="3944"/>
        <item x="1320"/>
        <item x="1525"/>
        <item x="2934"/>
        <item x="2385"/>
        <item x="459"/>
        <item x="13"/>
        <item x="4534"/>
        <item x="1181"/>
        <item x="2768"/>
        <item x="239"/>
        <item x="3985"/>
        <item x="1300"/>
        <item x="1360"/>
        <item x="4289"/>
        <item x="3508"/>
        <item x="4770"/>
        <item x="4728"/>
        <item x="1762"/>
        <item x="1955"/>
        <item x="4149"/>
        <item x="2026"/>
        <item x="48"/>
        <item x="1225"/>
        <item x="219"/>
        <item x="473"/>
        <item x="2046"/>
        <item x="3256"/>
        <item x="177"/>
        <item x="783"/>
        <item x="3599"/>
        <item x="2975"/>
        <item x="1666"/>
        <item x="2119"/>
        <item x="2852"/>
        <item x="246"/>
        <item x="674"/>
        <item x="4001"/>
        <item x="2223"/>
        <item x="1689"/>
        <item x="824"/>
        <item x="927"/>
        <item x="2774"/>
        <item x="1301"/>
        <item x="952"/>
        <item x="1869"/>
        <item x="1240"/>
        <item x="2220"/>
        <item x="689"/>
        <item x="2276"/>
        <item x="3200"/>
        <item x="3212"/>
        <item x="4338"/>
        <item x="3938"/>
        <item x="1250"/>
        <item x="3580"/>
        <item x="3569"/>
        <item x="4407"/>
        <item x="1243"/>
        <item x="1029"/>
        <item x="628"/>
        <item x="1453"/>
        <item x="3943"/>
        <item x="1294"/>
        <item x="1778"/>
        <item x="3694"/>
        <item x="1152"/>
        <item x="451"/>
        <item x="4033"/>
        <item x="873"/>
        <item x="2743"/>
        <item x="2519"/>
        <item x="520"/>
        <item x="1481"/>
        <item x="1224"/>
        <item x="2132"/>
        <item x="1368"/>
        <item x="4543"/>
        <item x="1773"/>
        <item x="207"/>
        <item x="1374"/>
        <item x="1556"/>
        <item x="3617"/>
        <item x="62"/>
        <item x="4"/>
        <item x="754"/>
        <item x="3066"/>
        <item x="1358"/>
        <item x="4094"/>
        <item x="1316"/>
        <item x="2740"/>
        <item x="3264"/>
        <item x="47"/>
        <item x="2287"/>
        <item x="4842"/>
        <item x="2646"/>
        <item x="2164"/>
        <item x="1615"/>
        <item x="127"/>
        <item x="2681"/>
        <item x="343"/>
        <item x="2092"/>
        <item x="2014"/>
        <item x="294"/>
        <item x="4912"/>
        <item x="3147"/>
        <item x="917"/>
        <item x="985"/>
        <item x="3325"/>
        <item x="1480"/>
        <item x="723"/>
        <item x="3754"/>
        <item x="2481"/>
        <item x="684"/>
        <item x="3267"/>
        <item x="1386"/>
        <item x="4087"/>
        <item x="2312"/>
        <item x="1719"/>
        <item x="3556"/>
        <item x="921"/>
        <item x="2536"/>
        <item x="2886"/>
        <item x="3530"/>
        <item x="3001"/>
        <item x="3853"/>
        <item x="937"/>
        <item x="4451"/>
        <item x="1075"/>
        <item x="4862"/>
        <item x="3263"/>
        <item x="311"/>
        <item x="4071"/>
        <item x="795"/>
        <item x="4653"/>
        <item x="1640"/>
        <item x="493"/>
        <item x="1590"/>
        <item x="2313"/>
        <item x="1032"/>
        <item x="100"/>
        <item x="2024"/>
        <item x="3844"/>
        <item x="304"/>
        <item x="4342"/>
        <item x="2297"/>
        <item x="535"/>
        <item x="4624"/>
        <item x="1999"/>
        <item x="4741"/>
        <item x="638"/>
        <item x="2668"/>
        <item x="4662"/>
        <item x="1044"/>
        <item x="1581"/>
        <item x="1651"/>
        <item x="3697"/>
        <item x="1655"/>
        <item x="996"/>
        <item x="4590"/>
        <item x="236"/>
        <item x="3885"/>
        <item x="802"/>
        <item x="540"/>
        <item x="786"/>
        <item x="200"/>
        <item x="3274"/>
        <item x="415"/>
        <item x="2707"/>
        <item x="1670"/>
        <item x="745"/>
        <item x="1010"/>
        <item x="3439"/>
        <item x="2506"/>
        <item x="1230"/>
        <item x="3873"/>
        <item x="4329"/>
        <item x="3060"/>
        <item x="2798"/>
        <item x="2080"/>
        <item x="3896"/>
        <item x="328"/>
        <item x="325"/>
        <item x="3517"/>
        <item x="1429"/>
        <item x="286"/>
        <item x="4166"/>
        <item x="945"/>
        <item x="394"/>
        <item x="800"/>
        <item x="2133"/>
        <item x="1959"/>
        <item x="109"/>
        <item x="1236"/>
        <item x="3030"/>
        <item x="3871"/>
        <item x="3947"/>
        <item x="449"/>
        <item x="3014"/>
        <item x="713"/>
        <item x="912"/>
        <item x="4307"/>
        <item x="4817"/>
        <item x="2634"/>
        <item x="3854"/>
        <item x="4244"/>
        <item x="4705"/>
        <item x="2126"/>
        <item x="640"/>
        <item x="4367"/>
        <item x="718"/>
        <item x="209"/>
        <item x="4907"/>
        <item x="2733"/>
        <item x="900"/>
        <item x="2429"/>
        <item x="2365"/>
        <item x="3249"/>
        <item x="4717"/>
        <item x="1475"/>
        <item x="4389"/>
        <item x="2199"/>
        <item x="3836"/>
        <item x="256"/>
        <item x="668"/>
        <item x="2751"/>
        <item x="3273"/>
        <item x="4825"/>
        <item x="500"/>
        <item x="2111"/>
        <item x="1748"/>
        <item x="29"/>
        <item x="1006"/>
        <item x="3167"/>
        <item x="4084"/>
        <item x="1473"/>
        <item x="2679"/>
        <item x="1350"/>
        <item x="734"/>
        <item x="2200"/>
        <item x="2405"/>
        <item x="4504"/>
        <item x="1110"/>
        <item x="2830"/>
        <item x="1080"/>
        <item x="1543"/>
        <item x="975"/>
        <item x="400"/>
        <item x="3015"/>
        <item x="3146"/>
        <item x="1537"/>
        <item x="1940"/>
        <item x="903"/>
        <item x="1624"/>
        <item x="4255"/>
        <item x="2568"/>
        <item x="2693"/>
        <item x="2265"/>
        <item x="2383"/>
        <item x="2738"/>
        <item x="4737"/>
        <item x="1490"/>
        <item x="2606"/>
        <item x="2007"/>
        <item x="677"/>
        <item x="1039"/>
        <item x="52"/>
        <item x="1892"/>
        <item x="4111"/>
        <item x="4402"/>
        <item x="126"/>
        <item x="3732"/>
        <item x="527"/>
        <item x="2379"/>
        <item x="2470"/>
        <item x="2142"/>
        <item x="3738"/>
        <item x="1812"/>
        <item x="4302"/>
        <item x="3037"/>
        <item x="3623"/>
        <item x="878"/>
        <item x="4176"/>
        <item x="1109"/>
        <item x="1084"/>
        <item x="2124"/>
        <item x="3911"/>
        <item x="1100"/>
        <item x="571"/>
        <item x="4591"/>
        <item x="3671"/>
        <item x="18"/>
        <item x="4482"/>
        <item x="1063"/>
        <item x="3939"/>
        <item x="1739"/>
        <item x="172"/>
        <item x="3115"/>
        <item x="2041"/>
        <item x="2146"/>
        <item x="4637"/>
        <item x="1951"/>
        <item x="1662"/>
        <item x="494"/>
        <item x="1061"/>
        <item x="2614"/>
        <item x="2769"/>
        <item x="3689"/>
        <item x="1444"/>
        <item x="1893"/>
        <item x="1704"/>
        <item x="347"/>
        <item x="289"/>
        <item x="2910"/>
        <item x="2231"/>
        <item x="592"/>
        <item x="299"/>
        <item x="663"/>
        <item x="1602"/>
        <item x="1936"/>
        <item x="32"/>
        <item x="3504"/>
        <item x="27"/>
        <item x="3525"/>
        <item x="1424"/>
        <item x="4682"/>
        <item x="4238"/>
        <item x="3236"/>
        <item x="2891"/>
        <item x="3324"/>
        <item x="1382"/>
        <item x="3064"/>
        <item x="1106"/>
        <item x="755"/>
        <item x="2367"/>
        <item x="4826"/>
        <item x="3045"/>
        <item x="4602"/>
        <item x="1274"/>
        <item x="3940"/>
        <item x="2908"/>
        <item x="2493"/>
        <item x="936"/>
        <item x="4704"/>
        <item x="4875"/>
        <item x="1937"/>
        <item x="3548"/>
        <item x="1645"/>
        <item x="3108"/>
        <item x="4350"/>
        <item x="3195"/>
        <item x="12"/>
        <item x="1695"/>
        <item x="4528"/>
        <item x="3707"/>
        <item x="1343"/>
        <item x="3140"/>
        <item x="3746"/>
        <item x="448"/>
        <item x="650"/>
        <item x="1587"/>
        <item x="2293"/>
        <item x="4091"/>
        <item x="4846"/>
        <item x="4171"/>
        <item x="3277"/>
        <item x="714"/>
        <item x="3186"/>
        <item x="4202"/>
        <item x="1505"/>
        <item x="2932"/>
        <item x="4836"/>
        <item x="4486"/>
        <item x="2398"/>
        <item x="396"/>
        <item x="72"/>
        <item x="483"/>
        <item x="746"/>
        <item x="2316"/>
        <item x="4390"/>
        <item x="3336"/>
        <item x="4292"/>
        <item x="2610"/>
        <item x="4252"/>
        <item x="1183"/>
        <item x="2527"/>
        <item x="3794"/>
        <item x="4699"/>
        <item x="1874"/>
        <item x="589"/>
        <item x="1671"/>
        <item x="420"/>
        <item x="3243"/>
        <item x="4610"/>
        <item x="1625"/>
        <item x="4066"/>
        <item x="2810"/>
        <item x="4086"/>
        <item x="4240"/>
        <item x="995"/>
        <item x="3720"/>
        <item x="3606"/>
        <item x="3706"/>
        <item x="3326"/>
        <item x="3692"/>
        <item x="990"/>
        <item x="3333"/>
        <item x="732"/>
        <item x="3482"/>
        <item x="3023"/>
        <item x="2856"/>
        <item x="1981"/>
        <item x="2784"/>
        <item x="639"/>
        <item x="4060"/>
        <item x="4509"/>
        <item x="1511"/>
        <item x="2273"/>
        <item x="2559"/>
        <item x="2699"/>
        <item x="4133"/>
        <item x="4131"/>
        <item x="1042"/>
        <item x="2376"/>
        <item x="1361"/>
        <item x="4584"/>
        <item x="214"/>
        <item x="3353"/>
        <item x="2086"/>
        <item x="1573"/>
        <item x="931"/>
        <item x="2077"/>
        <item x="374"/>
        <item x="4125"/>
        <item x="2233"/>
        <item x="1872"/>
        <item x="1269"/>
        <item x="301"/>
        <item x="1115"/>
        <item x="2863"/>
        <item x="1910"/>
        <item x="2523"/>
        <item x="543"/>
        <item x="258"/>
        <item x="4499"/>
        <item x="2762"/>
        <item x="472"/>
        <item x="1174"/>
        <item x="3695"/>
        <item x="4284"/>
        <item x="3661"/>
        <item x="3222"/>
        <item x="2811"/>
        <item x="405"/>
        <item x="3374"/>
        <item x="1226"/>
        <item x="3592"/>
        <item x="4075"/>
        <item x="3627"/>
        <item x="2326"/>
        <item x="3952"/>
        <item x="4444"/>
        <item x="4267"/>
        <item x="2143"/>
        <item x="3304"/>
        <item x="983"/>
        <item x="730"/>
        <item x="2375"/>
        <item x="1639"/>
        <item x="4609"/>
        <item x="4372"/>
        <item x="1387"/>
        <item x="1466"/>
        <item x="4405"/>
        <item x="582"/>
        <item x="3681"/>
        <item x="2027"/>
        <item x="3005"/>
        <item x="922"/>
        <item x="4539"/>
        <item x="3549"/>
        <item x="1456"/>
        <item x="514"/>
        <item x="3194"/>
        <item x="2103"/>
        <item x="426"/>
        <item x="3449"/>
        <item x="2875"/>
        <item x="583"/>
        <item x="242"/>
        <item x="1362"/>
        <item x="3831"/>
        <item x="2097"/>
        <item x="820"/>
        <item x="2054"/>
        <item x="4855"/>
        <item x="758"/>
        <item x="4587"/>
        <item x="669"/>
        <item x="485"/>
        <item x="4729"/>
        <item x="2093"/>
        <item x="726"/>
        <item x="2608"/>
        <item x="146"/>
        <item x="4569"/>
        <item x="3899"/>
        <item x="701"/>
        <item x="4135"/>
        <item x="1705"/>
        <item x="1970"/>
        <item x="4552"/>
        <item x="4725"/>
        <item x="4311"/>
        <item x="765"/>
        <item x="2048"/>
        <item x="4688"/>
        <item x="1915"/>
        <item x="3705"/>
        <item x="4287"/>
        <item x="2839"/>
        <item x="1665"/>
        <item x="2997"/>
        <item x="2776"/>
        <item x="1357"/>
        <item x="141"/>
        <item x="2251"/>
        <item x="1051"/>
        <item x="4487"/>
        <item x="4689"/>
        <item x="4323"/>
        <item x="2700"/>
        <item x="1192"/>
        <item x="1457"/>
        <item x="4410"/>
        <item x="3753"/>
        <item x="2472"/>
        <item x="1214"/>
        <item x="3527"/>
        <item x="4940"/>
        <item x="1604"/>
        <item x="2308"/>
        <item x="334"/>
        <item x="3730"/>
        <item x="850"/>
        <item x="595"/>
        <item x="140"/>
        <item x="2561"/>
        <item x="3162"/>
        <item x="2440"/>
        <item x="4680"/>
        <item x="4648"/>
        <item x="3260"/>
        <item x="2189"/>
        <item x="2745"/>
        <item x="2829"/>
        <item x="1486"/>
        <item x="1253"/>
        <item x="91"/>
        <item x="3278"/>
        <item x="4719"/>
        <item x="2149"/>
        <item x="203"/>
        <item x="4395"/>
        <item x="870"/>
        <item x="3220"/>
        <item x="4378"/>
        <item x="2566"/>
        <item x="705"/>
        <item x="3128"/>
        <item x="2976"/>
        <item x="1693"/>
        <item x="479"/>
        <item x="573"/>
        <item x="4057"/>
        <item x="1663"/>
        <item x="1845"/>
        <item x="37"/>
        <item x="480"/>
        <item x="3507"/>
        <item x="796"/>
        <item x="3458"/>
        <item x="456"/>
        <item x="763"/>
        <item x="254"/>
        <item x="4462"/>
        <item x="1461"/>
        <item x="319"/>
        <item x="2883"/>
        <item x="3654"/>
        <item x="2390"/>
        <item x="4674"/>
        <item x="2576"/>
        <item x="1712"/>
        <item x="4613"/>
        <item x="202"/>
        <item x="4443"/>
        <item x="477"/>
        <item x="442"/>
        <item x="4756"/>
        <item x="1237"/>
        <item x="1306"/>
        <item x="4242"/>
        <item x="3860"/>
        <item x="3521"/>
        <item x="3285"/>
        <item x="1650"/>
        <item x="2411"/>
        <item x="1251"/>
        <item x="290"/>
        <item x="4247"/>
        <item x="642"/>
        <item x="4696"/>
        <item x="2984"/>
        <item x="2384"/>
        <item x="2082"/>
        <item x="3699"/>
        <item x="3576"/>
        <item x="4376"/>
        <item x="2974"/>
        <item x="253"/>
        <item x="3531"/>
        <item x="3380"/>
        <item x="2417"/>
        <item x="1463"/>
        <item x="1553"/>
        <item x="787"/>
        <item x="958"/>
        <item x="1548"/>
        <item x="337"/>
        <item x="0"/>
        <item x="1052"/>
        <item x="2993"/>
        <item x="4619"/>
        <item x="4906"/>
        <item x="4783"/>
        <item x="3008"/>
        <item x="3300"/>
        <item x="3971"/>
        <item x="4664"/>
        <item x="4000"/>
        <item x="241"/>
        <item x="1713"/>
        <item x="3878"/>
        <item x="2764"/>
        <item x="934"/>
        <item x="1764"/>
        <item x="1620"/>
        <item x="4506"/>
        <item x="1291"/>
        <item x="3502"/>
        <item x="4863"/>
        <item x="2991"/>
        <item x="3415"/>
        <item x="3355"/>
        <item x="1351"/>
        <item x="3448"/>
        <item x="3766"/>
        <item x="3843"/>
        <item x="868"/>
        <item x="1194"/>
        <item x="4347"/>
        <item x="3640"/>
        <item x="3248"/>
        <item x="2742"/>
        <item x="3909"/>
        <item x="98"/>
        <item x="623"/>
        <item x="1349"/>
        <item x="4097"/>
        <item x="3371"/>
        <item x="336"/>
        <item x="4904"/>
        <item x="4401"/>
        <item x="4526"/>
        <item x="2583"/>
        <item x="3650"/>
        <item x="4237"/>
        <item x="71"/>
        <item x="1903"/>
        <item x="2686"/>
        <item x="1072"/>
        <item x="1391"/>
        <item x="2230"/>
        <item x="3366"/>
        <item x="798"/>
        <item x="3223"/>
        <item x="834"/>
        <item x="1171"/>
        <item x="1866"/>
        <item x="1390"/>
        <item x="4612"/>
        <item x="3894"/>
        <item x="2673"/>
        <item x="1442"/>
        <item x="4887"/>
        <item x="2253"/>
        <item x="2790"/>
        <item x="2363"/>
        <item x="967"/>
        <item x="1430"/>
        <item x="1768"/>
        <item x="3024"/>
        <item x="4334"/>
        <item x="707"/>
        <item x="3131"/>
        <item x="1055"/>
        <item x="216"/>
        <item x="575"/>
        <item x="599"/>
        <item x="4020"/>
        <item x="1198"/>
        <item x="700"/>
        <item x="1201"/>
        <item x="2441"/>
        <item x="3185"/>
        <item x="4290"/>
        <item x="3096"/>
        <item x="3010"/>
        <item x="867"/>
        <item x="251"/>
        <item x="1388"/>
        <item x="1097"/>
        <item x="419"/>
        <item x="4192"/>
        <item x="1298"/>
        <item x="193"/>
        <item x="3602"/>
        <item x="1038"/>
        <item x="132"/>
        <item x="2497"/>
        <item x="4748"/>
        <item x="4173"/>
        <item x="4536"/>
        <item x="1482"/>
        <item x="2011"/>
        <item x="4724"/>
        <item x="3055"/>
        <item x="4574"/>
        <item x="4798"/>
        <item x="3581"/>
        <item x="1939"/>
        <item x="2247"/>
        <item x="4753"/>
        <item x="2342"/>
        <item x="4053"/>
        <item x="2049"/>
        <item x="1887"/>
        <item x="4892"/>
        <item x="3288"/>
        <item x="3002"/>
        <item x="2467"/>
        <item x="1238"/>
        <item x="4233"/>
        <item x="2816"/>
        <item x="3359"/>
        <item x="1835"/>
        <item x="142"/>
        <item x="766"/>
        <item x="1904"/>
        <item x="680"/>
        <item x="3509"/>
        <item x="2547"/>
        <item x="4507"/>
        <item x="2421"/>
        <item x="3293"/>
        <item x="281"/>
        <item x="3666"/>
        <item x="1472"/>
        <item x="4776"/>
        <item x="2056"/>
        <item x="2873"/>
        <item x="3953"/>
        <item x="1944"/>
        <item x="422"/>
        <item x="1629"/>
        <item x="2844"/>
        <item x="767"/>
        <item x="4843"/>
        <item x="1037"/>
        <item x="4363"/>
        <item x="4354"/>
        <item x="534"/>
        <item x="249"/>
        <item x="1337"/>
        <item x="3492"/>
        <item x="1754"/>
        <item x="1210"/>
        <item x="1890"/>
        <item x="2619"/>
        <item x="2603"/>
        <item x="3805"/>
        <item x="1047"/>
        <item x="4707"/>
        <item x="1987"/>
        <item x="4205"/>
        <item x="532"/>
        <item x="331"/>
        <item x="2479"/>
        <item x="3054"/>
        <item x="330"/>
        <item x="384"/>
        <item x="2252"/>
        <item x="3540"/>
        <item x="3105"/>
        <item x="4791"/>
        <item x="3126"/>
        <item x="1161"/>
        <item x="1580"/>
        <item x="4918"/>
        <item x="4480"/>
        <item x="3907"/>
        <item x="4560"/>
        <item x="3373"/>
        <item x="3928"/>
        <item x="2851"/>
        <item x="3847"/>
        <item x="2269"/>
        <item x="837"/>
        <item x="570"/>
        <item x="1849"/>
        <item x="3340"/>
        <item x="846"/>
        <item x="2546"/>
        <item x="4823"/>
        <item x="4160"/>
        <item x="4420"/>
        <item x="896"/>
        <item x="3342"/>
        <item x="764"/>
        <item x="4916"/>
        <item x="711"/>
        <item x="3089"/>
        <item x="1547"/>
        <item x="1535"/>
        <item x="3932"/>
        <item x="4740"/>
        <item x="1593"/>
        <item x="1118"/>
        <item x="4232"/>
        <item x="699"/>
        <item x="2545"/>
        <item x="651"/>
        <item x="4436"/>
        <item x="3733"/>
        <item x="3197"/>
        <item x="3358"/>
        <item x="3616"/>
        <item x="2928"/>
        <item x="496"/>
        <item x="4291"/>
        <item x="4531"/>
        <item x="3989"/>
        <item x="1434"/>
        <item x="1187"/>
        <item x="4035"/>
        <item x="2757"/>
        <item x="2507"/>
        <item x="1322"/>
        <item x="4949"/>
        <item x="4431"/>
        <item x="3849"/>
        <item x="2428"/>
        <item x="4557"/>
        <item x="3729"/>
        <item x="4714"/>
        <item x="697"/>
        <item x="2796"/>
        <item x="2217"/>
        <item x="2946"/>
        <item x="3704"/>
        <item x="1672"/>
        <item x="3994"/>
        <item x="2461"/>
        <item x="4854"/>
        <item x="3493"/>
        <item x="2198"/>
        <item x="1265"/>
        <item x="4492"/>
        <item x="563"/>
        <item x="1280"/>
        <item x="7"/>
        <item x="1850"/>
        <item x="1496"/>
        <item x="3303"/>
        <item x="2920"/>
        <item x="3173"/>
        <item x="574"/>
        <item x="2985"/>
        <item x="4145"/>
        <item x="1163"/>
        <item x="265"/>
        <item x="3155"/>
        <item x="3743"/>
        <item x="3294"/>
        <item x="3310"/>
        <item x="2808"/>
        <item x="2782"/>
        <item x="1146"/>
        <item x="1041"/>
        <item x="3357"/>
        <item x="443"/>
        <item x="3032"/>
        <item x="4709"/>
        <item x="1613"/>
        <item x="403"/>
        <item x="1507"/>
        <item x="490"/>
        <item x="4911"/>
        <item x="3335"/>
        <item x="524"/>
        <item x="446"/>
        <item x="3078"/>
        <item x="4209"/>
        <item x="735"/>
        <item x="4327"/>
        <item x="2186"/>
        <item x="1599"/>
        <item x="291"/>
        <item x="3763"/>
        <item x="429"/>
        <item x="3808"/>
        <item x="2409"/>
        <item x="1905"/>
        <item x="4812"/>
        <item x="20"/>
        <item x="4720"/>
        <item x="587"/>
        <item x="2030"/>
        <item x="815"/>
        <item x="1022"/>
        <item x="1288"/>
        <item x="1092"/>
        <item x="2570"/>
        <item x="364"/>
        <item x="585"/>
        <item x="3136"/>
        <item x="3563"/>
        <item x="3418"/>
        <item x="2000"/>
        <item x="3830"/>
        <item x="598"/>
        <item x="904"/>
        <item x="1383"/>
        <item x="2942"/>
        <item x="1771"/>
        <item x="609"/>
        <item x="1023"/>
        <item x="932"/>
        <item x="2150"/>
        <item x="918"/>
        <item x="3621"/>
        <item x="1465"/>
        <item x="1565"/>
        <item x="1495"/>
        <item x="4454"/>
        <item x="1262"/>
        <item x="4833"/>
        <item x="3515"/>
        <item x="2414"/>
        <item x="3725"/>
        <item x="3500"/>
        <item x="2356"/>
        <item x="3467"/>
        <item x="1165"/>
        <item x="2389"/>
        <item x="2814"/>
        <item x="2484"/>
        <item x="1555"/>
        <item x="1122"/>
        <item x="2144"/>
        <item x="3297"/>
        <item x="4309"/>
        <item x="722"/>
        <item x="4736"/>
        <item x="4508"/>
        <item x="2809"/>
        <item x="462"/>
        <item x="2388"/>
        <item x="3635"/>
        <item x="4771"/>
        <item x="2015"/>
        <item x="1296"/>
        <item x="3490"/>
        <item x="2410"/>
        <item x="1046"/>
        <item x="3258"/>
        <item x="1066"/>
        <item x="4403"/>
        <item x="1551"/>
        <item x="4143"/>
        <item x="2350"/>
        <item x="2778"/>
        <item x="4296"/>
        <item x="3043"/>
        <item x="1870"/>
        <item x="4597"/>
        <item x="2380"/>
        <item x="4818"/>
        <item x="1577"/>
        <item x="518"/>
        <item x="3268"/>
        <item x="3205"/>
        <item x="4650"/>
        <item x="1880"/>
        <item x="3877"/>
        <item x="1834"/>
        <item x="4013"/>
        <item x="4527"/>
        <item x="4254"/>
        <item x="2674"/>
        <item x="4895"/>
        <item x="1160"/>
        <item x="3178"/>
        <item x="88"/>
        <item x="1151"/>
        <item x="1499"/>
        <item x="1538"/>
        <item x="4379"/>
        <item x="1920"/>
        <item x="3328"/>
        <item x="435"/>
        <item x="1632"/>
        <item x="953"/>
        <item x="139"/>
        <item x="2210"/>
        <item x="4750"/>
        <item x="2651"/>
        <item x="4144"/>
        <item x="4466"/>
        <item x="2052"/>
        <item x="14"/>
        <item x="856"/>
        <item x="564"/>
        <item x="1716"/>
        <item x="2423"/>
        <item x="1267"/>
        <item x="805"/>
        <item x="4080"/>
        <item x="3003"/>
        <item x="2599"/>
        <item x="2022"/>
        <item x="1912"/>
        <item x="601"/>
        <item x="3687"/>
        <item x="76"/>
        <item x="756"/>
        <item x="3208"/>
        <item x="822"/>
        <item x="2317"/>
        <item x="35"/>
        <item x="2374"/>
        <item x="453"/>
        <item x="1664"/>
        <item x="1273"/>
        <item x="2151"/>
        <item x="4588"/>
        <item x="3165"/>
        <item x="885"/>
        <item x="924"/>
        <item x="3442"/>
        <item x="1901"/>
        <item x="2330"/>
        <item x="620"/>
        <item x="1536"/>
        <item x="4479"/>
        <item x="4773"/>
        <item x="750"/>
        <item x="4642"/>
        <item x="1483"/>
        <item x="3201"/>
        <item x="3771"/>
        <item x="2357"/>
        <item x="3964"/>
        <item x="1124"/>
        <item x="4220"/>
        <item x="110"/>
        <item x="2585"/>
        <item x="3435"/>
        <item x="1208"/>
        <item x="2114"/>
        <item x="2260"/>
        <item x="3234"/>
        <item x="4026"/>
        <item x="960"/>
        <item x="3394"/>
        <item x="2510"/>
        <item x="8"/>
        <item x="206"/>
        <item x="2288"/>
        <item x="610"/>
        <item x="2173"/>
        <item x="3598"/>
        <item x="915"/>
        <item x="1634"/>
        <item x="434"/>
        <item x="1244"/>
        <item x="4805"/>
        <item x="1856"/>
        <item x="3920"/>
        <item x="616"/>
        <item x="3004"/>
        <item x="4122"/>
        <item x="1527"/>
        <item x="2177"/>
        <item x="2770"/>
        <item x="3301"/>
        <item x="4182"/>
        <item x="3986"/>
        <item x="2841"/>
        <item x="2064"/>
        <item x="4874"/>
        <item x="489"/>
        <item x="3076"/>
        <item x="4269"/>
        <item x="2952"/>
        <item x="484"/>
        <item x="3948"/>
        <item x="617"/>
        <item x="1114"/>
        <item x="559"/>
        <item x="248"/>
        <item x="1817"/>
        <item x="329"/>
        <item x="2051"/>
        <item x="3389"/>
        <item x="779"/>
        <item x="2283"/>
        <item x="3760"/>
        <item x="2846"/>
        <item x="1742"/>
        <item x="4268"/>
        <item x="956"/>
        <item x="4739"/>
        <item x="3546"/>
        <item x="1782"/>
        <item x="2028"/>
        <item x="1601"/>
        <item x="2333"/>
        <item x="262"/>
        <item x="2987"/>
        <item x="3547"/>
        <item x="1352"/>
        <item x="4472"/>
        <item x="3856"/>
        <item x="3880"/>
        <item x="4839"/>
        <item x="2788"/>
        <item x="2876"/>
        <item x="4876"/>
        <item x="1211"/>
        <item x="913"/>
        <item x="3927"/>
        <item x="2716"/>
        <item x="1449"/>
        <item x="3918"/>
        <item x="3488"/>
        <item x="4945"/>
        <item x="1452"/>
        <item x="4792"/>
        <item x="1219"/>
        <item x="653"/>
        <item x="1234"/>
        <item x="3413"/>
        <item x="4437"/>
        <item x="728"/>
        <item x="4738"/>
        <item x="4890"/>
        <item x="2292"/>
        <item x="135"/>
        <item x="2072"/>
        <item x="3503"/>
        <item x="2971"/>
        <item x="2341"/>
        <item x="4734"/>
        <item x="317"/>
        <item x="3622"/>
        <item x="4802"/>
        <item x="1780"/>
        <item x="1405"/>
        <item x="1514"/>
        <item x="2815"/>
        <item x="1438"/>
        <item x="3287"/>
        <item x="551"/>
        <item x="2471"/>
        <item x="3382"/>
        <item x="1736"/>
        <item x="2450"/>
        <item x="3478"/>
        <item x="2661"/>
        <item x="1685"/>
        <item x="1895"/>
        <item x="4428"/>
        <item x="346"/>
        <item x="1529"/>
        <item x="3736"/>
        <item x="2756"/>
        <item x="3614"/>
        <item x="1011"/>
        <item x="961"/>
        <item x="2564"/>
        <item x="4473"/>
        <item x="465"/>
        <item x="4178"/>
        <item x="1554"/>
        <item x="2019"/>
        <item x="2792"/>
        <item x="2937"/>
        <item x="2659"/>
        <item x="2415"/>
        <item x="3750"/>
        <item x="2396"/>
        <item x="4503"/>
        <item x="3668"/>
        <item x="179"/>
        <item x="2933"/>
        <item x="1091"/>
        <item x="3648"/>
        <item x="1376"/>
        <item x="3727"/>
        <item x="3893"/>
        <item x="3370"/>
        <item x="2690"/>
        <item x="4206"/>
        <item x="163"/>
        <item x="2486"/>
        <item x="2162"/>
        <item x="3541"/>
        <item x="2190"/>
        <item x="1792"/>
        <item x="4470"/>
        <item x="2433"/>
        <item x="1162"/>
        <item x="3528"/>
        <item x="2658"/>
        <item x="4475"/>
        <item x="3429"/>
        <item x="3914"/>
        <item x="4558"/>
        <item x="2353"/>
        <item x="3410"/>
        <item x="3850"/>
        <item x="4772"/>
        <item x="4954"/>
        <item x="1116"/>
        <item x="2850"/>
        <item x="3035"/>
        <item x="648"/>
        <item x="3916"/>
        <item x="1199"/>
        <item x="2522"/>
        <item x="3009"/>
        <item x="943"/>
        <item x="2104"/>
        <item x="1137"/>
        <item x="176"/>
        <item x="312"/>
        <item x="4804"/>
        <item x="4356"/>
        <item x="3298"/>
        <item x="604"/>
        <item x="1743"/>
        <item x="3040"/>
        <item x="4438"/>
        <item x="1239"/>
        <item x="3516"/>
        <item x="502"/>
        <item x="1394"/>
        <item x="2451"/>
        <item x="643"/>
        <item x="3102"/>
        <item x="181"/>
        <item x="450"/>
        <item x="2760"/>
        <item x="1579"/>
        <item x="2688"/>
        <item x="3796"/>
        <item x="1799"/>
        <item x="2800"/>
        <item x="3834"/>
        <item x="808"/>
        <item x="2529"/>
        <item x="198"/>
        <item x="1575"/>
        <item x="3710"/>
        <item x="716"/>
        <item x="2990"/>
        <item x="2013"/>
        <item x="4951"/>
        <item x="3970"/>
        <item x="3253"/>
        <item x="2894"/>
        <item x="2722"/>
        <item x="1513"/>
        <item x="1763"/>
        <item x="1432"/>
        <item x="3122"/>
        <item x="801"/>
        <item x="1056"/>
        <item x="4151"/>
        <item x="3567"/>
        <item x="3161"/>
        <item x="725"/>
        <item x="1761"/>
        <item x="99"/>
        <item x="632"/>
        <item x="4857"/>
        <item x="1775"/>
        <item x="1950"/>
        <item x="4930"/>
        <item x="264"/>
        <item x="3826"/>
        <item x="1945"/>
        <item x="2237"/>
        <item x="2848"/>
        <item x="3684"/>
        <item x="3988"/>
        <item x="4159"/>
        <item x="2047"/>
        <item x="3897"/>
        <item x="2045"/>
        <item x="901"/>
        <item x="2157"/>
        <item x="4037"/>
        <item x="2978"/>
        <item x="1897"/>
        <item x="223"/>
        <item x="4116"/>
        <item x="1363"/>
        <item x="2289"/>
        <item x="4548"/>
        <item x="4476"/>
        <item x="1758"/>
        <item x="2343"/>
        <item x="1805"/>
        <item x="3396"/>
        <item x="1309"/>
        <item x="3281"/>
        <item x="3915"/>
        <item x="1962"/>
        <item x="1408"/>
        <item x="1957"/>
        <item x="3174"/>
        <item x="2670"/>
        <item x="572"/>
        <item x="3426"/>
        <item x="4873"/>
        <item x="1618"/>
        <item x="2633"/>
        <item x="1406"/>
        <item x="804"/>
        <item x="401"/>
        <item x="1417"/>
        <item x="2652"/>
        <item x="3266"/>
        <item x="3550"/>
        <item x="445"/>
        <item x="1723"/>
        <item x="1815"/>
        <item x="1917"/>
        <item x="3644"/>
        <item x="3686"/>
        <item x="2004"/>
        <item x="3104"/>
        <item x="224"/>
        <item x="1766"/>
        <item x="4305"/>
        <item x="3998"/>
        <item x="4554"/>
        <item x="1564"/>
        <item x="4422"/>
        <item x="4700"/>
        <item x="1485"/>
        <item x="4564"/>
        <item x="1048"/>
        <item x="4601"/>
        <item x="1476"/>
        <item x="2492"/>
        <item x="4827"/>
        <item x="4485"/>
        <item x="133"/>
        <item x="2771"/>
        <item x="3460"/>
        <item x="1373"/>
        <item x="73"/>
        <item x="2136"/>
        <item x="4869"/>
        <item x="4154"/>
        <item x="4698"/>
        <item x="2887"/>
        <item x="964"/>
        <item x="3099"/>
        <item x="2084"/>
        <item x="3802"/>
        <item x="3858"/>
        <item x="2831"/>
        <item x="1245"/>
        <item x="1813"/>
        <item x="2915"/>
        <item x="4815"/>
        <item x="4185"/>
        <item x="1708"/>
        <item x="303"/>
        <item x="3110"/>
        <item x="1902"/>
        <item x="1605"/>
        <item x="2859"/>
        <item x="4939"/>
        <item x="1028"/>
        <item x="335"/>
        <item x="2335"/>
        <item x="4606"/>
        <item x="3344"/>
        <item x="58"/>
        <item x="3781"/>
        <item x="2881"/>
        <item x="2965"/>
        <item x="1076"/>
        <item x="1788"/>
        <item x="4822"/>
        <item x="2387"/>
        <item x="103"/>
        <item x="155"/>
        <item x="1533"/>
        <item x="2135"/>
        <item x="4679"/>
        <item x="1125"/>
        <item x="536"/>
        <item x="3744"/>
        <item x="1369"/>
        <item x="626"/>
        <item x="3423"/>
        <item x="866"/>
        <item x="1779"/>
        <item x="2098"/>
        <item x="4498"/>
        <item x="1018"/>
        <item x="1914"/>
        <item x="662"/>
        <item x="4622"/>
        <item x="4844"/>
        <item x="1669"/>
        <item x="2580"/>
        <item x="4228"/>
        <item x="2241"/>
        <item x="4105"/>
        <item x="3295"/>
        <item x="2754"/>
        <item x="4188"/>
        <item x="2250"/>
        <item x="4865"/>
        <item x="4052"/>
        <item x="2819"/>
        <item x="2161"/>
        <item x="64"/>
        <item x="82"/>
        <item x="2290"/>
        <item x="2847"/>
        <item x="25"/>
        <item x="2280"/>
        <item x="4891"/>
        <item x="333"/>
        <item x="4566"/>
        <item x="3021"/>
        <item x="2824"/>
        <item x="715"/>
        <item x="3262"/>
        <item x="2044"/>
        <item x="3270"/>
        <item x="4493"/>
        <item x="4112"/>
        <item x="666"/>
        <item x="2141"/>
        <item x="3486"/>
        <item x="2397"/>
        <item x="3523"/>
        <item x="1277"/>
        <item x="174"/>
        <item x="1127"/>
        <item x="4418"/>
        <item x="3079"/>
        <item x="1943"/>
        <item x="61"/>
        <item x="1847"/>
        <item x="4768"/>
        <item x="3628"/>
        <item x="4285"/>
        <item x="3825"/>
        <item x="4138"/>
        <item x="2998"/>
        <item x="2089"/>
        <item x="4164"/>
        <item x="4393"/>
        <item x="266"/>
        <item x="4157"/>
        <item x="781"/>
        <item x="2169"/>
        <item x="3590"/>
        <item x="3329"/>
        <item x="3385"/>
        <item x="161"/>
        <item x="1416"/>
        <item x="2263"/>
        <item x="148"/>
        <item x="208"/>
        <item x="2626"/>
        <item x="3587"/>
        <item x="3709"/>
        <item x="4126"/>
        <item x="178"/>
        <item x="3157"/>
        <item x="3958"/>
        <item x="3041"/>
        <item x="708"/>
        <item x="3803"/>
        <item x="791"/>
        <item x="1837"/>
        <item x="3978"/>
        <item x="2060"/>
        <item x="4132"/>
        <item x="4897"/>
        <item x="4325"/>
        <item x="393"/>
        <item x="3925"/>
        <item x="1596"/>
        <item x="4561"/>
        <item x="3577"/>
        <item x="1909"/>
        <item x="4697"/>
        <item x="1794"/>
        <item x="1688"/>
        <item x="3466"/>
        <item x="2678"/>
        <item x="3879"/>
        <item x="840"/>
        <item x="1263"/>
        <item x="4757"/>
        <item x="3145"/>
        <item x="3339"/>
        <item x="3369"/>
        <item x="3180"/>
        <item x="930"/>
        <item x="633"/>
        <item x="372"/>
        <item x="4893"/>
        <item x="2794"/>
        <item x="4046"/>
        <item x="3812"/>
        <item x="882"/>
        <item x="4632"/>
        <item x="1025"/>
        <item x="2362"/>
        <item x="1040"/>
        <item x="4074"/>
        <item x="4535"/>
        <item x="1334"/>
        <item x="3006"/>
        <item x="2941"/>
        <item x="4380"/>
        <item x="1656"/>
        <item x="4219"/>
        <item x="361"/>
        <item x="187"/>
        <item x="3063"/>
        <item x="3111"/>
        <item x="1058"/>
        <item x="2888"/>
        <item x="1526"/>
        <item x="1804"/>
        <item x="665"/>
        <item x="4841"/>
        <item x="59"/>
        <item x="4481"/>
        <item x="4649"/>
        <item x="4373"/>
        <item x="167"/>
        <item x="3647"/>
        <item x="4216"/>
        <item x="2820"/>
        <item x="938"/>
        <item x="3987"/>
        <item x="3820"/>
        <item x="3638"/>
        <item x="392"/>
        <item x="702"/>
        <item x="902"/>
        <item x="4782"/>
        <item x="3756"/>
        <item x="3809"/>
        <item x="1569"/>
        <item x="506"/>
        <item x="3511"/>
        <item x="1307"/>
        <item x="3960"/>
        <item x="696"/>
        <item x="3974"/>
        <item x="4611"/>
        <item x="1335"/>
        <item x="4414"/>
        <item x="2453"/>
        <item x="1591"/>
        <item x="1984"/>
        <item x="238"/>
        <item x="4868"/>
        <item x="1840"/>
        <item x="807"/>
        <item x="4778"/>
        <item x="4082"/>
        <item x="3677"/>
        <item x="1619"/>
        <item x="1703"/>
        <item x="233"/>
        <item x="1341"/>
        <item x="1978"/>
        <item x="3780"/>
        <item x="4394"/>
        <item x="1609"/>
        <item x="3072"/>
        <item x="3545"/>
        <item x="1646"/>
        <item x="2320"/>
        <item x="4186"/>
        <item x="3469"/>
        <item x="3402"/>
        <item x="3852"/>
        <item x="1686"/>
        <item x="565"/>
        <item x="1299"/>
        <item x="3207"/>
        <item x="3967"/>
        <item x="2347"/>
        <item x="4440"/>
        <item x="4811"/>
        <item x="3184"/>
        <item x="433"/>
        <item x="625"/>
        <item x="3685"/>
        <item x="4016"/>
        <item x="3553"/>
        <item x="1830"/>
        <item x="298"/>
        <item x="1532"/>
        <item x="205"/>
        <item x="2715"/>
        <item x="658"/>
        <item x="606"/>
        <item x="3968"/>
        <item x="357"/>
        <item x="3810"/>
        <item x="4666"/>
        <item x="4212"/>
        <item x="1399"/>
        <item x="3611"/>
        <item x="3748"/>
        <item x="3422"/>
        <item x="4348"/>
        <item x="183"/>
        <item x="4058"/>
        <item x="989"/>
        <item x="542"/>
        <item x="3774"/>
        <item x="1881"/>
        <item x="2001"/>
        <item x="1738"/>
        <item x="3430"/>
        <item x="526"/>
        <item x="4184"/>
        <item x="1899"/>
        <item x="151"/>
        <item x="3642"/>
        <item x="752"/>
        <item x="4659"/>
        <item x="2442"/>
        <item x="3356"/>
        <item x="1318"/>
        <item x="2181"/>
        <item x="2469"/>
        <item x="2204"/>
        <item x="1126"/>
        <item x="646"/>
        <item x="3399"/>
        <item x="1733"/>
        <item x="844"/>
        <item x="2339"/>
        <item x="892"/>
        <item x="3996"/>
        <item x="3786"/>
        <item x="1751"/>
        <item x="2924"/>
        <item x="4474"/>
        <item x="2735"/>
        <item x="1722"/>
        <item x="2502"/>
        <item x="1808"/>
        <item x="4063"/>
        <item x="4319"/>
        <item x="3702"/>
        <item x="4256"/>
        <item x="4900"/>
        <item x="408"/>
        <item x="1985"/>
        <item x="980"/>
        <item x="737"/>
        <item x="4883"/>
        <item x="4355"/>
        <item x="3172"/>
        <item x="315"/>
        <item x="211"/>
        <item x="2449"/>
        <item x="1831"/>
        <item x="876"/>
        <item x="4913"/>
        <item x="345"/>
        <item x="2644"/>
        <item x="916"/>
        <item x="4361"/>
        <item x="4850"/>
        <item x="1803"/>
        <item x="363"/>
        <item x="2494"/>
        <item x="2827"/>
        <item x="3019"/>
        <item x="1189"/>
        <item x="3869"/>
        <item x="759"/>
        <item x="3286"/>
        <item x="1502"/>
        <item x="1759"/>
        <item x="1279"/>
        <item x="1567"/>
        <item x="2949"/>
        <item x="2517"/>
        <item x="4810"/>
        <item x="2950"/>
        <item x="2534"/>
        <item x="2163"/>
        <item x="1138"/>
        <item x="3620"/>
        <item x="1332"/>
        <item x="3069"/>
        <item x="1952"/>
        <item x="853"/>
        <item x="4656"/>
        <item x="3025"/>
        <item x="2917"/>
        <item x="4040"/>
        <item x="3443"/>
        <item x="1781"/>
        <item x="577"/>
        <item x="1421"/>
        <item x="1303"/>
        <item x="2394"/>
        <item x="136"/>
        <item x="4809"/>
        <item x="150"/>
        <item x="3048"/>
        <item x="4630"/>
        <item x="4532"/>
        <item x="3589"/>
        <item x="3158"/>
        <item x="1372"/>
        <item x="3282"/>
        <item x="1045"/>
        <item x="2532"/>
        <item x="4280"/>
        <item x="4281"/>
        <item x="1087"/>
        <item x="270"/>
        <item x="635"/>
        <item x="2711"/>
        <item x="2649"/>
        <item x="1141"/>
        <item x="2514"/>
        <item x="4025"/>
        <item x="1692"/>
        <item x="3708"/>
        <item x="3461"/>
        <item x="1206"/>
        <item x="851"/>
        <item x="4213"/>
        <item x="320"/>
        <item x="2491"/>
        <item x="1776"/>
        <item x="1446"/>
        <item x="111"/>
        <item x="1304"/>
        <item x="774"/>
        <item x="4880"/>
        <item x="314"/>
        <item x="2676"/>
        <item x="2016"/>
        <item x="362"/>
        <item x="1777"/>
        <item x="342"/>
        <item x="1319"/>
        <item x="4434"/>
        <item x="890"/>
        <item x="3532"/>
        <item x="1140"/>
        <item x="1111"/>
        <item x="538"/>
        <item x="2515"/>
        <item x="1659"/>
        <item x="2243"/>
        <item x="4129"/>
        <item x="2311"/>
        <item x="3682"/>
        <item x="1400"/>
        <item x="1150"/>
        <item x="3047"/>
        <item x="3094"/>
        <item x="3133"/>
        <item x="1886"/>
        <item x="4433"/>
        <item x="4931"/>
        <item x="296"/>
        <item x="4712"/>
        <item x="3445"/>
        <item x="1545"/>
        <item x="41"/>
        <item x="31"/>
        <item x="517"/>
        <item x="4141"/>
        <item x="3095"/>
        <item x="375"/>
        <item x="17"/>
        <item x="4690"/>
        <item x="1906"/>
        <item x="4030"/>
        <item x="4468"/>
        <item x="2980"/>
        <item x="175"/>
        <item x="3982"/>
        <item x="660"/>
        <item x="2753"/>
        <item x="2994"/>
        <item x="95"/>
        <item x="4130"/>
        <item x="3049"/>
        <item x="2279"/>
        <item x="1969"/>
        <item x="1727"/>
        <item x="831"/>
        <item x="2434"/>
        <item x="1404"/>
        <item x="1175"/>
        <item x="3376"/>
        <item x="4575"/>
        <item x="4511"/>
        <item x="874"/>
        <item x="1826"/>
        <item x="4859"/>
        <item x="1173"/>
        <item x="2535"/>
        <item x="3936"/>
        <item x="1746"/>
        <item x="3795"/>
        <item x="4172"/>
        <item x="467"/>
        <item x="1996"/>
        <item x="2110"/>
        <item x="3564"/>
        <item x="2981"/>
        <item x="1562"/>
        <item x="2277"/>
        <item x="2765"/>
        <item x="3407"/>
        <item x="736"/>
        <item x="2194"/>
        <item x="3494"/>
        <item x="1931"/>
        <item x="809"/>
        <item x="1086"/>
        <item x="3405"/>
        <item x="261"/>
        <item x="3519"/>
        <item x="1085"/>
        <item x="4435"/>
        <item x="1170"/>
        <item x="4530"/>
        <item x="4152"/>
        <item x="4641"/>
        <item x="3588"/>
        <item x="1868"/>
        <item x="893"/>
        <item x="227"/>
        <item x="3204"/>
        <item x="2354"/>
        <item x="2951"/>
        <item x="521"/>
        <item x="39"/>
        <item x="4215"/>
        <item x="3312"/>
        <item x="1638"/>
        <item x="2623"/>
        <item x="2913"/>
        <item x="2900"/>
        <item x="2068"/>
        <item x="1760"/>
        <item x="2460"/>
        <item x="2038"/>
        <item x="1027"/>
        <item x="1585"/>
        <item x="4270"/>
        <item x="1756"/>
        <item x="1954"/>
        <item x="2698"/>
        <item x="2533"/>
        <item x="3125"/>
        <item x="1062"/>
        <item x="189"/>
        <item x="4894"/>
        <item x="994"/>
        <item x="3027"/>
        <item x="811"/>
        <item x="2475"/>
        <item x="4520"/>
        <item x="4615"/>
        <item x="1606"/>
        <item x="2618"/>
        <item x="4419"/>
        <item x="3565"/>
        <item x="4108"/>
        <item x="3895"/>
        <item x="1929"/>
        <item x="2076"/>
        <item x="1205"/>
        <item x="1264"/>
        <item x="4490"/>
        <item x="2750"/>
        <item x="134"/>
        <item x="2935"/>
        <item x="2043"/>
        <item x="3159"/>
        <item x="156"/>
        <item x="4733"/>
        <item x="993"/>
        <item x="1730"/>
        <item x="4109"/>
        <item x="2023"/>
        <item x="447"/>
        <item x="3392"/>
        <item x="321"/>
        <item x="2122"/>
        <item x="2432"/>
        <item x="4253"/>
        <item x="3631"/>
        <item x="3240"/>
        <item x="3793"/>
        <item x="3462"/>
        <item x="2828"/>
        <item x="2864"/>
        <item x="4607"/>
        <item x="1524"/>
        <item x="1658"/>
        <item x="1953"/>
        <item x="1222"/>
        <item x="3406"/>
        <item x="2393"/>
        <item x="3476"/>
        <item x="3097"/>
        <item x="793"/>
        <item x="4537"/>
        <item x="1470"/>
        <item x="2845"/>
        <item x="376"/>
        <item x="3123"/>
        <item x="2296"/>
        <item x="3241"/>
        <item x="2055"/>
        <item x="2327"/>
        <item x="3520"/>
        <item x="130"/>
        <item x="3591"/>
        <item x="1422"/>
        <item x="313"/>
        <item x="3283"/>
        <item x="568"/>
        <item x="414"/>
        <item x="2898"/>
        <item x="4732"/>
        <item x="513"/>
        <item x="2702"/>
        <item x="2513"/>
        <item x="4299"/>
        <item x="4960"/>
        <item x="1112"/>
        <item x="4639"/>
        <item x="83"/>
        <item x="2214"/>
        <item x="30"/>
        <item x="4766"/>
        <item x="652"/>
        <item x="1823"/>
        <item x="2328"/>
        <item x="1925"/>
        <item x="4333"/>
        <item x="2242"/>
        <item x="1384"/>
        <item x="2192"/>
        <item x="3363"/>
        <item x="3777"/>
        <item x="2582"/>
        <item x="1401"/>
        <item x="3775"/>
        <item x="678"/>
        <item x="875"/>
        <item x="1469"/>
        <item x="3182"/>
        <item x="2969"/>
        <item x="3663"/>
        <item x="1443"/>
        <item x="4944"/>
        <item x="1644"/>
        <item x="3857"/>
        <item x="4251"/>
        <item x="4447"/>
        <item x="316"/>
        <item x="2261"/>
        <item x="1995"/>
        <item x="1172"/>
        <item x="2723"/>
        <item x="4947"/>
        <item x="4510"/>
        <item x="2531"/>
        <item x="1031"/>
        <item x="3929"/>
        <item x="4594"/>
        <item x="3044"/>
        <item x="4467"/>
        <item x="1691"/>
        <item x="3029"/>
        <item x="4958"/>
        <item x="2466"/>
        <item x="1563"/>
        <item x="2825"/>
        <item x="416"/>
        <item x="1071"/>
        <item x="1966"/>
        <item x="3447"/>
        <item x="2294"/>
        <item x="2435"/>
        <item x="3419"/>
        <item x="2879"/>
        <item x="4743"/>
        <item x="3028"/>
        <item x="2196"/>
        <item x="3568"/>
        <item x="1907"/>
        <item x="1427"/>
        <item x="4512"/>
        <item x="3510"/>
        <item x="1448"/>
        <item x="4153"/>
        <item x="1168"/>
        <item x="2714"/>
        <item x="1521"/>
        <item x="2752"/>
        <item x="3446"/>
        <item x="2039"/>
        <item x="515"/>
        <item x="4079"/>
        <item x="63"/>
        <item x="2166"/>
        <item x="1724"/>
        <item x="510"/>
        <item x="4175"/>
        <item x="1302"/>
        <item x="2964"/>
        <item x="3935"/>
        <item x="3348"/>
        <item x="3868"/>
        <item x="789"/>
        <item x="2638"/>
        <item x="3605"/>
        <item x="2366"/>
        <item x="3923"/>
        <item x="1622"/>
        <item x="4878"/>
        <item x="4065"/>
        <item x="3390"/>
        <item x="1725"/>
        <item x="4786"/>
        <item x="3350"/>
        <item x="2914"/>
        <item x="1574"/>
        <item x="15"/>
        <item x="772"/>
        <item x="2179"/>
        <item x="3926"/>
        <item x="3619"/>
        <item x="4538"/>
        <item x="297"/>
        <item x="567"/>
        <item x="2148"/>
        <item x="1607"/>
        <item x="1885"/>
        <item x="939"/>
        <item x="3404"/>
        <item x="3618"/>
        <item x="4107"/>
        <item x="1489"/>
        <item x="1468"/>
        <item x="2939"/>
        <item x="2877"/>
        <item x="685"/>
        <item x="3811"/>
        <item x="4002"/>
        <item x="3242"/>
        <item x="1503"/>
        <item x="1546"/>
        <item x="4118"/>
        <item x="1292"/>
        <item x="654"/>
        <item x="1423"/>
        <item x="1487"/>
        <item x="4784"/>
        <item x="3924"/>
        <item x="2075"/>
        <item x="4718"/>
        <item x="1744"/>
        <item x="411"/>
        <item x="3905"/>
        <item x="4489"/>
        <item x="4235"/>
        <item x="4469"/>
        <item x="2895"/>
        <item x="2463"/>
        <item x="1285"/>
        <item x="2936"/>
        <item x="1745"/>
        <item x="4902"/>
        <item x="2725"/>
        <item x="2464"/>
        <item x="4142"/>
        <item x="3477"/>
        <item x="1266"/>
        <item x="2558"/>
        <item x="1169"/>
        <item x="1123"/>
        <item x="1825"/>
        <item x="3823"/>
        <item x="2213"/>
        <item x="3883"/>
        <item x="78"/>
        <item x="4755"/>
        <item x="4214"/>
        <item x="4631"/>
        <item x="4174"/>
        <item x="1193"/>
        <item x="4375"/>
        <item x="2797"/>
        <item x="4694"/>
        <item x="2650"/>
        <item x="3279"/>
        <item x="461"/>
        <item x="2802"/>
        <item x="3632"/>
        <item x="4128"/>
        <item x="3670"/>
        <item x="591"/>
        <item x="2264"/>
        <item x="4837"/>
        <item x="1584"/>
        <item x="221"/>
        <item x="327"/>
        <item x="2799"/>
        <item x="2137"/>
        <item x="3280"/>
        <item x="1643"/>
        <item x="4412"/>
        <item x="1641"/>
        <item x="2666"/>
        <item x="4446"/>
        <item x="3698"/>
        <item x="761"/>
        <item x="1979"/>
        <item x="4051"/>
        <item x="2245"/>
        <item x="4491"/>
        <item x="2378"/>
        <item x="9"/>
        <item x="862"/>
        <item x="2067"/>
        <item x="4224"/>
        <item x="285"/>
        <item x="1568"/>
        <item x="4316"/>
        <item x="159"/>
        <item x="2215"/>
        <item x="3512"/>
        <item x="2401"/>
        <item x="4279"/>
        <item x="1854"/>
        <item x="4711"/>
        <item x="688"/>
        <item x="1204"/>
        <item x="4847"/>
        <item x="3327"/>
        <item x="3227"/>
        <item x="847"/>
        <item x="1176"/>
        <item x="2278"/>
        <item x="1105"/>
        <item x="4595"/>
        <item x="4386"/>
        <item x="2548"/>
        <item x="3813"/>
        <item x="4767"/>
        <item x="2912"/>
        <item x="4946"/>
        <item x="861"/>
        <item x="3534"/>
        <item x="3299"/>
        <item x="2621"/>
        <item x="2036"/>
        <item x="2516"/>
        <item x="4693"/>
        <item x="1617"/>
        <item x="3761"/>
        <item x="2916"/>
        <item x="2843"/>
        <item x="4605"/>
        <item x="3662"/>
        <item x="3420"/>
        <item x="4640"/>
        <item x="4411"/>
        <item x="1994"/>
        <item x="4272"/>
        <item x="2701"/>
        <item x="2418"/>
        <item x="1707"/>
        <item x="2309"/>
        <item x="1191"/>
        <item x="4785"/>
        <item x="413"/>
        <item x="1908"/>
        <item x="3535"/>
        <item x="87"/>
        <item x="4882"/>
        <item x="1402"/>
        <item x="1998"/>
        <item x="2677"/>
        <item x="3081"/>
        <item t="default"/>
      </items>
    </pivotField>
    <pivotField showAll="0"/>
    <pivotField showAll="0"/>
    <pivotField axis="axisRow" showAll="0">
      <items count="3">
        <item x="1"/>
        <item x="0"/>
        <item t="default"/>
      </items>
    </pivotField>
  </pivotFields>
  <rowFields count="2">
    <field x="8"/>
    <field x="1"/>
  </rowFields>
  <rowItems count="5">
    <i>
      <x/>
    </i>
    <i r="1">
      <x v="3"/>
    </i>
    <i>
      <x v="1"/>
    </i>
    <i r="1">
      <x v="3"/>
    </i>
    <i t="grand">
      <x/>
    </i>
  </rowItems>
  <colFields count="1">
    <field x="-2"/>
  </colFields>
  <colItems count="2">
    <i>
      <x/>
    </i>
    <i i="1">
      <x v="1"/>
    </i>
  </colItems>
  <dataFields count="2">
    <dataField name="Actual " fld="5" baseField="0" baseItem="0" numFmtId="3"/>
    <dataField name="Budget " fld="4" baseField="0" baseItem="0" numFmtId="3"/>
  </dataFields>
  <chartFormats count="6">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BAE0B-17E2-44EA-9371-A79D43CCCC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2:C48" firstHeaderRow="0" firstDataRow="1" firstDataCol="1"/>
  <pivotFields count="9">
    <pivotField numFmtId="165" showAll="0"/>
    <pivotField showAll="0">
      <items count="13">
        <item h="1" x="0"/>
        <item h="1" x="1"/>
        <item h="1" x="2"/>
        <item x="3"/>
        <item h="1" x="4"/>
        <item h="1" x="5"/>
        <item h="1" x="6"/>
        <item h="1" x="7"/>
        <item h="1" x="8"/>
        <item h="1" x="9"/>
        <item h="1" x="10"/>
        <item h="1" x="11"/>
        <item t="default"/>
      </items>
    </pivotField>
    <pivotField showAll="0">
      <items count="9">
        <item x="7"/>
        <item x="4"/>
        <item x="5"/>
        <item x="3"/>
        <item x="6"/>
        <item x="1"/>
        <item x="0"/>
        <item x="2"/>
        <item t="default"/>
      </items>
    </pivotField>
    <pivotField axis="axisRow" showAll="0" sortType="ascending">
      <items count="6">
        <item x="4"/>
        <item x="2"/>
        <item x="3"/>
        <item x="0"/>
        <item x="1"/>
        <item t="default"/>
      </items>
      <autoSortScope>
        <pivotArea dataOnly="0" outline="0" fieldPosition="0">
          <references count="1">
            <reference field="4294967294" count="1" selected="0">
              <x v="0"/>
            </reference>
          </references>
        </pivotArea>
      </autoSortScope>
    </pivotField>
    <pivotField dataField="1" numFmtId="3" showAll="0">
      <items count="4864">
        <item x="2749"/>
        <item x="2461"/>
        <item x="2640"/>
        <item x="214"/>
        <item x="4459"/>
        <item x="4371"/>
        <item x="3218"/>
        <item x="1409"/>
        <item x="4842"/>
        <item x="4663"/>
        <item x="2563"/>
        <item x="2808"/>
        <item x="998"/>
        <item x="3416"/>
        <item x="1377"/>
        <item x="2865"/>
        <item x="2094"/>
        <item x="2191"/>
        <item x="1577"/>
        <item x="383"/>
        <item x="3632"/>
        <item x="2501"/>
        <item x="2493"/>
        <item x="1334"/>
        <item x="1153"/>
        <item x="1156"/>
        <item x="1000"/>
        <item x="4452"/>
        <item x="331"/>
        <item x="937"/>
        <item x="3743"/>
        <item x="2483"/>
        <item x="1429"/>
        <item x="2223"/>
        <item x="4109"/>
        <item x="1301"/>
        <item x="4533"/>
        <item x="4440"/>
        <item x="2157"/>
        <item x="4318"/>
        <item x="1616"/>
        <item x="662"/>
        <item x="4719"/>
        <item x="4115"/>
        <item x="867"/>
        <item x="399"/>
        <item x="3444"/>
        <item x="3893"/>
        <item x="4020"/>
        <item x="2298"/>
        <item x="4348"/>
        <item x="2337"/>
        <item x="4496"/>
        <item x="4336"/>
        <item x="4773"/>
        <item x="4813"/>
        <item x="2003"/>
        <item x="4138"/>
        <item x="432"/>
        <item x="2620"/>
        <item x="4304"/>
        <item x="2301"/>
        <item x="2066"/>
        <item x="2556"/>
        <item x="2091"/>
        <item x="3138"/>
        <item x="1533"/>
        <item x="1510"/>
        <item x="747"/>
        <item x="2543"/>
        <item x="1047"/>
        <item x="2854"/>
        <item x="581"/>
        <item x="2338"/>
        <item x="3148"/>
        <item x="4235"/>
        <item x="3779"/>
        <item x="2756"/>
        <item x="4614"/>
        <item x="2639"/>
        <item x="2082"/>
        <item x="3090"/>
        <item x="1831"/>
        <item x="1014"/>
        <item x="3752"/>
        <item x="1210"/>
        <item x="4735"/>
        <item x="3699"/>
        <item x="1738"/>
        <item x="4378"/>
        <item x="1264"/>
        <item x="2482"/>
        <item x="333"/>
        <item x="2227"/>
        <item x="3684"/>
        <item x="612"/>
        <item x="2856"/>
        <item x="323"/>
        <item x="4600"/>
        <item x="1814"/>
        <item x="2716"/>
        <item x="3074"/>
        <item x="4221"/>
        <item x="2248"/>
        <item x="93"/>
        <item x="1597"/>
        <item x="2566"/>
        <item x="3202"/>
        <item x="3496"/>
        <item x="2872"/>
        <item x="4582"/>
        <item x="1617"/>
        <item x="3420"/>
        <item x="4829"/>
        <item x="3960"/>
        <item x="3222"/>
        <item x="3848"/>
        <item x="3233"/>
        <item x="3970"/>
        <item x="4009"/>
        <item x="3447"/>
        <item x="3462"/>
        <item x="2158"/>
        <item x="4111"/>
        <item x="4761"/>
        <item x="2302"/>
        <item x="3579"/>
        <item x="797"/>
        <item x="1159"/>
        <item x="3735"/>
        <item x="873"/>
        <item x="22"/>
        <item x="2647"/>
        <item x="1700"/>
        <item x="3951"/>
        <item x="405"/>
        <item x="3458"/>
        <item x="3623"/>
        <item x="3526"/>
        <item x="1639"/>
        <item x="3129"/>
        <item x="241"/>
        <item x="4607"/>
        <item x="782"/>
        <item x="4492"/>
        <item x="3230"/>
        <item x="1782"/>
        <item x="3143"/>
        <item x="2609"/>
        <item x="2229"/>
        <item x="2532"/>
        <item x="1416"/>
        <item x="3808"/>
        <item x="4097"/>
        <item x="977"/>
        <item x="1956"/>
        <item x="335"/>
        <item x="3097"/>
        <item x="2704"/>
        <item x="1527"/>
        <item x="3221"/>
        <item x="4067"/>
        <item x="3729"/>
        <item x="2484"/>
        <item x="1973"/>
        <item x="4024"/>
        <item x="3396"/>
        <item x="4150"/>
        <item x="2312"/>
        <item x="2713"/>
        <item x="3766"/>
        <item x="2423"/>
        <item x="4060"/>
        <item x="1980"/>
        <item x="2666"/>
        <item x="1030"/>
        <item x="1740"/>
        <item x="1270"/>
        <item x="2403"/>
        <item x="4392"/>
        <item x="1331"/>
        <item x="3728"/>
        <item x="4690"/>
        <item x="1977"/>
        <item x="2603"/>
        <item x="4081"/>
        <item x="815"/>
        <item x="2202"/>
        <item x="1678"/>
        <item x="4075"/>
        <item x="2982"/>
        <item x="1212"/>
        <item x="2619"/>
        <item x="4073"/>
        <item x="3530"/>
        <item x="4832"/>
        <item x="2873"/>
        <item x="3720"/>
        <item x="4788"/>
        <item x="4720"/>
        <item x="2289"/>
        <item x="1766"/>
        <item x="4083"/>
        <item x="3101"/>
        <item x="28"/>
        <item x="2830"/>
        <item x="1621"/>
        <item x="1598"/>
        <item x="2320"/>
        <item x="1227"/>
        <item x="2734"/>
        <item x="2179"/>
        <item x="3011"/>
        <item x="3087"/>
        <item x="92"/>
        <item x="3239"/>
        <item x="3298"/>
        <item x="1897"/>
        <item x="4796"/>
        <item x="4144"/>
        <item x="742"/>
        <item x="2445"/>
        <item x="2004"/>
        <item x="1656"/>
        <item x="3817"/>
        <item x="3687"/>
        <item x="3428"/>
        <item x="1432"/>
        <item x="309"/>
        <item x="4615"/>
        <item x="1284"/>
        <item x="1214"/>
        <item x="4590"/>
        <item x="2791"/>
        <item x="3824"/>
        <item x="4331"/>
        <item x="4366"/>
        <item x="89"/>
        <item x="3256"/>
        <item x="4149"/>
        <item x="1514"/>
        <item x="2322"/>
        <item x="3453"/>
        <item x="2595"/>
        <item x="2588"/>
        <item x="3346"/>
        <item x="3188"/>
        <item x="835"/>
        <item x="1575"/>
        <item x="657"/>
        <item x="4499"/>
        <item x="2350"/>
        <item x="1856"/>
        <item x="4142"/>
        <item x="332"/>
        <item x="1888"/>
        <item x="471"/>
        <item x="4324"/>
        <item x="2143"/>
        <item x="4802"/>
        <item x="2407"/>
        <item x="3340"/>
        <item x="3978"/>
        <item x="3161"/>
        <item x="4262"/>
        <item x="2955"/>
        <item x="2557"/>
        <item x="623"/>
        <item x="3217"/>
        <item x="1457"/>
        <item x="794"/>
        <item x="1995"/>
        <item x="664"/>
        <item x="472"/>
        <item x="3448"/>
        <item x="2103"/>
        <item x="2540"/>
        <item x="4172"/>
        <item x="1813"/>
        <item x="1792"/>
        <item x="1563"/>
        <item x="926"/>
        <item x="2774"/>
        <item x="974"/>
        <item x="2807"/>
        <item x="522"/>
        <item x="103"/>
        <item x="891"/>
        <item x="1145"/>
        <item x="4232"/>
        <item x="4844"/>
        <item x="4154"/>
        <item x="2836"/>
        <item x="4183"/>
        <item x="210"/>
        <item x="3285"/>
        <item x="4661"/>
        <item x="1511"/>
        <item x="1141"/>
        <item x="4687"/>
        <item x="4676"/>
        <item x="165"/>
        <item x="4745"/>
        <item x="4032"/>
        <item x="415"/>
        <item x="367"/>
        <item x="686"/>
        <item x="2732"/>
        <item x="3832"/>
        <item x="979"/>
        <item x="1833"/>
        <item x="4084"/>
        <item x="2109"/>
        <item x="4162"/>
        <item x="4560"/>
        <item x="3895"/>
        <item x="4016"/>
        <item x="381"/>
        <item x="18"/>
        <item x="3635"/>
        <item x="277"/>
        <item x="2589"/>
        <item x="1333"/>
        <item x="4593"/>
        <item x="3504"/>
        <item x="2144"/>
        <item x="146"/>
        <item x="2600"/>
        <item x="3082"/>
        <item x="4471"/>
        <item x="4157"/>
        <item x="2822"/>
        <item x="4130"/>
        <item x="3902"/>
        <item x="2198"/>
        <item x="2165"/>
        <item x="2323"/>
        <item x="4688"/>
        <item x="1935"/>
        <item x="4278"/>
        <item x="3231"/>
        <item x="147"/>
        <item x="3266"/>
        <item x="964"/>
        <item x="3214"/>
        <item x="4732"/>
        <item x="3418"/>
        <item x="3988"/>
        <item x="4388"/>
        <item x="4605"/>
        <item x="3216"/>
        <item x="2369"/>
        <item x="2675"/>
        <item x="3548"/>
        <item x="4228"/>
        <item x="4611"/>
        <item x="2093"/>
        <item x="4442"/>
        <item x="518"/>
        <item x="1557"/>
        <item x="4726"/>
        <item x="4072"/>
        <item x="1899"/>
        <item x="4642"/>
        <item x="3072"/>
        <item x="1480"/>
        <item x="3652"/>
        <item x="113"/>
        <item x="3198"/>
        <item x="3692"/>
        <item x="3859"/>
        <item x="2193"/>
        <item x="2269"/>
        <item x="554"/>
        <item x="3303"/>
        <item x="4161"/>
        <item x="4380"/>
        <item x="4512"/>
        <item x="338"/>
        <item x="1124"/>
        <item x="2215"/>
        <item x="2744"/>
        <item x="3836"/>
        <item x="3975"/>
        <item x="77"/>
        <item x="412"/>
        <item x="1241"/>
        <item x="4825"/>
        <item x="3939"/>
        <item x="3891"/>
        <item x="2932"/>
        <item x="2658"/>
        <item x="3823"/>
        <item x="3331"/>
        <item x="4100"/>
        <item x="1269"/>
        <item x="1272"/>
        <item x="601"/>
        <item x="2677"/>
        <item x="2441"/>
        <item x="1887"/>
        <item x="3236"/>
        <item x="4465"/>
        <item x="451"/>
        <item x="1587"/>
        <item x="2021"/>
        <item x="1380"/>
        <item x="3020"/>
        <item x="3491"/>
        <item x="1131"/>
        <item x="951"/>
        <item x="1493"/>
        <item x="1181"/>
        <item x="2552"/>
        <item x="3712"/>
        <item x="4803"/>
        <item x="1498"/>
        <item x="3422"/>
        <item x="1364"/>
        <item x="2798"/>
        <item x="1535"/>
        <item x="583"/>
        <item x="3894"/>
        <item x="416"/>
        <item x="644"/>
        <item x="2606"/>
        <item x="3350"/>
        <item x="3629"/>
        <item x="4521"/>
        <item x="3100"/>
        <item x="4140"/>
        <item x="2464"/>
        <item x="749"/>
        <item x="3388"/>
        <item x="3146"/>
        <item x="4502"/>
        <item x="4007"/>
        <item x="3071"/>
        <item x="3965"/>
        <item x="1192"/>
        <item x="3849"/>
        <item x="305"/>
        <item x="2769"/>
        <item x="3645"/>
        <item x="3160"/>
        <item x="3997"/>
        <item x="2040"/>
        <item x="2736"/>
        <item x="2655"/>
        <item x="1428"/>
        <item x="4135"/>
        <item x="3782"/>
        <item x="292"/>
        <item x="2706"/>
        <item x="4654"/>
        <item x="2192"/>
        <item x="1128"/>
        <item x="4610"/>
        <item x="925"/>
        <item x="1763"/>
        <item x="3819"/>
        <item x="2585"/>
        <item x="682"/>
        <item x="2331"/>
        <item x="966"/>
        <item x="2419"/>
        <item x="200"/>
        <item x="512"/>
        <item x="4822"/>
        <item x="2824"/>
        <item x="2905"/>
        <item x="1009"/>
        <item x="4827"/>
        <item x="3126"/>
        <item x="3137"/>
        <item x="468"/>
        <item x="1772"/>
        <item x="2408"/>
        <item x="2131"/>
        <item x="2839"/>
        <item x="796"/>
        <item x="4116"/>
        <item x="231"/>
        <item x="3182"/>
        <item x="3187"/>
        <item x="3633"/>
        <item x="1074"/>
        <item x="2321"/>
        <item x="3989"/>
        <item x="2599"/>
        <item x="3454"/>
        <item x="4250"/>
        <item x="4823"/>
        <item x="3147"/>
        <item x="4123"/>
        <item x="4252"/>
        <item x="3911"/>
        <item x="3634"/>
        <item x="3568"/>
        <item x="3058"/>
        <item x="4599"/>
        <item x="1796"/>
        <item x="948"/>
        <item x="228"/>
        <item x="3549"/>
        <item x="2529"/>
        <item x="4031"/>
        <item x="2653"/>
        <item x="4026"/>
        <item x="4466"/>
        <item x="1050"/>
        <item x="413"/>
        <item x="1506"/>
        <item x="1709"/>
        <item x="3983"/>
        <item x="27"/>
        <item x="4718"/>
        <item x="1314"/>
        <item x="1826"/>
        <item x="3689"/>
        <item x="731"/>
        <item x="2907"/>
        <item x="1715"/>
        <item x="4604"/>
        <item x="1130"/>
        <item x="1546"/>
        <item x="4056"/>
        <item x="6"/>
        <item x="1095"/>
        <item x="500"/>
        <item x="2631"/>
        <item x="781"/>
        <item x="2444"/>
        <item x="3937"/>
        <item x="1461"/>
        <item x="2200"/>
        <item x="4311"/>
        <item x="2177"/>
        <item x="1668"/>
        <item x="3927"/>
        <item x="3191"/>
        <item x="2466"/>
        <item x="2960"/>
        <item x="1749"/>
        <item x="4301"/>
        <item x="3094"/>
        <item x="4526"/>
        <item x="3662"/>
        <item x="4811"/>
        <item x="2780"/>
        <item x="4677"/>
        <item x="3821"/>
        <item x="1048"/>
        <item x="390"/>
        <item x="4774"/>
        <item x="3358"/>
        <item x="1637"/>
        <item x="3487"/>
        <item x="2765"/>
        <item x="3914"/>
        <item x="3136"/>
        <item x="4652"/>
        <item x="2551"/>
        <item x="4341"/>
        <item x="3972"/>
        <item x="1605"/>
        <item x="3605"/>
        <item x="3215"/>
        <item x="2821"/>
        <item x="4326"/>
        <item x="2250"/>
        <item x="4629"/>
        <item x="2344"/>
        <item x="1099"/>
        <item x="4323"/>
        <item x="2583"/>
        <item x="1450"/>
        <item x="3754"/>
        <item x="4464"/>
        <item x="1918"/>
        <item x="3617"/>
        <item x="1556"/>
        <item x="325"/>
        <item x="47"/>
        <item x="697"/>
        <item x="4517"/>
        <item x="369"/>
        <item x="4145"/>
        <item x="372"/>
        <item x="2764"/>
        <item x="3624"/>
        <item x="44"/>
        <item x="166"/>
        <item x="2656"/>
        <item x="1847"/>
        <item x="3252"/>
        <item x="2942"/>
        <item x="3852"/>
        <item x="1154"/>
        <item x="3485"/>
        <item x="3616"/>
        <item x="4795"/>
        <item x="4085"/>
        <item x="2024"/>
        <item x="4626"/>
        <item x="3942"/>
        <item x="2888"/>
        <item x="718"/>
        <item x="463"/>
        <item x="3946"/>
        <item x="3816"/>
        <item x="2912"/>
        <item x="3378"/>
        <item x="1945"/>
        <item x="1160"/>
        <item x="3486"/>
        <item x="2751"/>
        <item x="2688"/>
        <item x="3945"/>
        <item x="3519"/>
        <item x="4418"/>
        <item x="3708"/>
        <item x="3664"/>
        <item x="2967"/>
        <item x="431"/>
        <item x="4522"/>
        <item x="2930"/>
        <item x="3865"/>
        <item x="1281"/>
        <item x="4757"/>
        <item x="1345"/>
        <item x="2906"/>
        <item x="3275"/>
        <item x="638"/>
        <item x="516"/>
        <item x="3006"/>
        <item x="4532"/>
        <item x="2949"/>
        <item x="1215"/>
        <item x="257"/>
        <item x="3013"/>
        <item x="935"/>
        <item x="1819"/>
        <item x="2945"/>
        <item x="3672"/>
        <item x="4685"/>
        <item x="2226"/>
        <item x="3598"/>
        <item x="4772"/>
        <item x="4106"/>
        <item x="4556"/>
        <item x="2902"/>
        <item x="3677"/>
        <item x="4746"/>
        <item x="3744"/>
        <item x="465"/>
        <item x="2237"/>
        <item x="4498"/>
        <item x="833"/>
        <item x="1255"/>
        <item x="1151"/>
        <item x="1689"/>
        <item x="4667"/>
        <item x="2809"/>
        <item x="2161"/>
        <item x="2686"/>
        <item x="3379"/>
        <item x="3394"/>
        <item x="4707"/>
        <item x="1034"/>
        <item x="492"/>
        <item x="3888"/>
        <item x="2630"/>
        <item x="4223"/>
        <item x="2133"/>
        <item x="1880"/>
        <item x="874"/>
        <item x="3443"/>
        <item x="1895"/>
        <item x="1984"/>
        <item x="4536"/>
        <item x="3843"/>
        <item x="958"/>
        <item x="2692"/>
        <item x="2252"/>
        <item x="792"/>
        <item x="1013"/>
        <item x="621"/>
        <item x="427"/>
        <item x="2738"/>
        <item x="4409"/>
        <item x="877"/>
        <item x="2491"/>
        <item x="4763"/>
        <item x="2553"/>
        <item x="4781"/>
        <item x="2720"/>
        <item x="3915"/>
        <item x="4239"/>
        <item x="3610"/>
        <item x="857"/>
        <item x="2222"/>
        <item x="2006"/>
        <item x="757"/>
        <item x="2268"/>
        <item x="1769"/>
        <item x="4419"/>
        <item x="3789"/>
        <item x="3171"/>
        <item x="3311"/>
        <item x="4069"/>
        <item x="3494"/>
        <item x="4212"/>
        <item x="4186"/>
        <item x="145"/>
        <item x="4005"/>
        <item x="4566"/>
        <item x="4259"/>
        <item x="527"/>
        <item x="688"/>
        <item x="4030"/>
        <item x="892"/>
        <item x="4734"/>
        <item x="4062"/>
        <item x="3033"/>
        <item x="3818"/>
        <item x="2915"/>
        <item x="4845"/>
        <item x="4616"/>
        <item x="2076"/>
        <item x="251"/>
        <item x="3099"/>
        <item x="3864"/>
        <item x="4786"/>
        <item x="723"/>
        <item x="1660"/>
        <item x="4710"/>
        <item x="2294"/>
        <item x="3400"/>
        <item x="805"/>
        <item x="834"/>
        <item x="2621"/>
        <item x="2217"/>
        <item x="3903"/>
        <item x="3837"/>
        <item x="4291"/>
        <item x="3532"/>
        <item x="2002"/>
        <item x="3359"/>
        <item x="1701"/>
        <item x="681"/>
        <item x="4619"/>
        <item x="2562"/>
        <item x="1923"/>
        <item x="2657"/>
        <item x="674"/>
        <item x="4164"/>
        <item x="454"/>
        <item x="1115"/>
        <item x="2358"/>
        <item x="3604"/>
        <item x="593"/>
        <item x="2752"/>
        <item x="2028"/>
        <item x="2743"/>
        <item x="4319"/>
        <item x="1857"/>
        <item x="4783"/>
        <item x="4818"/>
        <item x="1251"/>
        <item x="3873"/>
        <item x="1063"/>
        <item x="1497"/>
        <item x="2440"/>
        <item x="273"/>
        <item x="965"/>
        <item x="1024"/>
        <item x="270"/>
        <item x="2212"/>
        <item x="1338"/>
        <item x="3607"/>
        <item x="1183"/>
        <item x="3348"/>
        <item x="446"/>
        <item x="3327"/>
        <item x="2515"/>
        <item x="801"/>
        <item x="2944"/>
        <item x="1925"/>
        <item x="2463"/>
        <item x="79"/>
        <item x="4576"/>
        <item x="2964"/>
        <item x="810"/>
        <item x="256"/>
        <item x="4302"/>
        <item x="3964"/>
        <item x="880"/>
        <item x="21"/>
        <item x="491"/>
        <item x="4"/>
        <item x="3871"/>
        <item x="2874"/>
        <item x="3700"/>
        <item x="4393"/>
        <item x="3341"/>
        <item x="811"/>
        <item x="4721"/>
        <item x="666"/>
        <item x="4493"/>
        <item x="2087"/>
        <item x="3524"/>
        <item x="3977"/>
        <item x="1655"/>
        <item x="4797"/>
        <item x="1173"/>
        <item x="3952"/>
        <item x="3012"/>
        <item x="4456"/>
        <item x="3724"/>
        <item x="1795"/>
        <item x="1298"/>
        <item x="3241"/>
        <item x="67"/>
        <item x="3393"/>
        <item x="2534"/>
        <item x="1474"/>
        <item x="4151"/>
        <item x="3142"/>
        <item x="618"/>
        <item x="4279"/>
        <item x="3319"/>
        <item x="2753"/>
        <item x="4780"/>
        <item x="2220"/>
        <item x="2265"/>
        <item x="809"/>
        <item x="806"/>
        <item x="142"/>
        <item x="711"/>
        <item x="3674"/>
        <item x="386"/>
        <item x="3117"/>
        <item x="3224"/>
        <item x="517"/>
        <item x="2783"/>
        <item x="3516"/>
        <item x="3769"/>
        <item x="1930"/>
        <item x="1933"/>
        <item x="2225"/>
        <item x="4295"/>
        <item x="1062"/>
        <item x="549"/>
        <item x="502"/>
        <item x="1373"/>
        <item x="4665"/>
        <item x="1522"/>
        <item x="4156"/>
        <item x="4358"/>
        <item x="2851"/>
        <item x="2498"/>
        <item x="1330"/>
        <item x="1349"/>
        <item x="475"/>
        <item x="1393"/>
        <item x="2347"/>
        <item x="3371"/>
        <item x="45"/>
        <item x="2355"/>
        <item x="898"/>
        <item x="700"/>
        <item x="10"/>
        <item x="3119"/>
        <item x="2015"/>
        <item x="4158"/>
        <item x="949"/>
        <item x="1808"/>
        <item x="3135"/>
        <item x="667"/>
        <item x="2670"/>
        <item x="3259"/>
        <item x="3306"/>
        <item x="4004"/>
        <item x="2614"/>
        <item x="2974"/>
        <item x="3010"/>
        <item x="2494"/>
        <item x="2336"/>
        <item x="4365"/>
        <item x="4631"/>
        <item x="2914"/>
        <item x="1437"/>
        <item x="2364"/>
        <item x="564"/>
        <item x="1599"/>
        <item x="1654"/>
        <item x="1001"/>
        <item x="4178"/>
        <item x="1698"/>
        <item x="4021"/>
        <item x="3693"/>
        <item x="3930"/>
        <item x="3518"/>
        <item x="3043"/>
        <item x="2290"/>
        <item x="4011"/>
        <item x="1869"/>
        <item x="159"/>
        <item x="3398"/>
        <item x="2273"/>
        <item x="3304"/>
        <item x="4168"/>
        <item x="2505"/>
        <item x="4820"/>
        <item x="2825"/>
        <item x="3990"/>
        <item x="3318"/>
        <item x="4742"/>
        <item x="1505"/>
        <item x="4666"/>
        <item x="403"/>
        <item x="4548"/>
        <item x="1478"/>
        <item x="4779"/>
        <item x="2691"/>
        <item x="3281"/>
        <item x="732"/>
        <item x="2805"/>
        <item x="3399"/>
        <item x="2300"/>
        <item x="2729"/>
        <item x="3200"/>
        <item x="1584"/>
        <item x="2110"/>
        <item x="592"/>
        <item x="4451"/>
        <item x="4098"/>
        <item x="1155"/>
        <item x="659"/>
        <item x="1630"/>
        <item x="713"/>
        <item x="1999"/>
        <item x="2558"/>
        <item x="3190"/>
        <item x="2832"/>
        <item x="4281"/>
        <item x="3592"/>
        <item x="4724"/>
        <item x="4831"/>
        <item x="4641"/>
        <item x="2490"/>
        <item x="2029"/>
        <item x="1588"/>
        <item x="4648"/>
        <item x="2459"/>
        <item x="3466"/>
        <item x="3413"/>
        <item x="1971"/>
        <item x="4347"/>
        <item x="2601"/>
        <item x="3847"/>
        <item x="4588"/>
        <item x="660"/>
        <item x="3325"/>
        <item x="773"/>
        <item x="553"/>
        <item x="2258"/>
        <item x="4220"/>
        <item x="4523"/>
        <item x="3577"/>
        <item x="3767"/>
        <item x="625"/>
        <item x="4609"/>
        <item x="3844"/>
        <item x="227"/>
        <item x="4769"/>
        <item x="4174"/>
        <item x="3661"/>
        <item x="4475"/>
        <item x="3110"/>
        <item x="1179"/>
        <item x="3140"/>
        <item x="2397"/>
        <item x="4495"/>
        <item x="1246"/>
        <item x="3009"/>
        <item x="3745"/>
        <item x="675"/>
        <item x="2130"/>
        <item x="4423"/>
        <item x="4568"/>
        <item x="2966"/>
        <item x="4501"/>
        <item x="2864"/>
        <item x="1158"/>
        <item x="4861"/>
        <item x="3861"/>
        <item x="3571"/>
        <item x="2381"/>
        <item x="1926"/>
        <item x="3574"/>
        <item x="2712"/>
        <item x="2911"/>
        <item x="1870"/>
        <item x="1208"/>
        <item x="1274"/>
        <item x="2758"/>
        <item x="1765"/>
        <item x="1182"/>
        <item x="2"/>
        <item x="1889"/>
        <item x="3748"/>
        <item x="779"/>
        <item x="701"/>
        <item x="1969"/>
        <item x="2754"/>
        <item x="3995"/>
        <item x="548"/>
        <item x="1641"/>
        <item x="1954"/>
        <item x="3386"/>
        <item x="2304"/>
        <item x="1059"/>
        <item x="3611"/>
        <item x="1543"/>
        <item x="1421"/>
        <item x="2782"/>
        <item x="4093"/>
        <item x="2142"/>
        <item x="470"/>
        <item x="622"/>
        <item x="58"/>
        <item x="2280"/>
        <item x="994"/>
        <item x="975"/>
        <item x="382"/>
        <item x="1823"/>
        <item x="3791"/>
        <item x="3627"/>
        <item x="1257"/>
        <item x="1125"/>
        <item x="963"/>
        <item x="1679"/>
        <item x="239"/>
        <item x="1963"/>
        <item x="4421"/>
        <item x="3707"/>
        <item x="56"/>
        <item x="1218"/>
        <item x="3461"/>
        <item x="4335"/>
        <item x="87"/>
        <item x="3572"/>
        <item x="2813"/>
        <item x="751"/>
        <item x="3363"/>
        <item x="3653"/>
        <item x="4255"/>
        <item x="3691"/>
        <item x="2796"/>
        <item x="1863"/>
        <item x="499"/>
        <item x="4368"/>
        <item x="354"/>
        <item x="1843"/>
        <item x="322"/>
        <item x="2411"/>
        <item x="1282"/>
        <item x="658"/>
        <item x="2991"/>
        <item x="1211"/>
        <item x="148"/>
        <item x="3654"/>
        <item x="3904"/>
        <item x="4683"/>
        <item x="2044"/>
        <item x="3128"/>
        <item x="995"/>
        <item x="3482"/>
        <item x="576"/>
        <item x="3159"/>
        <item x="2149"/>
        <item x="521"/>
        <item x="4589"/>
        <item x="4633"/>
        <item x="156"/>
        <item x="4793"/>
        <item x="960"/>
        <item x="4416"/>
        <item x="4008"/>
        <item x="3387"/>
        <item x="1309"/>
        <item x="752"/>
        <item x="839"/>
        <item x="3242"/>
        <item x="1084"/>
        <item x="4356"/>
        <item x="1357"/>
        <item x="3742"/>
        <item x="3034"/>
        <item x="3234"/>
        <item x="2404"/>
        <item x="2417"/>
        <item x="4261"/>
        <item x="1434"/>
        <item x="3417"/>
        <item x="3736"/>
        <item x="4282"/>
        <item x="4503"/>
        <item x="2702"/>
        <item x="1035"/>
        <item x="3593"/>
        <item x="4249"/>
        <item x="2153"/>
        <item x="539"/>
        <item x="695"/>
        <item x="602"/>
        <item x="584"/>
        <item x="1853"/>
        <item x="3899"/>
        <item x="3796"/>
        <item x="2957"/>
        <item x="1459"/>
        <item x="2579"/>
        <item x="2725"/>
        <item x="2651"/>
        <item x="1224"/>
        <item x="2348"/>
        <item x="2806"/>
        <item x="3575"/>
        <item x="171"/>
        <item x="1280"/>
        <item x="160"/>
        <item x="3170"/>
        <item x="1347"/>
        <item x="2961"/>
        <item x="1456"/>
        <item x="4134"/>
        <item x="2434"/>
        <item x="2669"/>
        <item x="3426"/>
        <item x="3437"/>
        <item x="3423"/>
        <item x="2908"/>
        <item x="1615"/>
        <item x="1562"/>
        <item x="1722"/>
        <item x="4558"/>
        <item x="3875"/>
        <item x="1203"/>
        <item x="3651"/>
        <item x="2608"/>
        <item x="4563"/>
        <item x="4195"/>
        <item x="4455"/>
        <item x="4695"/>
        <item x="3431"/>
        <item x="4458"/>
        <item x="2742"/>
        <item x="3201"/>
        <item x="2438"/>
        <item x="4674"/>
        <item x="2533"/>
        <item x="3558"/>
        <item x="3683"/>
        <item x="2788"/>
        <item x="3220"/>
        <item x="3106"/>
        <item x="3799"/>
        <item x="3268"/>
        <item x="1824"/>
        <item x="696"/>
        <item x="540"/>
        <item x="3103"/>
        <item x="4059"/>
        <item x="818"/>
        <item x="2773"/>
        <item x="4547"/>
        <item x="3088"/>
        <item x="1627"/>
        <item x="4357"/>
        <item x="168"/>
        <item x="4754"/>
        <item x="4229"/>
        <item x="655"/>
        <item x="1315"/>
        <item x="649"/>
        <item x="4853"/>
        <item x="1092"/>
        <item x="3968"/>
        <item x="3658"/>
        <item x="765"/>
        <item x="105"/>
        <item x="2319"/>
        <item x="915"/>
        <item x="379"/>
        <item x="1266"/>
        <item x="556"/>
        <item x="75"/>
        <item x="996"/>
        <item x="2470"/>
        <item x="4088"/>
        <item x="2281"/>
        <item x="703"/>
        <item x="86"/>
        <item x="1900"/>
        <item x="4791"/>
        <item x="820"/>
        <item x="4673"/>
        <item x="3807"/>
        <item x="1122"/>
        <item x="1959"/>
        <item x="2995"/>
        <item x="452"/>
        <item x="2370"/>
        <item x="535"/>
        <item x="4716"/>
        <item x="917"/>
        <item x="143"/>
        <item x="182"/>
        <item x="3434"/>
        <item x="3640"/>
        <item x="1146"/>
        <item x="803"/>
        <item x="624"/>
        <item x="4332"/>
        <item x="3785"/>
        <item x="533"/>
        <item x="1553"/>
        <item x="422"/>
        <item x="294"/>
        <item x="980"/>
        <item x="2719"/>
        <item x="414"/>
        <item x="3695"/>
        <item x="2376"/>
        <item x="70"/>
        <item x="1248"/>
        <item x="1103"/>
        <item x="4103"/>
        <item x="3174"/>
        <item x="4360"/>
        <item x="1784"/>
        <item x="4497"/>
        <item x="4752"/>
        <item x="2155"/>
        <item x="4184"/>
        <item x="1164"/>
        <item x="4003"/>
        <item x="91"/>
        <item x="1549"/>
        <item x="3705"/>
        <item x="1529"/>
        <item x="1665"/>
        <item x="4515"/>
        <item x="1088"/>
        <item x="4709"/>
        <item x="458"/>
        <item x="4749"/>
        <item x="852"/>
        <item x="1635"/>
        <item x="4297"/>
        <item x="2520"/>
        <item x="3391"/>
        <item x="2503"/>
        <item x="983"/>
        <item x="1879"/>
        <item x="4299"/>
        <item x="3924"/>
        <item x="4748"/>
        <item x="3760"/>
        <item x="2750"/>
        <item x="1960"/>
        <item x="4137"/>
        <item x="2781"/>
        <item x="1793"/>
        <item x="2847"/>
        <item x="4500"/>
        <item x="1571"/>
        <item x="3521"/>
        <item x="57"/>
        <item x="493"/>
        <item x="95"/>
        <item x="4270"/>
        <item x="3175"/>
        <item x="3993"/>
        <item x="141"/>
        <item x="1327"/>
        <item x="3822"/>
        <item x="3290"/>
        <item x="2682"/>
        <item x="4848"/>
        <item x="1670"/>
        <item x="774"/>
        <item x="1134"/>
        <item x="3738"/>
        <item x="3925"/>
        <item x="3731"/>
        <item x="1042"/>
        <item x="2041"/>
        <item x="3667"/>
        <item x="4125"/>
        <item x="3186"/>
        <item x="4509"/>
        <item x="1921"/>
        <item x="4591"/>
        <item x="3219"/>
        <item x="2502"/>
        <item x="604"/>
        <item x="3001"/>
        <item x="4478"/>
        <item x="2568"/>
        <item x="4693"/>
        <item x="4029"/>
        <item x="4381"/>
        <item x="2026"/>
        <item x="1508"/>
        <item x="3265"/>
        <item x="652"/>
        <item x="1485"/>
        <item x="1955"/>
        <item x="1838"/>
        <item x="628"/>
        <item x="3205"/>
        <item x="1902"/>
        <item x="23"/>
        <item x="775"/>
        <item x="1465"/>
        <item x="1230"/>
        <item x="869"/>
        <item x="4058"/>
        <item x="735"/>
        <item x="559"/>
        <item x="4477"/>
        <item x="3996"/>
        <item x="3206"/>
        <item x="4470"/>
        <item x="2371"/>
        <item x="3320"/>
        <item x="2011"/>
        <item x="2500"/>
        <item x="1353"/>
        <item x="3507"/>
        <item x="719"/>
        <item x="2039"/>
        <item x="4846"/>
        <item x="1691"/>
        <item x="4847"/>
        <item x="2176"/>
        <item x="3133"/>
        <item x="3158"/>
        <item x="2633"/>
        <item x="2963"/>
        <item x="1302"/>
        <item x="2965"/>
        <item x="1770"/>
        <item x="2889"/>
        <item x="2954"/>
        <item x="3441"/>
        <item x="144"/>
        <item x="737"/>
        <item x="3032"/>
        <item x="2400"/>
        <item x="741"/>
        <item x="3203"/>
        <item x="3793"/>
        <item x="4622"/>
        <item x="2221"/>
        <item x="119"/>
        <item x="3717"/>
        <item x="3232"/>
        <item x="1520"/>
        <item x="1163"/>
        <item x="3189"/>
        <item x="3529"/>
        <item x="1975"/>
        <item x="2420"/>
        <item x="2453"/>
        <item x="1854"/>
        <item x="293"/>
        <item x="1271"/>
        <item x="1898"/>
        <item x="4812"/>
        <item x="3666"/>
        <item x="2547"/>
        <item x="3322"/>
        <item x="1407"/>
        <item x="3585"/>
        <item x="2956"/>
        <item x="4320"/>
        <item x="2077"/>
        <item x="4798"/>
        <item x="3223"/>
        <item x="1294"/>
        <item x="1126"/>
        <item x="3562"/>
        <item x="4636"/>
        <item x="2197"/>
        <item x="42"/>
        <item x="2860"/>
        <item x="3813"/>
        <item x="2795"/>
        <item x="1094"/>
        <item x="2737"/>
        <item x="1842"/>
        <item x="3464"/>
        <item x="4859"/>
        <item x="684"/>
        <item x="4041"/>
        <item x="2833"/>
        <item x="3113"/>
        <item x="866"/>
        <item x="4337"/>
        <item x="2760"/>
        <item x="4006"/>
        <item x="4657"/>
        <item x="2181"/>
        <item x="4809"/>
        <item x="2517"/>
        <item x="944"/>
        <item x="1756"/>
        <item x="2549"/>
        <item x="2310"/>
        <item x="155"/>
        <item x="3468"/>
        <item x="4126"/>
        <item x="2674"/>
        <item x="1604"/>
        <item x="4637"/>
        <item x="187"/>
        <item x="1171"/>
        <item x="2119"/>
        <item x="4033"/>
        <item x="3112"/>
        <item x="1994"/>
        <item x="4188"/>
        <item x="4101"/>
        <item x="4836"/>
        <item x="4316"/>
        <item x="1642"/>
        <item x="4298"/>
        <item x="2317"/>
        <item x="3890"/>
        <item x="2208"/>
        <item x="2776"/>
        <item x="642"/>
        <item x="1803"/>
        <item x="3887"/>
        <item x="53"/>
        <item x="4488"/>
        <item x="1844"/>
        <item x="2137"/>
        <item x="4113"/>
        <item x="3811"/>
        <item x="2590"/>
        <item x="2841"/>
        <item x="3313"/>
        <item x="1111"/>
        <item x="2020"/>
        <item x="836"/>
        <item x="1735"/>
        <item x="683"/>
        <item x="287"/>
        <item x="896"/>
        <item x="4571"/>
        <item x="2519"/>
        <item x="715"/>
        <item x="1789"/>
        <item x="1695"/>
        <item x="2018"/>
        <item x="3257"/>
        <item x="445"/>
        <item x="722"/>
        <item x="3141"/>
        <item x="2867"/>
        <item x="3877"/>
        <item x="3543"/>
        <item x="1530"/>
        <item x="3271"/>
        <item x="2953"/>
        <item x="588"/>
        <item x="1517"/>
        <item x="435"/>
        <item x="3809"/>
        <item x="744"/>
        <item x="641"/>
        <item x="1152"/>
        <item x="2266"/>
        <item x="1458"/>
        <item x="275"/>
        <item x="2531"/>
        <item x="3213"/>
        <item x="1002"/>
        <item x="4141"/>
        <item x="969"/>
        <item x="4473"/>
        <item x="1652"/>
        <item x="798"/>
        <item x="3092"/>
        <item x="3511"/>
        <item x="698"/>
        <item x="901"/>
        <item x="3663"/>
        <item x="3737"/>
        <item x="3573"/>
        <item x="265"/>
        <item x="3599"/>
        <item x="3321"/>
        <item x="1231"/>
        <item x="2452"/>
        <item x="360"/>
        <item x="4205"/>
        <item x="2645"/>
        <item x="1710"/>
        <item x="3841"/>
        <item x="2246"/>
        <item x="671"/>
        <item x="2210"/>
        <item x="2152"/>
        <item x="4273"/>
        <item x="3563"/>
        <item x="2439"/>
        <item x="1239"/>
        <item x="3040"/>
        <item x="4400"/>
        <item x="831"/>
        <item x="3603"/>
        <item x="190"/>
        <item x="4288"/>
        <item x="1554"/>
        <item x="1460"/>
        <item x="650"/>
        <item x="2199"/>
        <item x="827"/>
        <item x="11"/>
        <item x="1273"/>
        <item x="3979"/>
        <item x="2814"/>
        <item x="3523"/>
        <item x="829"/>
        <item x="3709"/>
        <item x="819"/>
        <item x="3364"/>
        <item x="3373"/>
        <item x="3192"/>
        <item x="905"/>
        <item x="2958"/>
        <item x="1697"/>
        <item x="2999"/>
        <item x="1237"/>
        <item x="1340"/>
        <item x="350"/>
        <item x="4777"/>
        <item x="2838"/>
        <item x="4612"/>
        <item x="717"/>
        <item x="3356"/>
        <item x="1764"/>
        <item x="4733"/>
        <item x="4227"/>
        <item x="1892"/>
        <item x="3022"/>
        <item x="3710"/>
        <item x="2334"/>
        <item x="3901"/>
        <item x="4658"/>
        <item x="114"/>
        <item x="348"/>
        <item x="2118"/>
        <item x="2432"/>
        <item x="4472"/>
        <item x="3806"/>
        <item x="2159"/>
        <item x="3339"/>
        <item x="4363"/>
        <item x="2522"/>
        <item x="3750"/>
        <item x="1992"/>
        <item x="4099"/>
        <item x="1848"/>
        <item x="1972"/>
        <item x="280"/>
        <item x="2017"/>
        <item x="3525"/>
        <item x="3351"/>
        <item x="4538"/>
        <item x="640"/>
        <item x="4076"/>
        <item x="4355"/>
        <item x="2627"/>
        <item x="1937"/>
        <item x="4272"/>
        <item x="1542"/>
        <item x="501"/>
        <item x="2660"/>
        <item x="2934"/>
        <item x="3777"/>
        <item x="2492"/>
        <item x="4306"/>
        <item x="2056"/>
        <item x="4640"/>
        <item x="2262"/>
        <item x="2108"/>
        <item x="830"/>
        <item x="4242"/>
        <item x="2449"/>
        <item x="924"/>
        <item x="288"/>
        <item x="3938"/>
        <item x="4792"/>
        <item x="234"/>
        <item x="448"/>
        <item x="575"/>
        <item x="2850"/>
        <item x="4670"/>
        <item x="7"/>
        <item x="3722"/>
        <item x="791"/>
        <item x="4094"/>
        <item x="2242"/>
        <item x="1440"/>
        <item x="2480"/>
        <item x="306"/>
        <item x="1726"/>
        <item x="1123"/>
        <item x="1957"/>
        <item x="330"/>
        <item x="444"/>
        <item x="956"/>
        <item x="2981"/>
        <item x="1275"/>
        <item x="3105"/>
        <item x="1713"/>
        <item x="2882"/>
        <item x="4572"/>
        <item x="2185"/>
        <item x="4765"/>
        <item x="3999"/>
        <item x="4567"/>
        <item x="2587"/>
        <item x="1374"/>
        <item x="2389"/>
        <item x="3539"/>
        <item x="3959"/>
        <item x="2264"/>
        <item x="4694"/>
        <item x="138"/>
        <item x="4620"/>
        <item x="1714"/>
        <item x="175"/>
        <item x="447"/>
        <item x="1720"/>
        <item x="1815"/>
        <item x="2340"/>
        <item x="192"/>
        <item x="3332"/>
        <item x="1072"/>
        <item x="2978"/>
        <item x="2665"/>
        <item x="4449"/>
        <item x="4731"/>
        <item x="1247"/>
        <item x="1053"/>
        <item x="352"/>
        <item x="2367"/>
        <item x="889"/>
        <item x="4105"/>
        <item x="2219"/>
        <item x="1019"/>
        <item x="2597"/>
        <item x="4367"/>
        <item x="4046"/>
        <item x="4585"/>
        <item x="2740"/>
        <item x="4468"/>
        <item x="2861"/>
        <item x="828"/>
        <item x="4217"/>
        <item x="4634"/>
        <item x="1962"/>
        <item x="4050"/>
        <item x="4166"/>
        <item x="4539"/>
        <item x="1912"/>
        <item x="3212"/>
        <item x="3183"/>
        <item x="2027"/>
        <item x="2486"/>
        <item x="194"/>
        <item x="4800"/>
        <item x="2097"/>
        <item x="130"/>
        <item x="921"/>
        <item x="4266"/>
        <item x="2746"/>
        <item x="351"/>
        <item x="1445"/>
        <item x="4048"/>
        <item x="4581"/>
        <item x="2766"/>
        <item x="3144"/>
        <item x="927"/>
        <item x="2871"/>
        <item x="3679"/>
        <item x="1396"/>
        <item x="2388"/>
        <item x="1753"/>
        <item x="914"/>
        <item x="989"/>
        <item x="2495"/>
        <item x="392"/>
        <item x="922"/>
        <item x="302"/>
        <item x="2859"/>
        <item x="1221"/>
        <item x="1178"/>
        <item x="2065"/>
        <item x="2148"/>
        <item x="2447"/>
        <item x="1277"/>
        <item x="4159"/>
        <item x="2989"/>
        <item x="1774"/>
        <item x="2349"/>
        <item x="1981"/>
        <item x="3992"/>
        <item x="876"/>
        <item x="668"/>
        <item x="3557"/>
        <item x="1405"/>
        <item x="2671"/>
        <item x="3059"/>
        <item x="2105"/>
        <item x="4555"/>
        <item x="2476"/>
        <item x="1500"/>
        <item x="3892"/>
        <item x="4701"/>
        <item x="1594"/>
        <item x="3508"/>
        <item x="1948"/>
        <item x="780"/>
        <item x="4364"/>
        <item x="3934"/>
        <item x="2624"/>
        <item x="4644"/>
        <item x="2513"/>
        <item x="4283"/>
        <item x="1323"/>
        <item x="1194"/>
        <item x="855"/>
        <item x="4310"/>
        <item x="1341"/>
        <item x="3295"/>
        <item x="4675"/>
        <item x="2951"/>
        <item x="2224"/>
        <item x="4546"/>
        <item x="1872"/>
        <item x="1747"/>
        <item x="3505"/>
        <item x="1865"/>
        <item x="2727"/>
        <item x="1733"/>
        <item x="2581"/>
        <item x="196"/>
        <item x="1102"/>
        <item x="2767"/>
        <item x="1016"/>
        <item x="3004"/>
        <item x="1017"/>
        <item x="3095"/>
        <item x="3846"/>
        <item x="411"/>
        <item x="4139"/>
        <item x="1648"/>
        <item x="3783"/>
        <item x="1292"/>
        <item x="1293"/>
        <item x="3595"/>
        <item x="462"/>
        <item x="4197"/>
        <item x="4598"/>
        <item x="2837"/>
        <item x="3360"/>
        <item x="36"/>
        <item x="2113"/>
        <item x="2988"/>
        <item x="1335"/>
        <item x="2896"/>
        <item x="1317"/>
        <item x="4678"/>
        <item x="366"/>
        <item x="16"/>
        <item x="3349"/>
        <item x="2474"/>
        <item x="790"/>
        <item x="4117"/>
        <item x="3772"/>
        <item x="1415"/>
        <item x="476"/>
        <item x="1846"/>
        <item x="301"/>
        <item x="529"/>
        <item x="4289"/>
        <item x="1423"/>
        <item x="1979"/>
        <item x="3559"/>
        <item x="1967"/>
        <item x="687"/>
        <item x="2762"/>
        <item x="121"/>
        <item x="1607"/>
        <item x="3800"/>
        <item x="1054"/>
        <item x="3858"/>
        <item x="3913"/>
        <item x="267"/>
        <item x="1390"/>
        <item x="402"/>
        <item x="3613"/>
        <item x="4775"/>
        <item x="597"/>
        <item x="3102"/>
        <item x="4215"/>
        <item x="1223"/>
        <item x="1578"/>
        <item x="4339"/>
        <item x="317"/>
        <item x="4333"/>
        <item x="2883"/>
        <item x="4422"/>
        <item x="4635"/>
        <item x="2849"/>
        <item x="132"/>
        <item x="2132"/>
        <item x="2366"/>
        <item x="543"/>
        <item x="2203"/>
        <item x="3499"/>
        <item x="976"/>
        <item x="961"/>
        <item x="1837"/>
        <item x="3073"/>
        <item x="3093"/>
        <item x="482"/>
        <item x="3467"/>
        <item x="1734"/>
        <item x="4432"/>
        <item x="107"/>
        <item x="4305"/>
        <item x="4403"/>
        <item x="1392"/>
        <item x="895"/>
        <item x="108"/>
        <item x="3936"/>
        <item x="2863"/>
        <item x="120"/>
        <item x="3933"/>
        <item x="1184"/>
        <item x="789"/>
        <item x="4315"/>
        <item x="2431"/>
        <item x="2623"/>
        <item x="993"/>
        <item x="3833"/>
        <item x="1528"/>
        <item x="2536"/>
        <item x="3323"/>
        <item x="3125"/>
        <item x="2051"/>
        <item x="3615"/>
        <item x="2512"/>
        <item x="656"/>
        <item x="4120"/>
        <item x="261"/>
        <item x="1402"/>
        <item x="982"/>
        <item x="2421"/>
        <item x="2313"/>
        <item x="1727"/>
        <item x="4038"/>
        <item x="4739"/>
        <item x="4862"/>
        <item x="4529"/>
        <item x="4445"/>
        <item x="3050"/>
        <item x="738"/>
        <item x="3166"/>
        <item x="2862"/>
        <item x="2559"/>
        <item x="1404"/>
        <item x="236"/>
        <item x="1704"/>
        <item x="2613"/>
        <item x="1680"/>
        <item x="2555"/>
        <item x="2333"/>
        <item x="2539"/>
        <item x="2213"/>
        <item x="2994"/>
        <item x="3702"/>
        <item x="2803"/>
        <item x="3787"/>
        <item x="428"/>
        <item x="4436"/>
        <item x="3484"/>
        <item x="4722"/>
        <item x="3941"/>
        <item x="2325"/>
        <item x="2450"/>
        <item x="4287"/>
        <item x="1860"/>
        <item x="2125"/>
        <item x="2972"/>
        <item x="3089"/>
        <item x="1073"/>
        <item x="1129"/>
        <item x="3919"/>
        <item x="129"/>
        <item x="3019"/>
        <item x="359"/>
        <item x="186"/>
        <item x="1840"/>
        <item x="3863"/>
        <item x="785"/>
        <item x="1206"/>
        <item x="2881"/>
        <item x="1688"/>
        <item x="3411"/>
        <item x="1226"/>
        <item x="3127"/>
        <item x="3542"/>
        <item x="2106"/>
        <item x="33"/>
        <item x="4086"/>
        <item x="1138"/>
        <item x="844"/>
        <item x="2842"/>
        <item x="3076"/>
        <item x="3797"/>
        <item x="2626"/>
        <item x="1997"/>
        <item x="2386"/>
        <item x="2335"/>
        <item x="3935"/>
        <item x="2973"/>
        <item x="2560"/>
        <item x="1958"/>
        <item x="4216"/>
        <item x="4307"/>
        <item x="2384"/>
        <item x="1874"/>
        <item x="2260"/>
        <item x="4268"/>
        <item x="590"/>
        <item x="3052"/>
        <item x="104"/>
        <item x="437"/>
        <item x="899"/>
        <item x="2708"/>
        <item x="217"/>
        <item x="821"/>
        <item x="1664"/>
        <item x="2604"/>
        <item x="1022"/>
        <item x="2834"/>
        <item x="4092"/>
        <item x="1259"/>
        <item x="3625"/>
        <item x="1986"/>
        <item x="4251"/>
        <item x="3798"/>
        <item x="4770"/>
        <item x="4608"/>
        <item x="3152"/>
        <item x="1352"/>
        <item x="1332"/>
        <item x="1496"/>
        <item x="3037"/>
        <item x="4390"/>
        <item x="122"/>
        <item x="3098"/>
        <item x="212"/>
        <item x="2392"/>
        <item x="2288"/>
        <item x="3643"/>
        <item x="4391"/>
        <item x="4343"/>
        <item x="394"/>
        <item x="854"/>
        <item x="3606"/>
        <item x="2173"/>
        <item x="1290"/>
        <item x="2201"/>
        <item x="1702"/>
        <item x="4190"/>
        <item x="4460"/>
        <item x="1235"/>
        <item x="4592"/>
        <item x="1682"/>
        <item x="1805"/>
        <item x="66"/>
        <item x="404"/>
        <item x="3046"/>
        <item x="4725"/>
        <item x="3225"/>
        <item x="2789"/>
        <item x="4399"/>
        <item x="226"/>
        <item x="3078"/>
        <item x="2025"/>
        <item x="4691"/>
        <item x="3958"/>
        <item x="85"/>
        <item x="4017"/>
        <item x="1917"/>
        <item x="1358"/>
        <item x="2050"/>
        <item x="4234"/>
        <item x="3550"/>
        <item x="1827"/>
        <item x="812"/>
        <item x="1590"/>
        <item x="1051"/>
        <item x="3528"/>
        <item x="4457"/>
        <item x="3343"/>
        <item x="3057"/>
        <item x="1507"/>
        <item x="4376"/>
        <item x="2605"/>
        <item x="153"/>
        <item x="4628"/>
        <item x="2705"/>
        <item x="3778"/>
        <item x="2401"/>
        <item x="2784"/>
        <item x="1121"/>
        <item x="4516"/>
        <item x="1877"/>
        <item x="1431"/>
        <item x="356"/>
        <item x="705"/>
        <item x="1209"/>
        <item x="2811"/>
        <item x="2081"/>
        <item x="1908"/>
        <item x="4260"/>
        <item x="4476"/>
        <item x="4236"/>
        <item x="4344"/>
        <item x="2980"/>
        <item x="477"/>
        <item x="2414"/>
        <item x="2083"/>
        <item x="1463"/>
        <item x="4730"/>
        <item x="770"/>
        <item x="3596"/>
        <item x="613"/>
        <item x="4379"/>
        <item x="40"/>
        <item x="3296"/>
        <item x="530"/>
        <item x="1029"/>
        <item x="3080"/>
        <item x="303"/>
        <item x="4429"/>
        <item x="912"/>
        <item x="3121"/>
        <item x="3068"/>
        <item x="4505"/>
        <item x="3910"/>
        <item x="3460"/>
        <item x="49"/>
        <item x="872"/>
        <item x="4035"/>
        <item x="3427"/>
        <item x="2526"/>
        <item x="3096"/>
        <item x="2373"/>
        <item x="4531"/>
        <item x="726"/>
        <item x="1462"/>
        <item x="4728"/>
        <item x="4373"/>
        <item x="3636"/>
        <item x="1657"/>
        <item x="762"/>
        <item x="4226"/>
        <item x="1601"/>
        <item x="2286"/>
        <item x="513"/>
        <item x="349"/>
        <item x="3776"/>
        <item x="278"/>
        <item x="3301"/>
        <item x="220"/>
        <item x="4577"/>
        <item x="632"/>
        <item x="3868"/>
        <item x="2886"/>
        <item x="106"/>
        <item x="4121"/>
        <item x="3771"/>
        <item x="4104"/>
        <item x="2891"/>
        <item x="266"/>
        <item x="962"/>
        <item x="1636"/>
        <item x="2802"/>
        <item x="654"/>
        <item x="1435"/>
        <item x="4550"/>
        <item x="882"/>
        <item x="1943"/>
        <item x="1249"/>
        <item x="4483"/>
        <item x="861"/>
        <item x="3066"/>
        <item x="4510"/>
        <item x="3622"/>
        <item x="3091"/>
        <item x="1366"/>
        <item x="1083"/>
        <item x="4596"/>
        <item x="2507"/>
        <item x="1242"/>
        <item x="2676"/>
        <item x="3060"/>
        <item x="3755"/>
        <item x="1706"/>
        <item x="4206"/>
        <item x="883"/>
        <item x="1512"/>
        <item x="3515"/>
        <item x="3856"/>
        <item x="614"/>
        <item x="1564"/>
        <item x="4697"/>
        <item x="4340"/>
        <item x="2770"/>
        <item x="2667"/>
        <item x="918"/>
        <item x="4196"/>
        <item x="3353"/>
        <item x="2913"/>
        <item x="4224"/>
        <item x="3940"/>
        <item x="2399"/>
        <item x="1033"/>
        <item x="537"/>
        <item x="736"/>
        <item x="38"/>
        <item x="246"/>
        <item x="4651"/>
        <item x="1676"/>
        <item x="2239"/>
        <item x="546"/>
        <item x="3820"/>
        <item x="1699"/>
        <item x="343"/>
        <item x="3297"/>
        <item x="3746"/>
        <item x="2554"/>
        <item x="244"/>
        <item x="109"/>
        <item x="2777"/>
        <item x="4285"/>
        <item x="3781"/>
        <item x="972"/>
        <item x="2043"/>
        <item x="380"/>
        <item x="2455"/>
        <item x="2442"/>
        <item x="8"/>
        <item x="0"/>
        <item x="3014"/>
        <item x="4453"/>
        <item x="755"/>
        <item x="3527"/>
        <item x="4849"/>
        <item x="4551"/>
        <item x="1362"/>
        <item x="509"/>
        <item x="4191"/>
        <item x="2542"/>
        <item x="637"/>
        <item x="4165"/>
        <item x="766"/>
        <item x="708"/>
        <item x="3842"/>
        <item x="3648"/>
        <item x="1658"/>
        <item x="2544"/>
        <item x="2471"/>
        <item x="1008"/>
        <item x="4036"/>
        <item x="1939"/>
        <item x="1197"/>
        <item x="4396"/>
        <item x="440"/>
        <item x="3876"/>
        <item x="3555"/>
        <item x="1773"/>
        <item x="3536"/>
        <item x="2127"/>
        <item x="887"/>
        <item x="1010"/>
        <item x="4778"/>
        <item x="1509"/>
        <item x="377"/>
        <item x="4561"/>
        <item x="665"/>
        <item x="3362"/>
        <item x="2625"/>
        <item x="4329"/>
        <item x="3969"/>
        <item x="1583"/>
        <item x="2228"/>
        <item x="1579"/>
        <item x="26"/>
        <item x="1794"/>
        <item x="2570"/>
        <item x="2664"/>
        <item x="4124"/>
        <item x="2178"/>
        <item x="3439"/>
        <item x="1278"/>
        <item x="3756"/>
        <item x="3706"/>
        <item x="4858"/>
        <item x="885"/>
        <item x="3740"/>
        <item x="694"/>
        <item x="3583"/>
        <item x="3115"/>
        <item x="4790"/>
        <item x="1751"/>
        <item x="578"/>
        <item x="541"/>
        <item x="4632"/>
        <item x="76"/>
        <item x="2061"/>
        <item x="2307"/>
        <item x="162"/>
        <item x="97"/>
        <item x="3442"/>
        <item x="4715"/>
        <item x="2916"/>
        <item x="4025"/>
        <item x="1961"/>
        <item x="743"/>
        <item x="2826"/>
        <item x="4810"/>
        <item x="3540"/>
        <item x="1495"/>
        <item x="2359"/>
        <item x="4487"/>
        <item x="3289"/>
        <item x="721"/>
        <item x="1576"/>
        <item x="3172"/>
        <item x="3488"/>
        <item x="534"/>
        <item x="1730"/>
        <item x="3260"/>
        <item x="544"/>
        <item x="480"/>
        <item x="3081"/>
        <item x="126"/>
        <item x="3455"/>
        <item x="2541"/>
        <item x="3382"/>
        <item x="3812"/>
        <item x="385"/>
        <item x="2711"/>
        <item x="3883"/>
        <item x="1859"/>
        <item x="1313"/>
        <item x="2218"/>
        <item x="3021"/>
        <item x="1093"/>
        <item x="4096"/>
        <item x="3385"/>
        <item x="232"/>
        <item x="878"/>
        <item x="904"/>
        <item x="2451"/>
        <item x="3641"/>
        <item x="1068"/>
        <item x="1161"/>
        <item x="3547"/>
        <item x="1490"/>
        <item x="2433"/>
        <item x="4155"/>
        <item x="3567"/>
        <item x="4573"/>
        <item x="3376"/>
        <item x="4839"/>
        <item x="344"/>
        <item x="252"/>
        <item x="206"/>
        <item x="1195"/>
        <item x="3857"/>
        <item x="222"/>
        <item x="4177"/>
        <item x="2477"/>
        <item x="4185"/>
        <item x="859"/>
        <item x="2046"/>
        <item x="1686"/>
        <item x="4489"/>
        <item x="634"/>
        <item x="2810"/>
        <item x="1816"/>
        <item x="3049"/>
        <item x="1296"/>
        <item x="1441"/>
        <item x="2363"/>
        <item x="4428"/>
        <item x="4044"/>
        <item x="43"/>
        <item x="3177"/>
        <item x="1056"/>
        <item x="1659"/>
        <item x="1718"/>
        <item x="3038"/>
        <item x="2162"/>
        <item x="2497"/>
        <item x="2309"/>
        <item x="3597"/>
        <item x="2869"/>
        <item x="788"/>
        <item x="3790"/>
        <item x="3045"/>
        <item x="55"/>
        <item x="2979"/>
        <item x="4447"/>
        <item x="2134"/>
        <item x="3889"/>
        <item x="841"/>
        <item x="4826"/>
        <item x="3749"/>
        <item x="1849"/>
        <item x="3109"/>
        <item x="603"/>
        <item x="4023"/>
        <item x="255"/>
        <item x="3882"/>
        <item x="4584"/>
        <item x="4372"/>
        <item x="4245"/>
        <item x="4738"/>
        <item x="378"/>
        <item x="274"/>
        <item x="3375"/>
        <item x="1447"/>
        <item x="4852"/>
        <item x="455"/>
        <item x="4736"/>
        <item x="551"/>
        <item x="2129"/>
        <item x="2577"/>
        <item x="1673"/>
        <item x="3017"/>
        <item x="81"/>
        <item x="2263"/>
        <item x="2993"/>
        <item x="2102"/>
        <item x="80"/>
        <item x="1026"/>
        <item x="825"/>
        <item x="4163"/>
        <item x="3229"/>
        <item x="2146"/>
        <item x="3251"/>
        <item x="940"/>
        <item x="3069"/>
        <item x="515"/>
        <item x="678"/>
        <item x="4549"/>
        <item x="1851"/>
        <item x="282"/>
        <item x="2761"/>
        <item x="466"/>
        <item x="661"/>
        <item x="429"/>
        <item x="1204"/>
        <item x="1810"/>
        <item x="3513"/>
        <item x="2303"/>
        <item x="3044"/>
        <item x="1245"/>
        <item x="3471"/>
        <item x="4680"/>
        <item x="4621"/>
        <item x="3949"/>
        <item x="1494"/>
        <item x="2593"/>
        <item x="2251"/>
        <item x="4181"/>
        <item x="2413"/>
        <item x="1537"/>
        <item x="3139"/>
        <item x="764"/>
        <item x="4189"/>
        <item x="1565"/>
        <item x="4274"/>
        <item x="2855"/>
        <item x="1150"/>
        <item x="498"/>
        <item x="1291"/>
        <item x="2353"/>
        <item x="167"/>
        <item x="1350"/>
        <item x="1082"/>
        <item x="1174"/>
        <item x="2272"/>
        <item x="2892"/>
        <item x="2069"/>
        <item x="582"/>
        <item x="1491"/>
        <item x="1832"/>
        <item x="50"/>
        <item x="4370"/>
        <item x="3554"/>
        <item x="2779"/>
        <item x="538"/>
        <item x="3646"/>
        <item x="1561"/>
        <item x="928"/>
        <item x="48"/>
        <item x="1998"/>
        <item x="4662"/>
        <item x="1086"/>
        <item x="3538"/>
        <item x="2772"/>
        <item x="1486"/>
        <item x="3389"/>
        <item x="1057"/>
        <item x="777"/>
        <item x="4001"/>
        <item x="1305"/>
        <item x="1953"/>
        <item x="863"/>
        <item x="2104"/>
        <item x="4461"/>
        <item x="1518"/>
        <item x="3834"/>
        <item x="2511"/>
        <item x="4467"/>
        <item x="573"/>
        <item x="3469"/>
        <item x="2983"/>
        <item x="2014"/>
        <item x="1443"/>
        <item x="3421"/>
        <item x="3621"/>
        <item x="1985"/>
        <item x="3801"/>
        <item x="3300"/>
        <item x="173"/>
        <item x="3120"/>
        <item x="3204"/>
        <item x="3944"/>
        <item x="1430"/>
        <item x="34"/>
        <item x="3917"/>
        <item x="202"/>
        <item x="4684"/>
        <item x="1087"/>
        <item x="1818"/>
        <item x="2231"/>
        <item x="1504"/>
        <item x="1466"/>
        <item x="4199"/>
        <item x="1439"/>
        <item x="616"/>
        <item x="814"/>
        <item x="3436"/>
        <item x="653"/>
        <item x="2116"/>
        <item x="1787"/>
        <item x="804"/>
        <item x="3669"/>
        <item x="2426"/>
        <item x="4817"/>
        <item x="484"/>
        <item x="4594"/>
        <item x="3668"/>
        <item x="1966"/>
        <item x="3199"/>
        <item x="3908"/>
        <item x="2496"/>
        <item x="3039"/>
        <item x="813"/>
        <item x="2920"/>
        <item x="702"/>
        <item x="32"/>
        <item x="1036"/>
        <item x="4753"/>
        <item x="4617"/>
        <item x="110"/>
        <item x="1606"/>
        <item x="1839"/>
        <item x="875"/>
        <item x="154"/>
        <item x="947"/>
        <item x="393"/>
        <item x="1360"/>
        <item x="2673"/>
        <item x="2254"/>
        <item x="2395"/>
        <item x="219"/>
        <item x="2895"/>
        <item x="1413"/>
        <item x="1365"/>
        <item x="376"/>
        <item x="3827"/>
        <item x="2835"/>
        <item x="817"/>
        <item x="4824"/>
        <item x="2123"/>
        <item x="3685"/>
        <item x="997"/>
        <item x="1147"/>
        <item x="2170"/>
        <item x="418"/>
        <item x="758"/>
        <item x="923"/>
        <item x="3994"/>
        <item x="1970"/>
        <item x="3675"/>
        <item x="1804"/>
        <item x="4254"/>
        <item x="358"/>
        <item x="3954"/>
        <item x="2045"/>
        <item x="4148"/>
        <item x="2775"/>
        <item x="567"/>
        <item x="1070"/>
        <item x="4312"/>
        <item x="4578"/>
        <item x="4705"/>
        <item x="4028"/>
        <item x="1855"/>
        <item x="2406"/>
        <item x="4638"/>
        <item x="1018"/>
        <item x="2785"/>
        <item x="2659"/>
        <item x="4167"/>
        <item x="1903"/>
        <item x="2718"/>
        <item x="3023"/>
        <item x="2368"/>
        <item x="631"/>
        <item x="2926"/>
        <item x="3357"/>
        <item x="3029"/>
        <item x="1448"/>
        <item x="1834"/>
        <item x="3929"/>
        <item x="286"/>
        <item x="1464"/>
        <item x="890"/>
        <item x="2291"/>
        <item x="1632"/>
        <item x="497"/>
        <item x="4713"/>
        <item x="2402"/>
        <item x="4014"/>
        <item x="2530"/>
        <item x="1807"/>
        <item x="2561"/>
        <item x="1741"/>
        <item x="1023"/>
        <item x="3697"/>
        <item x="3998"/>
        <item x="3909"/>
        <item x="4102"/>
        <item x="4441"/>
        <item x="3690"/>
        <item x="2374"/>
        <item x="1372"/>
        <item x="1324"/>
        <item x="74"/>
        <item x="4369"/>
        <item x="117"/>
        <item x="169"/>
        <item x="249"/>
        <item x="4597"/>
        <item x="4147"/>
        <item x="4277"/>
        <item x="648"/>
        <item x="846"/>
        <item x="4292"/>
        <item x="2279"/>
        <item x="4768"/>
        <item x="2343"/>
        <item x="2422"/>
        <item x="1555"/>
        <item x="769"/>
        <item x="1320"/>
        <item x="1586"/>
        <item x="557"/>
        <item x="2594"/>
        <item x="3869"/>
        <item x="1732"/>
        <item x="2528"/>
        <item x="4222"/>
        <item x="526"/>
        <item x="2755"/>
        <item x="1106"/>
        <item x="2580"/>
        <item x="3334"/>
        <item x="4051"/>
        <item x="3083"/>
        <item x="1346"/>
        <item x="967"/>
        <item x="201"/>
        <item x="4843"/>
        <item x="4481"/>
        <item x="902"/>
        <item x="2875"/>
        <item x="4653"/>
        <item x="2079"/>
        <item x="1484"/>
        <item x="3104"/>
        <item x="3025"/>
        <item x="2175"/>
        <item x="1371"/>
        <item x="1806"/>
        <item x="1671"/>
        <item x="778"/>
        <item x="3953"/>
        <item x="4737"/>
        <item x="4469"/>
        <item x="396"/>
        <item x="4022"/>
        <item x="3918"/>
        <item x="596"/>
        <item x="2047"/>
        <item x="4704"/>
        <item x="3768"/>
        <item x="2695"/>
        <item x="2342"/>
        <item x="1829"/>
        <item x="4210"/>
        <item x="636"/>
        <item x="225"/>
        <item x="3255"/>
        <item x="1003"/>
        <item x="1198"/>
        <item x="1253"/>
        <item x="2550"/>
        <item x="3522"/>
        <item x="2927"/>
        <item x="3569"/>
        <item x="3274"/>
        <item x="3451"/>
        <item x="4524"/>
        <item x="504"/>
        <item x="1412"/>
        <item x="3419"/>
        <item x="1043"/>
        <item x="3328"/>
        <item x="4263"/>
        <item x="992"/>
        <item x="950"/>
        <item x="102"/>
        <item x="2545"/>
        <item x="436"/>
        <item x="4840"/>
        <item x="1797"/>
        <item x="1233"/>
        <item x="485"/>
        <item x="3974"/>
        <item x="1329"/>
        <item x="2638"/>
        <item x="4759"/>
        <item x="1526"/>
        <item x="2996"/>
        <item x="3282"/>
        <item x="4407"/>
        <item x="3042"/>
        <item x="3395"/>
        <item x="3269"/>
        <item x="1595"/>
        <item x="860"/>
        <item x="2479"/>
        <item x="310"/>
        <item x="1873"/>
        <item x="884"/>
        <item x="2448"/>
        <item x="1449"/>
        <item x="673"/>
        <item x="2831"/>
        <item x="1736"/>
        <item x="4656"/>
        <item x="1552"/>
        <item x="1828"/>
        <item x="289"/>
        <item x="4439"/>
        <item x="1085"/>
        <item x="3751"/>
        <item x="1950"/>
        <item x="2107"/>
        <item x="2628"/>
        <item x="1905"/>
        <item x="184"/>
        <item x="4729"/>
        <item x="2728"/>
        <item x="824"/>
        <item x="2853"/>
        <item x="740"/>
        <item x="164"/>
        <item x="4040"/>
        <item x="2887"/>
        <item x="1717"/>
        <item x="4057"/>
        <item x="1418"/>
        <item x="870"/>
        <item x="1411"/>
        <item x="4267"/>
        <item x="676"/>
        <item x="952"/>
        <item x="4334"/>
        <item x="2327"/>
        <item x="230"/>
        <item x="595"/>
        <item x="1375"/>
        <item x="4528"/>
        <item x="3276"/>
        <item x="2164"/>
        <item x="2010"/>
        <item x="2329"/>
        <item x="233"/>
        <item x="2446"/>
        <item x="1267"/>
        <item x="1139"/>
        <item x="3971"/>
        <item x="3835"/>
        <item x="4187"/>
        <item x="933"/>
        <item x="3591"/>
        <item x="2230"/>
        <item x="560"/>
        <item x="4740"/>
        <item x="434"/>
        <item x="2396"/>
        <item x="3450"/>
        <item x="283"/>
        <item x="1061"/>
        <item x="3254"/>
        <item x="1885"/>
        <item x="2240"/>
        <item x="4490"/>
        <item x="4454"/>
        <item x="4171"/>
        <item x="4071"/>
        <item x="1666"/>
        <item x="1176"/>
        <item x="203"/>
        <item x="4714"/>
        <item x="1836"/>
        <item x="2970"/>
        <item x="4410"/>
        <item x="3403"/>
        <item x="4218"/>
        <item x="4837"/>
        <item x="373"/>
        <item x="4433"/>
        <item x="938"/>
        <item x="2013"/>
        <item x="4580"/>
        <item x="3825"/>
        <item x="140"/>
        <item x="3193"/>
        <item x="2975"/>
        <item x="3470"/>
        <item x="3866"/>
        <item x="2793"/>
        <item x="2572"/>
        <item x="4398"/>
        <item x="991"/>
        <item x="984"/>
        <item x="772"/>
        <item x="2030"/>
        <item x="3051"/>
        <item x="1705"/>
        <item x="2141"/>
        <item x="1108"/>
        <item x="4702"/>
        <item x="807"/>
        <item x="1220"/>
        <item x="3176"/>
        <item x="72"/>
        <item x="2844"/>
        <item x="3145"/>
        <item x="1114"/>
        <item x="4314"/>
        <item x="133"/>
        <item x="19"/>
        <item x="2897"/>
        <item x="1488"/>
        <item x="3365"/>
        <item x="240"/>
        <item x="946"/>
        <item x="558"/>
        <item x="2283"/>
        <item x="3630"/>
        <item x="1609"/>
        <item x="1825"/>
        <item x="1142"/>
        <item x="4807"/>
        <item x="204"/>
        <item x="1367"/>
        <item x="932"/>
        <item x="1219"/>
        <item x="2939"/>
        <item x="1861"/>
        <item x="179"/>
        <item x="4271"/>
        <item x="449"/>
        <item x="871"/>
        <item x="727"/>
        <item x="4545"/>
        <item x="4480"/>
        <item x="3361"/>
        <item x="3226"/>
        <item x="496"/>
        <item x="1175"/>
        <item x="1066"/>
        <item x="1240"/>
        <item x="4703"/>
        <item x="4290"/>
        <item x="1244"/>
        <item x="3537"/>
        <item x="1752"/>
        <item x="2723"/>
        <item x="276"/>
        <item x="4122"/>
        <item x="1406"/>
        <item x="279"/>
        <item x="1809"/>
        <item x="285"/>
        <item x="62"/>
        <item x="4387"/>
        <item x="4095"/>
        <item x="2763"/>
        <item x="1685"/>
        <item x="213"/>
        <item x="1940"/>
        <item x="987"/>
        <item x="3207"/>
        <item x="2717"/>
        <item x="1791"/>
        <item x="1414"/>
        <item x="4066"/>
        <item x="689"/>
        <item x="4070"/>
        <item x="4747"/>
        <item x="555"/>
        <item x="2090"/>
        <item x="1776"/>
        <item x="4486"/>
        <item x="2730"/>
        <item x="620"/>
        <item x="1046"/>
        <item x="858"/>
        <item x="1288"/>
        <item x="1515"/>
        <item x="2578"/>
        <item x="3031"/>
        <item x="1005"/>
        <item x="336"/>
        <item x="4328"/>
        <item x="4253"/>
        <item x="710"/>
        <item x="4265"/>
        <item x="3278"/>
        <item x="1669"/>
        <item x="3195"/>
        <item x="3506"/>
        <item x="3923"/>
        <item x="409"/>
        <item x="2475"/>
        <item x="2968"/>
        <item x="1800"/>
        <item x="1812"/>
        <item x="3474"/>
        <item x="2757"/>
        <item x="235"/>
        <item x="577"/>
        <item x="2270"/>
        <item x="1190"/>
        <item x="1622"/>
        <item x="52"/>
        <item x="1871"/>
        <item x="2481"/>
        <item x="478"/>
        <item x="198"/>
        <item x="2360"/>
        <item x="2611"/>
        <item x="3976"/>
        <item x="643"/>
        <item x="3509"/>
        <item x="2088"/>
        <item x="2285"/>
        <item x="4776"/>
        <item x="2092"/>
        <item x="2314"/>
        <item x="542"/>
        <item x="3715"/>
        <item x="3294"/>
        <item x="2243"/>
        <item x="3545"/>
        <item x="2074"/>
        <item x="680"/>
        <item x="4133"/>
        <item x="125"/>
        <item x="4192"/>
        <item x="2890"/>
        <item x="4554"/>
        <item x="2147"/>
        <item x="909"/>
        <item x="1600"/>
        <item x="4696"/>
        <item x="2086"/>
        <item x="566"/>
        <item x="1910"/>
        <item x="753"/>
        <item x="3905"/>
        <item x="586"/>
        <item x="3253"/>
        <item x="3173"/>
        <item x="4394"/>
        <item x="822"/>
        <item x="1283"/>
        <item x="1391"/>
        <item x="337"/>
        <item x="2085"/>
        <item x="238"/>
        <item x="2346"/>
        <item x="216"/>
        <item x="519"/>
        <item x="2324"/>
        <item x="2122"/>
        <item x="563"/>
        <item x="2527"/>
        <item x="2305"/>
        <item x="3520"/>
        <item x="3194"/>
        <item x="3015"/>
        <item x="4389"/>
        <item x="2361"/>
        <item x="1481"/>
        <item x="3041"/>
        <item x="3845"/>
        <item x="3055"/>
        <item x="1243"/>
        <item x="1382"/>
        <item x="1256"/>
        <item x="4000"/>
        <item x="4830"/>
        <item x="2790"/>
        <item x="3765"/>
        <item x="1287"/>
        <item x="2823"/>
        <item x="999"/>
        <item x="340"/>
        <item x="2115"/>
        <item x="3725"/>
        <item x="3114"/>
        <item x="4207"/>
        <item x="955"/>
        <item x="1384"/>
        <item x="4760"/>
        <item x="893"/>
        <item x="1875"/>
        <item x="298"/>
        <item x="1395"/>
        <item x="3064"/>
        <item x="2567"/>
        <item x="2019"/>
        <item x="4762"/>
        <item x="3727"/>
        <item x="1768"/>
        <item x="245"/>
        <item x="826"/>
        <item x="3879"/>
        <item x="619"/>
        <item x="1386"/>
        <item x="1116"/>
        <item x="600"/>
        <item x="4537"/>
        <item x="1638"/>
        <item x="1931"/>
        <item x="2121"/>
        <item x="1045"/>
        <item x="746"/>
        <item x="1344"/>
        <item x="3716"/>
        <item x="3456"/>
        <item x="4717"/>
        <item x="2703"/>
        <item x="1779"/>
        <item x="4049"/>
        <item x="3237"/>
        <item x="3018"/>
        <item x="1476"/>
        <item x="3156"/>
        <item x="2870"/>
        <item x="3688"/>
        <item x="4755"/>
        <item x="2592"/>
        <item x="4785"/>
        <item x="3612"/>
        <item x="1492"/>
        <item x="195"/>
        <item x="849"/>
        <item x="4520"/>
        <item x="4435"/>
        <item x="3228"/>
        <item x="3497"/>
        <item x="1326"/>
        <item x="4034"/>
        <item x="959"/>
        <item x="243"/>
        <item x="3366"/>
        <item x="1067"/>
        <item x="626"/>
        <item x="3056"/>
        <item x="2801"/>
        <item x="253"/>
        <item x="1645"/>
        <item x="1071"/>
        <item x="3546"/>
        <item x="197"/>
        <item x="1681"/>
        <item x="3601"/>
        <item x="4018"/>
        <item x="1300"/>
        <item x="1354"/>
        <item x="3472"/>
        <item x="4679"/>
        <item x="633"/>
        <item x="2518"/>
        <item x="2724"/>
        <item x="4068"/>
        <item x="1690"/>
        <item x="1927"/>
        <item x="2330"/>
        <item x="400"/>
        <item x="1025"/>
        <item x="505"/>
        <item x="1254"/>
        <item x="4540"/>
        <item x="2909"/>
        <item x="605"/>
        <item x="734"/>
        <item x="2063"/>
        <item x="4816"/>
        <item x="1580"/>
        <item x="2816"/>
        <item x="599"/>
        <item x="474"/>
        <item x="2857"/>
        <item x="699"/>
        <item x="64"/>
        <item x="353"/>
        <item x="3984"/>
        <item x="2244"/>
        <item x="419"/>
        <item x="2940"/>
        <item x="4534"/>
        <item x="1318"/>
        <item x="4386"/>
        <item x="1089"/>
        <item x="4513"/>
        <item x="2697"/>
        <item x="2375"/>
        <item x="2183"/>
        <item x="3802"/>
        <item x="2893"/>
        <item x="2680"/>
        <item x="2284"/>
        <item x="3541"/>
        <item x="3344"/>
        <item x="4491"/>
        <item x="4087"/>
        <item x="2308"/>
        <item x="3922"/>
        <item x="4170"/>
        <item x="51"/>
        <item x="4322"/>
        <item x="139"/>
        <item x="1947"/>
        <item x="2933"/>
        <item x="2904"/>
        <item x="3345"/>
        <item x="82"/>
        <item x="3775"/>
        <item x="61"/>
        <item x="1422"/>
        <item x="2650"/>
        <item x="1545"/>
        <item x="3333"/>
        <item x="1132"/>
        <item x="4672"/>
        <item x="4426"/>
        <item x="3070"/>
        <item x="978"/>
        <item x="2277"/>
        <item x="423"/>
        <item x="329"/>
        <item x="2249"/>
        <item x="3277"/>
        <item x="4660"/>
        <item x="3243"/>
        <item x="2163"/>
        <item x="307"/>
        <item x="1896"/>
        <item x="98"/>
        <item x="1620"/>
        <item x="3805"/>
        <item x="2564"/>
        <item x="2646"/>
        <item x="1028"/>
        <item x="2903"/>
        <item x="4819"/>
        <item x="2947"/>
        <item x="3881"/>
        <item x="990"/>
        <item x="4855"/>
        <item x="3665"/>
        <item x="2598"/>
        <item x="1433"/>
        <item x="840"/>
        <item x="3150"/>
        <item x="3886"/>
        <item x="2990"/>
        <item x="3153"/>
        <item x="1767"/>
        <item x="1687"/>
        <item x="1667"/>
        <item x="3587"/>
        <item x="127"/>
        <item x="2917"/>
        <item x="1011"/>
        <item x="101"/>
        <item x="2033"/>
        <item x="2245"/>
        <item x="2817"/>
        <item x="759"/>
        <item x="1585"/>
        <item x="1934"/>
        <item x="1762"/>
        <item x="2504"/>
        <item x="709"/>
        <item x="2468"/>
        <item x="3184"/>
        <item x="3874"/>
        <item x="1941"/>
        <item x="2172"/>
        <item x="1503"/>
        <item x="2385"/>
        <item x="4494"/>
        <item x="1472"/>
        <item x="355"/>
        <item x="334"/>
        <item x="4535"/>
        <item x="3053"/>
        <item x="3510"/>
        <item x="630"/>
        <item x="4511"/>
        <item x="2167"/>
        <item x="2042"/>
        <item x="3582"/>
        <item x="4565"/>
        <item x="4444"/>
        <item x="2962"/>
        <item x="1631"/>
        <item x="3586"/>
        <item x="4012"/>
        <item x="3247"/>
        <item x="2618"/>
        <item x="4427"/>
        <item x="1559"/>
        <item x="1893"/>
        <item x="4317"/>
        <item x="3262"/>
        <item x="2055"/>
        <item x="2771"/>
        <item x="150"/>
        <item x="4256"/>
        <item x="712"/>
        <item x="3286"/>
        <item x="308"/>
        <item x="4544"/>
        <item x="2576"/>
        <item x="716"/>
        <item x="1990"/>
        <item x="4342"/>
        <item x="714"/>
        <item x="1920"/>
        <item x="4244"/>
        <item x="1771"/>
        <item x="3283"/>
        <item x="894"/>
        <item x="1817"/>
        <item x="3880"/>
        <item x="4010"/>
        <item x="3164"/>
        <item x="3600"/>
        <item x="4756"/>
        <item x="2070"/>
        <item x="771"/>
        <item x="1634"/>
        <item x="281"/>
        <item x="3831"/>
        <item x="487"/>
        <item x="4698"/>
        <item x="3307"/>
        <item x="3273"/>
        <item x="1308"/>
        <item x="3352"/>
        <item x="1394"/>
        <item x="1285"/>
        <item x="1653"/>
        <item x="2409"/>
        <item x="1696"/>
        <item x="3739"/>
        <item x="2797"/>
        <item x="4211"/>
        <item x="2299"/>
        <item x="3165"/>
        <item x="1135"/>
        <item x="913"/>
        <item x="3492"/>
        <item x="1180"/>
        <item x="3723"/>
        <item x="327"/>
        <item x="2339"/>
        <item x="1110"/>
        <item x="585"/>
        <item x="2096"/>
        <item x="2031"/>
        <item x="704"/>
        <item x="1723"/>
        <item x="397"/>
        <item x="3962"/>
        <item x="3535"/>
        <item x="2794"/>
        <item x="2278"/>
        <item x="4794"/>
        <item x="1993"/>
        <item x="3209"/>
        <item x="1451"/>
        <item x="1693"/>
        <item x="387"/>
        <item x="4180"/>
        <item x="888"/>
        <item x="479"/>
        <item x="3162"/>
        <item x="1513"/>
        <item x="439"/>
        <item x="1841"/>
        <item x="510"/>
        <item x="4815"/>
        <item x="692"/>
        <item x="1611"/>
        <item x="290"/>
        <item x="3753"/>
        <item x="2315"/>
        <item x="1662"/>
        <item x="934"/>
        <item x="1403"/>
        <item x="1112"/>
        <item x="1381"/>
        <item x="4655"/>
        <item x="1748"/>
        <item x="1786"/>
        <item x="4504"/>
        <item x="4074"/>
        <item x="2380"/>
        <item x="2582"/>
        <item x="552"/>
        <item x="224"/>
        <item x="4091"/>
        <item x="745"/>
        <item x="3686"/>
        <item x="669"/>
        <item x="3054"/>
        <item x="1328"/>
        <item x="2393"/>
        <item x="2049"/>
        <item x="1006"/>
        <item x="808"/>
        <item x="2345"/>
        <item x="2233"/>
        <item x="2987"/>
        <item x="3647"/>
        <item x="1703"/>
        <item x="1944"/>
        <item x="1798"/>
        <item x="1862"/>
        <item x="193"/>
        <item x="3299"/>
        <item x="2467"/>
        <item x="2073"/>
        <item x="4559"/>
        <item x="4338"/>
        <item x="2696"/>
        <item x="1531"/>
        <item x="939"/>
        <item x="837"/>
        <item x="4706"/>
        <item x="1069"/>
        <item x="4203"/>
        <item x="3063"/>
        <item x="2984"/>
        <item x="528"/>
        <item x="4618"/>
        <item x="180"/>
        <item x="4751"/>
        <item x="460"/>
        <item x="4828"/>
        <item x="2485"/>
        <item x="4411"/>
        <item x="4374"/>
        <item x="2410"/>
        <item x="3973"/>
        <item x="438"/>
        <item x="4169"/>
        <item x="3449"/>
        <item x="4243"/>
        <item x="4119"/>
        <item x="128"/>
        <item x="2652"/>
        <item x="3312"/>
        <item x="4345"/>
        <item x="847"/>
        <item x="3065"/>
        <item x="3784"/>
        <item x="304"/>
        <item x="1716"/>
        <item x="3"/>
        <item x="2607"/>
        <item x="4002"/>
        <item x="1052"/>
        <item x="862"/>
        <item x="3185"/>
        <item x="4835"/>
        <item x="4061"/>
        <item x="720"/>
        <item x="2139"/>
        <item x="3432"/>
        <item x="3956"/>
        <item x="1359"/>
        <item x="4413"/>
        <item x="3000"/>
        <item x="46"/>
        <item x="3556"/>
        <item x="3860"/>
        <item x="4743"/>
        <item x="1027"/>
        <item x="99"/>
        <item x="3694"/>
        <item x="1342"/>
        <item x="299"/>
        <item x="943"/>
        <item x="2394"/>
        <item x="1438"/>
        <item x="1351"/>
        <item x="920"/>
        <item x="4744"/>
        <item x="903"/>
        <item x="3620"/>
        <item x="2921"/>
        <item x="4269"/>
        <item x="1785"/>
        <item x="3896"/>
        <item x="1262"/>
        <item x="2156"/>
        <item x="868"/>
        <item x="3377"/>
        <item x="2938"/>
        <item x="1572"/>
        <item x="2211"/>
        <item x="4727"/>
        <item x="1021"/>
        <item x="1216"/>
        <item x="4354"/>
        <item x="4689"/>
        <item x="3414"/>
        <item x="4280"/>
        <item x="2848"/>
        <item x="968"/>
        <item x="3985"/>
        <item x="2922"/>
        <item x="1343"/>
        <item x="2145"/>
        <item x="832"/>
        <item x="945"/>
        <item x="973"/>
        <item x="1238"/>
        <item x="4771"/>
        <item x="2694"/>
        <item x="1312"/>
        <item x="4764"/>
        <item x="1976"/>
        <item x="725"/>
        <item x="2005"/>
        <item x="3642"/>
        <item x="185"/>
        <item x="629"/>
        <item x="488"/>
        <item x="4286"/>
        <item x="3986"/>
        <item x="2206"/>
        <item x="2894"/>
        <item x="3412"/>
        <item x="3342"/>
        <item x="3711"/>
        <item x="547"/>
        <item x="199"/>
        <item x="3077"/>
        <item x="37"/>
        <item x="1"/>
        <item x="941"/>
        <item x="69"/>
        <item x="2001"/>
        <item x="3810"/>
        <item x="4562"/>
        <item x="1368"/>
        <item x="3987"/>
        <item x="3315"/>
        <item x="384"/>
        <item x="1922"/>
        <item x="2234"/>
        <item x="2075"/>
        <item x="3839"/>
        <item x="3698"/>
        <item x="1907"/>
        <item x="3931"/>
        <item x="611"/>
        <item x="4583"/>
        <item x="1788"/>
        <item x="2462"/>
        <item x="2546"/>
        <item x="1385"/>
        <item x="795"/>
        <item x="767"/>
        <item x="1140"/>
        <item x="615"/>
        <item x="3714"/>
        <item x="1835"/>
        <item x="3475"/>
        <item x="3594"/>
        <item x="3649"/>
        <item x="1252"/>
        <item x="3111"/>
        <item x="4296"/>
        <item x="2693"/>
        <item x="469"/>
        <item x="1483"/>
        <item x="853"/>
        <item x="2663"/>
        <item x="188"/>
        <item x="897"/>
        <item x="733"/>
        <item x="3637"/>
        <item x="2840"/>
        <item x="848"/>
        <item x="321"/>
        <item x="690"/>
        <item x="3578"/>
        <item x="3263"/>
        <item x="370"/>
        <item x="4805"/>
        <item x="254"/>
        <item x="2062"/>
        <item x="1644"/>
        <item x="467"/>
        <item x="3330"/>
        <item x="1295"/>
        <item x="4643"/>
        <item x="3085"/>
        <item x="4659"/>
        <item x="3370"/>
        <item x="2058"/>
        <item x="1711"/>
        <item x="707"/>
        <item x="495"/>
        <item x="4450"/>
        <item x="269"/>
        <item x="5"/>
        <item x="4650"/>
        <item x="1780"/>
        <item x="1868"/>
        <item x="4574"/>
        <item x="4246"/>
        <item x="3440"/>
        <item x="1692"/>
        <item x="4430"/>
        <item x="362"/>
        <item x="4054"/>
        <item x="685"/>
        <item x="4219"/>
        <item x="3676"/>
        <item x="1188"/>
        <item x="3741"/>
        <item x="4767"/>
        <item x="2941"/>
        <item x="2971"/>
        <item x="639"/>
        <item x="4834"/>
        <item x="1388"/>
        <item x="1420"/>
        <item x="3517"/>
        <item x="3761"/>
        <item x="4293"/>
        <item x="2114"/>
        <item x="2714"/>
        <item x="4463"/>
        <item x="2997"/>
        <item x="4173"/>
        <item x="1536"/>
        <item x="3678"/>
        <item x="4402"/>
        <item x="1473"/>
        <item x="3108"/>
        <item x="3584"/>
        <item x="1101"/>
        <item x="724"/>
        <item x="1177"/>
        <item x="610"/>
        <item x="2733"/>
        <item x="3433"/>
        <item x="1080"/>
        <item x="1633"/>
        <item x="3163"/>
        <item x="1982"/>
        <item x="3430"/>
        <item x="4414"/>
        <item x="4649"/>
        <item x="391"/>
        <item x="1534"/>
        <item x="1107"/>
        <item x="258"/>
        <item x="4525"/>
        <item x="3292"/>
        <item x="3372"/>
        <item x="1946"/>
        <item x="3490"/>
        <item x="441"/>
        <item x="433"/>
        <item x="2929"/>
        <item x="3196"/>
        <item x="1952"/>
        <item x="1516"/>
        <item x="3383"/>
        <item x="3963"/>
        <item x="4193"/>
        <item x="1582"/>
        <item x="3660"/>
        <item x="1117"/>
        <item x="4055"/>
        <item x="3179"/>
        <item x="2282"/>
        <item x="3267"/>
        <item x="2267"/>
        <item x="2685"/>
        <item x="2514"/>
        <item x="1427"/>
        <item x="4143"/>
        <item x="3168"/>
        <item x="1570"/>
        <item x="3589"/>
        <item x="3531"/>
        <item x="3862"/>
        <item x="2715"/>
        <item x="1884"/>
        <item x="2876"/>
        <item x="2866"/>
        <item x="2602"/>
        <item x="2637"/>
        <item x="1781"/>
        <item x="1201"/>
        <item x="4247"/>
        <item x="4377"/>
        <item x="1909"/>
        <item x="1297"/>
        <item x="1683"/>
        <item x="1602"/>
        <item x="3840"/>
        <item x="163"/>
        <item x="981"/>
        <item x="1389"/>
        <item x="2064"/>
        <item x="4300"/>
        <item x="525"/>
        <item x="2256"/>
        <item x="1731"/>
        <item x="1040"/>
        <item x="2818"/>
        <item x="4129"/>
        <item x="1619"/>
        <item x="1336"/>
        <item x="2622"/>
        <item x="1058"/>
        <item x="3980"/>
        <item x="3452"/>
        <item x="3249"/>
        <item x="2424"/>
        <item x="4530"/>
        <item x="2465"/>
        <item x="569"/>
        <item x="2726"/>
        <item x="4114"/>
        <item x="4833"/>
        <item x="2443"/>
        <item x="3855"/>
        <item x="2499"/>
        <item x="2852"/>
        <item x="3016"/>
        <item x="3763"/>
        <item x="3631"/>
        <item x="4420"/>
        <item x="291"/>
        <item x="3614"/>
        <item x="421"/>
        <item x="4325"/>
        <item x="1044"/>
        <item x="2067"/>
        <item x="2687"/>
        <item x="1924"/>
        <item x="1624"/>
        <item x="4230"/>
        <item x="2986"/>
        <item x="4625"/>
        <item x="3544"/>
        <item x="1996"/>
        <item x="4541"/>
        <item x="25"/>
        <item x="1077"/>
        <item x="4424"/>
        <item x="3210"/>
        <item x="3628"/>
        <item x="1932"/>
        <item x="2174"/>
        <item x="2668"/>
        <item x="3240"/>
        <item x="763"/>
        <item x="3211"/>
        <item x="1119"/>
        <item x="3402"/>
        <item x="365"/>
        <item x="672"/>
        <item x="3609"/>
        <item x="3310"/>
        <item x="3235"/>
        <item x="3920"/>
        <item x="4639"/>
        <item x="4431"/>
        <item x="3107"/>
        <item x="1041"/>
        <item x="2372"/>
        <item x="3446"/>
        <item x="300"/>
        <item x="2023"/>
        <item x="3794"/>
        <item x="2487"/>
        <item x="2586"/>
        <item x="520"/>
        <item x="1891"/>
        <item x="3227"/>
        <item x="1596"/>
        <item x="1310"/>
        <item x="931"/>
        <item x="3703"/>
        <item x="3757"/>
        <item x="115"/>
        <item x="341"/>
        <item x="3314"/>
        <item x="2072"/>
        <item x="4027"/>
        <item x="3762"/>
        <item x="4110"/>
        <item x="4579"/>
        <item x="2681"/>
        <item x="371"/>
        <item x="3838"/>
        <item x="4231"/>
        <item x="1684"/>
        <item x="2171"/>
        <item x="1193"/>
        <item x="2427"/>
        <item x="457"/>
        <item x="2910"/>
        <item x="1232"/>
        <item x="2473"/>
        <item x="2112"/>
        <item x="3921"/>
        <item x="328"/>
        <item x="2053"/>
        <item x="3280"/>
        <item x="3130"/>
        <item x="1189"/>
        <item x="1311"/>
        <item x="2341"/>
        <item x="3602"/>
        <item x="2931"/>
        <item x="2168"/>
        <item x="1127"/>
        <item x="2969"/>
        <item x="3483"/>
        <item x="646"/>
        <item x="4712"/>
        <item x="2804"/>
        <item x="1258"/>
        <item x="4692"/>
        <item x="2216"/>
        <item x="1890"/>
        <item x="324"/>
        <item x="1260"/>
        <item x="136"/>
        <item x="4564"/>
        <item x="4349"/>
        <item x="1321"/>
        <item x="3759"/>
        <item x="3514"/>
        <item x="3167"/>
        <item x="2629"/>
        <item x="3590"/>
        <item x="3084"/>
        <item x="1677"/>
        <item x="368"/>
        <item x="3671"/>
        <item x="3581"/>
        <item x="2362"/>
        <item x="1983"/>
        <item x="568"/>
        <item x="2928"/>
        <item x="2354"/>
        <item x="2768"/>
        <item x="2124"/>
        <item x="2435"/>
        <item x="1754"/>
        <item x="2521"/>
        <item x="4375"/>
        <item x="3885"/>
        <item x="3670"/>
        <item x="3734"/>
        <item x="1532"/>
        <item x="209"/>
        <item x="4132"/>
        <item x="1376"/>
        <item x="1196"/>
        <item x="760"/>
        <item x="486"/>
        <item x="3459"/>
        <item x="1012"/>
        <item x="207"/>
        <item x="2008"/>
        <item x="4082"/>
        <item x="3726"/>
        <item x="2565"/>
        <item x="4784"/>
        <item x="134"/>
        <item x="3961"/>
        <item x="986"/>
        <item x="2679"/>
        <item x="1974"/>
        <item x="242"/>
        <item x="2575"/>
        <item x="4627"/>
        <item x="1213"/>
        <item x="271"/>
        <item x="1306"/>
        <item x="420"/>
        <item x="1479"/>
        <item x="3086"/>
        <item x="3374"/>
        <item x="4406"/>
        <item x="3803"/>
        <item x="3079"/>
        <item x="4225"/>
        <item x="1801"/>
        <item x="3169"/>
        <item x="1400"/>
        <item x="123"/>
        <item x="4804"/>
        <item x="3476"/>
        <item x="1901"/>
        <item x="2778"/>
        <item x="2488"/>
        <item x="4090"/>
        <item x="4359"/>
        <item x="13"/>
        <item x="2180"/>
        <item x="1229"/>
        <item x="215"/>
        <item x="3479"/>
        <item x="4806"/>
        <item x="158"/>
        <item x="4570"/>
        <item x="1452"/>
        <item x="607"/>
        <item x="3730"/>
        <item x="1424"/>
        <item x="4446"/>
        <item x="3124"/>
        <item x="4204"/>
        <item x="3500"/>
        <item x="208"/>
        <item x="4854"/>
        <item x="2698"/>
        <item x="856"/>
        <item x="1755"/>
        <item x="3780"/>
        <item x="4395"/>
        <item x="3401"/>
        <item x="2140"/>
        <item x="339"/>
        <item x="1436"/>
        <item x="250"/>
        <item x="4213"/>
        <item x="311"/>
        <item x="2648"/>
        <item x="3397"/>
        <item x="3713"/>
        <item x="3758"/>
        <item x="12"/>
        <item x="4321"/>
        <item x="580"/>
        <item x="507"/>
        <item x="2383"/>
        <item x="1032"/>
        <item x="3502"/>
        <item x="3473"/>
        <item x="2271"/>
        <item x="608"/>
        <item x="3828"/>
        <item x="4664"/>
        <item x="2084"/>
        <item x="2214"/>
        <item x="511"/>
        <item x="4766"/>
        <item x="2946"/>
        <item x="1444"/>
        <item x="2820"/>
        <item x="4080"/>
        <item x="2418"/>
        <item x="3906"/>
        <item x="2415"/>
        <item x="2959"/>
        <item x="71"/>
        <item x="609"/>
        <item x="1965"/>
        <item x="1547"/>
        <item x="761"/>
        <item x="4595"/>
        <item x="4198"/>
        <item x="248"/>
        <item x="1162"/>
        <item x="24"/>
        <item x="3650"/>
        <item x="1348"/>
        <item x="3181"/>
        <item x="2943"/>
        <item x="2160"/>
        <item x="936"/>
        <item x="4019"/>
        <item x="4789"/>
        <item x="4711"/>
        <item x="262"/>
        <item x="3347"/>
        <item x="3721"/>
        <item x="1378"/>
        <item x="1968"/>
        <item x="663"/>
        <item x="3580"/>
        <item x="1276"/>
        <item x="4182"/>
        <item x="1049"/>
        <item x="691"/>
        <item x="1672"/>
        <item x="3770"/>
        <item x="425"/>
        <item x="3258"/>
        <item x="1852"/>
        <item x="4575"/>
        <item x="748"/>
        <item x="4248"/>
        <item x="176"/>
        <item x="1097"/>
        <item x="2405"/>
        <item x="263"/>
        <item x="3272"/>
        <item x="916"/>
        <item x="2596"/>
        <item x="2689"/>
        <item x="1593"/>
        <item x="4782"/>
        <item x="1387"/>
        <item x="347"/>
        <item x="450"/>
        <item x="524"/>
        <item x="398"/>
        <item x="1144"/>
        <item x="2101"/>
        <item x="17"/>
        <item x="2296"/>
        <item x="2052"/>
        <item x="550"/>
        <item x="312"/>
        <item x="1265"/>
        <item x="2745"/>
        <item x="1916"/>
        <item x="1589"/>
        <item x="223"/>
        <item x="1307"/>
        <item x="430"/>
        <item x="1525"/>
        <item x="181"/>
        <item x="389"/>
        <item x="3566"/>
        <item x="3338"/>
        <item x="1942"/>
        <item x="1878"/>
        <item x="1113"/>
        <item x="845"/>
        <item x="4313"/>
        <item x="532"/>
        <item x="3570"/>
        <item x="545"/>
        <item x="3907"/>
        <item x="1640"/>
        <item x="1172"/>
        <item x="453"/>
        <item x="1881"/>
        <item x="3916"/>
        <item x="2478"/>
        <item x="4275"/>
        <item x="1538"/>
        <item x="3035"/>
        <item x="4856"/>
        <item x="152"/>
        <item x="1316"/>
        <item x="94"/>
        <item x="4264"/>
        <item x="3030"/>
        <item x="4438"/>
        <item x="1746"/>
        <item x="2000"/>
        <item x="1919"/>
        <item x="1821"/>
        <item x="4606"/>
        <item x="4276"/>
        <item x="3561"/>
        <item x="4284"/>
        <item x="2828"/>
        <item x="3495"/>
        <item x="3704"/>
        <item x="4412"/>
        <item x="1544"/>
        <item x="2535"/>
        <item x="2377"/>
        <item x="579"/>
        <item x="1453"/>
        <item x="1207"/>
        <item x="2735"/>
        <item x="1845"/>
        <item x="259"/>
        <item x="1928"/>
        <item x="3867"/>
        <item x="2117"/>
        <item x="3830"/>
        <item x="1031"/>
        <item x="54"/>
        <item x="3002"/>
        <item x="2387"/>
        <item x="318"/>
        <item x="1157"/>
        <item x="401"/>
        <item x="3407"/>
        <item x="4179"/>
        <item x="3036"/>
        <item x="3326"/>
        <item x="3238"/>
        <item x="3644"/>
        <item x="218"/>
        <item x="481"/>
        <item x="2120"/>
        <item x="1268"/>
        <item x="2489"/>
        <item x="4131"/>
        <item x="3132"/>
        <item x="1548"/>
        <item x="2985"/>
        <item x="3478"/>
        <item x="1603"/>
        <item x="2194"/>
        <item x="2195"/>
        <item x="2095"/>
        <item x="211"/>
        <item x="2918"/>
        <item x="2937"/>
        <item x="4484"/>
        <item x="443"/>
        <item x="4841"/>
        <item x="3560"/>
        <item x="4112"/>
        <item x="572"/>
        <item x="3415"/>
        <item x="2311"/>
        <item x="1304"/>
        <item x="2297"/>
        <item x="1737"/>
        <item x="473"/>
        <item x="3180"/>
        <item x="3673"/>
        <item x="3826"/>
        <item x="1708"/>
        <item x="2644"/>
        <item x="1560"/>
        <item x="1750"/>
        <item x="3967"/>
        <item x="565"/>
        <item x="1455"/>
        <item x="29"/>
        <item x="910"/>
        <item x="4233"/>
        <item x="3118"/>
        <item x="635"/>
        <item x="494"/>
        <item x="3786"/>
        <item x="2662"/>
        <item x="2690"/>
        <item x="3943"/>
        <item x="272"/>
        <item x="3884"/>
        <item x="2247"/>
        <item x="1075"/>
        <item x="1783"/>
        <item x="2150"/>
        <item x="1143"/>
        <item x="388"/>
        <item x="1614"/>
        <item x="4309"/>
        <item x="3773"/>
        <item x="953"/>
        <item x="4202"/>
        <item x="2868"/>
        <item x="124"/>
        <item x="3932"/>
        <item x="3493"/>
        <item x="2054"/>
        <item x="2538"/>
        <item x="2209"/>
        <item x="68"/>
        <item x="1361"/>
        <item x="1573"/>
        <item x="3003"/>
        <item x="3795"/>
        <item x="3122"/>
        <item x="1915"/>
        <item x="237"/>
        <item x="172"/>
        <item x="1876"/>
        <item x="1558"/>
        <item x="2741"/>
        <item x="1205"/>
        <item x="3498"/>
        <item x="2976"/>
        <item x="900"/>
        <item x="1894"/>
        <item x="1299"/>
        <item x="1886"/>
        <item x="3279"/>
        <item x="1355"/>
        <item x="2071"/>
        <item x="1007"/>
        <item x="316"/>
        <item x="2196"/>
        <item x="1629"/>
        <item x="3912"/>
        <item x="3287"/>
        <item x="1858"/>
        <item x="2524"/>
        <item x="4482"/>
        <item x="1236"/>
        <item x="4814"/>
        <item x="4557"/>
        <item x="3792"/>
        <item x="3445"/>
        <item x="1225"/>
        <item x="229"/>
        <item x="60"/>
        <item x="1228"/>
        <item x="1363"/>
        <item x="247"/>
        <item x="793"/>
        <item x="3250"/>
        <item x="116"/>
        <item x="3390"/>
        <item x="2707"/>
        <item x="2436"/>
        <item x="4723"/>
        <item x="426"/>
        <item x="417"/>
        <item x="1724"/>
        <item x="1091"/>
        <item x="1936"/>
        <item x="3966"/>
        <item x="4037"/>
        <item x="1647"/>
        <item x="2128"/>
        <item x="464"/>
        <item x="2437"/>
        <item x="364"/>
        <item x="1060"/>
        <item x="4569"/>
        <item x="4437"/>
        <item x="784"/>
        <item x="1076"/>
        <item x="2683"/>
        <item x="1065"/>
        <item x="2998"/>
        <item x="1739"/>
        <item x="3248"/>
        <item x="2649"/>
        <item x="4479"/>
        <item x="3335"/>
        <item x="1867"/>
        <item x="4601"/>
        <item x="1104"/>
        <item x="111"/>
        <item x="4045"/>
        <item x="3659"/>
        <item x="4209"/>
        <item x="1719"/>
        <item x="2516"/>
        <item x="2382"/>
        <item x="2898"/>
        <item x="1454"/>
        <item x="3302"/>
        <item x="3410"/>
        <item x="523"/>
        <item x="750"/>
        <item x="4401"/>
        <item x="4043"/>
        <item x="3067"/>
        <item x="2316"/>
        <item x="1410"/>
        <item x="59"/>
        <item x="4417"/>
        <item x="1978"/>
        <item x="2584"/>
        <item x="90"/>
        <item x="1149"/>
        <item x="73"/>
        <item x="1721"/>
        <item x="1015"/>
        <item x="3701"/>
        <item x="3957"/>
        <item x="4821"/>
        <item x="1728"/>
        <item x="2326"/>
        <item x="2328"/>
        <item x="3134"/>
        <item x="2416"/>
        <item x="2287"/>
        <item x="149"/>
        <item x="1482"/>
        <item x="693"/>
        <item x="1191"/>
        <item x="4052"/>
        <item x="1408"/>
        <item x="2678"/>
        <item x="4047"/>
        <item x="1098"/>
        <item x="100"/>
        <item x="1712"/>
        <item x="3329"/>
        <item x="2009"/>
        <item x="4647"/>
        <item x="4153"/>
        <item x="754"/>
        <item x="2731"/>
        <item x="591"/>
        <item x="2390"/>
        <item x="3435"/>
        <item x="2241"/>
        <item x="1742"/>
        <item x="2792"/>
        <item x="4136"/>
        <item x="1566"/>
        <item x="3123"/>
        <item x="4353"/>
        <item x="3149"/>
        <item x="20"/>
        <item x="2759"/>
        <item x="3950"/>
        <item x="2569"/>
        <item x="4146"/>
        <item x="408"/>
        <item x="1379"/>
        <item x="2253"/>
        <item x="4308"/>
        <item x="3565"/>
        <item x="4258"/>
        <item x="2351"/>
        <item x="4857"/>
        <item x="2022"/>
        <item x="2617"/>
        <item x="1090"/>
        <item x="4408"/>
        <item x="4346"/>
        <item x="4514"/>
        <item x="170"/>
        <item x="30"/>
        <item x="2948"/>
        <item x="2356"/>
        <item x="1250"/>
        <item x="3512"/>
        <item x="2684"/>
        <item x="1618"/>
        <item x="3719"/>
        <item x="4462"/>
        <item x="1610"/>
        <item x="3288"/>
        <item x="3696"/>
        <item x="442"/>
        <item x="2654"/>
        <item x="2332"/>
        <item x="1096"/>
        <item x="4485"/>
        <item x="174"/>
        <item x="3429"/>
        <item x="4686"/>
        <item x="1356"/>
        <item x="1811"/>
        <item x="3955"/>
        <item x="2571"/>
        <item x="4208"/>
        <item x="2819"/>
        <item x="2007"/>
        <item x="1830"/>
        <item x="3465"/>
        <item x="1168"/>
        <item x="776"/>
        <item x="2454"/>
        <item x="1988"/>
        <item x="118"/>
        <item x="4127"/>
        <item x="2016"/>
        <item x="1037"/>
        <item x="598"/>
        <item x="787"/>
        <item x="205"/>
        <item x="1475"/>
        <item x="2190"/>
        <item x="1120"/>
        <item x="3264"/>
        <item x="2739"/>
        <item x="2643"/>
        <item x="514"/>
        <item x="3851"/>
        <item x="2057"/>
        <item x="3246"/>
        <item x="424"/>
        <item x="728"/>
        <item x="14"/>
        <item x="314"/>
        <item x="1539"/>
        <item x="260"/>
        <item x="2635"/>
        <item x="3048"/>
        <item x="3291"/>
        <item x="2166"/>
        <item x="2935"/>
        <item x="919"/>
        <item x="3293"/>
        <item x="1471"/>
        <item x="1541"/>
        <item x="908"/>
        <item x="2098"/>
        <item x="2709"/>
        <item x="3369"/>
        <item x="1775"/>
        <item x="2012"/>
        <item x="268"/>
        <item x="1759"/>
        <item x="4838"/>
        <item x="816"/>
        <item x="483"/>
        <item x="1625"/>
        <item x="178"/>
        <item x="2378"/>
        <item x="3337"/>
        <item x="2138"/>
        <item x="3424"/>
        <item x="489"/>
        <item x="4613"/>
        <item x="4352"/>
        <item x="4240"/>
        <item x="3062"/>
        <item x="319"/>
        <item x="3680"/>
        <item x="2080"/>
        <item x="1951"/>
        <item x="823"/>
        <item x="1339"/>
        <item x="1777"/>
        <item x="395"/>
        <item x="3481"/>
        <item x="886"/>
        <item x="1038"/>
        <item x="1521"/>
        <item x="1078"/>
        <item x="1499"/>
        <item x="842"/>
        <item x="2151"/>
        <item x="1802"/>
        <item x="2923"/>
        <item x="2829"/>
        <item x="1882"/>
        <item x="1286"/>
        <item x="1938"/>
        <item x="1234"/>
        <item x="3309"/>
        <item x="3681"/>
        <item x="1651"/>
        <item x="4507"/>
        <item x="297"/>
        <item x="459"/>
        <item x="1760"/>
        <item x="2879"/>
        <item x="31"/>
        <item x="112"/>
        <item x="2100"/>
        <item x="313"/>
        <item x="531"/>
        <item x="183"/>
        <item x="2078"/>
        <item x="3533"/>
        <item x="1822"/>
        <item x="2591"/>
        <item x="2936"/>
        <item x="3463"/>
        <item x="357"/>
        <item x="3131"/>
        <item x="942"/>
        <item x="4351"/>
        <item x="2506"/>
        <item x="3155"/>
        <item x="83"/>
        <item x="4214"/>
        <item x="3384"/>
        <item x="3926"/>
        <item x="1758"/>
        <item x="2845"/>
        <item x="374"/>
        <item x="1200"/>
        <item x="1039"/>
        <item x="4241"/>
        <item x="970"/>
        <item x="4079"/>
        <item x="1470"/>
        <item x="3336"/>
        <item x="706"/>
        <item x="4708"/>
        <item x="907"/>
        <item x="957"/>
        <item x="2573"/>
        <item x="1904"/>
        <item x="4201"/>
        <item x="3854"/>
        <item x="2977"/>
        <item x="4350"/>
        <item x="929"/>
        <item x="570"/>
        <item x="3898"/>
        <item x="151"/>
        <item x="4587"/>
        <item x="2634"/>
        <item x="2846"/>
        <item x="363"/>
        <item x="3853"/>
        <item x="157"/>
        <item x="3116"/>
        <item x="1778"/>
        <item x="3655"/>
        <item x="3154"/>
        <item x="3981"/>
        <item x="3151"/>
        <item x="2748"/>
        <item x="2034"/>
        <item x="1020"/>
        <item x="4586"/>
        <item x="2877"/>
        <item x="606"/>
        <item x="2276"/>
        <item x="2038"/>
        <item x="2154"/>
        <item x="574"/>
        <item x="4065"/>
        <item x="1370"/>
        <item x="3024"/>
        <item x="1133"/>
        <item x="1675"/>
        <item x="35"/>
        <item x="2900"/>
        <item x="2037"/>
        <item x="3005"/>
        <item x="1643"/>
        <item x="2430"/>
        <item x="2318"/>
        <item x="1446"/>
        <item x="4434"/>
        <item x="1137"/>
        <item x="1337"/>
        <item x="562"/>
        <item x="3392"/>
        <item x="2036"/>
        <item x="1081"/>
        <item x="2878"/>
        <item x="131"/>
        <item x="361"/>
        <item x="2357"/>
        <item x="3814"/>
        <item x="1694"/>
        <item x="2232"/>
        <item x="985"/>
        <item x="2800"/>
        <item x="4064"/>
        <item x="3552"/>
        <item x="2275"/>
        <item x="1136"/>
        <item x="2205"/>
        <item x="1186"/>
        <item x="3178"/>
        <item x="1866"/>
        <item x="177"/>
        <item x="786"/>
        <item x="2089"/>
        <item x="2182"/>
        <item x="1148"/>
        <item x="881"/>
        <item x="3747"/>
        <item x="1626"/>
        <item x="2636"/>
        <item x="799"/>
        <item x="1663"/>
        <item x="864"/>
        <item x="1166"/>
        <item x="2469"/>
        <item x="456"/>
        <item x="1790"/>
        <item x="1477"/>
        <item x="1567"/>
        <item x="1004"/>
        <item x="536"/>
        <item x="911"/>
        <item x="1426"/>
        <item x="1222"/>
        <item x="2899"/>
        <item x="1757"/>
        <item x="2747"/>
        <item x="4646"/>
        <item x="1397"/>
        <item x="296"/>
        <item x="3982"/>
        <item x="1964"/>
        <item x="2815"/>
        <item x="4681"/>
        <item x="3608"/>
        <item x="1929"/>
        <item x="802"/>
        <item x="264"/>
        <item x="1261"/>
        <item x="3380"/>
        <item x="3027"/>
        <item x="4443"/>
        <item x="189"/>
        <item x="1729"/>
        <item x="1906"/>
        <item x="4257"/>
        <item x="2135"/>
        <item x="1949"/>
        <item x="1401"/>
        <item x="346"/>
        <item x="2099"/>
        <item x="2843"/>
        <item x="617"/>
        <item x="65"/>
        <item x="1202"/>
        <item x="3317"/>
        <item x="2884"/>
        <item x="4107"/>
        <item x="4238"/>
        <item x="2428"/>
        <item x="2523"/>
        <item x="2259"/>
        <item x="627"/>
        <item x="906"/>
        <item x="3075"/>
        <item x="1799"/>
        <item x="4552"/>
        <item x="2425"/>
        <item x="2169"/>
        <item x="670"/>
        <item x="2612"/>
        <item x="2610"/>
        <item x="729"/>
        <item x="4015"/>
        <item x="3551"/>
        <item x="2721"/>
        <item x="2189"/>
        <item x="41"/>
        <item x="730"/>
        <item x="1569"/>
        <item x="3639"/>
        <item x="3732"/>
        <item x="2615"/>
        <item x="39"/>
        <item x="3534"/>
        <item x="461"/>
        <item x="1581"/>
        <item x="1319"/>
        <item x="1592"/>
        <item x="1325"/>
        <item x="589"/>
        <item x="1369"/>
        <item x="3626"/>
        <item x="1079"/>
        <item x="2548"/>
        <item x="4108"/>
        <item x="2525"/>
        <item x="375"/>
        <item x="3047"/>
        <item x="3405"/>
        <item x="3354"/>
        <item x="3404"/>
        <item x="3815"/>
        <item x="2429"/>
        <item x="2641"/>
        <item x="2701"/>
        <item x="1864"/>
        <item x="3576"/>
        <item x="3368"/>
        <item x="3788"/>
        <item x="4382"/>
        <item x="4385"/>
        <item x="1501"/>
        <item x="739"/>
        <item x="2632"/>
        <item x="1322"/>
        <item x="1820"/>
        <item x="3564"/>
        <item x="651"/>
        <item x="3157"/>
        <item x="2509"/>
        <item x="3850"/>
        <item x="4128"/>
        <item x="342"/>
        <item x="3270"/>
        <item x="3878"/>
        <item x="137"/>
        <item x="1745"/>
        <item x="1105"/>
        <item x="1442"/>
        <item x="3900"/>
        <item x="1674"/>
        <item x="1118"/>
        <item x="3619"/>
        <item x="2950"/>
        <item x="2111"/>
        <item x="4741"/>
        <item x="988"/>
        <item x="2472"/>
        <item x="3928"/>
        <item x="1383"/>
        <item x="3656"/>
        <item x="2456"/>
        <item x="2292"/>
        <item x="3489"/>
        <item x="1502"/>
        <item x="4089"/>
        <item x="1989"/>
        <item x="4176"/>
        <item x="1608"/>
        <item x="1613"/>
        <item x="2068"/>
        <item x="4474"/>
        <item x="3870"/>
        <item x="4383"/>
        <item x="4801"/>
        <item x="2136"/>
        <item x="2048"/>
        <item x="4624"/>
        <item x="4669"/>
        <item x="4799"/>
        <item x="1468"/>
        <item x="63"/>
        <item x="191"/>
        <item x="3026"/>
        <item x="1761"/>
        <item x="843"/>
        <item x="1523"/>
        <item x="3425"/>
        <item x="4362"/>
        <item x="2992"/>
        <item x="2700"/>
        <item x="1398"/>
        <item x="768"/>
        <item x="2924"/>
        <item x="4668"/>
        <item x="2187"/>
        <item x="4415"/>
        <item x="594"/>
        <item x="677"/>
        <item x="490"/>
        <item x="1289"/>
        <item x="561"/>
        <item x="1519"/>
        <item x="96"/>
        <item x="571"/>
        <item x="1540"/>
        <item x="3438"/>
        <item x="2812"/>
        <item x="135"/>
        <item x="2255"/>
        <item x="800"/>
        <item x="4175"/>
        <item x="3355"/>
        <item x="1165"/>
        <item x="2858"/>
        <item x="645"/>
        <item x="1911"/>
        <item x="1055"/>
        <item x="1650"/>
        <item x="2919"/>
        <item x="326"/>
        <item x="506"/>
        <item x="2236"/>
        <item x="4630"/>
        <item x="1661"/>
        <item x="3947"/>
        <item x="2235"/>
        <item x="3208"/>
        <item x="2257"/>
        <item x="2885"/>
        <item x="2035"/>
        <item x="1169"/>
        <item x="2391"/>
        <item x="4519"/>
        <item x="1628"/>
        <item x="879"/>
        <item x="4042"/>
        <item x="3872"/>
        <item x="4527"/>
        <item x="4404"/>
        <item x="4850"/>
        <item x="954"/>
        <item x="2616"/>
        <item x="4118"/>
        <item x="1568"/>
        <item x="2574"/>
        <item x="508"/>
        <item x="971"/>
        <item x="3324"/>
        <item x="345"/>
        <item x="2457"/>
        <item x="1913"/>
        <item x="3588"/>
        <item x="1167"/>
        <item x="1419"/>
        <item x="3764"/>
        <item x="284"/>
        <item x="2186"/>
        <item x="2710"/>
        <item x="1425"/>
        <item x="9"/>
        <item x="3477"/>
        <item x="4506"/>
        <item x="3804"/>
        <item x="3007"/>
        <item x="4303"/>
        <item x="320"/>
        <item x="865"/>
        <item x="4063"/>
        <item x="1850"/>
        <item x="1551"/>
        <item x="3733"/>
        <item x="1743"/>
        <item x="2880"/>
        <item x="3316"/>
        <item x="4160"/>
        <item x="4397"/>
        <item x="3008"/>
        <item x="4699"/>
        <item x="3774"/>
        <item x="4039"/>
        <item x="1744"/>
        <item x="1467"/>
        <item x="2510"/>
        <item x="4671"/>
        <item x="4758"/>
        <item x="295"/>
        <item x="15"/>
        <item x="2925"/>
        <item x="1469"/>
        <item x="3408"/>
        <item x="3308"/>
        <item x="783"/>
        <item x="2379"/>
        <item x="1489"/>
        <item x="4645"/>
        <item x="3897"/>
        <item x="315"/>
        <item x="3028"/>
        <item x="503"/>
        <item x="1550"/>
        <item x="3657"/>
        <item x="2661"/>
        <item x="3829"/>
        <item x="4425"/>
        <item x="4808"/>
        <item x="1524"/>
        <item x="1064"/>
        <item x="4543"/>
        <item x="2398"/>
        <item x="2799"/>
        <item x="4077"/>
        <item x="756"/>
        <item x="1303"/>
        <item x="2722"/>
        <item x="4602"/>
        <item x="4013"/>
        <item x="4200"/>
        <item x="1646"/>
        <item x="2458"/>
        <item x="3367"/>
        <item x="4361"/>
        <item x="3406"/>
        <item x="2295"/>
        <item x="1100"/>
        <item x="4405"/>
        <item x="4448"/>
        <item x="3991"/>
        <item x="4384"/>
        <item x="4237"/>
        <item x="930"/>
        <item x="2032"/>
        <item x="2952"/>
        <item x="4750"/>
        <item x="410"/>
        <item x="78"/>
        <item x="3197"/>
        <item x="2060"/>
        <item x="161"/>
        <item x="3409"/>
        <item x="4152"/>
        <item x="587"/>
        <item x="2059"/>
        <item x="2293"/>
        <item x="1109"/>
        <item x="3244"/>
        <item x="2238"/>
        <item x="4518"/>
        <item x="3305"/>
        <item x="4294"/>
        <item x="2207"/>
        <item x="4851"/>
        <item x="3480"/>
        <item x="2786"/>
        <item x="851"/>
        <item x="84"/>
        <item x="3284"/>
        <item x="2352"/>
        <item x="3501"/>
        <item x="1649"/>
        <item x="2365"/>
        <item x="2261"/>
        <item x="2460"/>
        <item x="1707"/>
        <item x="4623"/>
        <item x="3457"/>
        <item x="2184"/>
        <item x="4542"/>
        <item x="4508"/>
        <item x="2204"/>
        <item x="2126"/>
        <item x="1574"/>
        <item x="1725"/>
        <item x="3261"/>
        <item x="2188"/>
        <item x="3682"/>
        <item x="850"/>
        <item x="1187"/>
        <item x="2642"/>
        <item x="647"/>
        <item x="3618"/>
        <item x="3381"/>
        <item x="3638"/>
        <item x="4603"/>
        <item x="1623"/>
        <item x="1417"/>
        <item x="1263"/>
        <item x="4330"/>
        <item x="2508"/>
        <item x="2787"/>
        <item x="3948"/>
        <item x="1883"/>
        <item x="1199"/>
        <item x="4682"/>
        <item x="4053"/>
        <item x="1591"/>
        <item x="221"/>
        <item x="1185"/>
        <item x="406"/>
        <item x="3553"/>
        <item x="1487"/>
        <item x="679"/>
        <item x="1612"/>
        <item x="2699"/>
        <item x="1217"/>
        <item x="2901"/>
        <item x="1170"/>
        <item x="1987"/>
        <item x="3718"/>
        <item x="2827"/>
        <item x="4860"/>
        <item x="4327"/>
        <item x="3245"/>
        <item x="4078"/>
        <item x="1279"/>
        <item x="1991"/>
        <item x="838"/>
        <item x="2274"/>
        <item x="4700"/>
        <item x="4194"/>
        <item x="4553"/>
        <item x="2537"/>
        <item x="2306"/>
        <item x="1914"/>
        <item x="3503"/>
        <item x="2412"/>
        <item x="88"/>
        <item x="2672"/>
        <item x="4787"/>
        <item x="407"/>
        <item x="1399"/>
        <item x="3061"/>
        <item t="default"/>
      </items>
    </pivotField>
    <pivotField dataField="1" numFmtId="3" showAll="0">
      <items count="4962">
        <item x="2905"/>
        <item x="4586"/>
        <item x="259"/>
        <item x="4924"/>
        <item x="4788"/>
        <item x="3470"/>
        <item x="4321"/>
        <item x="4170"/>
        <item x="4313"/>
        <item x="4909"/>
        <item x="2323"/>
        <item x="1235"/>
        <item x="2368"/>
        <item x="3062"/>
        <item x="2787"/>
        <item x="4685"/>
        <item x="2977"/>
        <item x="1454"/>
        <item x="67"/>
        <item x="4387"/>
        <item x="1836"/>
        <item x="4670"/>
        <item x="4550"/>
        <item x="3745"/>
        <item x="673"/>
        <item x="1879"/>
        <item x="4077"/>
        <item x="3557"/>
        <item x="2591"/>
        <item x="2671"/>
        <item x="1786"/>
        <item x="3887"/>
        <item x="115"/>
        <item x="3625"/>
        <item x="276"/>
        <item x="1900"/>
        <item x="1338"/>
        <item x="279"/>
        <item x="4627"/>
        <item x="4559"/>
        <item x="2208"/>
        <item x="4139"/>
        <item x="168"/>
        <item x="2258"/>
        <item x="2315"/>
        <item x="3551"/>
        <item x="2572"/>
        <item x="1519"/>
        <item x="310"/>
        <item x="2663"/>
        <item x="4598"/>
        <item x="162"/>
        <item x="386"/>
        <item x="3331"/>
        <item x="3259"/>
        <item x="3495"/>
        <item x="4368"/>
        <item x="4533"/>
        <item x="1133"/>
        <item x="2131"/>
        <item x="1871"/>
        <item x="3767"/>
        <item x="1765"/>
        <item x="3639"/>
        <item x="3658"/>
        <item x="2909"/>
        <item x="819"/>
        <item x="1681"/>
        <item x="4796"/>
        <item x="4646"/>
        <item x="1682"/>
        <item x="2224"/>
        <item x="2791"/>
        <item x="452"/>
        <item x="4358"/>
        <item x="4567"/>
        <item x="3992"/>
        <item x="24"/>
        <item x="3659"/>
        <item x="1710"/>
        <item x="4686"/>
        <item x="2793"/>
        <item x="1510"/>
        <item x="3585"/>
        <item x="3031"/>
        <item x="4484"/>
        <item x="4845"/>
        <item x="4322"/>
        <item x="2443"/>
        <item x="4488"/>
        <item x="1462"/>
        <item x="3653"/>
        <item x="3741"/>
        <item x="4731"/>
        <item x="352"/>
        <item x="2129"/>
        <item x="883"/>
        <item x="2239"/>
        <item x="470"/>
        <item x="2501"/>
        <item x="1560"/>
        <item x="2153"/>
        <item x="3292"/>
        <item x="3361"/>
        <item x="4359"/>
        <item x="2818"/>
        <item x="4459"/>
        <item x="2653"/>
        <item x="4330"/>
        <item x="3453"/>
        <item x="2154"/>
        <item x="1512"/>
        <item x="1428"/>
        <item x="2862"/>
        <item x="3904"/>
        <item x="3154"/>
        <item x="498"/>
        <item x="857"/>
        <item x="3247"/>
        <item x="768"/>
        <item x="1709"/>
        <item x="4799"/>
        <item x="1911"/>
        <item x="3657"/>
        <item x="2147"/>
        <item x="22"/>
        <item x="1992"/>
        <item x="4054"/>
        <item x="4925"/>
        <item x="2500"/>
        <item x="1135"/>
        <item x="740"/>
        <item x="2763"/>
        <item x="3378"/>
        <item x="3634"/>
        <item x="1327"/>
        <item x="2511"/>
        <item x="2803"/>
        <item x="785"/>
        <item x="2206"/>
        <item x="4540"/>
        <item x="478"/>
        <item x="529"/>
        <item x="2235"/>
        <item x="2284"/>
        <item x="4708"/>
        <item x="1702"/>
        <item x="2953"/>
        <item x="695"/>
        <item x="4838"/>
        <item x="2544"/>
        <item x="566"/>
        <item x="2584"/>
        <item x="2301"/>
        <item x="4866"/>
        <item x="757"/>
        <item x="3630"/>
        <item x="3203"/>
        <item x="3034"/>
        <item x="2425"/>
        <item x="4546"/>
        <item x="471"/>
        <item x="2183"/>
        <item x="2006"/>
        <item x="3367"/>
        <item x="3983"/>
        <item x="293"/>
        <item x="4445"/>
        <item x="675"/>
        <item x="2275"/>
        <item x="4860"/>
        <item x="112"/>
        <item x="3690"/>
        <item x="4165"/>
        <item x="1770"/>
        <item x="974"/>
        <item x="4349"/>
        <item x="3724"/>
        <item x="555"/>
        <item x="1963"/>
        <item x="2590"/>
        <item x="4864"/>
        <item x="4450"/>
        <item x="3090"/>
        <item x="4635"/>
        <item x="474"/>
        <item x="748"/>
        <item x="1117"/>
        <item x="1149"/>
        <item x="3700"/>
        <item x="3575"/>
        <item x="3346"/>
        <item x="4023"/>
        <item x="4525"/>
        <item x="1783"/>
        <item x="1991"/>
        <item x="3892"/>
        <item x="365"/>
        <item x="4654"/>
        <item x="44"/>
        <item x="4751"/>
        <item x="3804"/>
        <item x="4136"/>
        <item x="2728"/>
        <item x="2504"/>
        <item x="1098"/>
        <item x="2031"/>
        <item x="944"/>
        <item x="4888"/>
        <item x="3307"/>
        <item x="2314"/>
        <item x="1344"/>
        <item x="1971"/>
        <item x="438"/>
        <item x="1233"/>
        <item x="2612"/>
        <item x="1508"/>
        <item x="3995"/>
        <item x="439"/>
        <item x="4917"/>
        <item x="1626"/>
        <item x="2669"/>
        <item x="1934"/>
        <item x="4426"/>
        <item x="3352"/>
        <item x="2956"/>
        <item x="1894"/>
        <item x="4727"/>
        <item x="169"/>
        <item x="2836"/>
        <item x="2593"/>
        <item x="2775"/>
        <item x="4015"/>
        <item x="4140"/>
        <item x="2300"/>
        <item x="4064"/>
        <item x="3536"/>
        <item x="4593"/>
        <item x="2456"/>
        <item x="1933"/>
        <item x="607"/>
        <item x="4374"/>
        <item x="1550"/>
        <item x="4264"/>
        <item x="2304"/>
        <item x="4161"/>
        <item x="1876"/>
        <item x="250"/>
        <item x="3758"/>
        <item x="1034"/>
        <item x="3481"/>
        <item x="1413"/>
        <item x="2761"/>
        <item x="3646"/>
        <item x="2256"/>
        <item x="863"/>
        <item x="2565"/>
        <item x="217"/>
        <item x="2130"/>
        <item x="3773"/>
        <item x="1732"/>
        <item x="2232"/>
        <item x="4021"/>
        <item x="1057"/>
        <item x="4908"/>
        <item x="4821"/>
        <item x="4288"/>
        <item x="4645"/>
        <item x="3491"/>
        <item x="3680"/>
        <item x="888"/>
        <item x="709"/>
        <item x="2101"/>
        <item x="2747"/>
        <item x="4156"/>
        <item x="4820"/>
        <item x="2945"/>
        <item x="1328"/>
        <item x="2221"/>
        <item x="1392"/>
        <item x="1877"/>
        <item x="1094"/>
        <item x="3319"/>
        <item x="3715"/>
        <item x="727"/>
        <item x="2272"/>
        <item x="871"/>
        <item x="3351"/>
        <item x="3832"/>
        <item x="3942"/>
        <item x="1378"/>
        <item x="1589"/>
        <item x="3993"/>
        <item x="887"/>
        <item x="1064"/>
        <item x="4716"/>
        <item x="355"/>
        <item x="4273"/>
        <item x="4500"/>
        <item x="2345"/>
        <item x="4835"/>
        <item x="1789"/>
        <item x="4604"/>
        <item x="2399"/>
        <item x="549"/>
        <item x="2050"/>
        <item x="3414"/>
        <item x="2302"/>
        <item x="186"/>
        <item x="3573"/>
        <item x="3456"/>
        <item x="3800"/>
        <item x="4942"/>
        <item x="2528"/>
        <item x="3441"/>
        <item x="4448"/>
        <item x="1418"/>
        <item x="322"/>
        <item x="244"/>
        <item x="210"/>
        <item x="2986"/>
        <item x="353"/>
        <item x="4608"/>
        <item x="3496"/>
        <item x="3770"/>
        <item x="373"/>
        <item x="4549"/>
        <item x="908"/>
        <item x="3723"/>
        <item x="1054"/>
        <item x="644"/>
        <item x="3311"/>
        <item x="3518"/>
        <item x="3255"/>
        <item x="3156"/>
        <item x="4580"/>
        <item x="3114"/>
        <item x="4036"/>
        <item x="2446"/>
        <item x="3688"/>
        <item x="1083"/>
        <item x="391"/>
        <item x="3397"/>
        <item x="2597"/>
        <item x="3170"/>
        <item x="4366"/>
        <item x="605"/>
        <item x="432"/>
        <item x="3409"/>
        <item x="367"/>
        <item x="2170"/>
        <item x="1311"/>
        <item x="196"/>
        <item x="101"/>
        <item x="2867"/>
        <item x="1136"/>
        <item x="454"/>
        <item x="1697"/>
        <item x="3762"/>
        <item x="1345"/>
        <item x="3237"/>
        <item x="649"/>
        <item x="4920"/>
        <item x="4415"/>
        <item x="2358"/>
        <item x="4262"/>
        <item x="4061"/>
        <item x="4303"/>
        <item x="869"/>
        <item x="1683"/>
        <item x="3091"/>
        <item x="2892"/>
        <item x="2487"/>
        <item x="1734"/>
        <item x="691"/>
        <item x="1213"/>
        <item x="4404"/>
        <item x="3949"/>
        <item x="2682"/>
        <item x="3498"/>
        <item x="4274"/>
        <item x="2430"/>
        <item x="3218"/>
        <item x="3323"/>
        <item x="1330"/>
        <item x="2447"/>
        <item x="4286"/>
        <item x="4522"/>
        <item x="3135"/>
        <item x="469"/>
        <item x="458"/>
        <item x="3393"/>
        <item x="3719"/>
        <item x="2890"/>
        <item x="1993"/>
        <item x="4730"/>
        <item x="1921"/>
        <item x="3980"/>
        <item x="1938"/>
        <item x="1147"/>
        <item x="3672"/>
        <item x="4603"/>
        <item x="3499"/>
        <item x="2377"/>
        <item x="3139"/>
        <item x="3022"/>
        <item x="2010"/>
        <item x="1972"/>
        <item x="3740"/>
        <item x="1411"/>
        <item x="910"/>
        <item x="423"/>
        <item x="4179"/>
        <item x="4301"/>
        <item x="4644"/>
        <item x="4871"/>
        <item x="2005"/>
        <item x="988"/>
        <item x="1156"/>
        <item x="4006"/>
        <item x="2348"/>
        <item x="4392"/>
        <item x="368"/>
        <item x="4856"/>
        <item x="1484"/>
        <item x="3210"/>
        <item x="1365"/>
        <item x="2171"/>
        <item x="816"/>
        <item x="1242"/>
        <item x="4952"/>
        <item x="1154"/>
        <item x="3016"/>
        <item x="3837"/>
        <item x="4081"/>
        <item x="2616"/>
        <item x="1578"/>
        <item x="369"/>
        <item x="4929"/>
        <item x="421"/>
        <item x="2485"/>
        <item x="2234"/>
        <item x="149"/>
        <item x="2369"/>
        <item x="4032"/>
        <item x="4261"/>
        <item x="4516"/>
        <item x="1093"/>
        <item x="1258"/>
        <item x="1753"/>
        <item x="3501"/>
        <item x="4400"/>
        <item x="1844"/>
        <item x="1119"/>
        <item x="1409"/>
        <item x="3506"/>
        <item x="3457"/>
        <item x="2268"/>
        <item x="4146"/>
        <item x="2822"/>
        <item x="519"/>
        <item x="3674"/>
        <item x="4672"/>
        <item x="841"/>
        <item x="2305"/>
        <item x="3191"/>
        <item x="4217"/>
        <item x="3360"/>
        <item x="4072"/>
        <item x="3649"/>
        <item x="1096"/>
        <item x="4332"/>
        <item x="3485"/>
        <item x="1737"/>
        <item x="2018"/>
        <item x="4010"/>
        <item x="1598"/>
        <item x="3664"/>
        <item x="278"/>
        <item x="1636"/>
        <item x="2539"/>
        <item x="712"/>
        <item x="2741"/>
        <item x="4246"/>
        <item x="2918"/>
        <item x="3872"/>
        <item x="2575"/>
        <item x="3908"/>
        <item x="1802"/>
        <item x="1717"/>
        <item x="1824"/>
        <item x="4167"/>
        <item x="1305"/>
        <item x="1256"/>
        <item x="845"/>
        <item x="1407"/>
        <item x="3956"/>
        <item x="3798"/>
        <item x="3755"/>
        <item x="2459"/>
        <item x="4221"/>
        <item x="3593"/>
        <item x="3716"/>
        <item x="407"/>
        <item x="4879"/>
        <item x="3487"/>
        <item x="3845"/>
        <item x="1346"/>
        <item x="4223"/>
        <item x="1740"/>
        <item x="3151"/>
        <item x="2703"/>
        <item x="4899"/>
        <item x="2091"/>
        <item x="4471"/>
        <item x="2713"/>
        <item x="2907"/>
        <item x="4263"/>
        <item x="92"/>
        <item x="4068"/>
        <item x="2889"/>
        <item x="1677"/>
        <item x="3291"/>
        <item x="948"/>
        <item x="4914"/>
        <item x="1509"/>
        <item x="2759"/>
        <item x="3679"/>
        <item x="2654"/>
        <item x="4114"/>
        <item x="3179"/>
        <item x="1701"/>
        <item x="523"/>
        <item x="749"/>
        <item x="4681"/>
        <item x="823"/>
        <item x="1177"/>
        <item x="1497"/>
        <item x="324"/>
        <item x="120"/>
        <item x="747"/>
        <item x="1186"/>
        <item x="2267"/>
        <item x="886"/>
        <item x="3742"/>
        <item x="430"/>
        <item x="4614"/>
        <item x="3765"/>
        <item x="1597"/>
        <item x="2120"/>
        <item x="3874"/>
        <item x="143"/>
        <item x="4618"/>
        <item x="1195"/>
        <item x="1451"/>
        <item x="2840"/>
        <item x="4514"/>
        <item x="3193"/>
        <item x="4570"/>
        <item x="2530"/>
        <item x="3626"/>
        <item x="1896"/>
        <item x="1188"/>
        <item x="3171"/>
        <item x="2855"/>
        <item x="3214"/>
        <item x="782"/>
        <item x="1276"/>
        <item x="3343"/>
        <item x="968"/>
        <item x="2452"/>
        <item x="4853"/>
        <item x="972"/>
        <item x="2637"/>
        <item x="627"/>
        <item x="2303"/>
        <item x="1882"/>
        <item x="3814"/>
        <item x="1523"/>
        <item x="3433"/>
        <item x="499"/>
        <item x="3747"/>
        <item x="1166"/>
        <item x="4703"/>
        <item x="891"/>
        <item x="3465"/>
        <item x="4351"/>
        <item x="2128"/>
        <item x="4661"/>
        <item x="2525"/>
        <item x="2833"/>
        <item x="2437"/>
        <item x="1310"/>
        <item x="2632"/>
        <item x="3026"/>
        <item x="4636"/>
        <item x="615"/>
        <item x="3660"/>
        <item x="1129"/>
        <item x="1838"/>
        <item x="2406"/>
        <item x="987"/>
        <item x="2002"/>
        <item x="4746"/>
        <item x="2697"/>
        <item x="2202"/>
        <item x="3594"/>
        <item x="4460"/>
        <item x="2236"/>
        <item x="2712"/>
        <item x="3676"/>
        <item x="2556"/>
        <item x="4004"/>
        <item x="77"/>
        <item x="3124"/>
        <item x="2588"/>
        <item x="2706"/>
        <item x="2648"/>
        <item x="1437"/>
        <item x="229"/>
        <item x="4585"/>
        <item x="1246"/>
        <item x="4341"/>
        <item x="4937"/>
        <item x="2286"/>
        <item x="2244"/>
        <item x="4673"/>
        <item x="2521"/>
        <item x="182"/>
        <item x="1128"/>
        <item x="553"/>
        <item x="2645"/>
        <item x="3881"/>
        <item x="3782"/>
        <item x="1290"/>
        <item x="803"/>
        <item x="4098"/>
        <item x="1396"/>
        <item x="351"/>
        <item x="1961"/>
        <item x="3202"/>
        <item x="231"/>
        <item x="4231"/>
        <item x="45"/>
        <item x="2860"/>
        <item x="2685"/>
        <item x="1460"/>
        <item x="3417"/>
        <item x="2121"/>
        <item x="3787"/>
        <item x="4831"/>
        <item x="3118"/>
        <item x="698"/>
        <item x="2901"/>
        <item x="629"/>
        <item x="3163"/>
        <item x="2159"/>
        <item x="973"/>
        <item x="4455"/>
        <item x="1252"/>
        <item x="561"/>
        <item x="2262"/>
        <item x="2832"/>
        <item x="1918"/>
        <item x="3275"/>
        <item x="3007"/>
        <item x="2439"/>
        <item x="89"/>
        <item x="1852"/>
        <item x="4889"/>
        <item x="3231"/>
        <item x="3321"/>
        <item x="2100"/>
        <item x="721"/>
        <item x="2739"/>
        <item x="164"/>
        <item x="1185"/>
        <item x="3578"/>
        <item x="3276"/>
        <item x="947"/>
        <item x="4633"/>
        <item x="1698"/>
        <item x="2079"/>
        <item x="4424"/>
        <item x="4464"/>
        <item x="3436"/>
        <item x="2611"/>
        <item x="1635"/>
        <item x="2008"/>
        <item x="1257"/>
        <item x="3383"/>
        <item x="4204"/>
        <item x="2687"/>
        <item x="4397"/>
        <item x="105"/>
        <item x="3570"/>
        <item x="682"/>
        <item x="4922"/>
        <item x="3965"/>
        <item x="4127"/>
        <item x="75"/>
        <item x="1043"/>
        <item x="4919"/>
        <item x="2718"/>
        <item x="3855"/>
        <item x="4795"/>
        <item x="3790"/>
        <item x="424"/>
        <item x="3586"/>
        <item x="4803"/>
        <item x="4806"/>
        <item x="1184"/>
        <item x="1433"/>
        <item x="2127"/>
        <item x="21"/>
        <item x="2445"/>
        <item x="2720"/>
        <item x="3051"/>
        <item x="4406"/>
        <item x="3934"/>
        <item x="4093"/>
        <item x="4935"/>
        <item x="762"/>
        <item x="2053"/>
        <item x="4169"/>
        <item x="889"/>
        <item x="4195"/>
        <item x="2705"/>
        <item x="1668"/>
        <item x="2627"/>
        <item x="1436"/>
        <item x="3673"/>
        <item x="4676"/>
        <item x="2422"/>
        <item x="2607"/>
        <item x="1478"/>
        <item x="4749"/>
        <item x="4577"/>
        <item x="3315"/>
        <item x="1015"/>
        <item x="4769"/>
        <item x="3144"/>
        <item x="332"/>
        <item x="2554"/>
        <item x="2957"/>
        <item x="3555"/>
        <item x="3379"/>
        <item x="1558"/>
        <item x="2496"/>
        <item x="1314"/>
        <item x="349"/>
        <item x="4103"/>
        <item x="4194"/>
        <item x="2538"/>
        <item x="4377"/>
        <item x="56"/>
        <item x="3401"/>
        <item x="4096"/>
        <item x="634"/>
        <item x="4056"/>
        <item x="3972"/>
        <item x="4545"/>
        <item x="4017"/>
        <item x="1260"/>
        <item x="437"/>
        <item x="1873"/>
        <item x="3213"/>
        <item x="4022"/>
        <item x="1676"/>
        <item x="1680"/>
        <item x="90"/>
        <item x="4678"/>
        <item x="2373"/>
        <item x="4483"/>
        <item x="1254"/>
        <item x="2478"/>
        <item x="3052"/>
        <item x="144"/>
        <item x="1003"/>
        <item x="215"/>
        <item x="4239"/>
        <item x="2295"/>
        <item x="2930"/>
        <item x="1821"/>
        <item x="4117"/>
        <item x="170"/>
        <item x="2069"/>
        <item x="3440"/>
        <item x="305"/>
        <item x="3703"/>
        <item x="3636"/>
        <item x="158"/>
        <item x="3824"/>
        <item x="4312"/>
        <item x="4034"/>
        <item x="157"/>
        <item x="2730"/>
        <item x="1065"/>
        <item x="4808"/>
        <item x="3543"/>
        <item x="4617"/>
        <item x="1275"/>
        <item x="942"/>
        <item x="2331"/>
        <item x="858"/>
        <item x="3889"/>
        <item x="1067"/>
        <item x="4655"/>
        <item x="557"/>
        <item x="10"/>
        <item x="385"/>
        <item x="4265"/>
        <item x="3317"/>
        <item x="1960"/>
        <item x="2972"/>
        <item x="546"/>
        <item x="4938"/>
        <item x="2931"/>
        <item x="1700"/>
        <item x="1333"/>
        <item x="1784"/>
        <item x="1353"/>
        <item x="2755"/>
        <item x="4684"/>
        <item x="2025"/>
        <item x="113"/>
        <item x="3318"/>
        <item x="4396"/>
        <item x="4867"/>
        <item x="3189"/>
        <item x="3789"/>
        <item x="4449"/>
        <item x="4465"/>
        <item x="2035"/>
        <item x="729"/>
        <item x="704"/>
        <item x="1231"/>
        <item x="3472"/>
        <item x="2805"/>
        <item x="2364"/>
        <item x="2322"/>
        <item x="4439"/>
        <item x="3954"/>
        <item x="4959"/>
        <item x="3898"/>
        <item x="827"/>
        <item x="2884"/>
        <item x="3717"/>
        <item x="4432"/>
        <item x="2158"/>
        <item x="3434"/>
        <item x="957"/>
        <item x="4458"/>
        <item x="1323"/>
        <item x="4003"/>
        <item x="928"/>
        <item x="4369"/>
        <item x="1445"/>
        <item x="3061"/>
        <item x="3641"/>
        <item x="1232"/>
        <item x="4416"/>
        <item x="4320"/>
        <item x="706"/>
        <item x="1570"/>
        <item x="2195"/>
        <item x="3215"/>
        <item x="86"/>
        <item x="2589"/>
        <item x="4381"/>
        <item x="569"/>
        <item x="618"/>
        <item x="2581"/>
        <item x="2370"/>
        <item x="3959"/>
        <item x="3867"/>
        <item x="683"/>
        <item x="2595"/>
        <item x="3734"/>
        <item x="1631"/>
        <item x="778"/>
        <item x="1108"/>
        <item x="2477"/>
        <item x="3610"/>
        <item x="4441"/>
        <item x="436"/>
        <item x="4721"/>
        <item x="3603"/>
        <item x="2919"/>
        <item x="406"/>
        <item x="4258"/>
        <item x="3057"/>
        <item x="3937"/>
        <item x="4625"/>
        <item x="769"/>
        <item x="2168"/>
        <item x="2205"/>
        <item x="1986"/>
        <item x="4828"/>
        <item x="2063"/>
        <item x="4936"/>
        <item x="2927"/>
        <item x="1284"/>
        <item x="1289"/>
        <item x="3083"/>
        <item x="4115"/>
        <item x="659"/>
        <item x="1501"/>
        <item x="580"/>
        <item x="1798"/>
        <item x="2587"/>
        <item x="2088"/>
        <item x="3785"/>
        <item x="2176"/>
        <item x="810"/>
        <item x="1348"/>
        <item x="2360"/>
        <item x="1101"/>
        <item x="2344"/>
        <item x="2382"/>
        <item x="4104"/>
        <item x="3544"/>
        <item x="2902"/>
        <item x="4521"/>
        <item x="692"/>
        <item x="3997"/>
        <item x="4759"/>
        <item x="4278"/>
        <item x="3368"/>
        <item x="3846"/>
        <item x="3701"/>
        <item x="2061"/>
        <item x="3332"/>
        <item x="2801"/>
        <item x="4248"/>
        <item x="3859"/>
        <item x="1860"/>
        <item x="2622"/>
        <item x="999"/>
        <item x="1517"/>
        <item x="4218"/>
        <item x="4318"/>
        <item x="2963"/>
        <item x="180"/>
        <item x="3613"/>
        <item x="1965"/>
        <item x="4933"/>
        <item x="2468"/>
        <item x="1050"/>
        <item x="2408"/>
        <item x="4158"/>
        <item x="3271"/>
        <item x="2248"/>
        <item x="2165"/>
        <item x="1715"/>
        <item x="4478"/>
        <item x="3529"/>
        <item x="4923"/>
        <item x="2992"/>
        <item x="751"/>
        <item x="2404"/>
        <item x="966"/>
        <item x="3309"/>
        <item x="4695"/>
        <item x="4250"/>
        <item x="703"/>
        <item x="3866"/>
        <item x="3468"/>
        <item x="3475"/>
        <item x="4568"/>
        <item x="2849"/>
        <item x="3364"/>
        <item x="4832"/>
        <item x="4781"/>
        <item x="4496"/>
        <item x="1375"/>
        <item x="1720"/>
        <item x="670"/>
        <item x="3479"/>
        <item x="545"/>
        <item x="4621"/>
        <item x="4383"/>
        <item x="3829"/>
        <item x="3917"/>
        <item x="277"/>
        <item x="2655"/>
        <item x="3962"/>
        <item x="3463"/>
        <item x="1474"/>
        <item x="4687"/>
        <item x="3489"/>
        <item x="2070"/>
        <item x="4669"/>
        <item x="4735"/>
        <item x="1531"/>
        <item x="2228"/>
        <item x="4297"/>
        <item x="3933"/>
        <item x="1946"/>
        <item x="1857"/>
        <item x="959"/>
        <item x="1366"/>
        <item x="1216"/>
        <item x="3815"/>
        <item x="3522"/>
        <item x="2708"/>
        <item x="946"/>
        <item x="2979"/>
        <item x="1148"/>
        <item x="2334"/>
        <item x="614"/>
        <item x="2505"/>
        <item x="4722"/>
        <item x="1729"/>
        <item x="525"/>
        <item x="842"/>
        <item x="2628"/>
        <item x="4858"/>
        <item x="3946"/>
        <item x="4353"/>
        <item x="4092"/>
        <item x="2436"/>
        <item x="1947"/>
        <item x="1207"/>
        <item x="497"/>
        <item x="4870"/>
        <item x="3416"/>
        <item x="4745"/>
        <item x="46"/>
        <item x="982"/>
        <item x="508"/>
        <item x="1889"/>
        <item x="2355"/>
        <item x="4062"/>
        <item x="2940"/>
        <item x="4260"/>
        <item x="4807"/>
        <item x="1059"/>
        <item x="2012"/>
        <item x="4039"/>
        <item x="1806"/>
        <item x="2140"/>
        <item x="933"/>
        <item x="4024"/>
        <item x="154"/>
        <item x="1004"/>
        <item x="4553"/>
        <item x="619"/>
        <item x="2066"/>
        <item x="275"/>
        <item x="3164"/>
        <item x="2095"/>
        <item x="1621"/>
        <item x="1261"/>
        <item x="380"/>
        <item x="3979"/>
        <item x="4941"/>
        <item x="4456"/>
        <item x="2503"/>
        <item x="2724"/>
        <item x="3950"/>
        <item x="2853"/>
        <item x="1471"/>
        <item x="4513"/>
        <item x="2983"/>
        <item x="1180"/>
        <item x="2660"/>
        <item x="690"/>
        <item x="2306"/>
        <item x="3991"/>
        <item x="3913"/>
        <item x="3314"/>
        <item x="656"/>
        <item x="147"/>
        <item x="2837"/>
        <item x="1913"/>
        <item x="1090"/>
        <item x="3428"/>
        <item x="1272"/>
        <item x="2550"/>
        <item x="3011"/>
        <item x="821"/>
        <item x="4210"/>
        <item x="4848"/>
        <item x="3388"/>
        <item x="2988"/>
        <item x="2758"/>
        <item x="2569"/>
        <item x="1801"/>
        <item x="4417"/>
        <item x="19"/>
        <item x="4399"/>
        <item x="2704"/>
        <item x="3890"/>
        <item x="541"/>
        <item x="2624"/>
        <item x="2906"/>
        <item x="552"/>
        <item x="1223"/>
        <item x="812"/>
        <item x="3884"/>
        <item x="3119"/>
        <item x="1678"/>
        <item x="4365"/>
        <item x="4306"/>
        <item x="1924"/>
        <item x="2665"/>
        <item x="4518"/>
        <item x="3087"/>
        <item x="3473"/>
        <item x="2426"/>
        <item x="3349"/>
        <item x="4830"/>
        <item x="1425"/>
        <item x="1816"/>
        <item x="839"/>
        <item x="440"/>
        <item x="4243"/>
        <item x="2885"/>
        <item x="1515"/>
        <item x="36"/>
        <item x="245"/>
        <item x="1286"/>
        <item x="2078"/>
        <item x="865"/>
        <item x="1628"/>
        <item x="4779"/>
        <item x="4275"/>
        <item x="1614"/>
        <item x="2062"/>
        <item x="1359"/>
        <item x="4442"/>
        <item x="3955"/>
        <item x="70"/>
        <item x="4257"/>
        <item x="3835"/>
        <item x="1520"/>
        <item x="4340"/>
        <item x="4852"/>
        <item x="2636"/>
        <item x="2826"/>
        <item x="4742"/>
        <item x="2329"/>
        <item x="3150"/>
        <item x="4300"/>
        <item x="1036"/>
        <item x="1785"/>
        <item x="4840"/>
        <item x="4259"/>
        <item x="4198"/>
        <item x="371"/>
        <item x="3345"/>
        <item x="4226"/>
        <item x="881"/>
        <item x="4794"/>
        <item x="1814"/>
        <item x="2109"/>
        <item x="3017"/>
        <item x="1661"/>
        <item x="3092"/>
        <item x="914"/>
        <item x="2083"/>
        <item x="4903"/>
        <item x="4723"/>
        <item x="108"/>
        <item x="2074"/>
        <item x="3365"/>
        <item x="3160"/>
        <item x="3783"/>
        <item x="230"/>
        <item x="1541"/>
        <item x="1649"/>
        <item x="1379"/>
        <item x="504"/>
        <item x="3138"/>
        <item x="3176"/>
        <item x="2921"/>
        <item x="2882"/>
        <item x="1410"/>
        <item x="522"/>
        <item x="979"/>
        <item x="4331"/>
        <item x="360"/>
        <item x="1958"/>
        <item x="2817"/>
        <item x="3112"/>
        <item x="1522"/>
        <item x="720"/>
        <item x="4234"/>
        <item x="4163"/>
        <item x="2349"/>
        <item x="326"/>
        <item x="188"/>
        <item x="1326"/>
        <item x="4599"/>
        <item x="661"/>
        <item x="3912"/>
        <item x="1997"/>
        <item x="905"/>
        <item x="4529"/>
        <item x="2454"/>
        <item x="1576"/>
        <item x="2563"/>
        <item x="1139"/>
        <item x="4921"/>
        <item x="2266"/>
        <item x="4932"/>
        <item x="3821"/>
        <item x="457"/>
        <item x="1549"/>
        <item x="3711"/>
        <item x="4191"/>
        <item x="2579"/>
        <item x="4657"/>
        <item x="1833"/>
        <item x="2138"/>
        <item x="57"/>
        <item x="3464"/>
        <item x="1415"/>
        <item x="3919"/>
        <item x="578"/>
        <item x="1017"/>
        <item x="4861"/>
        <item x="1883"/>
        <item x="5"/>
        <item x="4542"/>
        <item x="3722"/>
        <item x="3196"/>
        <item x="4651"/>
        <item x="1530"/>
        <item x="60"/>
        <item x="1492"/>
        <item x="1796"/>
        <item x="2420"/>
        <item x="2551"/>
        <item x="4886"/>
        <item x="3612"/>
        <item x="1049"/>
        <item x="3768"/>
        <item x="4760"/>
        <item x="2865"/>
        <item x="2112"/>
        <item x="2858"/>
        <item x="2766"/>
        <item x="370"/>
        <item x="4752"/>
        <item x="4663"/>
        <item x="2656"/>
        <item x="4710"/>
        <item x="1932"/>
        <item x="1983"/>
        <item x="3000"/>
        <item x="2598"/>
        <item x="929"/>
        <item x="1540"/>
        <item x="1014"/>
        <item x="2807"/>
        <item x="235"/>
        <item x="2473"/>
        <item x="2259"/>
        <item x="3175"/>
        <item x="410"/>
        <item x="4076"/>
        <item x="3444"/>
        <item x="4101"/>
        <item x="2966"/>
        <item x="2081"/>
        <item x="3471"/>
        <item x="1426"/>
        <item x="3609"/>
        <item x="2630"/>
        <item x="2726"/>
        <item x="4100"/>
        <item x="4147"/>
        <item x="85"/>
        <item x="1974"/>
        <item x="771"/>
        <item x="3714"/>
        <item x="1793"/>
        <item x="1828"/>
        <item x="240"/>
        <item x="2090"/>
        <item x="3861"/>
        <item x="3900"/>
        <item x="2"/>
        <item x="3728"/>
        <item x="3848"/>
        <item x="1820"/>
        <item x="348"/>
        <item x="4801"/>
        <item x="2254"/>
        <item x="3077"/>
        <item x="935"/>
        <item x="3103"/>
        <item x="2495"/>
        <item x="3718"/>
        <item x="2635"/>
        <item x="3071"/>
        <item x="2094"/>
        <item x="1583"/>
        <item x="3387"/>
        <item x="2321"/>
        <item x="3059"/>
        <item x="2717"/>
        <item x="2785"/>
        <item x="3168"/>
        <item x="4069"/>
        <item x="3595"/>
        <item x="464"/>
        <item x="3427"/>
        <item x="986"/>
        <item x="4134"/>
        <item x="4089"/>
        <item x="2553"/>
        <item x="1104"/>
        <item x="588"/>
        <item x="2257"/>
        <item x="2642"/>
        <item x="530"/>
        <item x="3675"/>
        <item x="220"/>
        <item x="2285"/>
        <item x="970"/>
        <item x="664"/>
        <item x="3454"/>
        <item x="2948"/>
        <item x="1875"/>
        <item x="1220"/>
        <item x="1458"/>
        <item x="3067"/>
        <item x="4423"/>
        <item x="657"/>
        <item x="1679"/>
        <item x="3806"/>
        <item x="4629"/>
        <item x="2647"/>
        <item x="2240"/>
        <item x="1297"/>
        <item x="3395"/>
        <item x="3313"/>
        <item x="2943"/>
        <item x="4927"/>
        <item x="818"/>
        <item x="3875"/>
        <item x="3870"/>
        <item x="4555"/>
        <item x="4713"/>
        <item x="4106"/>
        <item x="963"/>
        <item x="1030"/>
        <item x="1389"/>
        <item x="3384"/>
        <item x="3827"/>
        <item x="3229"/>
        <item x="1858"/>
        <item x="43"/>
        <item x="4565"/>
        <item x="550"/>
        <item x="1504"/>
        <item x="1657"/>
        <item x="4950"/>
        <item x="1654"/>
        <item x="741"/>
        <item x="3065"/>
        <item x="2282"/>
        <item x="4787"/>
        <item x="4777"/>
        <item x="848"/>
        <item x="2967"/>
        <item x="3372"/>
        <item x="4576"/>
        <item x="3562"/>
        <item x="2444"/>
        <item x="4326"/>
        <item x="2033"/>
        <item x="2040"/>
        <item x="1167"/>
        <item x="596"/>
        <item x="895"/>
        <item x="1699"/>
        <item x="687"/>
        <item x="4095"/>
        <item x="4774"/>
        <item x="1479"/>
        <item x="3560"/>
        <item x="636"/>
        <item x="1016"/>
        <item x="1566"/>
        <item x="3788"/>
        <item x="237"/>
        <item x="2573"/>
        <item x="2419"/>
        <item x="2729"/>
        <item x="3751"/>
        <item x="4816"/>
        <item x="838"/>
        <item x="84"/>
        <item x="1516"/>
        <item x="2896"/>
        <item x="2116"/>
        <item x="2866"/>
        <item x="693"/>
        <item x="3073"/>
        <item x="1673"/>
        <item x="3375"/>
        <item x="4702"/>
        <item x="4043"/>
        <item x="2058"/>
        <item x="2139"/>
        <item x="1839"/>
        <item x="1544"/>
        <item x="3505"/>
        <item x="1270"/>
        <item x="3033"/>
        <item x="395"/>
        <item x="1131"/>
        <item x="3450"/>
        <item x="984"/>
        <item x="3305"/>
        <item x="4031"/>
        <item x="4421"/>
        <item x="829"/>
        <item x="1711"/>
        <item x="3772"/>
        <item x="137"/>
        <item x="2448"/>
        <item x="3400"/>
        <item x="3608"/>
        <item x="4660"/>
        <item x="1060"/>
        <item x="160"/>
        <item x="3776"/>
        <item x="4357"/>
        <item x="3975"/>
        <item x="4203"/>
        <item x="3098"/>
        <item x="2346"/>
        <item x="338"/>
        <item x="28"/>
        <item x="3981"/>
        <item x="2878"/>
        <item x="2783"/>
        <item x="4295"/>
        <item x="4675"/>
        <item x="1633"/>
        <item x="2904"/>
        <item x="4726"/>
        <item x="4829"/>
        <item x="3148"/>
        <item x="4744"/>
        <item x="1642"/>
        <item x="4029"/>
        <item x="40"/>
        <item x="3903"/>
        <item x="694"/>
        <item x="1009"/>
        <item x="3082"/>
        <item x="1209"/>
        <item x="3391"/>
        <item x="267"/>
        <item x="4814"/>
        <item x="2960"/>
        <item x="4754"/>
        <item x="4045"/>
        <item x="1977"/>
        <item x="998"/>
        <item x="2482"/>
        <item x="3219"/>
        <item x="116"/>
        <item x="1684"/>
        <item x="1078"/>
        <item x="1867"/>
        <item x="2201"/>
        <item x="612"/>
        <item x="3245"/>
        <item x="4872"/>
        <item x="3093"/>
        <item x="2578"/>
        <item x="468"/>
        <item x="2786"/>
        <item x="427"/>
        <item x="1005"/>
        <item x="3228"/>
        <item x="3891"/>
        <item x="2667"/>
        <item x="1927"/>
        <item x="4851"/>
        <item x="717"/>
        <item x="2156"/>
        <item x="647"/>
        <item x="3206"/>
        <item x="3526"/>
        <item x="3922"/>
        <item x="4162"/>
        <item x="3840"/>
        <item x="679"/>
        <item x="4123"/>
        <item x="4294"/>
        <item x="2071"/>
        <item x="1001"/>
        <item x="4211"/>
        <item x="11"/>
        <item x="4429"/>
        <item x="3696"/>
        <item x="2216"/>
        <item x="2009"/>
        <item x="119"/>
        <item x="1859"/>
        <item x="1647"/>
        <item x="3757"/>
        <item x="2692"/>
        <item x="1324"/>
        <item x="2617"/>
        <item x="1340"/>
        <item x="3338"/>
        <item x="1592"/>
        <item x="4009"/>
        <item x="3261"/>
        <item x="2567"/>
        <item x="3225"/>
        <item x="4763"/>
        <item x="4765"/>
        <item x="2923"/>
        <item x="744"/>
        <item x="1021"/>
        <item x="94"/>
        <item x="830"/>
        <item x="2596"/>
        <item x="1024"/>
        <item x="2773"/>
        <item x="2498"/>
        <item x="1922"/>
        <item x="4715"/>
        <item x="93"/>
        <item x="4547"/>
        <item x="1249"/>
        <item x="3377"/>
        <item x="3100"/>
        <item x="2639"/>
        <item x="2968"/>
        <item x="528"/>
        <item x="4370"/>
        <item x="96"/>
        <item x="4398"/>
        <item x="505"/>
        <item x="354"/>
        <item x="153"/>
        <item x="3074"/>
        <item x="121"/>
        <item x="594"/>
        <item x="2795"/>
        <item x="2869"/>
        <item x="4691"/>
        <item x="2332"/>
        <item x="2336"/>
        <item x="2395"/>
        <item x="3412"/>
        <item x="2609"/>
        <item x="581"/>
        <item x="2246"/>
        <item x="3566"/>
        <item x="3337"/>
        <item x="743"/>
        <item x="3252"/>
        <item x="3113"/>
        <item x="2509"/>
        <item x="1447"/>
        <item x="2117"/>
        <item x="4364"/>
        <item x="53"/>
        <item x="4780"/>
        <item x="941"/>
        <item x="1268"/>
        <item x="3036"/>
        <item x="1325"/>
        <item x="2310"/>
        <item x="1218"/>
        <item x="3109"/>
        <item x="252"/>
        <item x="3330"/>
        <item x="3572"/>
        <item x="2125"/>
        <item x="622"/>
        <item x="4953"/>
        <item x="4881"/>
        <item x="672"/>
        <item x="955"/>
        <item x="3559"/>
        <item x="2274"/>
        <item x="2212"/>
        <item x="2861"/>
        <item x="1007"/>
        <item x="1498"/>
        <item x="79"/>
        <item x="516"/>
        <item x="3822"/>
        <item x="1552"/>
        <item x="1088"/>
        <item x="4059"/>
        <item x="66"/>
        <item x="476"/>
        <item x="3117"/>
        <item x="3864"/>
        <item x="788"/>
        <item x="3080"/>
        <item x="1144"/>
        <item x="3230"/>
        <item x="1439"/>
        <item x="3132"/>
        <item x="2172"/>
        <item x="3693"/>
        <item x="558"/>
        <item x="3042"/>
        <item x="2641"/>
        <item x="2543"/>
        <item x="1228"/>
        <item x="1648"/>
        <item x="556"/>
        <item x="4271"/>
        <item x="971"/>
        <item x="4519"/>
        <item x="3127"/>
        <item x="4150"/>
        <item x="1594"/>
        <item x="676"/>
        <item x="4245"/>
        <item x="3990"/>
        <item x="65"/>
        <item x="4943"/>
        <item x="3984"/>
        <item x="3480"/>
        <item x="1134"/>
        <item x="3886"/>
        <item x="1441"/>
        <item x="4028"/>
        <item x="300"/>
        <item x="2903"/>
        <item x="2371"/>
        <item x="4623"/>
        <item x="940"/>
        <item x="1588"/>
        <item x="2037"/>
        <item x="991"/>
        <item x="1178"/>
        <item x="1079"/>
        <item x="3977"/>
        <item x="3961"/>
        <item x="1964"/>
        <item x="4461"/>
        <item x="4187"/>
        <item x="576"/>
        <item x="255"/>
        <item x="263"/>
        <item x="213"/>
        <item x="4671"/>
        <item x="492"/>
        <item x="1769"/>
        <item x="2586"/>
        <item x="1855"/>
        <item x="4177"/>
        <item x="4048"/>
        <item x="3403"/>
        <item x="4430"/>
        <item x="4050"/>
        <item x="4110"/>
        <item x="417"/>
        <item x="234"/>
        <item x="2424"/>
        <item x="2996"/>
        <item x="243"/>
        <item x="1317"/>
        <item x="2657"/>
        <item x="1008"/>
        <item x="3792"/>
        <item x="2804"/>
        <item x="2003"/>
        <item x="2145"/>
        <item x="302"/>
        <item x="2727"/>
        <item x="1863"/>
        <item x="4775"/>
        <item x="2549"/>
        <item x="3839"/>
        <item x="4898"/>
        <item x="3851"/>
        <item x="1790"/>
        <item x="2662"/>
        <item x="864"/>
        <item x="4199"/>
        <item x="2096"/>
        <item x="2193"/>
        <item x="4362"/>
        <item x="2518"/>
        <item x="1255"/>
        <item x="621"/>
        <item x="2874"/>
        <item x="495"/>
        <item x="3596"/>
        <item x="1582"/>
        <item x="190"/>
        <item x="4277"/>
        <item x="2307"/>
        <item x="1819"/>
        <item x="877"/>
        <item x="2225"/>
        <item x="2789"/>
        <item x="2615"/>
        <item x="2780"/>
        <item x="2552"/>
        <item x="118"/>
        <item x="1694"/>
        <item x="2413"/>
        <item x="3921"/>
        <item x="4324"/>
        <item x="539"/>
        <item x="4551"/>
        <item x="3643"/>
        <item x="2779"/>
        <item x="4120"/>
        <item x="3137"/>
        <item x="1455"/>
        <item x="509"/>
        <item x="3226"/>
        <item x="2664"/>
        <item x="1506"/>
        <item x="3652"/>
        <item x="3665"/>
        <item x="1714"/>
        <item x="122"/>
        <item x="926"/>
        <item x="388"/>
        <item x="1500"/>
        <item x="1861"/>
        <item x="3712"/>
        <item x="1155"/>
        <item x="2613"/>
        <item x="4517"/>
        <item x="1282"/>
        <item x="323"/>
        <item x="34"/>
        <item x="3637"/>
        <item x="3296"/>
        <item x="2476"/>
        <item x="1787"/>
        <item x="2911"/>
        <item x="3769"/>
        <item x="2691"/>
        <item x="3601"/>
        <item x="2777"/>
        <item x="2372"/>
        <item x="3085"/>
        <item x="1667"/>
        <item x="3779"/>
        <item x="2182"/>
        <item x="3177"/>
        <item x="954"/>
        <item x="2571"/>
        <item x="1941"/>
        <item x="3957"/>
        <item x="2474"/>
        <item x="3107"/>
        <item x="4266"/>
        <item x="3691"/>
        <item x="2854"/>
        <item x="3752"/>
        <item x="2105"/>
        <item x="880"/>
        <item x="909"/>
        <item x="919"/>
        <item x="269"/>
        <item x="3221"/>
        <item x="1395"/>
        <item x="2458"/>
        <item x="2684"/>
        <item x="455"/>
        <item x="3764"/>
        <item x="1283"/>
        <item x="2361"/>
        <item x="2629"/>
        <item x="2562"/>
        <item x="1312"/>
        <item x="55"/>
        <item x="1336"/>
        <item x="1841"/>
        <item x="2431"/>
        <item x="3816"/>
        <item x="1942"/>
        <item x="2574"/>
        <item x="173"/>
        <item x="2922"/>
        <item x="4819"/>
        <item x="2938"/>
        <item x="2871"/>
        <item x="2174"/>
        <item x="1089"/>
        <item x="825"/>
        <item x="2838"/>
        <item x="2118"/>
        <item x="3683"/>
        <item x="2696"/>
        <item x="2925"/>
        <item x="1331"/>
        <item x="106"/>
        <item x="1842"/>
        <item x="4190"/>
        <item x="2021"/>
        <item x="2338"/>
        <item x="1928"/>
        <item x="1572"/>
        <item x="3571"/>
        <item x="3181"/>
        <item x="4018"/>
        <item x="3607"/>
        <item x="4877"/>
        <item x="4200"/>
        <item x="1164"/>
        <item x="2465"/>
        <item x="2488"/>
        <item x="481"/>
        <item x="4385"/>
        <item x="3876"/>
        <item x="382"/>
        <item x="1990"/>
        <item x="165"/>
        <item x="1002"/>
        <item x="3421"/>
        <item x="2291"/>
        <item x="4885"/>
        <item x="826"/>
        <item x="2594"/>
        <item x="4683"/>
        <item x="4339"/>
        <item x="33"/>
        <item x="894"/>
        <item x="3533"/>
        <item x="4620"/>
        <item x="1033"/>
        <item x="16"/>
        <item x="710"/>
        <item x="630"/>
        <item x="185"/>
        <item x="733"/>
        <item x="2540"/>
        <item x="2772"/>
        <item x="667"/>
        <item x="3386"/>
        <item x="3050"/>
        <item x="1354"/>
        <item x="4628"/>
        <item x="4824"/>
        <item x="4181"/>
        <item x="1070"/>
        <item x="1190"/>
        <item x="4310"/>
        <item x="2412"/>
        <item x="131"/>
        <item x="3574"/>
        <item x="2270"/>
        <item x="4453"/>
        <item x="3302"/>
        <item x="1846"/>
        <item x="603"/>
        <item x="2767"/>
        <item x="2209"/>
        <item x="1077"/>
        <item x="398"/>
        <item x="2403"/>
        <item x="3799"/>
        <item x="4926"/>
        <item x="1797"/>
        <item x="4196"/>
        <item x="2835"/>
        <item x="4201"/>
        <item x="38"/>
        <item x="1435"/>
        <item x="3408"/>
        <item x="4915"/>
        <item x="4222"/>
        <item x="2625"/>
        <item x="560"/>
        <item x="3129"/>
        <item x="3190"/>
        <item x="2695"/>
        <item x="4957"/>
        <item x="579"/>
        <item x="1347"/>
        <item x="2732"/>
        <item x="897"/>
        <item x="899"/>
        <item x="2672"/>
        <item x="3721"/>
        <item x="780"/>
        <item x="925"/>
        <item x="4337"/>
        <item x="2834"/>
        <item x="3713"/>
        <item x="204"/>
        <item x="3791"/>
        <item x="1013"/>
        <item x="1182"/>
        <item x="4099"/>
        <item x="3431"/>
        <item x="1616"/>
        <item x="1610"/>
        <item x="4197"/>
        <item x="2944"/>
        <item x="2537"/>
        <item x="2954"/>
        <item x="257"/>
        <item x="4761"/>
        <item x="2899"/>
        <item x="923"/>
        <item x="586"/>
        <item x="3254"/>
        <item x="2813"/>
        <item x="554"/>
        <item x="2592"/>
        <item x="2857"/>
        <item x="441"/>
        <item x="1608"/>
        <item x="4764"/>
        <item x="4304"/>
        <item x="1227"/>
        <item x="4168"/>
        <item x="4137"/>
        <item x="2059"/>
        <item x="1103"/>
        <item x="828"/>
        <item x="4616"/>
        <item x="3930"/>
        <item x="2995"/>
        <item x="4583"/>
        <item x="1935"/>
        <item x="547"/>
        <item x="2731"/>
        <item x="3116"/>
        <item x="4793"/>
        <item x="1221"/>
        <item x="969"/>
        <item x="2188"/>
        <item x="4382"/>
        <item x="3552"/>
        <item x="1459"/>
        <item x="2520"/>
        <item x="1074"/>
        <item x="3134"/>
        <item x="1774"/>
        <item x="2736"/>
        <item x="4701"/>
        <item x="1810"/>
        <item x="1241"/>
        <item x="107"/>
        <item x="1102"/>
        <item x="3862"/>
        <item x="2073"/>
        <item x="4425"/>
        <item x="3088"/>
        <item x="2499"/>
        <item x="1143"/>
        <item x="4090"/>
        <item x="2602"/>
        <item x="1612"/>
        <item x="4762"/>
        <item x="3211"/>
        <item x="2737"/>
        <item x="1755"/>
        <item x="2872"/>
        <item x="152"/>
        <item x="2541"/>
        <item x="1728"/>
        <item x="3265"/>
        <item x="4335"/>
        <item x="1142"/>
        <item x="2207"/>
        <item x="1571"/>
        <item x="124"/>
        <item x="1069"/>
        <item x="487"/>
        <item x="814"/>
        <item x="854"/>
        <item x="3347"/>
        <item x="1293"/>
        <item x="4800"/>
        <item x="1973"/>
        <item x="3046"/>
        <item x="1488"/>
        <item x="431"/>
        <item x="4477"/>
        <item x="608"/>
        <item x="1278"/>
        <item x="4573"/>
        <item x="1467"/>
        <item x="2319"/>
        <item x="1081"/>
        <item x="306"/>
        <item x="4343"/>
        <item x="4523"/>
        <item x="201"/>
        <item x="3554"/>
        <item x="1611"/>
        <item x="3101"/>
        <item x="3966"/>
        <item x="288"/>
        <item x="4647"/>
        <item x="2155"/>
        <item x="2085"/>
        <item x="2694"/>
        <item x="655"/>
        <item x="1795"/>
        <item x="2178"/>
        <item x="2255"/>
        <item x="247"/>
        <item x="1035"/>
        <item x="2489"/>
        <item x="4600"/>
        <item x="1385"/>
        <item x="2020"/>
        <item x="4934"/>
        <item x="2680"/>
        <item x="3269"/>
        <item x="544"/>
        <item x="3217"/>
        <item x="409"/>
        <item x="412"/>
        <item x="3455"/>
        <item x="2961"/>
        <item x="4317"/>
        <item x="3901"/>
        <item x="2577"/>
        <item x="3018"/>
        <item x="4572"/>
        <item x="2180"/>
        <item x="977"/>
        <item x="879"/>
        <item x="3931"/>
        <item x="2926"/>
        <item x="287"/>
        <item x="3969"/>
        <item x="1884"/>
        <item x="2542"/>
        <item x="1203"/>
        <item x="4524"/>
        <item x="3807"/>
        <item x="760"/>
        <item x="1891"/>
        <item x="4457"/>
        <item x="4413"/>
        <item x="920"/>
        <item x="1068"/>
        <item x="2812"/>
        <item x="3539"/>
        <item x="719"/>
        <item x="1000"/>
        <item x="739"/>
        <item x="4452"/>
        <item x="3604"/>
        <item x="597"/>
        <item x="1767"/>
        <item x="2962"/>
        <item x="3801"/>
        <item x="3678"/>
        <item x="1865"/>
        <item x="4596"/>
        <item x="3941"/>
        <item x="1559"/>
        <item x="1586"/>
        <item x="2557"/>
        <item x="1281"/>
        <item x="1414"/>
        <item x="3187"/>
        <item x="2842"/>
        <item x="4283"/>
        <item x="3398"/>
        <item x="3306"/>
        <item x="3629"/>
        <item x="1431"/>
        <item x="3731"/>
        <item x="3141"/>
        <item x="482"/>
        <item x="4308"/>
        <item x="2781"/>
        <item x="195"/>
        <item x="593"/>
        <item x="4409"/>
        <item x="962"/>
        <item x="4070"/>
        <item x="4556"/>
        <item x="1926"/>
        <item x="387"/>
        <item x="2184"/>
        <item x="2226"/>
        <item x="366"/>
        <item x="4148"/>
        <item x="1377"/>
        <item x="344"/>
        <item x="2324"/>
        <item x="3251"/>
        <item x="1660"/>
        <item x="1229"/>
        <item x="2351"/>
        <item x="3451"/>
        <item x="1687"/>
        <item x="2271"/>
        <item x="4901"/>
        <item x="4007"/>
        <item x="4905"/>
        <item x="318"/>
        <item x="1158"/>
        <item x="1851"/>
        <item x="1259"/>
        <item x="4012"/>
        <item x="128"/>
        <item x="4293"/>
        <item x="4085"/>
        <item x="3013"/>
        <item x="3012"/>
        <item x="2249"/>
        <item x="4494"/>
        <item x="3424"/>
        <item x="23"/>
        <item x="1726"/>
        <item x="4497"/>
        <item x="4592"/>
        <item x="404"/>
        <item x="3038"/>
        <item x="125"/>
        <item x="611"/>
        <item x="4236"/>
        <item x="2102"/>
        <item x="1982"/>
        <item x="2402"/>
        <item x="4328"/>
        <item x="1145"/>
        <item x="1975"/>
        <item x="1073"/>
        <item x="584"/>
        <item x="4038"/>
        <item x="138"/>
        <item x="2029"/>
        <item x="4578"/>
        <item x="2197"/>
        <item x="3865"/>
        <item x="2821"/>
        <item x="3316"/>
        <item x="813"/>
        <item x="274"/>
        <item x="1956"/>
        <item x="4948"/>
        <item x="3537"/>
        <item x="4241"/>
        <item x="1295"/>
        <item x="4652"/>
        <item x="1675"/>
        <item x="501"/>
        <item x="2160"/>
        <item x="631"/>
        <item x="3667"/>
        <item x="2438"/>
        <item x="378"/>
        <item x="1595"/>
        <item x="4638"/>
        <item x="2947"/>
        <item x="2604"/>
        <item x="3633"/>
        <item x="1557"/>
        <item x="624"/>
        <item x="383"/>
        <item x="4515"/>
        <item x="1829"/>
        <item x="3216"/>
        <item x="2746"/>
        <item x="1888"/>
        <item x="3945"/>
        <item x="1464"/>
        <item x="512"/>
        <item x="836"/>
        <item x="2191"/>
        <item x="3759"/>
        <item x="1370"/>
        <item x="2238"/>
        <item x="3153"/>
        <item x="358"/>
        <item x="1082"/>
        <item x="2643"/>
        <item x="1313"/>
        <item x="3"/>
        <item x="843"/>
        <item x="1600"/>
        <item x="4502"/>
        <item x="3438"/>
        <item x="2689"/>
        <item x="637"/>
        <item x="4427"/>
        <item x="2480"/>
        <item x="350"/>
        <item x="860"/>
        <item x="2823"/>
        <item x="1800"/>
        <item x="4336"/>
        <item x="4078"/>
        <item x="1980"/>
        <item x="1342"/>
        <item x="377"/>
        <item x="1822"/>
        <item x="3238"/>
        <item x="1690"/>
        <item x="3973"/>
        <item x="3910"/>
        <item x="3362"/>
        <item x="537"/>
        <item x="2391"/>
        <item x="2211"/>
        <item x="3497"/>
        <item x="1791"/>
        <item x="3070"/>
        <item x="731"/>
        <item x="1630"/>
        <item x="4849"/>
        <item x="806"/>
        <item x="3209"/>
        <item x="1542"/>
        <item x="2337"/>
        <item x="2600"/>
        <item x="3963"/>
        <item x="1355"/>
        <item x="3452"/>
        <item x="3888"/>
        <item x="486"/>
        <item x="1696"/>
        <item x="3784"/>
        <item x="1948"/>
        <item x="2631"/>
        <item x="2325"/>
        <item x="641"/>
        <item x="1735"/>
        <item x="738"/>
        <item x="42"/>
        <item x="1248"/>
        <item x="907"/>
        <item x="1750"/>
        <item x="3583"/>
        <item x="2955"/>
        <item x="3198"/>
        <item x="3778"/>
        <item x="1381"/>
        <item x="671"/>
        <item x="1271"/>
        <item x="1627"/>
        <item x="488"/>
        <item x="381"/>
        <item x="4230"/>
        <item x="4955"/>
        <item x="4227"/>
        <item x="3819"/>
        <item x="282"/>
        <item x="232"/>
        <item x="284"/>
        <item x="339"/>
        <item x="1200"/>
        <item x="1477"/>
        <item x="418"/>
        <item x="548"/>
        <item x="3655"/>
        <item x="3152"/>
        <item x="681"/>
        <item x="4758"/>
        <item x="199"/>
        <item x="129"/>
        <item x="3818"/>
        <item x="226"/>
        <item x="6"/>
        <item x="3239"/>
        <item x="4797"/>
        <item x="3084"/>
        <item x="1339"/>
        <item x="359"/>
        <item x="3538"/>
        <item x="951"/>
        <item x="1380"/>
        <item x="1159"/>
        <item x="166"/>
        <item x="2042"/>
        <item x="770"/>
        <item x="4041"/>
        <item x="2605"/>
        <item x="1308"/>
        <item x="4505"/>
        <item x="3192"/>
        <item x="794"/>
        <item x="4044"/>
        <item x="4563"/>
        <item x="1843"/>
        <item x="3121"/>
        <item x="4119"/>
        <item x="3542"/>
        <item x="792"/>
        <item x="4813"/>
        <item x="1113"/>
        <item x="859"/>
        <item x="1494"/>
        <item x="3669"/>
        <item x="4562"/>
        <item x="1968"/>
        <item x="2524"/>
        <item x="2982"/>
        <item x="1757"/>
        <item x="1949"/>
        <item x="4747"/>
        <item x="1749"/>
        <item x="1371"/>
        <item x="4789"/>
        <item x="104"/>
        <item x="4634"/>
        <item x="1528"/>
        <item x="3579"/>
        <item x="379"/>
        <item x="222"/>
        <item x="2508"/>
        <item x="1623"/>
        <item x="191"/>
        <item x="3999"/>
        <item x="4668"/>
        <item x="2340"/>
        <item x="1130"/>
        <item x="356"/>
        <item x="992"/>
        <item x="4113"/>
        <item x="2107"/>
        <item x="475"/>
        <item x="949"/>
        <item x="2113"/>
        <item x="49"/>
        <item x="3483"/>
        <item x="4047"/>
        <item x="1215"/>
        <item x="192"/>
        <item x="2298"/>
        <item x="271"/>
        <item x="2386"/>
        <item x="1315"/>
        <item x="340"/>
        <item x="3075"/>
        <item x="1832"/>
        <item x="4581"/>
        <item x="3056"/>
        <item x="777"/>
        <item x="1827"/>
        <item x="4579"/>
        <item x="1923"/>
        <item x="3863"/>
        <item x="2299"/>
        <item x="835"/>
        <item x="3459"/>
        <item x="4298"/>
        <item x="797"/>
        <item x="1202"/>
        <item x="123"/>
        <item x="2455"/>
        <item x="2318"/>
        <item x="2734"/>
        <item x="397"/>
        <item x="2868"/>
        <item x="3726"/>
        <item x="832"/>
        <item x="4643"/>
        <item x="4124"/>
        <item x="50"/>
        <item x="4346"/>
        <item x="1412"/>
        <item x="2017"/>
        <item x="390"/>
        <item x="1099"/>
        <item x="272"/>
        <item x="1440"/>
        <item x="3513"/>
        <item x="562"/>
        <item x="4315"/>
        <item x="4180"/>
        <item x="3838"/>
        <item x="503"/>
        <item x="3143"/>
        <item x="3246"/>
        <item x="4027"/>
        <item x="463"/>
        <item x="1196"/>
        <item x="3484"/>
        <item x="3600"/>
        <item x="4658"/>
        <item x="753"/>
        <item x="268"/>
        <item x="102"/>
        <item x="3257"/>
        <item x="1674"/>
        <item x="3976"/>
        <item x="4005"/>
        <item x="4463"/>
        <item x="51"/>
        <item x="4193"/>
        <item x="1217"/>
        <item x="2106"/>
        <item x="4055"/>
        <item x="1518"/>
        <item x="590"/>
        <item x="2185"/>
        <item x="2381"/>
        <item x="1864"/>
        <item x="2744"/>
        <item x="849"/>
        <item x="3561"/>
        <item x="3322"/>
        <item x="309"/>
        <item x="613"/>
        <item x="4677"/>
        <item x="225"/>
        <item x="3235"/>
        <item x="69"/>
        <item x="3828"/>
        <item x="3817"/>
        <item x="1811"/>
        <item x="2973"/>
        <item x="852"/>
        <item x="3739"/>
        <item x="4276"/>
        <item x="2640"/>
        <item x="3053"/>
        <item x="197"/>
        <item x="26"/>
        <item x="3106"/>
        <item x="3039"/>
        <item x="976"/>
        <item x="3584"/>
        <item x="1053"/>
        <item x="1652"/>
        <item x="4790"/>
        <item x="218"/>
        <item x="4626"/>
        <item x="444"/>
        <item x="307"/>
        <item x="3244"/>
        <item x="3149"/>
        <item x="2229"/>
        <item x="3232"/>
        <item x="2749"/>
        <item x="2203"/>
        <item x="790"/>
        <item x="1878"/>
        <item x="1818"/>
        <item x="2958"/>
        <item x="2462"/>
        <item x="4083"/>
        <item x="4073"/>
        <item x="3289"/>
        <item x="3615"/>
        <item x="2123"/>
        <item x="4706"/>
        <item x="3842"/>
        <item x="2416"/>
        <item x="402"/>
        <item x="533"/>
        <item x="3120"/>
        <item x="1120"/>
        <item x="775"/>
        <item x="3381"/>
        <item x="2555"/>
        <item x="3597"/>
        <item x="2893"/>
        <item x="1153"/>
        <item x="389"/>
        <item x="686"/>
        <item x="4282"/>
        <item x="1287"/>
        <item x="1809"/>
        <item x="295"/>
        <item x="2281"/>
        <item x="4495"/>
        <item x="2709"/>
        <item x="3624"/>
        <item x="1121"/>
        <item x="1419"/>
        <item x="2748"/>
        <item x="3320"/>
        <item x="1539"/>
        <item x="260"/>
        <item x="833"/>
        <item x="80"/>
        <item x="4388"/>
        <item x="3558"/>
        <item x="1095"/>
        <item x="491"/>
        <item x="228"/>
        <item x="2359"/>
        <item x="81"/>
        <item x="4541"/>
        <item x="3582"/>
        <item x="4408"/>
        <item x="1398"/>
        <item x="1450"/>
        <item x="3524"/>
        <item x="1107"/>
        <item x="2683"/>
        <item x="3514"/>
        <item x="4155"/>
        <item x="1247"/>
        <item x="4208"/>
        <item x="2134"/>
        <item x="4692"/>
        <item x="4042"/>
        <item x="3474"/>
        <item x="1019"/>
        <item x="2352"/>
        <item x="645"/>
        <item x="817"/>
        <item x="911"/>
        <item x="776"/>
        <item x="1919"/>
        <item x="950"/>
        <item x="194"/>
        <item x="308"/>
        <item x="1721"/>
        <item x="2601"/>
        <item x="3797"/>
        <item x="4501"/>
        <item x="4014"/>
        <item x="1862"/>
        <item x="4207"/>
        <item x="600"/>
        <item x="2870"/>
        <item x="3354"/>
        <item x="2620"/>
        <item x="3833"/>
        <item x="2087"/>
        <item x="4667"/>
        <item x="2483"/>
        <item x="742"/>
        <item x="3425"/>
        <item x="1212"/>
        <item x="965"/>
        <item x="906"/>
        <item x="2490"/>
        <item x="3233"/>
        <item x="1356"/>
        <item x="3437"/>
        <item x="2187"/>
        <item x="1718"/>
        <item x="2970"/>
        <item x="3902"/>
        <item x="184"/>
        <item x="428"/>
        <item x="1367"/>
        <item x="1012"/>
        <item x="3951"/>
        <item x="4345"/>
        <item x="2108"/>
        <item x="1930"/>
        <item x="3130"/>
        <item x="2719"/>
        <item x="2675"/>
        <item x="3188"/>
        <item x="4352"/>
        <item x="4249"/>
        <item x="3341"/>
        <item x="602"/>
        <item x="997"/>
        <item x="2222"/>
        <item x="4011"/>
        <item x="2959"/>
        <item x="1534"/>
        <item x="2929"/>
        <item x="2115"/>
        <item x="855"/>
        <item x="2457"/>
        <item x="117"/>
        <item x="2999"/>
        <item x="2710"/>
        <item x="1393"/>
        <item x="2218"/>
        <item x="2057"/>
        <item x="4884"/>
        <item x="54"/>
        <item x="4067"/>
        <item x="3290"/>
        <item x="3224"/>
        <item x="1603"/>
        <item x="4928"/>
        <item x="1364"/>
        <item x="399"/>
        <item x="2034"/>
        <item x="1329"/>
        <item x="171"/>
        <item x="3020"/>
        <item x="4371"/>
        <item x="1731"/>
        <item x="4910"/>
        <item x="4314"/>
        <item x="1403"/>
        <item x="2167"/>
        <item x="4049"/>
        <item x="3250"/>
        <item x="2721"/>
        <item x="425"/>
        <item x="4102"/>
        <item x="114"/>
        <item x="4544"/>
        <item x="4391"/>
        <item x="3284"/>
        <item x="74"/>
        <item x="1747"/>
        <item x="2560"/>
        <item x="3142"/>
        <item x="2897"/>
        <item x="3334"/>
        <item x="1491"/>
        <item x="1197"/>
        <item x="3735"/>
        <item x="1848"/>
        <item x="531"/>
        <item x="2392"/>
        <item x="2806"/>
        <item x="4189"/>
        <item x="2175"/>
        <item x="3411"/>
        <item x="1741"/>
        <item x="3906"/>
        <item x="4088"/>
        <item x="4183"/>
        <item x="4225"/>
        <item x="724"/>
        <item x="1898"/>
        <item x="2989"/>
        <item x="1807"/>
        <item x="3841"/>
        <item x="2526"/>
        <item x="1989"/>
        <item x="1706"/>
        <item x="1157"/>
        <item x="4571"/>
        <item x="799"/>
        <item x="2032"/>
        <item x="1493"/>
        <item x="2219"/>
        <item x="273"/>
        <item x="4019"/>
        <item x="1853"/>
        <item x="1988"/>
        <item x="1637"/>
        <item x="1772"/>
        <item x="1026"/>
        <item x="4360"/>
        <item x="4834"/>
        <item x="3166"/>
        <item x="1420"/>
        <item x="4589"/>
        <item x="3737"/>
        <item x="1179"/>
        <item x="2400"/>
        <item x="1916"/>
        <item x="3432"/>
        <item x="872"/>
        <item x="884"/>
        <item x="212"/>
        <item x="981"/>
        <item x="2427"/>
        <item x="2152"/>
        <item x="3272"/>
        <item x="4384"/>
        <item x="3068"/>
        <item x="773"/>
        <item x="2227"/>
        <item x="145"/>
        <item x="3651"/>
        <item x="4582"/>
        <item x="280"/>
        <item x="4956"/>
        <item x="341"/>
        <item x="4008"/>
        <item x="3656"/>
        <item x="292"/>
        <item x="1397"/>
        <item x="1561"/>
        <item x="1"/>
        <item x="1976"/>
        <item x="3169"/>
        <item x="97"/>
        <item x="2099"/>
        <item x="3086"/>
        <item x="898"/>
        <item x="1020"/>
        <item x="1132"/>
        <item x="460"/>
        <item x="4229"/>
        <item x="507"/>
        <item x="283"/>
        <item x="1752"/>
        <item x="3183"/>
        <item x="784"/>
        <item x="3645"/>
        <item x="3199"/>
        <item x="1967"/>
        <item x="68"/>
        <item x="2065"/>
        <item x="978"/>
        <item x="2407"/>
        <item x="4121"/>
        <item x="511"/>
        <item x="2880"/>
        <item x="1653"/>
        <item x="1321"/>
        <item x="4344"/>
        <item x="3749"/>
        <item x="3882"/>
        <item x="2512"/>
        <item x="3058"/>
        <item x="4896"/>
        <item x="466"/>
        <item x="4665"/>
        <item x="3308"/>
        <item x="3944"/>
        <item x="1320"/>
        <item x="1525"/>
        <item x="2934"/>
        <item x="2385"/>
        <item x="459"/>
        <item x="13"/>
        <item x="4534"/>
        <item x="1181"/>
        <item x="2768"/>
        <item x="239"/>
        <item x="3985"/>
        <item x="1300"/>
        <item x="1360"/>
        <item x="4289"/>
        <item x="3508"/>
        <item x="4770"/>
        <item x="4728"/>
        <item x="1762"/>
        <item x="1955"/>
        <item x="4149"/>
        <item x="2026"/>
        <item x="48"/>
        <item x="1225"/>
        <item x="219"/>
        <item x="473"/>
        <item x="2046"/>
        <item x="3256"/>
        <item x="177"/>
        <item x="783"/>
        <item x="3599"/>
        <item x="2975"/>
        <item x="1666"/>
        <item x="2119"/>
        <item x="2852"/>
        <item x="246"/>
        <item x="674"/>
        <item x="4001"/>
        <item x="2223"/>
        <item x="1689"/>
        <item x="824"/>
        <item x="927"/>
        <item x="2774"/>
        <item x="1301"/>
        <item x="952"/>
        <item x="1869"/>
        <item x="1240"/>
        <item x="2220"/>
        <item x="689"/>
        <item x="2276"/>
        <item x="3200"/>
        <item x="3212"/>
        <item x="4338"/>
        <item x="3938"/>
        <item x="1250"/>
        <item x="3580"/>
        <item x="3569"/>
        <item x="4407"/>
        <item x="1243"/>
        <item x="1029"/>
        <item x="628"/>
        <item x="1453"/>
        <item x="3943"/>
        <item x="1294"/>
        <item x="1778"/>
        <item x="3694"/>
        <item x="1152"/>
        <item x="451"/>
        <item x="4033"/>
        <item x="873"/>
        <item x="2743"/>
        <item x="2519"/>
        <item x="520"/>
        <item x="1481"/>
        <item x="1224"/>
        <item x="2132"/>
        <item x="1368"/>
        <item x="4543"/>
        <item x="1773"/>
        <item x="207"/>
        <item x="1374"/>
        <item x="1556"/>
        <item x="3617"/>
        <item x="62"/>
        <item x="4"/>
        <item x="754"/>
        <item x="3066"/>
        <item x="1358"/>
        <item x="4094"/>
        <item x="1316"/>
        <item x="2740"/>
        <item x="3264"/>
        <item x="47"/>
        <item x="2287"/>
        <item x="4842"/>
        <item x="2646"/>
        <item x="2164"/>
        <item x="1615"/>
        <item x="127"/>
        <item x="2681"/>
        <item x="343"/>
        <item x="2092"/>
        <item x="2014"/>
        <item x="294"/>
        <item x="4912"/>
        <item x="3147"/>
        <item x="917"/>
        <item x="985"/>
        <item x="3325"/>
        <item x="1480"/>
        <item x="723"/>
        <item x="3754"/>
        <item x="2481"/>
        <item x="684"/>
        <item x="3267"/>
        <item x="1386"/>
        <item x="4087"/>
        <item x="2312"/>
        <item x="1719"/>
        <item x="3556"/>
        <item x="921"/>
        <item x="2536"/>
        <item x="2886"/>
        <item x="3530"/>
        <item x="3001"/>
        <item x="3853"/>
        <item x="937"/>
        <item x="4451"/>
        <item x="1075"/>
        <item x="4862"/>
        <item x="3263"/>
        <item x="311"/>
        <item x="4071"/>
        <item x="795"/>
        <item x="4653"/>
        <item x="1640"/>
        <item x="493"/>
        <item x="1590"/>
        <item x="2313"/>
        <item x="1032"/>
        <item x="100"/>
        <item x="2024"/>
        <item x="3844"/>
        <item x="304"/>
        <item x="4342"/>
        <item x="2297"/>
        <item x="535"/>
        <item x="4624"/>
        <item x="1999"/>
        <item x="4741"/>
        <item x="638"/>
        <item x="2668"/>
        <item x="4662"/>
        <item x="1044"/>
        <item x="1581"/>
        <item x="1651"/>
        <item x="3697"/>
        <item x="1655"/>
        <item x="996"/>
        <item x="4590"/>
        <item x="236"/>
        <item x="3885"/>
        <item x="802"/>
        <item x="540"/>
        <item x="786"/>
        <item x="200"/>
        <item x="3274"/>
        <item x="415"/>
        <item x="2707"/>
        <item x="1670"/>
        <item x="745"/>
        <item x="1010"/>
        <item x="3439"/>
        <item x="2506"/>
        <item x="1230"/>
        <item x="3873"/>
        <item x="4329"/>
        <item x="3060"/>
        <item x="2798"/>
        <item x="2080"/>
        <item x="3896"/>
        <item x="328"/>
        <item x="325"/>
        <item x="3517"/>
        <item x="1429"/>
        <item x="286"/>
        <item x="4166"/>
        <item x="945"/>
        <item x="394"/>
        <item x="800"/>
        <item x="2133"/>
        <item x="1959"/>
        <item x="109"/>
        <item x="1236"/>
        <item x="3030"/>
        <item x="3871"/>
        <item x="3947"/>
        <item x="449"/>
        <item x="3014"/>
        <item x="713"/>
        <item x="912"/>
        <item x="4307"/>
        <item x="4817"/>
        <item x="2634"/>
        <item x="3854"/>
        <item x="4244"/>
        <item x="4705"/>
        <item x="2126"/>
        <item x="640"/>
        <item x="4367"/>
        <item x="718"/>
        <item x="209"/>
        <item x="4907"/>
        <item x="2733"/>
        <item x="900"/>
        <item x="2429"/>
        <item x="2365"/>
        <item x="3249"/>
        <item x="4717"/>
        <item x="1475"/>
        <item x="4389"/>
        <item x="2199"/>
        <item x="3836"/>
        <item x="256"/>
        <item x="668"/>
        <item x="2751"/>
        <item x="3273"/>
        <item x="4825"/>
        <item x="500"/>
        <item x="2111"/>
        <item x="1748"/>
        <item x="29"/>
        <item x="1006"/>
        <item x="3167"/>
        <item x="4084"/>
        <item x="1473"/>
        <item x="2679"/>
        <item x="1350"/>
        <item x="734"/>
        <item x="2200"/>
        <item x="2405"/>
        <item x="4504"/>
        <item x="1110"/>
        <item x="2830"/>
        <item x="1080"/>
        <item x="1543"/>
        <item x="975"/>
        <item x="400"/>
        <item x="3015"/>
        <item x="3146"/>
        <item x="1537"/>
        <item x="1940"/>
        <item x="903"/>
        <item x="1624"/>
        <item x="4255"/>
        <item x="2568"/>
        <item x="2693"/>
        <item x="2265"/>
        <item x="2383"/>
        <item x="2738"/>
        <item x="4737"/>
        <item x="1490"/>
        <item x="2606"/>
        <item x="2007"/>
        <item x="677"/>
        <item x="1039"/>
        <item x="52"/>
        <item x="1892"/>
        <item x="4111"/>
        <item x="4402"/>
        <item x="126"/>
        <item x="3732"/>
        <item x="527"/>
        <item x="2379"/>
        <item x="2470"/>
        <item x="2142"/>
        <item x="3738"/>
        <item x="1812"/>
        <item x="4302"/>
        <item x="3037"/>
        <item x="3623"/>
        <item x="878"/>
        <item x="4176"/>
        <item x="1109"/>
        <item x="1084"/>
        <item x="2124"/>
        <item x="3911"/>
        <item x="1100"/>
        <item x="571"/>
        <item x="4591"/>
        <item x="3671"/>
        <item x="18"/>
        <item x="4482"/>
        <item x="1063"/>
        <item x="3939"/>
        <item x="1739"/>
        <item x="172"/>
        <item x="3115"/>
        <item x="2041"/>
        <item x="2146"/>
        <item x="4637"/>
        <item x="1951"/>
        <item x="1662"/>
        <item x="494"/>
        <item x="1061"/>
        <item x="2614"/>
        <item x="2769"/>
        <item x="3689"/>
        <item x="1444"/>
        <item x="1893"/>
        <item x="1704"/>
        <item x="347"/>
        <item x="289"/>
        <item x="2910"/>
        <item x="2231"/>
        <item x="592"/>
        <item x="299"/>
        <item x="663"/>
        <item x="1602"/>
        <item x="1936"/>
        <item x="32"/>
        <item x="3504"/>
        <item x="27"/>
        <item x="3525"/>
        <item x="1424"/>
        <item x="4682"/>
        <item x="4238"/>
        <item x="3236"/>
        <item x="2891"/>
        <item x="3324"/>
        <item x="1382"/>
        <item x="3064"/>
        <item x="1106"/>
        <item x="755"/>
        <item x="2367"/>
        <item x="4826"/>
        <item x="3045"/>
        <item x="4602"/>
        <item x="1274"/>
        <item x="3940"/>
        <item x="2908"/>
        <item x="2493"/>
        <item x="936"/>
        <item x="4704"/>
        <item x="4875"/>
        <item x="1937"/>
        <item x="3548"/>
        <item x="1645"/>
        <item x="3108"/>
        <item x="4350"/>
        <item x="3195"/>
        <item x="12"/>
        <item x="1695"/>
        <item x="4528"/>
        <item x="3707"/>
        <item x="1343"/>
        <item x="3140"/>
        <item x="3746"/>
        <item x="448"/>
        <item x="650"/>
        <item x="1587"/>
        <item x="2293"/>
        <item x="4091"/>
        <item x="4846"/>
        <item x="4171"/>
        <item x="3277"/>
        <item x="714"/>
        <item x="3186"/>
        <item x="4202"/>
        <item x="1505"/>
        <item x="2932"/>
        <item x="4836"/>
        <item x="4486"/>
        <item x="2398"/>
        <item x="396"/>
        <item x="72"/>
        <item x="483"/>
        <item x="746"/>
        <item x="2316"/>
        <item x="4390"/>
        <item x="3336"/>
        <item x="4292"/>
        <item x="2610"/>
        <item x="4252"/>
        <item x="1183"/>
        <item x="2527"/>
        <item x="3794"/>
        <item x="4699"/>
        <item x="1874"/>
        <item x="589"/>
        <item x="1671"/>
        <item x="420"/>
        <item x="3243"/>
        <item x="4610"/>
        <item x="1625"/>
        <item x="4066"/>
        <item x="2810"/>
        <item x="4086"/>
        <item x="4240"/>
        <item x="995"/>
        <item x="3720"/>
        <item x="3606"/>
        <item x="3706"/>
        <item x="3326"/>
        <item x="3692"/>
        <item x="990"/>
        <item x="3333"/>
        <item x="732"/>
        <item x="3482"/>
        <item x="3023"/>
        <item x="2856"/>
        <item x="1981"/>
        <item x="2784"/>
        <item x="639"/>
        <item x="4060"/>
        <item x="4509"/>
        <item x="1511"/>
        <item x="2273"/>
        <item x="2559"/>
        <item x="2699"/>
        <item x="4133"/>
        <item x="4131"/>
        <item x="1042"/>
        <item x="2376"/>
        <item x="1361"/>
        <item x="4584"/>
        <item x="214"/>
        <item x="3353"/>
        <item x="2086"/>
        <item x="1573"/>
        <item x="931"/>
        <item x="2077"/>
        <item x="374"/>
        <item x="4125"/>
        <item x="2233"/>
        <item x="1872"/>
        <item x="1269"/>
        <item x="301"/>
        <item x="1115"/>
        <item x="2863"/>
        <item x="1910"/>
        <item x="2523"/>
        <item x="543"/>
        <item x="258"/>
        <item x="4499"/>
        <item x="2762"/>
        <item x="472"/>
        <item x="1174"/>
        <item x="3695"/>
        <item x="4284"/>
        <item x="3661"/>
        <item x="3222"/>
        <item x="2811"/>
        <item x="405"/>
        <item x="3374"/>
        <item x="1226"/>
        <item x="3592"/>
        <item x="4075"/>
        <item x="3627"/>
        <item x="2326"/>
        <item x="3952"/>
        <item x="4444"/>
        <item x="4267"/>
        <item x="2143"/>
        <item x="3304"/>
        <item x="983"/>
        <item x="730"/>
        <item x="2375"/>
        <item x="1639"/>
        <item x="4609"/>
        <item x="4372"/>
        <item x="1387"/>
        <item x="1466"/>
        <item x="4405"/>
        <item x="582"/>
        <item x="3681"/>
        <item x="2027"/>
        <item x="3005"/>
        <item x="922"/>
        <item x="4539"/>
        <item x="3549"/>
        <item x="1456"/>
        <item x="514"/>
        <item x="3194"/>
        <item x="2103"/>
        <item x="426"/>
        <item x="3449"/>
        <item x="2875"/>
        <item x="583"/>
        <item x="242"/>
        <item x="1362"/>
        <item x="3831"/>
        <item x="2097"/>
        <item x="820"/>
        <item x="2054"/>
        <item x="4855"/>
        <item x="758"/>
        <item x="4587"/>
        <item x="669"/>
        <item x="485"/>
        <item x="4729"/>
        <item x="2093"/>
        <item x="726"/>
        <item x="2608"/>
        <item x="146"/>
        <item x="4569"/>
        <item x="3899"/>
        <item x="701"/>
        <item x="4135"/>
        <item x="1705"/>
        <item x="1970"/>
        <item x="4552"/>
        <item x="4725"/>
        <item x="4311"/>
        <item x="765"/>
        <item x="2048"/>
        <item x="4688"/>
        <item x="1915"/>
        <item x="3705"/>
        <item x="4287"/>
        <item x="2839"/>
        <item x="1665"/>
        <item x="2997"/>
        <item x="2776"/>
        <item x="1357"/>
        <item x="141"/>
        <item x="2251"/>
        <item x="1051"/>
        <item x="4487"/>
        <item x="4689"/>
        <item x="4323"/>
        <item x="2700"/>
        <item x="1192"/>
        <item x="1457"/>
        <item x="4410"/>
        <item x="3753"/>
        <item x="2472"/>
        <item x="1214"/>
        <item x="3527"/>
        <item x="4940"/>
        <item x="1604"/>
        <item x="2308"/>
        <item x="334"/>
        <item x="3730"/>
        <item x="850"/>
        <item x="595"/>
        <item x="140"/>
        <item x="2561"/>
        <item x="3162"/>
        <item x="2440"/>
        <item x="4680"/>
        <item x="4648"/>
        <item x="3260"/>
        <item x="2189"/>
        <item x="2745"/>
        <item x="2829"/>
        <item x="1486"/>
        <item x="1253"/>
        <item x="91"/>
        <item x="3278"/>
        <item x="4719"/>
        <item x="2149"/>
        <item x="203"/>
        <item x="4395"/>
        <item x="870"/>
        <item x="3220"/>
        <item x="4378"/>
        <item x="2566"/>
        <item x="705"/>
        <item x="3128"/>
        <item x="2976"/>
        <item x="1693"/>
        <item x="479"/>
        <item x="573"/>
        <item x="4057"/>
        <item x="1663"/>
        <item x="1845"/>
        <item x="37"/>
        <item x="480"/>
        <item x="3507"/>
        <item x="796"/>
        <item x="3458"/>
        <item x="456"/>
        <item x="763"/>
        <item x="254"/>
        <item x="4462"/>
        <item x="1461"/>
        <item x="319"/>
        <item x="2883"/>
        <item x="3654"/>
        <item x="2390"/>
        <item x="4674"/>
        <item x="2576"/>
        <item x="1712"/>
        <item x="4613"/>
        <item x="202"/>
        <item x="4443"/>
        <item x="477"/>
        <item x="442"/>
        <item x="4756"/>
        <item x="1237"/>
        <item x="1306"/>
        <item x="4242"/>
        <item x="3860"/>
        <item x="3521"/>
        <item x="3285"/>
        <item x="1650"/>
        <item x="2411"/>
        <item x="1251"/>
        <item x="290"/>
        <item x="4247"/>
        <item x="642"/>
        <item x="4696"/>
        <item x="2984"/>
        <item x="2384"/>
        <item x="2082"/>
        <item x="3699"/>
        <item x="3576"/>
        <item x="4376"/>
        <item x="2974"/>
        <item x="253"/>
        <item x="3531"/>
        <item x="3380"/>
        <item x="2417"/>
        <item x="1463"/>
        <item x="1553"/>
        <item x="787"/>
        <item x="958"/>
        <item x="1548"/>
        <item x="337"/>
        <item x="0"/>
        <item x="1052"/>
        <item x="2993"/>
        <item x="4619"/>
        <item x="4906"/>
        <item x="4783"/>
        <item x="3008"/>
        <item x="3300"/>
        <item x="3971"/>
        <item x="4664"/>
        <item x="4000"/>
        <item x="241"/>
        <item x="1713"/>
        <item x="3878"/>
        <item x="2764"/>
        <item x="934"/>
        <item x="1764"/>
        <item x="1620"/>
        <item x="4506"/>
        <item x="1291"/>
        <item x="3502"/>
        <item x="4863"/>
        <item x="2991"/>
        <item x="3415"/>
        <item x="3355"/>
        <item x="1351"/>
        <item x="3448"/>
        <item x="3766"/>
        <item x="3843"/>
        <item x="868"/>
        <item x="1194"/>
        <item x="4347"/>
        <item x="3640"/>
        <item x="3248"/>
        <item x="2742"/>
        <item x="3909"/>
        <item x="98"/>
        <item x="623"/>
        <item x="1349"/>
        <item x="4097"/>
        <item x="3371"/>
        <item x="336"/>
        <item x="4904"/>
        <item x="4401"/>
        <item x="4526"/>
        <item x="2583"/>
        <item x="3650"/>
        <item x="4237"/>
        <item x="71"/>
        <item x="1903"/>
        <item x="2686"/>
        <item x="1072"/>
        <item x="1391"/>
        <item x="2230"/>
        <item x="3366"/>
        <item x="798"/>
        <item x="3223"/>
        <item x="834"/>
        <item x="1171"/>
        <item x="1866"/>
        <item x="1390"/>
        <item x="4612"/>
        <item x="3894"/>
        <item x="2673"/>
        <item x="1442"/>
        <item x="4887"/>
        <item x="2253"/>
        <item x="2790"/>
        <item x="2363"/>
        <item x="967"/>
        <item x="1430"/>
        <item x="1768"/>
        <item x="3024"/>
        <item x="4334"/>
        <item x="707"/>
        <item x="3131"/>
        <item x="1055"/>
        <item x="216"/>
        <item x="575"/>
        <item x="599"/>
        <item x="4020"/>
        <item x="1198"/>
        <item x="700"/>
        <item x="1201"/>
        <item x="2441"/>
        <item x="3185"/>
        <item x="4290"/>
        <item x="3096"/>
        <item x="3010"/>
        <item x="867"/>
        <item x="251"/>
        <item x="1388"/>
        <item x="1097"/>
        <item x="419"/>
        <item x="4192"/>
        <item x="1298"/>
        <item x="193"/>
        <item x="3602"/>
        <item x="1038"/>
        <item x="132"/>
        <item x="2497"/>
        <item x="4748"/>
        <item x="4173"/>
        <item x="4536"/>
        <item x="1482"/>
        <item x="2011"/>
        <item x="4724"/>
        <item x="3055"/>
        <item x="4574"/>
        <item x="4798"/>
        <item x="3581"/>
        <item x="1939"/>
        <item x="2247"/>
        <item x="4753"/>
        <item x="2342"/>
        <item x="4053"/>
        <item x="2049"/>
        <item x="1887"/>
        <item x="4892"/>
        <item x="3288"/>
        <item x="3002"/>
        <item x="2467"/>
        <item x="1238"/>
        <item x="4233"/>
        <item x="2816"/>
        <item x="3359"/>
        <item x="1835"/>
        <item x="142"/>
        <item x="766"/>
        <item x="1904"/>
        <item x="680"/>
        <item x="3509"/>
        <item x="2547"/>
        <item x="4507"/>
        <item x="2421"/>
        <item x="3293"/>
        <item x="281"/>
        <item x="3666"/>
        <item x="1472"/>
        <item x="4776"/>
        <item x="2056"/>
        <item x="2873"/>
        <item x="3953"/>
        <item x="1944"/>
        <item x="422"/>
        <item x="1629"/>
        <item x="2844"/>
        <item x="767"/>
        <item x="4843"/>
        <item x="1037"/>
        <item x="4363"/>
        <item x="4354"/>
        <item x="534"/>
        <item x="249"/>
        <item x="1337"/>
        <item x="3492"/>
        <item x="1754"/>
        <item x="1210"/>
        <item x="1890"/>
        <item x="2619"/>
        <item x="2603"/>
        <item x="3805"/>
        <item x="1047"/>
        <item x="4707"/>
        <item x="1987"/>
        <item x="4205"/>
        <item x="532"/>
        <item x="331"/>
        <item x="2479"/>
        <item x="3054"/>
        <item x="330"/>
        <item x="384"/>
        <item x="2252"/>
        <item x="3540"/>
        <item x="3105"/>
        <item x="4791"/>
        <item x="3126"/>
        <item x="1161"/>
        <item x="1580"/>
        <item x="4918"/>
        <item x="4480"/>
        <item x="3907"/>
        <item x="4560"/>
        <item x="3373"/>
        <item x="3928"/>
        <item x="2851"/>
        <item x="3847"/>
        <item x="2269"/>
        <item x="837"/>
        <item x="570"/>
        <item x="1849"/>
        <item x="3340"/>
        <item x="846"/>
        <item x="2546"/>
        <item x="4823"/>
        <item x="4160"/>
        <item x="4420"/>
        <item x="896"/>
        <item x="3342"/>
        <item x="764"/>
        <item x="4916"/>
        <item x="711"/>
        <item x="3089"/>
        <item x="1547"/>
        <item x="1535"/>
        <item x="3932"/>
        <item x="4740"/>
        <item x="1593"/>
        <item x="1118"/>
        <item x="4232"/>
        <item x="699"/>
        <item x="2545"/>
        <item x="651"/>
        <item x="4436"/>
        <item x="3733"/>
        <item x="3197"/>
        <item x="3358"/>
        <item x="3616"/>
        <item x="2928"/>
        <item x="496"/>
        <item x="4291"/>
        <item x="4531"/>
        <item x="3989"/>
        <item x="1434"/>
        <item x="1187"/>
        <item x="4035"/>
        <item x="2757"/>
        <item x="2507"/>
        <item x="1322"/>
        <item x="4949"/>
        <item x="4431"/>
        <item x="3849"/>
        <item x="2428"/>
        <item x="4557"/>
        <item x="3729"/>
        <item x="4714"/>
        <item x="697"/>
        <item x="2796"/>
        <item x="2217"/>
        <item x="2946"/>
        <item x="3704"/>
        <item x="1672"/>
        <item x="3994"/>
        <item x="2461"/>
        <item x="4854"/>
        <item x="3493"/>
        <item x="2198"/>
        <item x="1265"/>
        <item x="4492"/>
        <item x="563"/>
        <item x="1280"/>
        <item x="7"/>
        <item x="1850"/>
        <item x="1496"/>
        <item x="3303"/>
        <item x="2920"/>
        <item x="3173"/>
        <item x="574"/>
        <item x="2985"/>
        <item x="4145"/>
        <item x="1163"/>
        <item x="265"/>
        <item x="3155"/>
        <item x="3743"/>
        <item x="3294"/>
        <item x="3310"/>
        <item x="2808"/>
        <item x="2782"/>
        <item x="1146"/>
        <item x="1041"/>
        <item x="3357"/>
        <item x="443"/>
        <item x="3032"/>
        <item x="4709"/>
        <item x="1613"/>
        <item x="403"/>
        <item x="1507"/>
        <item x="490"/>
        <item x="4911"/>
        <item x="3335"/>
        <item x="524"/>
        <item x="446"/>
        <item x="3078"/>
        <item x="4209"/>
        <item x="735"/>
        <item x="4327"/>
        <item x="2186"/>
        <item x="1599"/>
        <item x="291"/>
        <item x="3763"/>
        <item x="429"/>
        <item x="3808"/>
        <item x="2409"/>
        <item x="1905"/>
        <item x="4812"/>
        <item x="20"/>
        <item x="4720"/>
        <item x="587"/>
        <item x="2030"/>
        <item x="815"/>
        <item x="1022"/>
        <item x="1288"/>
        <item x="1092"/>
        <item x="2570"/>
        <item x="364"/>
        <item x="585"/>
        <item x="3136"/>
        <item x="3563"/>
        <item x="3418"/>
        <item x="2000"/>
        <item x="3830"/>
        <item x="598"/>
        <item x="904"/>
        <item x="1383"/>
        <item x="2942"/>
        <item x="1771"/>
        <item x="609"/>
        <item x="1023"/>
        <item x="932"/>
        <item x="2150"/>
        <item x="918"/>
        <item x="3621"/>
        <item x="1465"/>
        <item x="1565"/>
        <item x="1495"/>
        <item x="4454"/>
        <item x="1262"/>
        <item x="4833"/>
        <item x="3515"/>
        <item x="2414"/>
        <item x="3725"/>
        <item x="3500"/>
        <item x="2356"/>
        <item x="3467"/>
        <item x="1165"/>
        <item x="2389"/>
        <item x="2814"/>
        <item x="2484"/>
        <item x="1555"/>
        <item x="1122"/>
        <item x="2144"/>
        <item x="3297"/>
        <item x="4309"/>
        <item x="722"/>
        <item x="4736"/>
        <item x="4508"/>
        <item x="2809"/>
        <item x="462"/>
        <item x="2388"/>
        <item x="3635"/>
        <item x="4771"/>
        <item x="2015"/>
        <item x="1296"/>
        <item x="3490"/>
        <item x="2410"/>
        <item x="1046"/>
        <item x="3258"/>
        <item x="1066"/>
        <item x="4403"/>
        <item x="1551"/>
        <item x="4143"/>
        <item x="2350"/>
        <item x="2778"/>
        <item x="4296"/>
        <item x="3043"/>
        <item x="1870"/>
        <item x="4597"/>
        <item x="2380"/>
        <item x="4818"/>
        <item x="1577"/>
        <item x="518"/>
        <item x="3268"/>
        <item x="3205"/>
        <item x="4650"/>
        <item x="1880"/>
        <item x="3877"/>
        <item x="1834"/>
        <item x="4013"/>
        <item x="4527"/>
        <item x="4254"/>
        <item x="2674"/>
        <item x="4895"/>
        <item x="1160"/>
        <item x="3178"/>
        <item x="88"/>
        <item x="1151"/>
        <item x="1499"/>
        <item x="1538"/>
        <item x="4379"/>
        <item x="1920"/>
        <item x="3328"/>
        <item x="435"/>
        <item x="1632"/>
        <item x="953"/>
        <item x="139"/>
        <item x="2210"/>
        <item x="4750"/>
        <item x="2651"/>
        <item x="4144"/>
        <item x="4466"/>
        <item x="2052"/>
        <item x="14"/>
        <item x="856"/>
        <item x="564"/>
        <item x="1716"/>
        <item x="2423"/>
        <item x="1267"/>
        <item x="805"/>
        <item x="4080"/>
        <item x="3003"/>
        <item x="2599"/>
        <item x="2022"/>
        <item x="1912"/>
        <item x="601"/>
        <item x="3687"/>
        <item x="76"/>
        <item x="756"/>
        <item x="3208"/>
        <item x="822"/>
        <item x="2317"/>
        <item x="35"/>
        <item x="2374"/>
        <item x="453"/>
        <item x="1664"/>
        <item x="1273"/>
        <item x="2151"/>
        <item x="4588"/>
        <item x="3165"/>
        <item x="885"/>
        <item x="924"/>
        <item x="3442"/>
        <item x="1901"/>
        <item x="2330"/>
        <item x="620"/>
        <item x="1536"/>
        <item x="4479"/>
        <item x="4773"/>
        <item x="750"/>
        <item x="4642"/>
        <item x="1483"/>
        <item x="3201"/>
        <item x="3771"/>
        <item x="2357"/>
        <item x="3964"/>
        <item x="1124"/>
        <item x="4220"/>
        <item x="110"/>
        <item x="2585"/>
        <item x="3435"/>
        <item x="1208"/>
        <item x="2114"/>
        <item x="2260"/>
        <item x="3234"/>
        <item x="4026"/>
        <item x="960"/>
        <item x="3394"/>
        <item x="2510"/>
        <item x="8"/>
        <item x="206"/>
        <item x="2288"/>
        <item x="610"/>
        <item x="2173"/>
        <item x="3598"/>
        <item x="915"/>
        <item x="1634"/>
        <item x="434"/>
        <item x="1244"/>
        <item x="4805"/>
        <item x="1856"/>
        <item x="3920"/>
        <item x="616"/>
        <item x="3004"/>
        <item x="4122"/>
        <item x="1527"/>
        <item x="2177"/>
        <item x="2770"/>
        <item x="3301"/>
        <item x="4182"/>
        <item x="3986"/>
        <item x="2841"/>
        <item x="2064"/>
        <item x="4874"/>
        <item x="489"/>
        <item x="3076"/>
        <item x="4269"/>
        <item x="2952"/>
        <item x="484"/>
        <item x="3948"/>
        <item x="617"/>
        <item x="1114"/>
        <item x="559"/>
        <item x="248"/>
        <item x="1817"/>
        <item x="329"/>
        <item x="2051"/>
        <item x="3389"/>
        <item x="779"/>
        <item x="2283"/>
        <item x="3760"/>
        <item x="2846"/>
        <item x="1742"/>
        <item x="4268"/>
        <item x="956"/>
        <item x="4739"/>
        <item x="3546"/>
        <item x="1782"/>
        <item x="2028"/>
        <item x="1601"/>
        <item x="2333"/>
        <item x="262"/>
        <item x="2987"/>
        <item x="3547"/>
        <item x="1352"/>
        <item x="4472"/>
        <item x="3856"/>
        <item x="3880"/>
        <item x="4839"/>
        <item x="2788"/>
        <item x="2876"/>
        <item x="4876"/>
        <item x="1211"/>
        <item x="913"/>
        <item x="3927"/>
        <item x="2716"/>
        <item x="1449"/>
        <item x="3918"/>
        <item x="3488"/>
        <item x="4945"/>
        <item x="1452"/>
        <item x="4792"/>
        <item x="1219"/>
        <item x="653"/>
        <item x="1234"/>
        <item x="3413"/>
        <item x="4437"/>
        <item x="728"/>
        <item x="4738"/>
        <item x="4890"/>
        <item x="2292"/>
        <item x="135"/>
        <item x="2072"/>
        <item x="3503"/>
        <item x="2971"/>
        <item x="2341"/>
        <item x="4734"/>
        <item x="317"/>
        <item x="3622"/>
        <item x="4802"/>
        <item x="1780"/>
        <item x="1405"/>
        <item x="1514"/>
        <item x="2815"/>
        <item x="1438"/>
        <item x="3287"/>
        <item x="551"/>
        <item x="2471"/>
        <item x="3382"/>
        <item x="1736"/>
        <item x="2450"/>
        <item x="3478"/>
        <item x="2661"/>
        <item x="1685"/>
        <item x="1895"/>
        <item x="4428"/>
        <item x="346"/>
        <item x="1529"/>
        <item x="3736"/>
        <item x="2756"/>
        <item x="3614"/>
        <item x="1011"/>
        <item x="961"/>
        <item x="2564"/>
        <item x="4473"/>
        <item x="465"/>
        <item x="4178"/>
        <item x="1554"/>
        <item x="2019"/>
        <item x="2792"/>
        <item x="2937"/>
        <item x="2659"/>
        <item x="2415"/>
        <item x="3750"/>
        <item x="2396"/>
        <item x="4503"/>
        <item x="3668"/>
        <item x="179"/>
        <item x="2933"/>
        <item x="1091"/>
        <item x="3648"/>
        <item x="1376"/>
        <item x="3727"/>
        <item x="3893"/>
        <item x="3370"/>
        <item x="2690"/>
        <item x="4206"/>
        <item x="163"/>
        <item x="2486"/>
        <item x="2162"/>
        <item x="3541"/>
        <item x="2190"/>
        <item x="1792"/>
        <item x="4470"/>
        <item x="2433"/>
        <item x="1162"/>
        <item x="3528"/>
        <item x="2658"/>
        <item x="4475"/>
        <item x="3429"/>
        <item x="3914"/>
        <item x="4558"/>
        <item x="2353"/>
        <item x="3410"/>
        <item x="3850"/>
        <item x="4772"/>
        <item x="4954"/>
        <item x="1116"/>
        <item x="2850"/>
        <item x="3035"/>
        <item x="648"/>
        <item x="3916"/>
        <item x="1199"/>
        <item x="2522"/>
        <item x="3009"/>
        <item x="943"/>
        <item x="2104"/>
        <item x="1137"/>
        <item x="176"/>
        <item x="312"/>
        <item x="4804"/>
        <item x="4356"/>
        <item x="3298"/>
        <item x="604"/>
        <item x="1743"/>
        <item x="3040"/>
        <item x="4438"/>
        <item x="1239"/>
        <item x="3516"/>
        <item x="502"/>
        <item x="1394"/>
        <item x="2451"/>
        <item x="643"/>
        <item x="3102"/>
        <item x="181"/>
        <item x="450"/>
        <item x="2760"/>
        <item x="1579"/>
        <item x="2688"/>
        <item x="3796"/>
        <item x="1799"/>
        <item x="2800"/>
        <item x="3834"/>
        <item x="808"/>
        <item x="2529"/>
        <item x="198"/>
        <item x="1575"/>
        <item x="3710"/>
        <item x="716"/>
        <item x="2990"/>
        <item x="2013"/>
        <item x="4951"/>
        <item x="3970"/>
        <item x="3253"/>
        <item x="2894"/>
        <item x="2722"/>
        <item x="1513"/>
        <item x="1763"/>
        <item x="1432"/>
        <item x="3122"/>
        <item x="801"/>
        <item x="1056"/>
        <item x="4151"/>
        <item x="3567"/>
        <item x="3161"/>
        <item x="725"/>
        <item x="1761"/>
        <item x="99"/>
        <item x="632"/>
        <item x="4857"/>
        <item x="1775"/>
        <item x="1950"/>
        <item x="4930"/>
        <item x="264"/>
        <item x="3826"/>
        <item x="1945"/>
        <item x="2237"/>
        <item x="2848"/>
        <item x="3684"/>
        <item x="3988"/>
        <item x="4159"/>
        <item x="2047"/>
        <item x="3897"/>
        <item x="2045"/>
        <item x="901"/>
        <item x="2157"/>
        <item x="4037"/>
        <item x="2978"/>
        <item x="1897"/>
        <item x="223"/>
        <item x="4116"/>
        <item x="1363"/>
        <item x="2289"/>
        <item x="4548"/>
        <item x="4476"/>
        <item x="1758"/>
        <item x="2343"/>
        <item x="1805"/>
        <item x="3396"/>
        <item x="1309"/>
        <item x="3281"/>
        <item x="3915"/>
        <item x="1962"/>
        <item x="1408"/>
        <item x="1957"/>
        <item x="3174"/>
        <item x="2670"/>
        <item x="572"/>
        <item x="3426"/>
        <item x="4873"/>
        <item x="1618"/>
        <item x="2633"/>
        <item x="1406"/>
        <item x="804"/>
        <item x="401"/>
        <item x="1417"/>
        <item x="2652"/>
        <item x="3266"/>
        <item x="3550"/>
        <item x="445"/>
        <item x="1723"/>
        <item x="1815"/>
        <item x="1917"/>
        <item x="3644"/>
        <item x="3686"/>
        <item x="2004"/>
        <item x="3104"/>
        <item x="224"/>
        <item x="1766"/>
        <item x="4305"/>
        <item x="3998"/>
        <item x="4554"/>
        <item x="1564"/>
        <item x="4422"/>
        <item x="4700"/>
        <item x="1485"/>
        <item x="4564"/>
        <item x="1048"/>
        <item x="4601"/>
        <item x="1476"/>
        <item x="2492"/>
        <item x="4827"/>
        <item x="4485"/>
        <item x="133"/>
        <item x="2771"/>
        <item x="3460"/>
        <item x="1373"/>
        <item x="73"/>
        <item x="2136"/>
        <item x="4869"/>
        <item x="4154"/>
        <item x="4698"/>
        <item x="2887"/>
        <item x="964"/>
        <item x="3099"/>
        <item x="2084"/>
        <item x="3802"/>
        <item x="3858"/>
        <item x="2831"/>
        <item x="1245"/>
        <item x="1813"/>
        <item x="2915"/>
        <item x="4815"/>
        <item x="4185"/>
        <item x="1708"/>
        <item x="303"/>
        <item x="3110"/>
        <item x="1902"/>
        <item x="1605"/>
        <item x="2859"/>
        <item x="4939"/>
        <item x="1028"/>
        <item x="335"/>
        <item x="2335"/>
        <item x="4606"/>
        <item x="3344"/>
        <item x="58"/>
        <item x="3781"/>
        <item x="2881"/>
        <item x="2965"/>
        <item x="1076"/>
        <item x="1788"/>
        <item x="4822"/>
        <item x="2387"/>
        <item x="103"/>
        <item x="155"/>
        <item x="1533"/>
        <item x="2135"/>
        <item x="4679"/>
        <item x="1125"/>
        <item x="536"/>
        <item x="3744"/>
        <item x="1369"/>
        <item x="626"/>
        <item x="3423"/>
        <item x="866"/>
        <item x="1779"/>
        <item x="2098"/>
        <item x="4498"/>
        <item x="1018"/>
        <item x="1914"/>
        <item x="662"/>
        <item x="4622"/>
        <item x="4844"/>
        <item x="1669"/>
        <item x="2580"/>
        <item x="4228"/>
        <item x="2241"/>
        <item x="4105"/>
        <item x="3295"/>
        <item x="2754"/>
        <item x="4188"/>
        <item x="2250"/>
        <item x="4865"/>
        <item x="4052"/>
        <item x="2819"/>
        <item x="2161"/>
        <item x="64"/>
        <item x="82"/>
        <item x="2290"/>
        <item x="2847"/>
        <item x="25"/>
        <item x="2280"/>
        <item x="4891"/>
        <item x="333"/>
        <item x="4566"/>
        <item x="3021"/>
        <item x="2824"/>
        <item x="715"/>
        <item x="3262"/>
        <item x="2044"/>
        <item x="3270"/>
        <item x="4493"/>
        <item x="4112"/>
        <item x="666"/>
        <item x="2141"/>
        <item x="3486"/>
        <item x="2397"/>
        <item x="3523"/>
        <item x="1277"/>
        <item x="174"/>
        <item x="1127"/>
        <item x="4418"/>
        <item x="3079"/>
        <item x="1943"/>
        <item x="61"/>
        <item x="1847"/>
        <item x="4768"/>
        <item x="3628"/>
        <item x="4285"/>
        <item x="3825"/>
        <item x="4138"/>
        <item x="2998"/>
        <item x="2089"/>
        <item x="4164"/>
        <item x="4393"/>
        <item x="266"/>
        <item x="4157"/>
        <item x="781"/>
        <item x="2169"/>
        <item x="3590"/>
        <item x="3329"/>
        <item x="3385"/>
        <item x="161"/>
        <item x="1416"/>
        <item x="2263"/>
        <item x="148"/>
        <item x="208"/>
        <item x="2626"/>
        <item x="3587"/>
        <item x="3709"/>
        <item x="4126"/>
        <item x="178"/>
        <item x="3157"/>
        <item x="3958"/>
        <item x="3041"/>
        <item x="708"/>
        <item x="3803"/>
        <item x="791"/>
        <item x="1837"/>
        <item x="3978"/>
        <item x="2060"/>
        <item x="4132"/>
        <item x="4897"/>
        <item x="4325"/>
        <item x="393"/>
        <item x="3925"/>
        <item x="1596"/>
        <item x="4561"/>
        <item x="3577"/>
        <item x="1909"/>
        <item x="4697"/>
        <item x="1794"/>
        <item x="1688"/>
        <item x="3466"/>
        <item x="2678"/>
        <item x="3879"/>
        <item x="840"/>
        <item x="1263"/>
        <item x="4757"/>
        <item x="3145"/>
        <item x="3339"/>
        <item x="3369"/>
        <item x="3180"/>
        <item x="930"/>
        <item x="633"/>
        <item x="372"/>
        <item x="4893"/>
        <item x="2794"/>
        <item x="4046"/>
        <item x="3812"/>
        <item x="882"/>
        <item x="4632"/>
        <item x="1025"/>
        <item x="2362"/>
        <item x="1040"/>
        <item x="4074"/>
        <item x="4535"/>
        <item x="1334"/>
        <item x="3006"/>
        <item x="2941"/>
        <item x="4380"/>
        <item x="1656"/>
        <item x="4219"/>
        <item x="361"/>
        <item x="187"/>
        <item x="3063"/>
        <item x="3111"/>
        <item x="1058"/>
        <item x="2888"/>
        <item x="1526"/>
        <item x="1804"/>
        <item x="665"/>
        <item x="4841"/>
        <item x="59"/>
        <item x="4481"/>
        <item x="4649"/>
        <item x="4373"/>
        <item x="167"/>
        <item x="3647"/>
        <item x="4216"/>
        <item x="2820"/>
        <item x="938"/>
        <item x="3987"/>
        <item x="3820"/>
        <item x="3638"/>
        <item x="392"/>
        <item x="702"/>
        <item x="902"/>
        <item x="4782"/>
        <item x="3756"/>
        <item x="3809"/>
        <item x="1569"/>
        <item x="506"/>
        <item x="3511"/>
        <item x="1307"/>
        <item x="3960"/>
        <item x="696"/>
        <item x="3974"/>
        <item x="4611"/>
        <item x="1335"/>
        <item x="4414"/>
        <item x="2453"/>
        <item x="1591"/>
        <item x="1984"/>
        <item x="238"/>
        <item x="4868"/>
        <item x="1840"/>
        <item x="807"/>
        <item x="4778"/>
        <item x="4082"/>
        <item x="3677"/>
        <item x="1619"/>
        <item x="1703"/>
        <item x="233"/>
        <item x="1341"/>
        <item x="1978"/>
        <item x="3780"/>
        <item x="4394"/>
        <item x="1609"/>
        <item x="3072"/>
        <item x="3545"/>
        <item x="1646"/>
        <item x="2320"/>
        <item x="4186"/>
        <item x="3469"/>
        <item x="3402"/>
        <item x="3852"/>
        <item x="1686"/>
        <item x="565"/>
        <item x="1299"/>
        <item x="3207"/>
        <item x="3967"/>
        <item x="2347"/>
        <item x="4440"/>
        <item x="4811"/>
        <item x="3184"/>
        <item x="433"/>
        <item x="625"/>
        <item x="3685"/>
        <item x="4016"/>
        <item x="3553"/>
        <item x="1830"/>
        <item x="298"/>
        <item x="1532"/>
        <item x="205"/>
        <item x="2715"/>
        <item x="658"/>
        <item x="606"/>
        <item x="3968"/>
        <item x="357"/>
        <item x="3810"/>
        <item x="4666"/>
        <item x="4212"/>
        <item x="1399"/>
        <item x="3611"/>
        <item x="3748"/>
        <item x="3422"/>
        <item x="4348"/>
        <item x="183"/>
        <item x="4058"/>
        <item x="989"/>
        <item x="542"/>
        <item x="3774"/>
        <item x="1881"/>
        <item x="2001"/>
        <item x="1738"/>
        <item x="3430"/>
        <item x="526"/>
        <item x="4184"/>
        <item x="1899"/>
        <item x="151"/>
        <item x="3642"/>
        <item x="752"/>
        <item x="4659"/>
        <item x="2442"/>
        <item x="3356"/>
        <item x="1318"/>
        <item x="2181"/>
        <item x="2469"/>
        <item x="2204"/>
        <item x="1126"/>
        <item x="646"/>
        <item x="3399"/>
        <item x="1733"/>
        <item x="844"/>
        <item x="2339"/>
        <item x="892"/>
        <item x="3996"/>
        <item x="3786"/>
        <item x="1751"/>
        <item x="2924"/>
        <item x="4474"/>
        <item x="2735"/>
        <item x="1722"/>
        <item x="2502"/>
        <item x="1808"/>
        <item x="4063"/>
        <item x="4319"/>
        <item x="3702"/>
        <item x="4256"/>
        <item x="4900"/>
        <item x="408"/>
        <item x="1985"/>
        <item x="980"/>
        <item x="737"/>
        <item x="4883"/>
        <item x="4355"/>
        <item x="3172"/>
        <item x="315"/>
        <item x="211"/>
        <item x="2449"/>
        <item x="1831"/>
        <item x="876"/>
        <item x="4913"/>
        <item x="345"/>
        <item x="2644"/>
        <item x="916"/>
        <item x="4361"/>
        <item x="4850"/>
        <item x="1803"/>
        <item x="363"/>
        <item x="2494"/>
        <item x="2827"/>
        <item x="3019"/>
        <item x="1189"/>
        <item x="3869"/>
        <item x="759"/>
        <item x="3286"/>
        <item x="1502"/>
        <item x="1759"/>
        <item x="1279"/>
        <item x="1567"/>
        <item x="2949"/>
        <item x="2517"/>
        <item x="4810"/>
        <item x="2950"/>
        <item x="2534"/>
        <item x="2163"/>
        <item x="1138"/>
        <item x="3620"/>
        <item x="1332"/>
        <item x="3069"/>
        <item x="1952"/>
        <item x="853"/>
        <item x="4656"/>
        <item x="3025"/>
        <item x="2917"/>
        <item x="4040"/>
        <item x="3443"/>
        <item x="1781"/>
        <item x="577"/>
        <item x="1421"/>
        <item x="1303"/>
        <item x="2394"/>
        <item x="136"/>
        <item x="4809"/>
        <item x="150"/>
        <item x="3048"/>
        <item x="4630"/>
        <item x="4532"/>
        <item x="3589"/>
        <item x="3158"/>
        <item x="1372"/>
        <item x="3282"/>
        <item x="1045"/>
        <item x="2532"/>
        <item x="4280"/>
        <item x="4281"/>
        <item x="1087"/>
        <item x="270"/>
        <item x="635"/>
        <item x="2711"/>
        <item x="2649"/>
        <item x="1141"/>
        <item x="2514"/>
        <item x="4025"/>
        <item x="1692"/>
        <item x="3708"/>
        <item x="3461"/>
        <item x="1206"/>
        <item x="851"/>
        <item x="4213"/>
        <item x="320"/>
        <item x="2491"/>
        <item x="1776"/>
        <item x="1446"/>
        <item x="111"/>
        <item x="1304"/>
        <item x="774"/>
        <item x="4880"/>
        <item x="314"/>
        <item x="2676"/>
        <item x="2016"/>
        <item x="362"/>
        <item x="1777"/>
        <item x="342"/>
        <item x="1319"/>
        <item x="4434"/>
        <item x="890"/>
        <item x="3532"/>
        <item x="1140"/>
        <item x="1111"/>
        <item x="538"/>
        <item x="2515"/>
        <item x="1659"/>
        <item x="2243"/>
        <item x="4129"/>
        <item x="2311"/>
        <item x="3682"/>
        <item x="1400"/>
        <item x="1150"/>
        <item x="3047"/>
        <item x="3094"/>
        <item x="3133"/>
        <item x="1886"/>
        <item x="4433"/>
        <item x="4931"/>
        <item x="296"/>
        <item x="4712"/>
        <item x="3445"/>
        <item x="1545"/>
        <item x="41"/>
        <item x="31"/>
        <item x="517"/>
        <item x="4141"/>
        <item x="3095"/>
        <item x="375"/>
        <item x="17"/>
        <item x="4690"/>
        <item x="1906"/>
        <item x="4030"/>
        <item x="4468"/>
        <item x="2980"/>
        <item x="175"/>
        <item x="3982"/>
        <item x="660"/>
        <item x="2753"/>
        <item x="2994"/>
        <item x="95"/>
        <item x="4130"/>
        <item x="3049"/>
        <item x="2279"/>
        <item x="1969"/>
        <item x="1727"/>
        <item x="831"/>
        <item x="2434"/>
        <item x="1404"/>
        <item x="1175"/>
        <item x="3376"/>
        <item x="4575"/>
        <item x="4511"/>
        <item x="874"/>
        <item x="1826"/>
        <item x="4859"/>
        <item x="1173"/>
        <item x="2535"/>
        <item x="3936"/>
        <item x="1746"/>
        <item x="3795"/>
        <item x="4172"/>
        <item x="467"/>
        <item x="1996"/>
        <item x="2110"/>
        <item x="3564"/>
        <item x="2981"/>
        <item x="1562"/>
        <item x="2277"/>
        <item x="2765"/>
        <item x="3407"/>
        <item x="736"/>
        <item x="2194"/>
        <item x="3494"/>
        <item x="1931"/>
        <item x="809"/>
        <item x="1086"/>
        <item x="3405"/>
        <item x="261"/>
        <item x="3519"/>
        <item x="1085"/>
        <item x="4435"/>
        <item x="1170"/>
        <item x="4530"/>
        <item x="4152"/>
        <item x="4641"/>
        <item x="3588"/>
        <item x="1868"/>
        <item x="893"/>
        <item x="227"/>
        <item x="3204"/>
        <item x="2354"/>
        <item x="2951"/>
        <item x="521"/>
        <item x="39"/>
        <item x="4215"/>
        <item x="3312"/>
        <item x="1638"/>
        <item x="2623"/>
        <item x="2913"/>
        <item x="2900"/>
        <item x="2068"/>
        <item x="1760"/>
        <item x="2460"/>
        <item x="2038"/>
        <item x="1027"/>
        <item x="1585"/>
        <item x="4270"/>
        <item x="1756"/>
        <item x="1954"/>
        <item x="2698"/>
        <item x="2533"/>
        <item x="3125"/>
        <item x="1062"/>
        <item x="189"/>
        <item x="4894"/>
        <item x="994"/>
        <item x="3027"/>
        <item x="811"/>
        <item x="2475"/>
        <item x="4520"/>
        <item x="4615"/>
        <item x="1606"/>
        <item x="2618"/>
        <item x="4419"/>
        <item x="3565"/>
        <item x="4108"/>
        <item x="3895"/>
        <item x="1929"/>
        <item x="2076"/>
        <item x="1205"/>
        <item x="1264"/>
        <item x="4490"/>
        <item x="2750"/>
        <item x="134"/>
        <item x="2935"/>
        <item x="2043"/>
        <item x="3159"/>
        <item x="156"/>
        <item x="4733"/>
        <item x="993"/>
        <item x="1730"/>
        <item x="4109"/>
        <item x="2023"/>
        <item x="447"/>
        <item x="3392"/>
        <item x="321"/>
        <item x="2122"/>
        <item x="2432"/>
        <item x="4253"/>
        <item x="3631"/>
        <item x="3240"/>
        <item x="3793"/>
        <item x="3462"/>
        <item x="2828"/>
        <item x="2864"/>
        <item x="4607"/>
        <item x="1524"/>
        <item x="1658"/>
        <item x="1953"/>
        <item x="1222"/>
        <item x="3406"/>
        <item x="2393"/>
        <item x="3476"/>
        <item x="3097"/>
        <item x="793"/>
        <item x="4537"/>
        <item x="1470"/>
        <item x="2845"/>
        <item x="376"/>
        <item x="3123"/>
        <item x="2296"/>
        <item x="3241"/>
        <item x="2055"/>
        <item x="2327"/>
        <item x="3520"/>
        <item x="130"/>
        <item x="3591"/>
        <item x="1422"/>
        <item x="313"/>
        <item x="3283"/>
        <item x="568"/>
        <item x="414"/>
        <item x="2898"/>
        <item x="4732"/>
        <item x="513"/>
        <item x="2702"/>
        <item x="2513"/>
        <item x="4299"/>
        <item x="4960"/>
        <item x="1112"/>
        <item x="4639"/>
        <item x="83"/>
        <item x="2214"/>
        <item x="30"/>
        <item x="4766"/>
        <item x="652"/>
        <item x="1823"/>
        <item x="2328"/>
        <item x="1925"/>
        <item x="4333"/>
        <item x="2242"/>
        <item x="1384"/>
        <item x="2192"/>
        <item x="3363"/>
        <item x="3777"/>
        <item x="2582"/>
        <item x="1401"/>
        <item x="3775"/>
        <item x="678"/>
        <item x="875"/>
        <item x="1469"/>
        <item x="3182"/>
        <item x="2969"/>
        <item x="3663"/>
        <item x="1443"/>
        <item x="4944"/>
        <item x="1644"/>
        <item x="3857"/>
        <item x="4251"/>
        <item x="4447"/>
        <item x="316"/>
        <item x="2261"/>
        <item x="1995"/>
        <item x="1172"/>
        <item x="2723"/>
        <item x="4947"/>
        <item x="4510"/>
        <item x="2531"/>
        <item x="1031"/>
        <item x="3929"/>
        <item x="4594"/>
        <item x="3044"/>
        <item x="4467"/>
        <item x="1691"/>
        <item x="3029"/>
        <item x="4958"/>
        <item x="2466"/>
        <item x="1563"/>
        <item x="2825"/>
        <item x="416"/>
        <item x="1071"/>
        <item x="1966"/>
        <item x="3447"/>
        <item x="2294"/>
        <item x="2435"/>
        <item x="3419"/>
        <item x="2879"/>
        <item x="4743"/>
        <item x="3028"/>
        <item x="2196"/>
        <item x="3568"/>
        <item x="1907"/>
        <item x="1427"/>
        <item x="4512"/>
        <item x="3510"/>
        <item x="1448"/>
        <item x="4153"/>
        <item x="1168"/>
        <item x="2714"/>
        <item x="1521"/>
        <item x="2752"/>
        <item x="3446"/>
        <item x="2039"/>
        <item x="515"/>
        <item x="4079"/>
        <item x="63"/>
        <item x="2166"/>
        <item x="1724"/>
        <item x="510"/>
        <item x="4175"/>
        <item x="1302"/>
        <item x="2964"/>
        <item x="3935"/>
        <item x="3348"/>
        <item x="3868"/>
        <item x="789"/>
        <item x="2638"/>
        <item x="3605"/>
        <item x="2366"/>
        <item x="3923"/>
        <item x="1622"/>
        <item x="4878"/>
        <item x="4065"/>
        <item x="3390"/>
        <item x="1725"/>
        <item x="4786"/>
        <item x="3350"/>
        <item x="2914"/>
        <item x="1574"/>
        <item x="15"/>
        <item x="772"/>
        <item x="2179"/>
        <item x="3926"/>
        <item x="3619"/>
        <item x="4538"/>
        <item x="297"/>
        <item x="567"/>
        <item x="2148"/>
        <item x="1607"/>
        <item x="1885"/>
        <item x="939"/>
        <item x="3404"/>
        <item x="3618"/>
        <item x="4107"/>
        <item x="1489"/>
        <item x="1468"/>
        <item x="2939"/>
        <item x="2877"/>
        <item x="685"/>
        <item x="3811"/>
        <item x="4002"/>
        <item x="3242"/>
        <item x="1503"/>
        <item x="1546"/>
        <item x="4118"/>
        <item x="1292"/>
        <item x="654"/>
        <item x="1423"/>
        <item x="1487"/>
        <item x="4784"/>
        <item x="3924"/>
        <item x="2075"/>
        <item x="4718"/>
        <item x="1744"/>
        <item x="411"/>
        <item x="3905"/>
        <item x="4489"/>
        <item x="4235"/>
        <item x="4469"/>
        <item x="2895"/>
        <item x="2463"/>
        <item x="1285"/>
        <item x="2936"/>
        <item x="1745"/>
        <item x="4902"/>
        <item x="2725"/>
        <item x="2464"/>
        <item x="4142"/>
        <item x="3477"/>
        <item x="1266"/>
        <item x="2558"/>
        <item x="1169"/>
        <item x="1123"/>
        <item x="1825"/>
        <item x="3823"/>
        <item x="2213"/>
        <item x="3883"/>
        <item x="78"/>
        <item x="4755"/>
        <item x="4214"/>
        <item x="4631"/>
        <item x="4174"/>
        <item x="1193"/>
        <item x="4375"/>
        <item x="2797"/>
        <item x="4694"/>
        <item x="2650"/>
        <item x="3279"/>
        <item x="461"/>
        <item x="2802"/>
        <item x="3632"/>
        <item x="4128"/>
        <item x="3670"/>
        <item x="591"/>
        <item x="2264"/>
        <item x="4837"/>
        <item x="1584"/>
        <item x="221"/>
        <item x="327"/>
        <item x="2799"/>
        <item x="2137"/>
        <item x="3280"/>
        <item x="1643"/>
        <item x="4412"/>
        <item x="1641"/>
        <item x="2666"/>
        <item x="4446"/>
        <item x="3698"/>
        <item x="761"/>
        <item x="1979"/>
        <item x="4051"/>
        <item x="2245"/>
        <item x="4491"/>
        <item x="2378"/>
        <item x="9"/>
        <item x="862"/>
        <item x="2067"/>
        <item x="4224"/>
        <item x="285"/>
        <item x="1568"/>
        <item x="4316"/>
        <item x="159"/>
        <item x="2215"/>
        <item x="3512"/>
        <item x="2401"/>
        <item x="4279"/>
        <item x="1854"/>
        <item x="4711"/>
        <item x="688"/>
        <item x="1204"/>
        <item x="4847"/>
        <item x="3327"/>
        <item x="3227"/>
        <item x="847"/>
        <item x="1176"/>
        <item x="2278"/>
        <item x="1105"/>
        <item x="4595"/>
        <item x="4386"/>
        <item x="2548"/>
        <item x="3813"/>
        <item x="4767"/>
        <item x="2912"/>
        <item x="4946"/>
        <item x="861"/>
        <item x="3534"/>
        <item x="3299"/>
        <item x="2621"/>
        <item x="2036"/>
        <item x="2516"/>
        <item x="4693"/>
        <item x="1617"/>
        <item x="3761"/>
        <item x="2916"/>
        <item x="2843"/>
        <item x="4605"/>
        <item x="3662"/>
        <item x="3420"/>
        <item x="4640"/>
        <item x="4411"/>
        <item x="1994"/>
        <item x="4272"/>
        <item x="2701"/>
        <item x="2418"/>
        <item x="1707"/>
        <item x="2309"/>
        <item x="1191"/>
        <item x="4785"/>
        <item x="413"/>
        <item x="1908"/>
        <item x="3535"/>
        <item x="87"/>
        <item x="4882"/>
        <item x="1402"/>
        <item x="1998"/>
        <item x="2677"/>
        <item x="3081"/>
        <item t="default"/>
      </items>
    </pivotField>
    <pivotField showAll="0"/>
    <pivotField showAll="0"/>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s>
  <rowFields count="2">
    <field x="3"/>
    <field x="8"/>
  </rowFields>
  <rowItems count="16">
    <i>
      <x v="1"/>
    </i>
    <i r="1">
      <x v="1"/>
    </i>
    <i r="1">
      <x/>
    </i>
    <i>
      <x v="2"/>
    </i>
    <i r="1">
      <x v="1"/>
    </i>
    <i r="1">
      <x/>
    </i>
    <i>
      <x/>
    </i>
    <i r="1">
      <x v="1"/>
    </i>
    <i r="1">
      <x/>
    </i>
    <i>
      <x v="4"/>
    </i>
    <i r="1">
      <x v="1"/>
    </i>
    <i r="1">
      <x/>
    </i>
    <i>
      <x v="3"/>
    </i>
    <i r="1">
      <x v="1"/>
    </i>
    <i r="1">
      <x/>
    </i>
    <i t="grand">
      <x/>
    </i>
  </rowItems>
  <colFields count="1">
    <field x="-2"/>
  </colFields>
  <colItems count="2">
    <i>
      <x/>
    </i>
    <i i="1">
      <x v="1"/>
    </i>
  </colItems>
  <dataFields count="2">
    <dataField name="Actual " fld="5" baseField="0" baseItem="0" numFmtId="3"/>
    <dataField name="Budget " fld="4" baseField="0" baseItem="0" numFmtId="3"/>
  </dataField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pivotArea type="data" outline="0" fieldPosition="0">
        <references count="3">
          <reference field="4294967294" count="1" selected="0">
            <x v="1"/>
          </reference>
          <reference field="3" count="1" selected="0">
            <x v="3"/>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B3E3982-0F0D-40A0-A9A1-6E1090410138}" sourceName="Month">
  <pivotTables>
    <pivotTable tabId="3" name="PivotTable5"/>
    <pivotTable tabId="3" name="PivotTable7"/>
    <pivotTable tabId="3" name="PivotTable1"/>
    <pivotTable tabId="3" name="PivotTable2"/>
  </pivotTables>
  <data>
    <tabular pivotCacheId="599131489">
      <items count="12">
        <i x="0"/>
        <i x="1"/>
        <i x="2"/>
        <i x="3" s="1"/>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FAA52E11-A3DB-47C6-9273-9D0894A94A32}" sourceName="Type">
  <pivotTables>
    <pivotTable tabId="3" name="PivotTable7"/>
    <pivotTable tabId="3" name="PivotTable1"/>
    <pivotTable tabId="3" name="PivotTable2"/>
  </pivotTables>
  <data>
    <tabular pivotCacheId="59913148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11C5F5-3E44-475E-B8DD-6B10432C7F1F}" sourceName="Region">
  <pivotTables>
    <pivotTable tabId="3" name="PivotTable2"/>
    <pivotTable tabId="3" name="PivotTable7"/>
    <pivotTable tabId="3" name="PivotTable1"/>
  </pivotTables>
  <data>
    <tabular pivotCacheId="599131489">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8E15E22-C6FA-46C9-94BC-2EA326B469F1}" cache="Slicer_Month" caption="Month" rowHeight="241300"/>
  <slicer name="Type" xr10:uid="{BF6F4261-6E66-4556-9DA5-8BCC8639A770}" cache="Slicer_Type" caption="Type" rowHeight="241300"/>
  <slicer name="Region" xr10:uid="{50ED7EEB-8229-44DA-A2DA-38E7461290B8}"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58DC-1A86-4704-85ED-C3BDAEDE97B5}">
  <dimension ref="AS2:AS5"/>
  <sheetViews>
    <sheetView showGridLines="0" tabSelected="1" topLeftCell="K3" zoomScale="70" zoomScaleNormal="70" workbookViewId="0">
      <selection activeCell="AP15" sqref="AP15"/>
    </sheetView>
  </sheetViews>
  <sheetFormatPr defaultColWidth="9.109375" defaultRowHeight="14.4" x14ac:dyDescent="0.3"/>
  <cols>
    <col min="1" max="44" width="9.109375" style="25"/>
    <col min="45" max="45" width="14.21875" style="25" bestFit="1" customWidth="1"/>
    <col min="46" max="16384" width="9.109375" style="25"/>
  </cols>
  <sheetData>
    <row r="2" spans="45:45" x14ac:dyDescent="0.3">
      <c r="AS2" s="31"/>
    </row>
    <row r="3" spans="45:45" x14ac:dyDescent="0.3">
      <c r="AS3" s="32"/>
    </row>
    <row r="4" spans="45:45" x14ac:dyDescent="0.3">
      <c r="AS4" s="33">
        <f>budgetin-budgetex</f>
        <v>13352367</v>
      </c>
    </row>
    <row r="5" spans="45:45" x14ac:dyDescent="0.3">
      <c r="AS5" s="33">
        <f>actualin-actualex</f>
        <v>14548553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7BBC-CD83-46B2-8987-4031F67E0E9B}">
  <dimension ref="B2:V22"/>
  <sheetViews>
    <sheetView showGridLines="0" topLeftCell="A3" workbookViewId="0">
      <selection activeCell="F14" sqref="F14"/>
    </sheetView>
  </sheetViews>
  <sheetFormatPr defaultRowHeight="14.4" x14ac:dyDescent="0.3"/>
  <cols>
    <col min="2" max="2" width="24.33203125" customWidth="1"/>
    <col min="3" max="3" width="13.109375" customWidth="1"/>
    <col min="4" max="4" width="12.33203125" bestFit="1" customWidth="1"/>
    <col min="5" max="5" width="2.88671875" customWidth="1"/>
    <col min="6" max="6" width="12.33203125" bestFit="1" customWidth="1"/>
    <col min="7" max="7" width="11.33203125" customWidth="1"/>
    <col min="9" max="9" width="26.33203125" customWidth="1"/>
    <col min="15" max="15" width="2.6640625" customWidth="1"/>
  </cols>
  <sheetData>
    <row r="2" spans="2:22" ht="21" x14ac:dyDescent="0.4">
      <c r="B2" s="2" t="s">
        <v>80</v>
      </c>
      <c r="C2" s="1"/>
      <c r="D2" s="1"/>
      <c r="E2" s="1"/>
      <c r="F2" s="1"/>
      <c r="G2" s="1"/>
    </row>
    <row r="3" spans="2:22" x14ac:dyDescent="0.3">
      <c r="B3" s="10" t="s">
        <v>110</v>
      </c>
      <c r="C3" s="22">
        <v>2023</v>
      </c>
    </row>
    <row r="4" spans="2:22" x14ac:dyDescent="0.3">
      <c r="D4" s="20"/>
    </row>
    <row r="5" spans="2:22" x14ac:dyDescent="0.3">
      <c r="B5" s="10" t="s">
        <v>79</v>
      </c>
      <c r="C5" s="6" t="s">
        <v>122</v>
      </c>
      <c r="D5" s="21"/>
    </row>
    <row r="6" spans="2:22" x14ac:dyDescent="0.3">
      <c r="C6" s="7"/>
      <c r="D6" s="7"/>
    </row>
    <row r="7" spans="2:22" x14ac:dyDescent="0.3">
      <c r="B7" s="8" t="s">
        <v>83</v>
      </c>
      <c r="C7" s="11" t="s">
        <v>84</v>
      </c>
      <c r="D7" s="11" t="s">
        <v>85</v>
      </c>
      <c r="F7" s="11" t="s">
        <v>89</v>
      </c>
      <c r="G7" s="11" t="s">
        <v>90</v>
      </c>
      <c r="I7" s="35" t="s">
        <v>91</v>
      </c>
      <c r="J7" s="35"/>
      <c r="K7" s="35"/>
      <c r="L7" s="35"/>
      <c r="M7" s="35"/>
      <c r="N7" s="35"/>
      <c r="O7" s="19"/>
      <c r="P7" s="35" t="s">
        <v>92</v>
      </c>
      <c r="Q7" s="35"/>
      <c r="R7" s="35"/>
      <c r="S7" s="35"/>
      <c r="T7" s="35"/>
      <c r="U7" s="35"/>
      <c r="V7" s="35"/>
    </row>
    <row r="8" spans="2:22" x14ac:dyDescent="0.3">
      <c r="B8" t="s">
        <v>86</v>
      </c>
      <c r="C8" s="9"/>
      <c r="D8" s="9"/>
      <c r="E8" s="9"/>
      <c r="F8" s="9"/>
      <c r="G8" s="9"/>
      <c r="H8" s="9"/>
      <c r="I8" s="9"/>
      <c r="J8" s="9"/>
      <c r="K8" s="9"/>
      <c r="L8" s="9"/>
    </row>
    <row r="9" spans="2:22" x14ac:dyDescent="0.3">
      <c r="B9" s="4" t="s">
        <v>6</v>
      </c>
      <c r="C9" s="15">
        <f>SUMIFS('Clean Ledger Data'!E:E,'Clean Ledger Data'!C:C,Dashboard!B9,'Clean Ledger Data'!B:B,month)</f>
        <v>19788600</v>
      </c>
      <c r="D9" s="15">
        <f>SUMIFS('Clean Ledger Data'!F:F,'Clean Ledger Data'!C:C,Dashboard!B9,'Clean Ledger Data'!B:B,Dashboard!$C$5)</f>
        <v>20308900</v>
      </c>
      <c r="E9" s="15"/>
      <c r="F9" s="15">
        <f>D9-C9</f>
        <v>520300</v>
      </c>
      <c r="G9" s="12">
        <f>D9/C9-1</f>
        <v>2.6292916123424659E-2</v>
      </c>
      <c r="H9" s="9"/>
      <c r="I9" s="9"/>
      <c r="J9" s="9"/>
      <c r="K9" s="9"/>
      <c r="L9" s="9"/>
    </row>
    <row r="10" spans="2:22" x14ac:dyDescent="0.3">
      <c r="B10" s="4" t="s">
        <v>93</v>
      </c>
      <c r="C10" s="15">
        <f>SUMIFS('Clean Ledger Data'!E:E,'Clean Ledger Data'!C:C,Dashboard!B10,'Clean Ledger Data'!B:B,month)</f>
        <v>15234500</v>
      </c>
      <c r="D10" s="15">
        <f>SUMIFS('Clean Ledger Data'!F:F,'Clean Ledger Data'!C:C,Dashboard!B10,'Clean Ledger Data'!B:B,Dashboard!$C$5)</f>
        <v>15821100</v>
      </c>
      <c r="E10" s="15"/>
      <c r="F10" s="15">
        <f>D10-C10</f>
        <v>586600</v>
      </c>
      <c r="G10" s="12">
        <f>D10/C10-1</f>
        <v>3.8504709704946016E-2</v>
      </c>
      <c r="H10" s="9"/>
      <c r="I10" s="9"/>
      <c r="J10" s="9"/>
      <c r="K10" s="9"/>
      <c r="L10" s="9"/>
    </row>
    <row r="11" spans="2:22" x14ac:dyDescent="0.3">
      <c r="B11" s="5" t="s">
        <v>115</v>
      </c>
      <c r="C11" s="16">
        <f>SUM(C9:C10)</f>
        <v>35023100</v>
      </c>
      <c r="D11" s="16">
        <f>SUM(D9:D10)</f>
        <v>36130000</v>
      </c>
      <c r="E11" s="15"/>
      <c r="F11" s="15">
        <f>D11-C11</f>
        <v>1106900</v>
      </c>
      <c r="G11" s="12">
        <f>D11/C11-1</f>
        <v>3.1604855081360572E-2</v>
      </c>
      <c r="H11" s="9"/>
      <c r="I11" s="9"/>
      <c r="J11" s="9"/>
      <c r="K11" s="9"/>
      <c r="L11" s="9"/>
    </row>
    <row r="12" spans="2:22" x14ac:dyDescent="0.3">
      <c r="C12" s="15"/>
      <c r="D12" s="15"/>
      <c r="E12" s="15"/>
      <c r="F12" s="15"/>
      <c r="G12" s="12"/>
      <c r="H12" s="9"/>
      <c r="I12" s="9"/>
      <c r="J12" s="9"/>
      <c r="K12" s="9"/>
      <c r="L12" s="9"/>
    </row>
    <row r="13" spans="2:22" x14ac:dyDescent="0.3">
      <c r="B13" t="s">
        <v>87</v>
      </c>
      <c r="C13" s="15"/>
      <c r="D13" s="15"/>
      <c r="E13" s="15"/>
      <c r="F13" s="15"/>
      <c r="G13" s="12"/>
      <c r="H13" s="9"/>
      <c r="I13" s="9"/>
      <c r="J13" s="9"/>
      <c r="K13" s="9"/>
      <c r="L13" s="9"/>
    </row>
    <row r="14" spans="2:22" x14ac:dyDescent="0.3">
      <c r="B14" s="4" t="s">
        <v>10</v>
      </c>
      <c r="C14" s="15">
        <f>SUMIFS('Clean Ledger Data'!E:E,'Clean Ledger Data'!C:C,Dashboard!B14,'Clean Ledger Data'!B:B,month)</f>
        <v>3116296</v>
      </c>
      <c r="D14" s="15">
        <f>SUMIFS('Clean Ledger Data'!F:F,'Clean Ledger Data'!C:C,Dashboard!B14,'Clean Ledger Data'!B:B,Dashboard!$C$5)</f>
        <v>3875731</v>
      </c>
      <c r="E14" s="15"/>
      <c r="F14" s="15">
        <f>C14-D14</f>
        <v>-759435</v>
      </c>
      <c r="G14" s="12">
        <f>C14/D14-1</f>
        <v>-0.19594626149234817</v>
      </c>
      <c r="H14" s="9"/>
      <c r="I14" s="9"/>
      <c r="J14" s="9"/>
      <c r="K14" s="9"/>
      <c r="L14" s="9"/>
    </row>
    <row r="15" spans="2:22" x14ac:dyDescent="0.3">
      <c r="B15" s="4" t="s">
        <v>15</v>
      </c>
      <c r="C15" s="15">
        <f>SUMIFS('Clean Ledger Data'!E:E,'Clean Ledger Data'!C:C,Dashboard!B15,'Clean Ledger Data'!B:B,month)</f>
        <v>3434721</v>
      </c>
      <c r="D15" s="15">
        <f>SUMIFS('Clean Ledger Data'!F:F,'Clean Ledger Data'!C:C,Dashboard!B15,'Clean Ledger Data'!B:B,Dashboard!$C$5)</f>
        <v>3855222</v>
      </c>
      <c r="E15" s="15"/>
      <c r="F15" s="15">
        <f t="shared" ref="F15:F22" si="0">C15-D15</f>
        <v>-420501</v>
      </c>
      <c r="G15" s="12">
        <f t="shared" ref="G15:G22" si="1">C15/D15-1</f>
        <v>-0.10907309617967531</v>
      </c>
      <c r="H15" s="9"/>
      <c r="I15" s="9"/>
      <c r="J15" s="9"/>
      <c r="K15" s="9"/>
      <c r="L15" s="9"/>
    </row>
    <row r="16" spans="2:22" x14ac:dyDescent="0.3">
      <c r="B16" s="4" t="s">
        <v>18</v>
      </c>
      <c r="C16" s="15">
        <f>SUMIFS('Clean Ledger Data'!E:E,'Clean Ledger Data'!C:C,Dashboard!B16,'Clean Ledger Data'!B:B,month)</f>
        <v>3308301</v>
      </c>
      <c r="D16" s="15">
        <f>SUMIFS('Clean Ledger Data'!F:F,'Clean Ledger Data'!C:C,Dashboard!B16,'Clean Ledger Data'!B:B,Dashboard!$C$5)</f>
        <v>2990415</v>
      </c>
      <c r="E16" s="15"/>
      <c r="F16" s="15">
        <f t="shared" si="0"/>
        <v>317886</v>
      </c>
      <c r="G16" s="12">
        <f t="shared" si="1"/>
        <v>0.10630163371973445</v>
      </c>
      <c r="H16" s="9"/>
      <c r="I16" s="9"/>
      <c r="J16" s="9"/>
      <c r="K16" s="9"/>
      <c r="L16" s="9"/>
    </row>
    <row r="17" spans="2:12" x14ac:dyDescent="0.3">
      <c r="B17" s="4" t="s">
        <v>20</v>
      </c>
      <c r="C17" s="15">
        <f>SUMIFS('Clean Ledger Data'!E:E,'Clean Ledger Data'!C:C,Dashboard!B17,'Clean Ledger Data'!B:B,month)</f>
        <v>3449591</v>
      </c>
      <c r="D17" s="15">
        <f>SUMIFS('Clean Ledger Data'!F:F,'Clean Ledger Data'!C:C,Dashboard!B17,'Clean Ledger Data'!B:B,Dashboard!$C$5)</f>
        <v>3999882</v>
      </c>
      <c r="E17" s="15"/>
      <c r="F17" s="15">
        <f t="shared" si="0"/>
        <v>-550291</v>
      </c>
      <c r="G17" s="12">
        <f t="shared" si="1"/>
        <v>-0.13757680851585119</v>
      </c>
      <c r="H17" s="9"/>
      <c r="I17" s="9"/>
      <c r="J17" s="9"/>
      <c r="K17" s="9"/>
      <c r="L17" s="9"/>
    </row>
    <row r="18" spans="2:12" x14ac:dyDescent="0.3">
      <c r="B18" s="4" t="s">
        <v>14</v>
      </c>
      <c r="C18" s="15">
        <f>SUMIFS('Clean Ledger Data'!E:E,'Clean Ledger Data'!C:C,Dashboard!B18,'Clean Ledger Data'!B:B,month)</f>
        <v>4538128</v>
      </c>
      <c r="D18" s="15">
        <f>SUMIFS('Clean Ledger Data'!F:F,'Clean Ledger Data'!C:C,Dashboard!B18,'Clean Ledger Data'!B:B,Dashboard!$C$5)</f>
        <v>4334141</v>
      </c>
      <c r="E18" s="15"/>
      <c r="F18" s="15">
        <f t="shared" si="0"/>
        <v>203987</v>
      </c>
      <c r="G18" s="12">
        <f t="shared" si="1"/>
        <v>4.7065150856882676E-2</v>
      </c>
      <c r="H18" s="9"/>
      <c r="I18" s="9"/>
      <c r="J18" s="9"/>
      <c r="K18" s="9"/>
      <c r="L18" s="9"/>
    </row>
    <row r="19" spans="2:12" x14ac:dyDescent="0.3">
      <c r="B19" s="4" t="s">
        <v>32</v>
      </c>
      <c r="C19" s="15">
        <f>SUMIFS('Clean Ledger Data'!E:E,'Clean Ledger Data'!C:C,Dashboard!B19,'Clean Ledger Data'!B:B,month)</f>
        <v>4434951</v>
      </c>
      <c r="D19" s="15">
        <f>SUMIFS('Clean Ledger Data'!F:F,'Clean Ledger Data'!C:C,Dashboard!B19,'Clean Ledger Data'!B:B,Dashboard!$C$5)</f>
        <v>4938899</v>
      </c>
      <c r="E19" s="15"/>
      <c r="F19" s="15">
        <f t="shared" si="0"/>
        <v>-503948</v>
      </c>
      <c r="G19" s="12">
        <f t="shared" si="1"/>
        <v>-0.1020365065169383</v>
      </c>
      <c r="H19" s="9"/>
      <c r="I19" s="9"/>
      <c r="J19" s="9"/>
      <c r="K19" s="9"/>
      <c r="L19" s="9"/>
    </row>
    <row r="20" spans="2:12" x14ac:dyDescent="0.3">
      <c r="B20" s="5" t="s">
        <v>88</v>
      </c>
      <c r="C20" s="16">
        <f>SUM(C14:C19)</f>
        <v>22281988</v>
      </c>
      <c r="D20" s="16">
        <f>SUM(D14:D19)</f>
        <v>23994290</v>
      </c>
      <c r="E20" s="15"/>
      <c r="F20" s="15">
        <f t="shared" si="0"/>
        <v>-1712302</v>
      </c>
      <c r="G20" s="12">
        <f t="shared" si="1"/>
        <v>-7.1362895088789902E-2</v>
      </c>
      <c r="H20" s="9"/>
      <c r="I20" s="9"/>
      <c r="J20" s="9"/>
      <c r="K20" s="9"/>
      <c r="L20" s="9"/>
    </row>
    <row r="21" spans="2:12" x14ac:dyDescent="0.3">
      <c r="C21" s="15"/>
      <c r="D21" s="15"/>
      <c r="E21" s="15"/>
      <c r="F21" s="15"/>
      <c r="G21" s="12"/>
    </row>
    <row r="22" spans="2:12" x14ac:dyDescent="0.3">
      <c r="B22" s="13" t="s">
        <v>114</v>
      </c>
      <c r="C22" s="17">
        <f>C11-C20</f>
        <v>12741112</v>
      </c>
      <c r="D22" s="17">
        <f>D11-D20</f>
        <v>12135710</v>
      </c>
      <c r="E22" s="15"/>
      <c r="F22" s="18">
        <f t="shared" si="0"/>
        <v>605402</v>
      </c>
      <c r="G22" s="14">
        <f t="shared" si="1"/>
        <v>4.9885997605414012E-2</v>
      </c>
    </row>
  </sheetData>
  <mergeCells count="2">
    <mergeCell ref="I7:N7"/>
    <mergeCell ref="P7:V7"/>
  </mergeCells>
  <conditionalFormatting sqref="F9:G22">
    <cfRule type="cellIs" dxfId="1" priority="1" operator="lessThan">
      <formula>0</formula>
    </cfRule>
    <cfRule type="cellIs" dxfId="0" priority="2" operator="greaterThan">
      <formula>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B0D71D-8E55-437A-97ED-B13F257D7BE1}">
          <x14:formula1>
            <xm:f>'Clean Ledger Data'!$B$2:$B$6776</xm:f>
          </x14:formula1>
          <xm:sqref>C5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AAB4-6243-464F-83AE-529245CDEFEB}">
  <dimension ref="A3:G48"/>
  <sheetViews>
    <sheetView showGridLines="0" topLeftCell="A31" workbookViewId="0">
      <selection activeCell="C53" sqref="C53"/>
    </sheetView>
  </sheetViews>
  <sheetFormatPr defaultRowHeight="14.4" x14ac:dyDescent="0.3"/>
  <cols>
    <col min="1" max="1" width="12.5546875" bestFit="1" customWidth="1"/>
    <col min="2" max="3" width="10.109375" bestFit="1" customWidth="1"/>
    <col min="4" max="4" width="13.5546875" bestFit="1" customWidth="1"/>
    <col min="5" max="5" width="14.88671875" bestFit="1" customWidth="1"/>
    <col min="6" max="6" width="15.5546875" bestFit="1" customWidth="1"/>
    <col min="7" max="7" width="10.77734375" bestFit="1" customWidth="1"/>
    <col min="8" max="11" width="8" bestFit="1" customWidth="1"/>
    <col min="12" max="12" width="10.21875" bestFit="1" customWidth="1"/>
    <col min="13" max="13" width="8" bestFit="1" customWidth="1"/>
    <col min="14" max="14" width="9.88671875" bestFit="1" customWidth="1"/>
    <col min="15" max="15" width="9.5546875" bestFit="1" customWidth="1"/>
    <col min="16" max="18" width="10.77734375" bestFit="1" customWidth="1"/>
    <col min="19" max="19" width="12.77734375" bestFit="1" customWidth="1"/>
    <col min="20" max="20" width="13.5546875" bestFit="1" customWidth="1"/>
    <col min="21" max="21" width="12.77734375" bestFit="1" customWidth="1"/>
    <col min="22" max="22" width="13.5546875" bestFit="1" customWidth="1"/>
    <col min="23" max="23" width="12.77734375" bestFit="1" customWidth="1"/>
    <col min="24" max="24" width="13.5546875" bestFit="1" customWidth="1"/>
    <col min="25" max="25" width="12.77734375" bestFit="1" customWidth="1"/>
    <col min="26" max="26" width="18.33203125" bestFit="1" customWidth="1"/>
    <col min="27" max="27" width="17.6640625" bestFit="1" customWidth="1"/>
    <col min="28" max="28" width="9.44140625" bestFit="1" customWidth="1"/>
    <col min="29" max="29" width="10.44140625" bestFit="1" customWidth="1"/>
    <col min="30" max="30" width="10.109375" bestFit="1" customWidth="1"/>
    <col min="31" max="31" width="15.109375" bestFit="1" customWidth="1"/>
    <col min="32" max="32" width="18.109375" bestFit="1" customWidth="1"/>
    <col min="33" max="39" width="10.44140625" bestFit="1" customWidth="1"/>
    <col min="40" max="40" width="10.88671875" bestFit="1" customWidth="1"/>
    <col min="41" max="43" width="10.44140625" bestFit="1" customWidth="1"/>
    <col min="44" max="44" width="21.44140625" bestFit="1" customWidth="1"/>
    <col min="45" max="45" width="9.6640625" bestFit="1" customWidth="1"/>
    <col min="46" max="52" width="9.44140625" bestFit="1" customWidth="1"/>
    <col min="53" max="53" width="10.88671875" bestFit="1" customWidth="1"/>
    <col min="54" max="54" width="9.44140625" bestFit="1" customWidth="1"/>
    <col min="55" max="55" width="10.44140625" bestFit="1" customWidth="1"/>
    <col min="56" max="56" width="10.109375" bestFit="1" customWidth="1"/>
    <col min="57" max="57" width="12.6640625" bestFit="1" customWidth="1"/>
    <col min="58" max="58" width="17.6640625" bestFit="1" customWidth="1"/>
    <col min="59" max="65" width="10.44140625" bestFit="1" customWidth="1"/>
    <col min="66" max="66" width="10.88671875" bestFit="1" customWidth="1"/>
    <col min="67" max="69" width="10.44140625" bestFit="1" customWidth="1"/>
    <col min="70" max="70" width="20.88671875" bestFit="1" customWidth="1"/>
    <col min="71" max="71" width="10.109375" bestFit="1" customWidth="1"/>
    <col min="72" max="78" width="9.44140625" bestFit="1" customWidth="1"/>
    <col min="79" max="79" width="10.88671875" bestFit="1" customWidth="1"/>
    <col min="80" max="80" width="9.44140625" bestFit="1" customWidth="1"/>
    <col min="81" max="81" width="10.44140625" bestFit="1" customWidth="1"/>
    <col min="82" max="82" width="10.109375" bestFit="1" customWidth="1"/>
    <col min="83" max="83" width="13.109375" bestFit="1" customWidth="1"/>
    <col min="84" max="91" width="9.44140625" bestFit="1" customWidth="1"/>
    <col min="92" max="92" width="10.88671875" bestFit="1" customWidth="1"/>
    <col min="93" max="93" width="9.44140625" bestFit="1" customWidth="1"/>
    <col min="94" max="94" width="10.44140625" bestFit="1" customWidth="1"/>
    <col min="95" max="95" width="10.109375" bestFit="1" customWidth="1"/>
    <col min="96" max="96" width="11.33203125" bestFit="1" customWidth="1"/>
    <col min="97" max="97" width="10" bestFit="1" customWidth="1"/>
    <col min="98" max="104" width="9.44140625" bestFit="1" customWidth="1"/>
    <col min="105" max="105" width="10.88671875" bestFit="1" customWidth="1"/>
    <col min="106" max="106" width="9.44140625" bestFit="1" customWidth="1"/>
    <col min="107" max="107" width="10.44140625" bestFit="1" customWidth="1"/>
    <col min="108" max="108" width="10.109375" bestFit="1" customWidth="1"/>
    <col min="109" max="109" width="13.109375" bestFit="1" customWidth="1"/>
    <col min="110" max="110" width="11.44140625" bestFit="1" customWidth="1"/>
  </cols>
  <sheetData>
    <row r="3" spans="1:7" x14ac:dyDescent="0.3">
      <c r="A3" s="23" t="s">
        <v>111</v>
      </c>
      <c r="B3" t="s">
        <v>6831</v>
      </c>
      <c r="C3" t="s">
        <v>84</v>
      </c>
      <c r="E3" s="23" t="s">
        <v>6829</v>
      </c>
      <c r="F3" s="23" t="s">
        <v>113</v>
      </c>
    </row>
    <row r="4" spans="1:7" x14ac:dyDescent="0.3">
      <c r="A4" s="24" t="s">
        <v>9</v>
      </c>
      <c r="B4" s="30">
        <v>42582800</v>
      </c>
      <c r="C4" s="30">
        <v>40626800</v>
      </c>
      <c r="E4" s="23" t="s">
        <v>111</v>
      </c>
      <c r="F4" t="s">
        <v>118</v>
      </c>
      <c r="G4" t="s">
        <v>112</v>
      </c>
    </row>
    <row r="5" spans="1:7" x14ac:dyDescent="0.3">
      <c r="A5" s="4" t="s">
        <v>118</v>
      </c>
      <c r="B5" s="30">
        <v>42582800</v>
      </c>
      <c r="C5" s="30">
        <v>40626800</v>
      </c>
      <c r="E5" s="24" t="s">
        <v>15</v>
      </c>
      <c r="F5" s="34">
        <v>4.9519026648763176E-2</v>
      </c>
      <c r="G5" s="34">
        <v>4.9519026648763176E-2</v>
      </c>
    </row>
    <row r="6" spans="1:7" x14ac:dyDescent="0.3">
      <c r="A6" s="24" t="s">
        <v>13</v>
      </c>
      <c r="B6" s="30">
        <v>29230433</v>
      </c>
      <c r="C6" s="30">
        <v>26078247</v>
      </c>
      <c r="E6" s="24" t="s">
        <v>14</v>
      </c>
      <c r="F6" s="34">
        <v>5.2480781551656801E-2</v>
      </c>
      <c r="G6" s="34">
        <v>5.2480781551656801E-2</v>
      </c>
    </row>
    <row r="7" spans="1:7" x14ac:dyDescent="0.3">
      <c r="A7" s="4" t="s">
        <v>118</v>
      </c>
      <c r="B7" s="30">
        <v>29230433</v>
      </c>
      <c r="C7" s="30">
        <v>26078247</v>
      </c>
      <c r="E7" s="24" t="s">
        <v>6</v>
      </c>
      <c r="F7" s="34">
        <v>0.35692651562032479</v>
      </c>
      <c r="G7" s="34">
        <v>0.35692651562032479</v>
      </c>
    </row>
    <row r="8" spans="1:7" x14ac:dyDescent="0.3">
      <c r="A8" s="24" t="s">
        <v>112</v>
      </c>
      <c r="B8" s="30">
        <v>71813233</v>
      </c>
      <c r="C8" s="30">
        <v>66705047</v>
      </c>
      <c r="E8" s="24" t="s">
        <v>18</v>
      </c>
      <c r="F8" s="34">
        <v>5.1910599808137455E-2</v>
      </c>
      <c r="G8" s="34">
        <v>5.1910599808137455E-2</v>
      </c>
    </row>
    <row r="9" spans="1:7" x14ac:dyDescent="0.3">
      <c r="E9" s="24" t="s">
        <v>93</v>
      </c>
      <c r="F9" s="34">
        <v>0.25212485046296423</v>
      </c>
      <c r="G9" s="34">
        <v>0.25212485046296423</v>
      </c>
    </row>
    <row r="10" spans="1:7" x14ac:dyDescent="0.3">
      <c r="E10" s="24" t="s">
        <v>32</v>
      </c>
      <c r="F10" s="34">
        <v>5.7738314763499082E-2</v>
      </c>
      <c r="G10" s="34">
        <v>5.7738314763499082E-2</v>
      </c>
    </row>
    <row r="11" spans="1:7" x14ac:dyDescent="0.3">
      <c r="E11" s="24" t="s">
        <v>10</v>
      </c>
      <c r="F11" s="34">
        <v>7.6775794791059809E-2</v>
      </c>
      <c r="G11" s="34">
        <v>7.6775794791059809E-2</v>
      </c>
    </row>
    <row r="12" spans="1:7" x14ac:dyDescent="0.3">
      <c r="E12" s="24" t="s">
        <v>20</v>
      </c>
      <c r="F12" s="34">
        <v>0.10252411635359465</v>
      </c>
      <c r="G12" s="34">
        <v>0.10252411635359465</v>
      </c>
    </row>
    <row r="13" spans="1:7" x14ac:dyDescent="0.3">
      <c r="E13" s="24" t="s">
        <v>112</v>
      </c>
      <c r="F13" s="34">
        <v>1</v>
      </c>
      <c r="G13" s="34">
        <v>1</v>
      </c>
    </row>
    <row r="18" spans="1:7" x14ac:dyDescent="0.3">
      <c r="E18" s="23" t="s">
        <v>6830</v>
      </c>
      <c r="F18" s="23" t="s">
        <v>113</v>
      </c>
    </row>
    <row r="19" spans="1:7" x14ac:dyDescent="0.3">
      <c r="E19" s="23" t="s">
        <v>111</v>
      </c>
      <c r="F19" t="s">
        <v>118</v>
      </c>
      <c r="G19" t="s">
        <v>112</v>
      </c>
    </row>
    <row r="20" spans="1:7" x14ac:dyDescent="0.3">
      <c r="E20" s="24" t="s">
        <v>15</v>
      </c>
      <c r="F20" s="34">
        <v>5.8140245544995861E-2</v>
      </c>
      <c r="G20" s="34">
        <v>5.8140245544995861E-2</v>
      </c>
    </row>
    <row r="21" spans="1:7" x14ac:dyDescent="0.3">
      <c r="E21" s="24" t="s">
        <v>14</v>
      </c>
      <c r="F21" s="34">
        <v>4.9030921640862486E-2</v>
      </c>
      <c r="G21" s="34">
        <v>4.9030921640862486E-2</v>
      </c>
    </row>
    <row r="22" spans="1:7" x14ac:dyDescent="0.3">
      <c r="E22" s="24" t="s">
        <v>6</v>
      </c>
      <c r="F22" s="34">
        <v>0.34925457262173393</v>
      </c>
      <c r="G22" s="34">
        <v>0.34925457262173393</v>
      </c>
    </row>
    <row r="23" spans="1:7" x14ac:dyDescent="0.3">
      <c r="E23" s="24" t="s">
        <v>18</v>
      </c>
      <c r="F23" s="34">
        <v>5.245075096396231E-2</v>
      </c>
      <c r="G23" s="34">
        <v>5.245075096396231E-2</v>
      </c>
    </row>
    <row r="24" spans="1:7" x14ac:dyDescent="0.3">
      <c r="E24" s="24" t="s">
        <v>93</v>
      </c>
      <c r="F24" s="34">
        <v>0.24371135052504878</v>
      </c>
      <c r="G24" s="34">
        <v>0.24371135052504878</v>
      </c>
    </row>
    <row r="25" spans="1:7" x14ac:dyDescent="0.3">
      <c r="E25" s="24" t="s">
        <v>32</v>
      </c>
      <c r="F25" s="34">
        <v>5.4679072866695752E-2</v>
      </c>
      <c r="G25" s="34">
        <v>5.4679072866695752E-2</v>
      </c>
    </row>
    <row r="26" spans="1:7" x14ac:dyDescent="0.3">
      <c r="E26" s="24" t="s">
        <v>10</v>
      </c>
      <c r="F26" s="34">
        <v>9.0385583949409432E-2</v>
      </c>
      <c r="G26" s="34">
        <v>9.0385583949409432E-2</v>
      </c>
    </row>
    <row r="27" spans="1:7" x14ac:dyDescent="0.3">
      <c r="E27" s="24" t="s">
        <v>20</v>
      </c>
      <c r="F27" s="34">
        <v>0.10234750188729144</v>
      </c>
      <c r="G27" s="34">
        <v>0.10234750188729144</v>
      </c>
    </row>
    <row r="28" spans="1:7" x14ac:dyDescent="0.3">
      <c r="E28" s="24" t="s">
        <v>112</v>
      </c>
      <c r="F28" s="34">
        <v>1</v>
      </c>
      <c r="G28" s="34">
        <v>1</v>
      </c>
    </row>
    <row r="31" spans="1:7" x14ac:dyDescent="0.3">
      <c r="A31" s="24"/>
      <c r="B31" s="30"/>
      <c r="C31" s="30"/>
    </row>
    <row r="32" spans="1:7" x14ac:dyDescent="0.3">
      <c r="A32" s="23" t="s">
        <v>111</v>
      </c>
      <c r="B32" t="s">
        <v>6831</v>
      </c>
      <c r="C32" t="s">
        <v>84</v>
      </c>
    </row>
    <row r="33" spans="1:3" x14ac:dyDescent="0.3">
      <c r="A33" s="24" t="s">
        <v>19</v>
      </c>
      <c r="B33" s="30">
        <v>12616153</v>
      </c>
      <c r="C33" s="30">
        <v>11613235</v>
      </c>
    </row>
    <row r="34" spans="1:3" x14ac:dyDescent="0.3">
      <c r="A34" s="4" t="s">
        <v>13</v>
      </c>
      <c r="B34" s="30">
        <v>5459353</v>
      </c>
      <c r="C34" s="30">
        <v>4687835</v>
      </c>
    </row>
    <row r="35" spans="1:3" x14ac:dyDescent="0.3">
      <c r="A35" s="4" t="s">
        <v>9</v>
      </c>
      <c r="B35" s="30">
        <v>7156800</v>
      </c>
      <c r="C35" s="30">
        <v>6925400</v>
      </c>
    </row>
    <row r="36" spans="1:3" x14ac:dyDescent="0.3">
      <c r="A36" s="24" t="s">
        <v>21</v>
      </c>
      <c r="B36" s="30">
        <v>13358041</v>
      </c>
      <c r="C36" s="30">
        <v>12731816</v>
      </c>
    </row>
    <row r="37" spans="1:3" x14ac:dyDescent="0.3">
      <c r="A37" s="4" t="s">
        <v>13</v>
      </c>
      <c r="B37" s="30">
        <v>5540941</v>
      </c>
      <c r="C37" s="30">
        <v>5065016</v>
      </c>
    </row>
    <row r="38" spans="1:3" x14ac:dyDescent="0.3">
      <c r="A38" s="4" t="s">
        <v>9</v>
      </c>
      <c r="B38" s="30">
        <v>7817100</v>
      </c>
      <c r="C38" s="30">
        <v>7666800</v>
      </c>
    </row>
    <row r="39" spans="1:3" x14ac:dyDescent="0.3">
      <c r="A39" s="24" t="s">
        <v>16</v>
      </c>
      <c r="B39" s="30">
        <v>14114855</v>
      </c>
      <c r="C39" s="30">
        <v>12710137</v>
      </c>
    </row>
    <row r="40" spans="1:3" x14ac:dyDescent="0.3">
      <c r="A40" s="4" t="s">
        <v>13</v>
      </c>
      <c r="B40" s="30">
        <v>6032855</v>
      </c>
      <c r="C40" s="30">
        <v>4957237</v>
      </c>
    </row>
    <row r="41" spans="1:3" x14ac:dyDescent="0.3">
      <c r="A41" s="4" t="s">
        <v>9</v>
      </c>
      <c r="B41" s="30">
        <v>8082000</v>
      </c>
      <c r="C41" s="30">
        <v>7752900</v>
      </c>
    </row>
    <row r="42" spans="1:3" x14ac:dyDescent="0.3">
      <c r="A42" s="24" t="s">
        <v>7</v>
      </c>
      <c r="B42" s="30">
        <v>14116846</v>
      </c>
      <c r="C42" s="30">
        <v>12585031</v>
      </c>
    </row>
    <row r="43" spans="1:3" x14ac:dyDescent="0.3">
      <c r="A43" s="4" t="s">
        <v>13</v>
      </c>
      <c r="B43" s="30">
        <v>5629546</v>
      </c>
      <c r="C43" s="30">
        <v>4714931</v>
      </c>
    </row>
    <row r="44" spans="1:3" x14ac:dyDescent="0.3">
      <c r="A44" s="4" t="s">
        <v>9</v>
      </c>
      <c r="B44" s="30">
        <v>8487300</v>
      </c>
      <c r="C44" s="30">
        <v>7870100</v>
      </c>
    </row>
    <row r="45" spans="1:3" x14ac:dyDescent="0.3">
      <c r="A45" s="24" t="s">
        <v>24</v>
      </c>
      <c r="B45" s="30">
        <v>17607338</v>
      </c>
      <c r="C45" s="30">
        <v>17064828</v>
      </c>
    </row>
    <row r="46" spans="1:3" x14ac:dyDescent="0.3">
      <c r="A46" s="4" t="s">
        <v>13</v>
      </c>
      <c r="B46" s="30">
        <v>6567738</v>
      </c>
      <c r="C46" s="30">
        <v>6653228</v>
      </c>
    </row>
    <row r="47" spans="1:3" x14ac:dyDescent="0.3">
      <c r="A47" s="4" t="s">
        <v>9</v>
      </c>
      <c r="B47" s="30">
        <v>11039600</v>
      </c>
      <c r="C47" s="30">
        <v>10411600</v>
      </c>
    </row>
    <row r="48" spans="1:3" x14ac:dyDescent="0.3">
      <c r="A48" s="24" t="s">
        <v>112</v>
      </c>
      <c r="B48" s="30">
        <v>71813233</v>
      </c>
      <c r="C48" s="30">
        <v>66705047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776"/>
  <sheetViews>
    <sheetView topLeftCell="A6755" workbookViewId="0">
      <selection activeCell="C6783" sqref="C6783"/>
    </sheetView>
  </sheetViews>
  <sheetFormatPr defaultRowHeight="14.4" x14ac:dyDescent="0.3"/>
  <cols>
    <col min="1" max="1" width="18.88671875" bestFit="1" customWidth="1"/>
    <col min="2" max="2" width="10.88671875" bestFit="1" customWidth="1"/>
    <col min="3" max="3" width="16.33203125" bestFit="1" customWidth="1"/>
    <col min="5" max="5" width="15" bestFit="1" customWidth="1"/>
    <col min="6" max="6" width="14.33203125" bestFit="1" customWidth="1"/>
    <col min="7" max="7" width="16.5546875" bestFit="1" customWidth="1"/>
    <col min="8" max="8" width="13.5546875" bestFit="1" customWidth="1"/>
    <col min="9" max="9" width="13.6640625" bestFit="1" customWidth="1"/>
    <col min="11" max="11" width="16.33203125" bestFit="1" customWidth="1"/>
    <col min="12" max="12" width="13.109375" bestFit="1" customWidth="1"/>
  </cols>
  <sheetData>
    <row r="1" spans="1:12" x14ac:dyDescent="0.3">
      <c r="A1" s="29" t="s">
        <v>0</v>
      </c>
      <c r="B1" s="29" t="s">
        <v>1</v>
      </c>
      <c r="C1" s="29" t="s">
        <v>2</v>
      </c>
      <c r="D1" s="29" t="s">
        <v>3</v>
      </c>
      <c r="E1" s="29" t="s">
        <v>127</v>
      </c>
      <c r="F1" s="29" t="s">
        <v>85</v>
      </c>
      <c r="G1" s="29" t="s">
        <v>4</v>
      </c>
      <c r="H1" s="29" t="s">
        <v>5</v>
      </c>
      <c r="I1" s="29" t="s">
        <v>6827</v>
      </c>
      <c r="K1" s="3" t="s">
        <v>81</v>
      </c>
      <c r="L1" s="3" t="s">
        <v>82</v>
      </c>
    </row>
    <row r="2" spans="1:12" x14ac:dyDescent="0.3">
      <c r="A2" s="26">
        <v>44927</v>
      </c>
      <c r="B2" s="27" t="s">
        <v>116</v>
      </c>
      <c r="C2" s="27" t="s">
        <v>10</v>
      </c>
      <c r="D2" s="27" t="s">
        <v>24</v>
      </c>
      <c r="E2" s="28">
        <v>86427</v>
      </c>
      <c r="F2" s="28">
        <v>131692</v>
      </c>
      <c r="G2" s="27" t="s">
        <v>11</v>
      </c>
      <c r="H2" s="27" t="s">
        <v>430</v>
      </c>
      <c r="I2" s="27" t="s">
        <v>13</v>
      </c>
      <c r="K2" t="str" cm="1">
        <f t="array" ref="K2:K9">_xlfn.UNIQUE(C2:C6776)</f>
        <v>Travel</v>
      </c>
      <c r="L2" s="27" t="s">
        <v>13</v>
      </c>
    </row>
    <row r="3" spans="1:12" x14ac:dyDescent="0.3">
      <c r="A3" s="26">
        <v>44927</v>
      </c>
      <c r="B3" s="27" t="s">
        <v>116</v>
      </c>
      <c r="C3" s="27" t="s">
        <v>32</v>
      </c>
      <c r="D3" s="27" t="s">
        <v>7</v>
      </c>
      <c r="E3" s="28">
        <v>124753</v>
      </c>
      <c r="F3" s="28">
        <v>108541</v>
      </c>
      <c r="G3" s="27" t="s">
        <v>8</v>
      </c>
      <c r="H3" s="27" t="s">
        <v>517</v>
      </c>
      <c r="I3" s="27" t="s">
        <v>13</v>
      </c>
      <c r="K3" t="str">
        <v>Training</v>
      </c>
      <c r="L3" s="27" t="s">
        <v>13</v>
      </c>
    </row>
    <row r="4" spans="1:12" x14ac:dyDescent="0.3">
      <c r="A4" s="26">
        <v>44927</v>
      </c>
      <c r="B4" s="27" t="s">
        <v>116</v>
      </c>
      <c r="C4" s="27" t="s">
        <v>20</v>
      </c>
      <c r="D4" s="27" t="s">
        <v>19</v>
      </c>
      <c r="E4" s="28">
        <v>51001</v>
      </c>
      <c r="F4" s="28">
        <v>61785</v>
      </c>
      <c r="G4" s="27" t="s">
        <v>17</v>
      </c>
      <c r="H4" s="27" t="s">
        <v>1580</v>
      </c>
      <c r="I4" s="27" t="s">
        <v>13</v>
      </c>
      <c r="K4" t="str">
        <v>Utilities</v>
      </c>
      <c r="L4" s="27" t="s">
        <v>13</v>
      </c>
    </row>
    <row r="5" spans="1:12" x14ac:dyDescent="0.3">
      <c r="A5" s="26">
        <v>44927</v>
      </c>
      <c r="B5" s="27" t="s">
        <v>116</v>
      </c>
      <c r="C5" s="27" t="s">
        <v>18</v>
      </c>
      <c r="D5" s="27" t="s">
        <v>19</v>
      </c>
      <c r="E5" s="28">
        <v>122187</v>
      </c>
      <c r="F5" s="28">
        <v>91982</v>
      </c>
      <c r="G5" s="27" t="s">
        <v>11</v>
      </c>
      <c r="H5" s="27" t="s">
        <v>2231</v>
      </c>
      <c r="I5" s="27" t="s">
        <v>13</v>
      </c>
      <c r="K5" t="str">
        <v>Salaries</v>
      </c>
      <c r="L5" s="27" t="s">
        <v>13</v>
      </c>
    </row>
    <row r="6" spans="1:12" x14ac:dyDescent="0.3">
      <c r="A6" s="26">
        <v>44927</v>
      </c>
      <c r="B6" s="27" t="s">
        <v>116</v>
      </c>
      <c r="C6" s="27" t="s">
        <v>20</v>
      </c>
      <c r="D6" s="27" t="s">
        <v>21</v>
      </c>
      <c r="E6" s="28">
        <v>43076</v>
      </c>
      <c r="F6" s="28">
        <v>112722</v>
      </c>
      <c r="G6" s="27" t="s">
        <v>17</v>
      </c>
      <c r="H6" s="27" t="s">
        <v>2571</v>
      </c>
      <c r="I6" s="27" t="s">
        <v>13</v>
      </c>
      <c r="K6" t="str">
        <v>Marketing</v>
      </c>
      <c r="L6" s="27" t="s">
        <v>13</v>
      </c>
    </row>
    <row r="7" spans="1:12" x14ac:dyDescent="0.3">
      <c r="A7" s="26">
        <v>44927</v>
      </c>
      <c r="B7" s="27" t="s">
        <v>116</v>
      </c>
      <c r="C7" s="27" t="s">
        <v>32</v>
      </c>
      <c r="D7" s="27" t="s">
        <v>21</v>
      </c>
      <c r="E7" s="28">
        <v>126539</v>
      </c>
      <c r="F7" s="28">
        <v>59633</v>
      </c>
      <c r="G7" s="27" t="s">
        <v>8</v>
      </c>
      <c r="H7" s="27" t="s">
        <v>3047</v>
      </c>
      <c r="I7" s="27" t="s">
        <v>13</v>
      </c>
      <c r="K7" t="str">
        <v>Product Revenue</v>
      </c>
      <c r="L7" s="27" t="s">
        <v>6828</v>
      </c>
    </row>
    <row r="8" spans="1:12" x14ac:dyDescent="0.3">
      <c r="A8" s="26">
        <v>44927</v>
      </c>
      <c r="B8" s="27" t="s">
        <v>116</v>
      </c>
      <c r="C8" s="27" t="s">
        <v>32</v>
      </c>
      <c r="D8" s="27" t="s">
        <v>16</v>
      </c>
      <c r="E8" s="28">
        <v>31595</v>
      </c>
      <c r="F8" s="28">
        <v>95129</v>
      </c>
      <c r="G8" s="27" t="s">
        <v>22</v>
      </c>
      <c r="H8" s="27" t="s">
        <v>3077</v>
      </c>
      <c r="I8" s="27" t="s">
        <v>13</v>
      </c>
      <c r="K8" t="str">
        <v>Service Revenue</v>
      </c>
      <c r="L8" s="27" t="s">
        <v>6828</v>
      </c>
    </row>
    <row r="9" spans="1:12" x14ac:dyDescent="0.3">
      <c r="A9" s="26">
        <v>44927</v>
      </c>
      <c r="B9" s="27" t="s">
        <v>116</v>
      </c>
      <c r="C9" s="27" t="s">
        <v>14</v>
      </c>
      <c r="D9" s="27" t="s">
        <v>7</v>
      </c>
      <c r="E9" s="28">
        <v>69325</v>
      </c>
      <c r="F9" s="28">
        <v>139614</v>
      </c>
      <c r="G9" s="27" t="s">
        <v>22</v>
      </c>
      <c r="H9" s="27" t="s">
        <v>3294</v>
      </c>
      <c r="I9" s="27" t="s">
        <v>13</v>
      </c>
      <c r="K9" t="str">
        <v>Infrastructure</v>
      </c>
      <c r="L9" s="27" t="s">
        <v>13</v>
      </c>
    </row>
    <row r="10" spans="1:12" x14ac:dyDescent="0.3">
      <c r="A10" s="26">
        <v>44927</v>
      </c>
      <c r="B10" s="27" t="s">
        <v>116</v>
      </c>
      <c r="C10" s="27" t="s">
        <v>18</v>
      </c>
      <c r="D10" s="27" t="s">
        <v>7</v>
      </c>
      <c r="E10" s="28">
        <v>86411</v>
      </c>
      <c r="F10" s="28">
        <v>147199</v>
      </c>
      <c r="G10" s="27" t="s">
        <v>11</v>
      </c>
      <c r="H10" s="27" t="s">
        <v>3379</v>
      </c>
      <c r="I10" s="27" t="s">
        <v>13</v>
      </c>
    </row>
    <row r="11" spans="1:12" x14ac:dyDescent="0.3">
      <c r="A11" s="26">
        <v>44927</v>
      </c>
      <c r="B11" s="27" t="s">
        <v>116</v>
      </c>
      <c r="C11" s="27" t="s">
        <v>6</v>
      </c>
      <c r="D11" s="27" t="s">
        <v>24</v>
      </c>
      <c r="E11" s="28">
        <v>226100</v>
      </c>
      <c r="F11" s="28">
        <v>291600</v>
      </c>
      <c r="G11" s="27" t="s">
        <v>22</v>
      </c>
      <c r="H11" s="27" t="s">
        <v>3811</v>
      </c>
      <c r="I11" s="27" t="s">
        <v>9</v>
      </c>
    </row>
    <row r="12" spans="1:12" x14ac:dyDescent="0.3">
      <c r="A12" s="26">
        <v>44927</v>
      </c>
      <c r="B12" s="27" t="s">
        <v>116</v>
      </c>
      <c r="C12" s="27" t="s">
        <v>93</v>
      </c>
      <c r="D12" s="27" t="s">
        <v>7</v>
      </c>
      <c r="E12" s="28">
        <v>46300</v>
      </c>
      <c r="F12" s="28">
        <v>44100</v>
      </c>
      <c r="G12" s="27" t="s">
        <v>22</v>
      </c>
      <c r="H12" s="27" t="s">
        <v>3898</v>
      </c>
      <c r="I12" s="27" t="s">
        <v>9</v>
      </c>
    </row>
    <row r="13" spans="1:12" x14ac:dyDescent="0.3">
      <c r="A13" s="26">
        <v>44927</v>
      </c>
      <c r="B13" s="27" t="s">
        <v>116</v>
      </c>
      <c r="C13" s="27" t="s">
        <v>93</v>
      </c>
      <c r="D13" s="27" t="s">
        <v>19</v>
      </c>
      <c r="E13" s="28">
        <v>66800</v>
      </c>
      <c r="F13" s="28">
        <v>69000</v>
      </c>
      <c r="G13" s="27" t="s">
        <v>17</v>
      </c>
      <c r="H13" s="27" t="s">
        <v>4963</v>
      </c>
      <c r="I13" s="27" t="s">
        <v>9</v>
      </c>
    </row>
    <row r="14" spans="1:12" x14ac:dyDescent="0.3">
      <c r="A14" s="26">
        <v>44927</v>
      </c>
      <c r="B14" s="27" t="s">
        <v>116</v>
      </c>
      <c r="C14" s="27" t="s">
        <v>93</v>
      </c>
      <c r="D14" s="27" t="s">
        <v>19</v>
      </c>
      <c r="E14" s="28">
        <v>137500</v>
      </c>
      <c r="F14" s="28">
        <v>121400</v>
      </c>
      <c r="G14" s="27" t="s">
        <v>22</v>
      </c>
      <c r="H14" s="27" t="s">
        <v>5616</v>
      </c>
      <c r="I14" s="27" t="s">
        <v>9</v>
      </c>
    </row>
    <row r="15" spans="1:12" x14ac:dyDescent="0.3">
      <c r="A15" s="26">
        <v>44927</v>
      </c>
      <c r="B15" s="27" t="s">
        <v>116</v>
      </c>
      <c r="C15" s="27" t="s">
        <v>6</v>
      </c>
      <c r="D15" s="27" t="s">
        <v>21</v>
      </c>
      <c r="E15" s="28">
        <v>136600</v>
      </c>
      <c r="F15" s="28">
        <v>109900</v>
      </c>
      <c r="G15" s="27" t="s">
        <v>11</v>
      </c>
      <c r="H15" s="27" t="s">
        <v>5956</v>
      </c>
      <c r="I15" s="27" t="s">
        <v>9</v>
      </c>
    </row>
    <row r="16" spans="1:12" x14ac:dyDescent="0.3">
      <c r="A16" s="26">
        <v>44927</v>
      </c>
      <c r="B16" s="27" t="s">
        <v>116</v>
      </c>
      <c r="C16" s="27" t="s">
        <v>6</v>
      </c>
      <c r="D16" s="27" t="s">
        <v>21</v>
      </c>
      <c r="E16" s="28">
        <v>151500</v>
      </c>
      <c r="F16" s="28">
        <v>145000</v>
      </c>
      <c r="G16" s="27" t="s">
        <v>11</v>
      </c>
      <c r="H16" s="27" t="s">
        <v>6432</v>
      </c>
      <c r="I16" s="27" t="s">
        <v>9</v>
      </c>
    </row>
    <row r="17" spans="1:9" x14ac:dyDescent="0.3">
      <c r="A17" s="26">
        <v>44927</v>
      </c>
      <c r="B17" s="27" t="s">
        <v>116</v>
      </c>
      <c r="C17" s="27" t="s">
        <v>6</v>
      </c>
      <c r="D17" s="27" t="s">
        <v>16</v>
      </c>
      <c r="E17" s="28">
        <v>233400</v>
      </c>
      <c r="F17" s="28">
        <v>244100</v>
      </c>
      <c r="G17" s="27" t="s">
        <v>11</v>
      </c>
      <c r="H17" s="27" t="s">
        <v>6462</v>
      </c>
      <c r="I17" s="27" t="s">
        <v>9</v>
      </c>
    </row>
    <row r="18" spans="1:9" x14ac:dyDescent="0.3">
      <c r="A18" s="26">
        <v>44927</v>
      </c>
      <c r="B18" s="27" t="s">
        <v>116</v>
      </c>
      <c r="C18" s="27" t="s">
        <v>93</v>
      </c>
      <c r="D18" s="27" t="s">
        <v>7</v>
      </c>
      <c r="E18" s="28">
        <v>74800</v>
      </c>
      <c r="F18" s="28">
        <v>80900</v>
      </c>
      <c r="G18" s="27" t="s">
        <v>11</v>
      </c>
      <c r="H18" s="27" t="s">
        <v>6679</v>
      </c>
      <c r="I18" s="27" t="s">
        <v>9</v>
      </c>
    </row>
    <row r="19" spans="1:9" x14ac:dyDescent="0.3">
      <c r="A19" s="26">
        <v>44927</v>
      </c>
      <c r="B19" s="27" t="s">
        <v>116</v>
      </c>
      <c r="C19" s="27" t="s">
        <v>93</v>
      </c>
      <c r="D19" s="27" t="s">
        <v>7</v>
      </c>
      <c r="E19" s="28">
        <v>139800</v>
      </c>
      <c r="F19" s="28">
        <v>187900</v>
      </c>
      <c r="G19" s="27" t="s">
        <v>22</v>
      </c>
      <c r="H19" s="27" t="s">
        <v>6764</v>
      </c>
      <c r="I19" s="27" t="s">
        <v>9</v>
      </c>
    </row>
    <row r="20" spans="1:9" x14ac:dyDescent="0.3">
      <c r="A20" s="26">
        <v>44928</v>
      </c>
      <c r="B20" s="27" t="s">
        <v>116</v>
      </c>
      <c r="C20" s="27" t="s">
        <v>18</v>
      </c>
      <c r="D20" s="27" t="s">
        <v>21</v>
      </c>
      <c r="E20" s="28">
        <v>23118</v>
      </c>
      <c r="F20" s="28">
        <v>119354</v>
      </c>
      <c r="G20" s="27" t="s">
        <v>11</v>
      </c>
      <c r="H20" s="27" t="s">
        <v>253</v>
      </c>
      <c r="I20" s="27" t="s">
        <v>13</v>
      </c>
    </row>
    <row r="21" spans="1:9" x14ac:dyDescent="0.3">
      <c r="A21" s="26">
        <v>44928</v>
      </c>
      <c r="B21" s="27" t="s">
        <v>116</v>
      </c>
      <c r="C21" s="27" t="s">
        <v>10</v>
      </c>
      <c r="D21" s="27" t="s">
        <v>24</v>
      </c>
      <c r="E21" s="28">
        <v>105614</v>
      </c>
      <c r="F21" s="28">
        <v>55318</v>
      </c>
      <c r="G21" s="27" t="s">
        <v>22</v>
      </c>
      <c r="H21" s="27" t="s">
        <v>258</v>
      </c>
      <c r="I21" s="27" t="s">
        <v>13</v>
      </c>
    </row>
    <row r="22" spans="1:9" x14ac:dyDescent="0.3">
      <c r="A22" s="26">
        <v>44928</v>
      </c>
      <c r="B22" s="27" t="s">
        <v>116</v>
      </c>
      <c r="C22" s="27" t="s">
        <v>20</v>
      </c>
      <c r="D22" s="27" t="s">
        <v>24</v>
      </c>
      <c r="E22" s="28">
        <v>148166</v>
      </c>
      <c r="F22" s="28">
        <v>141241</v>
      </c>
      <c r="G22" s="27" t="s">
        <v>11</v>
      </c>
      <c r="H22" s="27" t="s">
        <v>583</v>
      </c>
      <c r="I22" s="27" t="s">
        <v>13</v>
      </c>
    </row>
    <row r="23" spans="1:9" x14ac:dyDescent="0.3">
      <c r="A23" s="26">
        <v>44928</v>
      </c>
      <c r="B23" s="27" t="s">
        <v>116</v>
      </c>
      <c r="C23" s="27" t="s">
        <v>14</v>
      </c>
      <c r="D23" s="27" t="s">
        <v>7</v>
      </c>
      <c r="E23" s="28">
        <v>43001</v>
      </c>
      <c r="F23" s="28">
        <v>40061</v>
      </c>
      <c r="G23" s="27" t="s">
        <v>8</v>
      </c>
      <c r="H23" s="27" t="s">
        <v>1245</v>
      </c>
      <c r="I23" s="27" t="s">
        <v>13</v>
      </c>
    </row>
    <row r="24" spans="1:9" x14ac:dyDescent="0.3">
      <c r="A24" s="26">
        <v>44928</v>
      </c>
      <c r="B24" s="27" t="s">
        <v>116</v>
      </c>
      <c r="C24" s="27" t="s">
        <v>10</v>
      </c>
      <c r="D24" s="27" t="s">
        <v>7</v>
      </c>
      <c r="E24" s="28">
        <v>15331</v>
      </c>
      <c r="F24" s="28">
        <v>13782</v>
      </c>
      <c r="G24" s="27" t="s">
        <v>17</v>
      </c>
      <c r="H24" s="27" t="s">
        <v>1451</v>
      </c>
      <c r="I24" s="27" t="s">
        <v>13</v>
      </c>
    </row>
    <row r="25" spans="1:9" x14ac:dyDescent="0.3">
      <c r="A25" s="26">
        <v>44928</v>
      </c>
      <c r="B25" s="27" t="s">
        <v>116</v>
      </c>
      <c r="C25" s="27" t="s">
        <v>20</v>
      </c>
      <c r="D25" s="27" t="s">
        <v>16</v>
      </c>
      <c r="E25" s="28">
        <v>60767</v>
      </c>
      <c r="F25" s="28">
        <v>90181</v>
      </c>
      <c r="G25" s="27" t="s">
        <v>17</v>
      </c>
      <c r="H25" s="27" t="s">
        <v>1474</v>
      </c>
      <c r="I25" s="27" t="s">
        <v>13</v>
      </c>
    </row>
    <row r="26" spans="1:9" x14ac:dyDescent="0.3">
      <c r="A26" s="26">
        <v>44928</v>
      </c>
      <c r="B26" s="27" t="s">
        <v>116</v>
      </c>
      <c r="C26" s="27" t="s">
        <v>32</v>
      </c>
      <c r="D26" s="27" t="s">
        <v>16</v>
      </c>
      <c r="E26" s="28">
        <v>138547</v>
      </c>
      <c r="F26" s="28">
        <v>11794</v>
      </c>
      <c r="G26" s="27" t="s">
        <v>22</v>
      </c>
      <c r="H26" s="27" t="s">
        <v>1646</v>
      </c>
      <c r="I26" s="27" t="s">
        <v>13</v>
      </c>
    </row>
    <row r="27" spans="1:9" x14ac:dyDescent="0.3">
      <c r="A27" s="26">
        <v>44928</v>
      </c>
      <c r="B27" s="27" t="s">
        <v>116</v>
      </c>
      <c r="C27" s="27" t="s">
        <v>32</v>
      </c>
      <c r="D27" s="27" t="s">
        <v>24</v>
      </c>
      <c r="E27" s="28">
        <v>131415</v>
      </c>
      <c r="F27" s="28">
        <v>160703</v>
      </c>
      <c r="G27" s="27" t="s">
        <v>11</v>
      </c>
      <c r="H27" s="27" t="s">
        <v>1706</v>
      </c>
      <c r="I27" s="27" t="s">
        <v>13</v>
      </c>
    </row>
    <row r="28" spans="1:9" x14ac:dyDescent="0.3">
      <c r="A28" s="26">
        <v>44928</v>
      </c>
      <c r="B28" s="27" t="s">
        <v>116</v>
      </c>
      <c r="C28" s="27" t="s">
        <v>32</v>
      </c>
      <c r="D28" s="27" t="s">
        <v>24</v>
      </c>
      <c r="E28" s="28">
        <v>87716</v>
      </c>
      <c r="F28" s="28">
        <v>99769</v>
      </c>
      <c r="G28" s="27" t="s">
        <v>8</v>
      </c>
      <c r="H28" s="27" t="s">
        <v>1879</v>
      </c>
      <c r="I28" s="27" t="s">
        <v>13</v>
      </c>
    </row>
    <row r="29" spans="1:9" x14ac:dyDescent="0.3">
      <c r="A29" s="26">
        <v>44928</v>
      </c>
      <c r="B29" s="27" t="s">
        <v>116</v>
      </c>
      <c r="C29" s="27" t="s">
        <v>10</v>
      </c>
      <c r="D29" s="27" t="s">
        <v>21</v>
      </c>
      <c r="E29" s="28">
        <v>31266</v>
      </c>
      <c r="F29" s="28">
        <v>120542</v>
      </c>
      <c r="G29" s="27" t="s">
        <v>11</v>
      </c>
      <c r="H29" s="27" t="s">
        <v>2149</v>
      </c>
      <c r="I29" s="27" t="s">
        <v>13</v>
      </c>
    </row>
    <row r="30" spans="1:9" x14ac:dyDescent="0.3">
      <c r="A30" s="26">
        <v>44928</v>
      </c>
      <c r="B30" s="27" t="s">
        <v>116</v>
      </c>
      <c r="C30" s="27" t="s">
        <v>14</v>
      </c>
      <c r="D30" s="27" t="s">
        <v>24</v>
      </c>
      <c r="E30" s="28">
        <v>18127</v>
      </c>
      <c r="F30" s="28">
        <v>66794</v>
      </c>
      <c r="G30" s="27" t="s">
        <v>8</v>
      </c>
      <c r="H30" s="27" t="s">
        <v>2881</v>
      </c>
      <c r="I30" s="27" t="s">
        <v>13</v>
      </c>
    </row>
    <row r="31" spans="1:9" x14ac:dyDescent="0.3">
      <c r="A31" s="26">
        <v>44928</v>
      </c>
      <c r="B31" s="27" t="s">
        <v>116</v>
      </c>
      <c r="C31" s="27" t="s">
        <v>10</v>
      </c>
      <c r="D31" s="27" t="s">
        <v>7</v>
      </c>
      <c r="E31" s="28">
        <v>143435</v>
      </c>
      <c r="F31" s="28">
        <v>117744</v>
      </c>
      <c r="G31" s="27" t="s">
        <v>11</v>
      </c>
      <c r="H31" s="27" t="s">
        <v>3135</v>
      </c>
      <c r="I31" s="27" t="s">
        <v>13</v>
      </c>
    </row>
    <row r="32" spans="1:9" x14ac:dyDescent="0.3">
      <c r="A32" s="26">
        <v>44928</v>
      </c>
      <c r="B32" s="27" t="s">
        <v>116</v>
      </c>
      <c r="C32" s="27" t="s">
        <v>6</v>
      </c>
      <c r="D32" s="27" t="s">
        <v>21</v>
      </c>
      <c r="E32" s="28">
        <v>148700</v>
      </c>
      <c r="F32" s="28">
        <v>218000</v>
      </c>
      <c r="G32" s="27" t="s">
        <v>22</v>
      </c>
      <c r="H32" s="27" t="s">
        <v>3634</v>
      </c>
      <c r="I32" s="27" t="s">
        <v>9</v>
      </c>
    </row>
    <row r="33" spans="1:9" x14ac:dyDescent="0.3">
      <c r="A33" s="26">
        <v>44928</v>
      </c>
      <c r="B33" s="27" t="s">
        <v>116</v>
      </c>
      <c r="C33" s="27" t="s">
        <v>93</v>
      </c>
      <c r="D33" s="27" t="s">
        <v>24</v>
      </c>
      <c r="E33" s="28">
        <v>159400</v>
      </c>
      <c r="F33" s="28">
        <v>187200</v>
      </c>
      <c r="G33" s="27" t="s">
        <v>11</v>
      </c>
      <c r="H33" s="27" t="s">
        <v>3639</v>
      </c>
      <c r="I33" s="27" t="s">
        <v>9</v>
      </c>
    </row>
    <row r="34" spans="1:9" x14ac:dyDescent="0.3">
      <c r="A34" s="26">
        <v>44928</v>
      </c>
      <c r="B34" s="27" t="s">
        <v>116</v>
      </c>
      <c r="C34" s="27" t="s">
        <v>6</v>
      </c>
      <c r="D34" s="27" t="s">
        <v>24</v>
      </c>
      <c r="E34" s="28">
        <v>96300</v>
      </c>
      <c r="F34" s="28">
        <v>120500</v>
      </c>
      <c r="G34" s="27" t="s">
        <v>22</v>
      </c>
      <c r="H34" s="27" t="s">
        <v>3964</v>
      </c>
      <c r="I34" s="27" t="s">
        <v>9</v>
      </c>
    </row>
    <row r="35" spans="1:9" x14ac:dyDescent="0.3">
      <c r="A35" s="26">
        <v>44928</v>
      </c>
      <c r="B35" s="27" t="s">
        <v>116</v>
      </c>
      <c r="C35" s="27" t="s">
        <v>93</v>
      </c>
      <c r="D35" s="27" t="s">
        <v>7</v>
      </c>
      <c r="E35" s="28">
        <v>78900</v>
      </c>
      <c r="F35" s="28">
        <v>80500</v>
      </c>
      <c r="G35" s="27" t="s">
        <v>11</v>
      </c>
      <c r="H35" s="27" t="s">
        <v>4628</v>
      </c>
      <c r="I35" s="27" t="s">
        <v>9</v>
      </c>
    </row>
    <row r="36" spans="1:9" x14ac:dyDescent="0.3">
      <c r="A36" s="26">
        <v>44928</v>
      </c>
      <c r="B36" s="27" t="s">
        <v>116</v>
      </c>
      <c r="C36" s="27" t="s">
        <v>6</v>
      </c>
      <c r="D36" s="27" t="s">
        <v>7</v>
      </c>
      <c r="E36" s="28">
        <v>95200</v>
      </c>
      <c r="F36" s="28">
        <v>77400</v>
      </c>
      <c r="G36" s="27" t="s">
        <v>22</v>
      </c>
      <c r="H36" s="27" t="s">
        <v>4834</v>
      </c>
      <c r="I36" s="27" t="s">
        <v>9</v>
      </c>
    </row>
    <row r="37" spans="1:9" x14ac:dyDescent="0.3">
      <c r="A37" s="26">
        <v>44928</v>
      </c>
      <c r="B37" s="27" t="s">
        <v>116</v>
      </c>
      <c r="C37" s="27" t="s">
        <v>93</v>
      </c>
      <c r="D37" s="27" t="s">
        <v>16</v>
      </c>
      <c r="E37" s="28">
        <v>171000</v>
      </c>
      <c r="F37" s="28">
        <v>145700</v>
      </c>
      <c r="G37" s="27" t="s">
        <v>22</v>
      </c>
      <c r="H37" s="27" t="s">
        <v>4857</v>
      </c>
      <c r="I37" s="27" t="s">
        <v>9</v>
      </c>
    </row>
    <row r="38" spans="1:9" x14ac:dyDescent="0.3">
      <c r="A38" s="26">
        <v>44928</v>
      </c>
      <c r="B38" s="27" t="s">
        <v>116</v>
      </c>
      <c r="C38" s="27" t="s">
        <v>6</v>
      </c>
      <c r="D38" s="27" t="s">
        <v>16</v>
      </c>
      <c r="E38" s="28">
        <v>74500</v>
      </c>
      <c r="F38" s="28">
        <v>56400</v>
      </c>
      <c r="G38" s="27" t="s">
        <v>11</v>
      </c>
      <c r="H38" s="27" t="s">
        <v>5029</v>
      </c>
      <c r="I38" s="27" t="s">
        <v>9</v>
      </c>
    </row>
    <row r="39" spans="1:9" x14ac:dyDescent="0.3">
      <c r="A39" s="26">
        <v>44928</v>
      </c>
      <c r="B39" s="27" t="s">
        <v>116</v>
      </c>
      <c r="C39" s="27" t="s">
        <v>6</v>
      </c>
      <c r="D39" s="27" t="s">
        <v>24</v>
      </c>
      <c r="E39" s="28">
        <v>124700</v>
      </c>
      <c r="F39" s="28">
        <v>129600</v>
      </c>
      <c r="G39" s="27" t="s">
        <v>11</v>
      </c>
      <c r="H39" s="27" t="s">
        <v>5089</v>
      </c>
      <c r="I39" s="27" t="s">
        <v>9</v>
      </c>
    </row>
    <row r="40" spans="1:9" x14ac:dyDescent="0.3">
      <c r="A40" s="26">
        <v>44928</v>
      </c>
      <c r="B40" s="27" t="s">
        <v>116</v>
      </c>
      <c r="C40" s="27" t="s">
        <v>93</v>
      </c>
      <c r="D40" s="27" t="s">
        <v>24</v>
      </c>
      <c r="E40" s="28">
        <v>85600</v>
      </c>
      <c r="F40" s="28">
        <v>82100</v>
      </c>
      <c r="G40" s="27" t="s">
        <v>17</v>
      </c>
      <c r="H40" s="27" t="s">
        <v>5263</v>
      </c>
      <c r="I40" s="27" t="s">
        <v>9</v>
      </c>
    </row>
    <row r="41" spans="1:9" x14ac:dyDescent="0.3">
      <c r="A41" s="26">
        <v>44928</v>
      </c>
      <c r="B41" s="27" t="s">
        <v>116</v>
      </c>
      <c r="C41" s="27" t="s">
        <v>6</v>
      </c>
      <c r="D41" s="27" t="s">
        <v>21</v>
      </c>
      <c r="E41" s="28">
        <v>190600</v>
      </c>
      <c r="F41" s="28">
        <v>199500</v>
      </c>
      <c r="G41" s="27" t="s">
        <v>11</v>
      </c>
      <c r="H41" s="27" t="s">
        <v>5534</v>
      </c>
      <c r="I41" s="27" t="s">
        <v>9</v>
      </c>
    </row>
    <row r="42" spans="1:9" x14ac:dyDescent="0.3">
      <c r="A42" s="26">
        <v>44928</v>
      </c>
      <c r="B42" s="27" t="s">
        <v>116</v>
      </c>
      <c r="C42" s="27" t="s">
        <v>6</v>
      </c>
      <c r="D42" s="27" t="s">
        <v>24</v>
      </c>
      <c r="E42" s="28">
        <v>82800</v>
      </c>
      <c r="F42" s="28">
        <v>67400</v>
      </c>
      <c r="G42" s="27" t="s">
        <v>11</v>
      </c>
      <c r="H42" s="27" t="s">
        <v>6266</v>
      </c>
      <c r="I42" s="27" t="s">
        <v>9</v>
      </c>
    </row>
    <row r="43" spans="1:9" x14ac:dyDescent="0.3">
      <c r="A43" s="26">
        <v>44928</v>
      </c>
      <c r="B43" s="27" t="s">
        <v>116</v>
      </c>
      <c r="C43" s="27" t="s">
        <v>6</v>
      </c>
      <c r="D43" s="27" t="s">
        <v>7</v>
      </c>
      <c r="E43" s="28">
        <v>189300</v>
      </c>
      <c r="F43" s="28">
        <v>187100</v>
      </c>
      <c r="G43" s="27" t="s">
        <v>22</v>
      </c>
      <c r="H43" s="27" t="s">
        <v>6520</v>
      </c>
      <c r="I43" s="27" t="s">
        <v>9</v>
      </c>
    </row>
    <row r="44" spans="1:9" x14ac:dyDescent="0.3">
      <c r="A44" s="26">
        <v>44929</v>
      </c>
      <c r="B44" s="27" t="s">
        <v>116</v>
      </c>
      <c r="C44" s="27" t="s">
        <v>14</v>
      </c>
      <c r="D44" s="27" t="s">
        <v>7</v>
      </c>
      <c r="E44" s="28">
        <v>62892</v>
      </c>
      <c r="F44" s="28">
        <v>93992</v>
      </c>
      <c r="G44" s="27" t="s">
        <v>22</v>
      </c>
      <c r="H44" s="27" t="s">
        <v>226</v>
      </c>
      <c r="I44" s="27" t="s">
        <v>13</v>
      </c>
    </row>
    <row r="45" spans="1:9" x14ac:dyDescent="0.3">
      <c r="A45" s="26">
        <v>44929</v>
      </c>
      <c r="B45" s="27" t="s">
        <v>116</v>
      </c>
      <c r="C45" s="27" t="s">
        <v>20</v>
      </c>
      <c r="D45" s="27" t="s">
        <v>7</v>
      </c>
      <c r="E45" s="28">
        <v>90954</v>
      </c>
      <c r="F45" s="28">
        <v>63801</v>
      </c>
      <c r="G45" s="27" t="s">
        <v>22</v>
      </c>
      <c r="H45" s="27" t="s">
        <v>1008</v>
      </c>
      <c r="I45" s="27" t="s">
        <v>13</v>
      </c>
    </row>
    <row r="46" spans="1:9" x14ac:dyDescent="0.3">
      <c r="A46" s="26">
        <v>44929</v>
      </c>
      <c r="B46" s="27" t="s">
        <v>116</v>
      </c>
      <c r="C46" s="27" t="s">
        <v>10</v>
      </c>
      <c r="D46" s="27" t="s">
        <v>21</v>
      </c>
      <c r="E46" s="28">
        <v>34630</v>
      </c>
      <c r="F46" s="28">
        <v>17474</v>
      </c>
      <c r="G46" s="27" t="s">
        <v>17</v>
      </c>
      <c r="H46" s="27" t="s">
        <v>1101</v>
      </c>
      <c r="I46" s="27" t="s">
        <v>13</v>
      </c>
    </row>
    <row r="47" spans="1:9" x14ac:dyDescent="0.3">
      <c r="A47" s="26">
        <v>44929</v>
      </c>
      <c r="B47" s="27" t="s">
        <v>116</v>
      </c>
      <c r="C47" s="27" t="s">
        <v>14</v>
      </c>
      <c r="D47" s="27" t="s">
        <v>19</v>
      </c>
      <c r="E47" s="28">
        <v>46183</v>
      </c>
      <c r="F47" s="28">
        <v>37303</v>
      </c>
      <c r="G47" s="27" t="s">
        <v>11</v>
      </c>
      <c r="H47" s="27" t="s">
        <v>1404</v>
      </c>
      <c r="I47" s="27" t="s">
        <v>13</v>
      </c>
    </row>
    <row r="48" spans="1:9" x14ac:dyDescent="0.3">
      <c r="A48" s="26">
        <v>44929</v>
      </c>
      <c r="B48" s="27" t="s">
        <v>116</v>
      </c>
      <c r="C48" s="27" t="s">
        <v>20</v>
      </c>
      <c r="D48" s="27" t="s">
        <v>24</v>
      </c>
      <c r="E48" s="28">
        <v>122627</v>
      </c>
      <c r="F48" s="28">
        <v>53122</v>
      </c>
      <c r="G48" s="27" t="s">
        <v>22</v>
      </c>
      <c r="H48" s="27" t="s">
        <v>1485</v>
      </c>
      <c r="I48" s="27" t="s">
        <v>13</v>
      </c>
    </row>
    <row r="49" spans="1:9" x14ac:dyDescent="0.3">
      <c r="A49" s="26">
        <v>44929</v>
      </c>
      <c r="B49" s="27" t="s">
        <v>116</v>
      </c>
      <c r="C49" s="27" t="s">
        <v>15</v>
      </c>
      <c r="D49" s="27" t="s">
        <v>21</v>
      </c>
      <c r="E49" s="28">
        <v>34218</v>
      </c>
      <c r="F49" s="28">
        <v>113011</v>
      </c>
      <c r="G49" s="27" t="s">
        <v>8</v>
      </c>
      <c r="H49" s="27" t="s">
        <v>2330</v>
      </c>
      <c r="I49" s="27" t="s">
        <v>13</v>
      </c>
    </row>
    <row r="50" spans="1:9" x14ac:dyDescent="0.3">
      <c r="A50" s="26">
        <v>44929</v>
      </c>
      <c r="B50" s="27" t="s">
        <v>116</v>
      </c>
      <c r="C50" s="27" t="s">
        <v>18</v>
      </c>
      <c r="D50" s="27" t="s">
        <v>21</v>
      </c>
      <c r="E50" s="28">
        <v>94314</v>
      </c>
      <c r="F50" s="28">
        <v>110384</v>
      </c>
      <c r="G50" s="27" t="s">
        <v>17</v>
      </c>
      <c r="H50" s="27" t="s">
        <v>3110</v>
      </c>
      <c r="I50" s="27" t="s">
        <v>13</v>
      </c>
    </row>
    <row r="51" spans="1:9" x14ac:dyDescent="0.3">
      <c r="A51" s="26">
        <v>44929</v>
      </c>
      <c r="B51" s="27" t="s">
        <v>116</v>
      </c>
      <c r="C51" s="27" t="s">
        <v>6</v>
      </c>
      <c r="D51" s="27" t="s">
        <v>7</v>
      </c>
      <c r="E51" s="28">
        <v>83200</v>
      </c>
      <c r="F51" s="28">
        <v>97100</v>
      </c>
      <c r="G51" s="27" t="s">
        <v>11</v>
      </c>
      <c r="H51" s="27" t="s">
        <v>3607</v>
      </c>
      <c r="I51" s="27" t="s">
        <v>9</v>
      </c>
    </row>
    <row r="52" spans="1:9" x14ac:dyDescent="0.3">
      <c r="A52" s="26">
        <v>44929</v>
      </c>
      <c r="B52" s="27" t="s">
        <v>116</v>
      </c>
      <c r="C52" s="27" t="s">
        <v>6</v>
      </c>
      <c r="D52" s="27" t="s">
        <v>7</v>
      </c>
      <c r="E52" s="28">
        <v>94100</v>
      </c>
      <c r="F52" s="28">
        <v>98000</v>
      </c>
      <c r="G52" s="27" t="s">
        <v>11</v>
      </c>
      <c r="H52" s="27" t="s">
        <v>4389</v>
      </c>
      <c r="I52" s="27" t="s">
        <v>9</v>
      </c>
    </row>
    <row r="53" spans="1:9" x14ac:dyDescent="0.3">
      <c r="A53" s="26">
        <v>44929</v>
      </c>
      <c r="B53" s="27" t="s">
        <v>116</v>
      </c>
      <c r="C53" s="27" t="s">
        <v>6</v>
      </c>
      <c r="D53" s="27" t="s">
        <v>21</v>
      </c>
      <c r="E53" s="28">
        <v>114100</v>
      </c>
      <c r="F53" s="28">
        <v>98800</v>
      </c>
      <c r="G53" s="27" t="s">
        <v>11</v>
      </c>
      <c r="H53" s="27" t="s">
        <v>4483</v>
      </c>
      <c r="I53" s="27" t="s">
        <v>9</v>
      </c>
    </row>
    <row r="54" spans="1:9" x14ac:dyDescent="0.3">
      <c r="A54" s="26">
        <v>44929</v>
      </c>
      <c r="B54" s="27" t="s">
        <v>116</v>
      </c>
      <c r="C54" s="27" t="s">
        <v>6</v>
      </c>
      <c r="D54" s="27" t="s">
        <v>19</v>
      </c>
      <c r="E54" s="28">
        <v>108500</v>
      </c>
      <c r="F54" s="28">
        <v>118700</v>
      </c>
      <c r="G54" s="27" t="s">
        <v>17</v>
      </c>
      <c r="H54" s="27" t="s">
        <v>4787</v>
      </c>
      <c r="I54" s="27" t="s">
        <v>9</v>
      </c>
    </row>
    <row r="55" spans="1:9" x14ac:dyDescent="0.3">
      <c r="A55" s="26">
        <v>44929</v>
      </c>
      <c r="B55" s="27" t="s">
        <v>116</v>
      </c>
      <c r="C55" s="27" t="s">
        <v>6</v>
      </c>
      <c r="D55" s="27" t="s">
        <v>24</v>
      </c>
      <c r="E55" s="28">
        <v>64300</v>
      </c>
      <c r="F55" s="28">
        <v>71600</v>
      </c>
      <c r="G55" s="27" t="s">
        <v>11</v>
      </c>
      <c r="H55" s="27" t="s">
        <v>4868</v>
      </c>
      <c r="I55" s="27" t="s">
        <v>9</v>
      </c>
    </row>
    <row r="56" spans="1:9" x14ac:dyDescent="0.3">
      <c r="A56" s="26">
        <v>44929</v>
      </c>
      <c r="B56" s="27" t="s">
        <v>116</v>
      </c>
      <c r="C56" s="27" t="s">
        <v>6</v>
      </c>
      <c r="D56" s="27" t="s">
        <v>21</v>
      </c>
      <c r="E56" s="28">
        <v>141500</v>
      </c>
      <c r="F56" s="28">
        <v>104900</v>
      </c>
      <c r="G56" s="27" t="s">
        <v>11</v>
      </c>
      <c r="H56" s="27" t="s">
        <v>5715</v>
      </c>
      <c r="I56" s="27" t="s">
        <v>9</v>
      </c>
    </row>
    <row r="57" spans="1:9" x14ac:dyDescent="0.3">
      <c r="A57" s="26">
        <v>44929</v>
      </c>
      <c r="B57" s="27" t="s">
        <v>116</v>
      </c>
      <c r="C57" s="27" t="s">
        <v>93</v>
      </c>
      <c r="D57" s="27" t="s">
        <v>21</v>
      </c>
      <c r="E57" s="28">
        <v>91400</v>
      </c>
      <c r="F57" s="28">
        <v>78600</v>
      </c>
      <c r="G57" s="27" t="s">
        <v>11</v>
      </c>
      <c r="H57" s="27" t="s">
        <v>6495</v>
      </c>
      <c r="I57" s="27" t="s">
        <v>9</v>
      </c>
    </row>
    <row r="58" spans="1:9" x14ac:dyDescent="0.3">
      <c r="A58" s="26">
        <v>44930</v>
      </c>
      <c r="B58" s="27" t="s">
        <v>116</v>
      </c>
      <c r="C58" s="27" t="s">
        <v>15</v>
      </c>
      <c r="D58" s="27" t="s">
        <v>7</v>
      </c>
      <c r="E58" s="28">
        <v>52478</v>
      </c>
      <c r="F58" s="28">
        <v>41845</v>
      </c>
      <c r="G58" s="27" t="s">
        <v>17</v>
      </c>
      <c r="H58" s="27" t="s">
        <v>548</v>
      </c>
      <c r="I58" s="27" t="s">
        <v>13</v>
      </c>
    </row>
    <row r="59" spans="1:9" x14ac:dyDescent="0.3">
      <c r="A59" s="26">
        <v>44930</v>
      </c>
      <c r="B59" s="27" t="s">
        <v>116</v>
      </c>
      <c r="C59" s="27" t="s">
        <v>18</v>
      </c>
      <c r="D59" s="27" t="s">
        <v>19</v>
      </c>
      <c r="E59" s="28">
        <v>59555</v>
      </c>
      <c r="F59" s="28">
        <v>59352</v>
      </c>
      <c r="G59" s="27" t="s">
        <v>22</v>
      </c>
      <c r="H59" s="27" t="s">
        <v>1267</v>
      </c>
      <c r="I59" s="27" t="s">
        <v>13</v>
      </c>
    </row>
    <row r="60" spans="1:9" x14ac:dyDescent="0.3">
      <c r="A60" s="26">
        <v>44930</v>
      </c>
      <c r="B60" s="27" t="s">
        <v>116</v>
      </c>
      <c r="C60" s="27" t="s">
        <v>18</v>
      </c>
      <c r="D60" s="27" t="s">
        <v>19</v>
      </c>
      <c r="E60" s="28">
        <v>51992</v>
      </c>
      <c r="F60" s="28">
        <v>159024</v>
      </c>
      <c r="G60" s="27" t="s">
        <v>11</v>
      </c>
      <c r="H60" s="27" t="s">
        <v>2667</v>
      </c>
      <c r="I60" s="27" t="s">
        <v>13</v>
      </c>
    </row>
    <row r="61" spans="1:9" x14ac:dyDescent="0.3">
      <c r="A61" s="26">
        <v>44930</v>
      </c>
      <c r="B61" s="27" t="s">
        <v>116</v>
      </c>
      <c r="C61" s="27" t="s">
        <v>14</v>
      </c>
      <c r="D61" s="27" t="s">
        <v>21</v>
      </c>
      <c r="E61" s="28">
        <v>146759</v>
      </c>
      <c r="F61" s="28">
        <v>164591</v>
      </c>
      <c r="G61" s="27" t="s">
        <v>11</v>
      </c>
      <c r="H61" s="27" t="s">
        <v>2919</v>
      </c>
      <c r="I61" s="27" t="s">
        <v>13</v>
      </c>
    </row>
    <row r="62" spans="1:9" x14ac:dyDescent="0.3">
      <c r="A62" s="26">
        <v>44930</v>
      </c>
      <c r="B62" s="27" t="s">
        <v>116</v>
      </c>
      <c r="C62" s="27" t="s">
        <v>10</v>
      </c>
      <c r="D62" s="27" t="s">
        <v>24</v>
      </c>
      <c r="E62" s="28">
        <v>145263</v>
      </c>
      <c r="F62" s="28">
        <v>59794</v>
      </c>
      <c r="G62" s="27" t="s">
        <v>11</v>
      </c>
      <c r="H62" s="27" t="s">
        <v>3064</v>
      </c>
      <c r="I62" s="27" t="s">
        <v>13</v>
      </c>
    </row>
    <row r="63" spans="1:9" x14ac:dyDescent="0.3">
      <c r="A63" s="26">
        <v>44930</v>
      </c>
      <c r="B63" s="27" t="s">
        <v>116</v>
      </c>
      <c r="C63" s="27" t="s">
        <v>10</v>
      </c>
      <c r="D63" s="27" t="s">
        <v>7</v>
      </c>
      <c r="E63" s="28">
        <v>114541</v>
      </c>
      <c r="F63" s="28">
        <v>161758</v>
      </c>
      <c r="G63" s="27" t="s">
        <v>8</v>
      </c>
      <c r="H63" s="27" t="s">
        <v>3176</v>
      </c>
      <c r="I63" s="27" t="s">
        <v>13</v>
      </c>
    </row>
    <row r="64" spans="1:9" x14ac:dyDescent="0.3">
      <c r="A64" s="26">
        <v>44930</v>
      </c>
      <c r="B64" s="27" t="s">
        <v>116</v>
      </c>
      <c r="C64" s="27" t="s">
        <v>93</v>
      </c>
      <c r="D64" s="27" t="s">
        <v>7</v>
      </c>
      <c r="E64" s="28">
        <v>107000</v>
      </c>
      <c r="F64" s="28">
        <v>112700</v>
      </c>
      <c r="G64" s="27" t="s">
        <v>11</v>
      </c>
      <c r="H64" s="27" t="s">
        <v>3929</v>
      </c>
      <c r="I64" s="27" t="s">
        <v>9</v>
      </c>
    </row>
    <row r="65" spans="1:9" x14ac:dyDescent="0.3">
      <c r="A65" s="26">
        <v>44930</v>
      </c>
      <c r="B65" s="27" t="s">
        <v>116</v>
      </c>
      <c r="C65" s="27" t="s">
        <v>93</v>
      </c>
      <c r="D65" s="27" t="s">
        <v>19</v>
      </c>
      <c r="E65" s="28">
        <v>206400</v>
      </c>
      <c r="F65" s="28">
        <v>238700</v>
      </c>
      <c r="G65" s="27" t="s">
        <v>22</v>
      </c>
      <c r="H65" s="27" t="s">
        <v>4650</v>
      </c>
      <c r="I65" s="27" t="s">
        <v>9</v>
      </c>
    </row>
    <row r="66" spans="1:9" x14ac:dyDescent="0.3">
      <c r="A66" s="26">
        <v>44930</v>
      </c>
      <c r="B66" s="27" t="s">
        <v>116</v>
      </c>
      <c r="C66" s="27" t="s">
        <v>93</v>
      </c>
      <c r="D66" s="27" t="s">
        <v>19</v>
      </c>
      <c r="E66" s="28">
        <v>113400</v>
      </c>
      <c r="F66" s="28">
        <v>120500</v>
      </c>
      <c r="G66" s="27" t="s">
        <v>22</v>
      </c>
      <c r="H66" s="27" t="s">
        <v>6052</v>
      </c>
      <c r="I66" s="27" t="s">
        <v>9</v>
      </c>
    </row>
    <row r="67" spans="1:9" x14ac:dyDescent="0.3">
      <c r="A67" s="26">
        <v>44930</v>
      </c>
      <c r="B67" s="27" t="s">
        <v>116</v>
      </c>
      <c r="C67" s="27" t="s">
        <v>6</v>
      </c>
      <c r="D67" s="27" t="s">
        <v>21</v>
      </c>
      <c r="E67" s="28">
        <v>185200</v>
      </c>
      <c r="F67" s="28">
        <v>160500</v>
      </c>
      <c r="G67" s="27" t="s">
        <v>22</v>
      </c>
      <c r="H67" s="27" t="s">
        <v>6304</v>
      </c>
      <c r="I67" s="27" t="s">
        <v>9</v>
      </c>
    </row>
    <row r="68" spans="1:9" x14ac:dyDescent="0.3">
      <c r="A68" s="26">
        <v>44930</v>
      </c>
      <c r="B68" s="27" t="s">
        <v>116</v>
      </c>
      <c r="C68" s="27" t="s">
        <v>6</v>
      </c>
      <c r="D68" s="27" t="s">
        <v>24</v>
      </c>
      <c r="E68" s="28">
        <v>64300</v>
      </c>
      <c r="F68" s="28">
        <v>73500</v>
      </c>
      <c r="G68" s="27" t="s">
        <v>11</v>
      </c>
      <c r="H68" s="27" t="s">
        <v>6449</v>
      </c>
      <c r="I68" s="27" t="s">
        <v>9</v>
      </c>
    </row>
    <row r="69" spans="1:9" x14ac:dyDescent="0.3">
      <c r="A69" s="26">
        <v>44930</v>
      </c>
      <c r="B69" s="27" t="s">
        <v>116</v>
      </c>
      <c r="C69" s="27" t="s">
        <v>6</v>
      </c>
      <c r="D69" s="27" t="s">
        <v>7</v>
      </c>
      <c r="E69" s="28">
        <v>80900</v>
      </c>
      <c r="F69" s="28">
        <v>72700</v>
      </c>
      <c r="G69" s="27" t="s">
        <v>22</v>
      </c>
      <c r="H69" s="27" t="s">
        <v>6561</v>
      </c>
      <c r="I69" s="27" t="s">
        <v>9</v>
      </c>
    </row>
    <row r="70" spans="1:9" x14ac:dyDescent="0.3">
      <c r="A70" s="26">
        <v>44931</v>
      </c>
      <c r="B70" s="27" t="s">
        <v>116</v>
      </c>
      <c r="C70" s="27" t="s">
        <v>32</v>
      </c>
      <c r="D70" s="27" t="s">
        <v>7</v>
      </c>
      <c r="E70" s="28">
        <v>44536</v>
      </c>
      <c r="F70" s="28">
        <v>8944</v>
      </c>
      <c r="G70" s="27" t="s">
        <v>17</v>
      </c>
      <c r="H70" s="27" t="s">
        <v>216</v>
      </c>
      <c r="I70" s="27" t="s">
        <v>13</v>
      </c>
    </row>
    <row r="71" spans="1:9" x14ac:dyDescent="0.3">
      <c r="A71" s="26">
        <v>44931</v>
      </c>
      <c r="B71" s="27" t="s">
        <v>116</v>
      </c>
      <c r="C71" s="27" t="s">
        <v>10</v>
      </c>
      <c r="D71" s="27" t="s">
        <v>21</v>
      </c>
      <c r="E71" s="28">
        <v>144338</v>
      </c>
      <c r="F71" s="28">
        <v>109128</v>
      </c>
      <c r="G71" s="27" t="s">
        <v>8</v>
      </c>
      <c r="H71" s="27" t="s">
        <v>410</v>
      </c>
      <c r="I71" s="27" t="s">
        <v>13</v>
      </c>
    </row>
    <row r="72" spans="1:9" x14ac:dyDescent="0.3">
      <c r="A72" s="26">
        <v>44931</v>
      </c>
      <c r="B72" s="27" t="s">
        <v>116</v>
      </c>
      <c r="C72" s="27" t="s">
        <v>32</v>
      </c>
      <c r="D72" s="27" t="s">
        <v>7</v>
      </c>
      <c r="E72" s="28">
        <v>124826</v>
      </c>
      <c r="F72" s="28">
        <v>99498</v>
      </c>
      <c r="G72" s="27" t="s">
        <v>8</v>
      </c>
      <c r="H72" s="27" t="s">
        <v>1351</v>
      </c>
      <c r="I72" s="27" t="s">
        <v>13</v>
      </c>
    </row>
    <row r="73" spans="1:9" x14ac:dyDescent="0.3">
      <c r="A73" s="26">
        <v>44931</v>
      </c>
      <c r="B73" s="27" t="s">
        <v>116</v>
      </c>
      <c r="C73" s="27" t="s">
        <v>10</v>
      </c>
      <c r="D73" s="27" t="s">
        <v>19</v>
      </c>
      <c r="E73" s="28">
        <v>58056</v>
      </c>
      <c r="F73" s="28">
        <v>56934</v>
      </c>
      <c r="G73" s="27" t="s">
        <v>11</v>
      </c>
      <c r="H73" s="27" t="s">
        <v>1700</v>
      </c>
      <c r="I73" s="27" t="s">
        <v>13</v>
      </c>
    </row>
    <row r="74" spans="1:9" x14ac:dyDescent="0.3">
      <c r="A74" s="26">
        <v>44931</v>
      </c>
      <c r="B74" s="27" t="s">
        <v>116</v>
      </c>
      <c r="C74" s="27" t="s">
        <v>32</v>
      </c>
      <c r="D74" s="27" t="s">
        <v>24</v>
      </c>
      <c r="E74" s="28">
        <v>138256</v>
      </c>
      <c r="F74" s="28">
        <v>133232</v>
      </c>
      <c r="G74" s="27" t="s">
        <v>8</v>
      </c>
      <c r="H74" s="27" t="s">
        <v>1813</v>
      </c>
      <c r="I74" s="27" t="s">
        <v>13</v>
      </c>
    </row>
    <row r="75" spans="1:9" x14ac:dyDescent="0.3">
      <c r="A75" s="26">
        <v>44931</v>
      </c>
      <c r="B75" s="27" t="s">
        <v>116</v>
      </c>
      <c r="C75" s="27" t="s">
        <v>14</v>
      </c>
      <c r="D75" s="27" t="s">
        <v>21</v>
      </c>
      <c r="E75" s="28">
        <v>105413</v>
      </c>
      <c r="F75" s="28">
        <v>122251</v>
      </c>
      <c r="G75" s="27" t="s">
        <v>8</v>
      </c>
      <c r="H75" s="27" t="s">
        <v>2048</v>
      </c>
      <c r="I75" s="27" t="s">
        <v>13</v>
      </c>
    </row>
    <row r="76" spans="1:9" x14ac:dyDescent="0.3">
      <c r="A76" s="26">
        <v>44931</v>
      </c>
      <c r="B76" s="27" t="s">
        <v>116</v>
      </c>
      <c r="C76" s="27" t="s">
        <v>18</v>
      </c>
      <c r="D76" s="27" t="s">
        <v>7</v>
      </c>
      <c r="E76" s="28">
        <v>146961</v>
      </c>
      <c r="F76" s="28">
        <v>157919</v>
      </c>
      <c r="G76" s="27" t="s">
        <v>11</v>
      </c>
      <c r="H76" s="27" t="s">
        <v>2502</v>
      </c>
      <c r="I76" s="27" t="s">
        <v>13</v>
      </c>
    </row>
    <row r="77" spans="1:9" x14ac:dyDescent="0.3">
      <c r="A77" s="26">
        <v>44931</v>
      </c>
      <c r="B77" s="27" t="s">
        <v>116</v>
      </c>
      <c r="C77" s="27" t="s">
        <v>10</v>
      </c>
      <c r="D77" s="27" t="s">
        <v>24</v>
      </c>
      <c r="E77" s="28">
        <v>99219</v>
      </c>
      <c r="F77" s="28">
        <v>105828</v>
      </c>
      <c r="G77" s="27" t="s">
        <v>22</v>
      </c>
      <c r="H77" s="27" t="s">
        <v>2565</v>
      </c>
      <c r="I77" s="27" t="s">
        <v>13</v>
      </c>
    </row>
    <row r="78" spans="1:9" x14ac:dyDescent="0.3">
      <c r="A78" s="26">
        <v>44931</v>
      </c>
      <c r="B78" s="27" t="s">
        <v>116</v>
      </c>
      <c r="C78" s="27" t="s">
        <v>15</v>
      </c>
      <c r="D78" s="27" t="s">
        <v>21</v>
      </c>
      <c r="E78" s="28">
        <v>56998</v>
      </c>
      <c r="F78" s="28">
        <v>39653</v>
      </c>
      <c r="G78" s="27" t="s">
        <v>22</v>
      </c>
      <c r="H78" s="27" t="s">
        <v>2626</v>
      </c>
      <c r="I78" s="27" t="s">
        <v>13</v>
      </c>
    </row>
    <row r="79" spans="1:9" x14ac:dyDescent="0.3">
      <c r="A79" s="26">
        <v>44931</v>
      </c>
      <c r="B79" s="27" t="s">
        <v>116</v>
      </c>
      <c r="C79" s="27" t="s">
        <v>20</v>
      </c>
      <c r="D79" s="27" t="s">
        <v>24</v>
      </c>
      <c r="E79" s="28">
        <v>88488</v>
      </c>
      <c r="F79" s="28">
        <v>145472</v>
      </c>
      <c r="G79" s="27" t="s">
        <v>8</v>
      </c>
      <c r="H79" s="27" t="s">
        <v>2774</v>
      </c>
      <c r="I79" s="27" t="s">
        <v>13</v>
      </c>
    </row>
    <row r="80" spans="1:9" x14ac:dyDescent="0.3">
      <c r="A80" s="26">
        <v>44931</v>
      </c>
      <c r="B80" s="27" t="s">
        <v>116</v>
      </c>
      <c r="C80" s="27" t="s">
        <v>18</v>
      </c>
      <c r="D80" s="27" t="s">
        <v>21</v>
      </c>
      <c r="E80" s="28">
        <v>25406</v>
      </c>
      <c r="F80" s="28">
        <v>35959</v>
      </c>
      <c r="G80" s="27" t="s">
        <v>17</v>
      </c>
      <c r="H80" s="27" t="s">
        <v>3271</v>
      </c>
      <c r="I80" s="27" t="s">
        <v>13</v>
      </c>
    </row>
    <row r="81" spans="1:9" x14ac:dyDescent="0.3">
      <c r="A81" s="26">
        <v>44931</v>
      </c>
      <c r="B81" s="27" t="s">
        <v>116</v>
      </c>
      <c r="C81" s="27" t="s">
        <v>93</v>
      </c>
      <c r="D81" s="27" t="s">
        <v>7</v>
      </c>
      <c r="E81" s="28">
        <v>252500</v>
      </c>
      <c r="F81" s="28">
        <v>270000</v>
      </c>
      <c r="G81" s="27" t="s">
        <v>11</v>
      </c>
      <c r="H81" s="27" t="s">
        <v>3597</v>
      </c>
      <c r="I81" s="27" t="s">
        <v>9</v>
      </c>
    </row>
    <row r="82" spans="1:9" x14ac:dyDescent="0.3">
      <c r="A82" s="26">
        <v>44931</v>
      </c>
      <c r="B82" s="27" t="s">
        <v>116</v>
      </c>
      <c r="C82" s="27" t="s">
        <v>6</v>
      </c>
      <c r="D82" s="27" t="s">
        <v>21</v>
      </c>
      <c r="E82" s="28">
        <v>42800</v>
      </c>
      <c r="F82" s="28">
        <v>56400</v>
      </c>
      <c r="G82" s="27" t="s">
        <v>11</v>
      </c>
      <c r="H82" s="27" t="s">
        <v>3791</v>
      </c>
      <c r="I82" s="27" t="s">
        <v>9</v>
      </c>
    </row>
    <row r="83" spans="1:9" x14ac:dyDescent="0.3">
      <c r="A83" s="26">
        <v>44931</v>
      </c>
      <c r="B83" s="27" t="s">
        <v>116</v>
      </c>
      <c r="C83" s="27" t="s">
        <v>6</v>
      </c>
      <c r="D83" s="27" t="s">
        <v>7</v>
      </c>
      <c r="E83" s="28">
        <v>92400</v>
      </c>
      <c r="F83" s="28">
        <v>72400</v>
      </c>
      <c r="G83" s="27" t="s">
        <v>11</v>
      </c>
      <c r="H83" s="27" t="s">
        <v>4734</v>
      </c>
      <c r="I83" s="27" t="s">
        <v>9</v>
      </c>
    </row>
    <row r="84" spans="1:9" x14ac:dyDescent="0.3">
      <c r="A84" s="26">
        <v>44931</v>
      </c>
      <c r="B84" s="27" t="s">
        <v>116</v>
      </c>
      <c r="C84" s="27" t="s">
        <v>6</v>
      </c>
      <c r="D84" s="27" t="s">
        <v>19</v>
      </c>
      <c r="E84" s="28">
        <v>92200</v>
      </c>
      <c r="F84" s="28">
        <v>101700</v>
      </c>
      <c r="G84" s="27" t="s">
        <v>22</v>
      </c>
      <c r="H84" s="27" t="s">
        <v>5083</v>
      </c>
      <c r="I84" s="27" t="s">
        <v>9</v>
      </c>
    </row>
    <row r="85" spans="1:9" x14ac:dyDescent="0.3">
      <c r="A85" s="26">
        <v>44931</v>
      </c>
      <c r="B85" s="27" t="s">
        <v>116</v>
      </c>
      <c r="C85" s="27" t="s">
        <v>93</v>
      </c>
      <c r="D85" s="27" t="s">
        <v>24</v>
      </c>
      <c r="E85" s="28">
        <v>114400</v>
      </c>
      <c r="F85" s="28">
        <v>101900</v>
      </c>
      <c r="G85" s="27" t="s">
        <v>22</v>
      </c>
      <c r="H85" s="27" t="s">
        <v>5196</v>
      </c>
      <c r="I85" s="27" t="s">
        <v>9</v>
      </c>
    </row>
    <row r="86" spans="1:9" x14ac:dyDescent="0.3">
      <c r="A86" s="26">
        <v>44931</v>
      </c>
      <c r="B86" s="27" t="s">
        <v>116</v>
      </c>
      <c r="C86" s="27" t="s">
        <v>6</v>
      </c>
      <c r="D86" s="27" t="s">
        <v>21</v>
      </c>
      <c r="E86" s="28">
        <v>162700</v>
      </c>
      <c r="F86" s="28">
        <v>160600</v>
      </c>
      <c r="G86" s="27" t="s">
        <v>17</v>
      </c>
      <c r="H86" s="27" t="s">
        <v>5432</v>
      </c>
      <c r="I86" s="27" t="s">
        <v>9</v>
      </c>
    </row>
    <row r="87" spans="1:9" x14ac:dyDescent="0.3">
      <c r="A87" s="26">
        <v>44931</v>
      </c>
      <c r="B87" s="27" t="s">
        <v>116</v>
      </c>
      <c r="C87" s="27" t="s">
        <v>6</v>
      </c>
      <c r="D87" s="27" t="s">
        <v>7</v>
      </c>
      <c r="E87" s="28">
        <v>264700</v>
      </c>
      <c r="F87" s="28">
        <v>217600</v>
      </c>
      <c r="G87" s="27" t="s">
        <v>22</v>
      </c>
      <c r="H87" s="27" t="s">
        <v>5887</v>
      </c>
      <c r="I87" s="27" t="s">
        <v>9</v>
      </c>
    </row>
    <row r="88" spans="1:9" x14ac:dyDescent="0.3">
      <c r="A88" s="26">
        <v>44931</v>
      </c>
      <c r="B88" s="27" t="s">
        <v>116</v>
      </c>
      <c r="C88" s="27" t="s">
        <v>6</v>
      </c>
      <c r="D88" s="27" t="s">
        <v>24</v>
      </c>
      <c r="E88" s="28">
        <v>81400</v>
      </c>
      <c r="F88" s="28">
        <v>65100</v>
      </c>
      <c r="G88" s="27" t="s">
        <v>22</v>
      </c>
      <c r="H88" s="27" t="s">
        <v>5950</v>
      </c>
      <c r="I88" s="27" t="s">
        <v>9</v>
      </c>
    </row>
    <row r="89" spans="1:9" x14ac:dyDescent="0.3">
      <c r="A89" s="26">
        <v>44931</v>
      </c>
      <c r="B89" s="27" t="s">
        <v>116</v>
      </c>
      <c r="C89" s="27" t="s">
        <v>93</v>
      </c>
      <c r="D89" s="27" t="s">
        <v>21</v>
      </c>
      <c r="E89" s="28">
        <v>57100</v>
      </c>
      <c r="F89" s="28">
        <v>61400</v>
      </c>
      <c r="G89" s="27" t="s">
        <v>11</v>
      </c>
      <c r="H89" s="27" t="s">
        <v>6011</v>
      </c>
      <c r="I89" s="27" t="s">
        <v>9</v>
      </c>
    </row>
    <row r="90" spans="1:9" x14ac:dyDescent="0.3">
      <c r="A90" s="26">
        <v>44931</v>
      </c>
      <c r="B90" s="27" t="s">
        <v>116</v>
      </c>
      <c r="C90" s="27" t="s">
        <v>6</v>
      </c>
      <c r="D90" s="27" t="s">
        <v>24</v>
      </c>
      <c r="E90" s="28">
        <v>52600</v>
      </c>
      <c r="F90" s="28">
        <v>46900</v>
      </c>
      <c r="G90" s="27" t="s">
        <v>11</v>
      </c>
      <c r="H90" s="27" t="s">
        <v>6159</v>
      </c>
      <c r="I90" s="27" t="s">
        <v>9</v>
      </c>
    </row>
    <row r="91" spans="1:9" x14ac:dyDescent="0.3">
      <c r="A91" s="26">
        <v>44931</v>
      </c>
      <c r="B91" s="27" t="s">
        <v>116</v>
      </c>
      <c r="C91" s="27" t="s">
        <v>6</v>
      </c>
      <c r="D91" s="27" t="s">
        <v>21</v>
      </c>
      <c r="E91" s="28">
        <v>416600</v>
      </c>
      <c r="F91" s="28">
        <v>445000</v>
      </c>
      <c r="G91" s="27" t="s">
        <v>22</v>
      </c>
      <c r="H91" s="27" t="s">
        <v>6656</v>
      </c>
      <c r="I91" s="27" t="s">
        <v>9</v>
      </c>
    </row>
    <row r="92" spans="1:9" x14ac:dyDescent="0.3">
      <c r="A92" s="26">
        <v>44932</v>
      </c>
      <c r="B92" s="27" t="s">
        <v>116</v>
      </c>
      <c r="C92" s="27" t="s">
        <v>32</v>
      </c>
      <c r="D92" s="27" t="s">
        <v>19</v>
      </c>
      <c r="E92" s="28">
        <v>19766</v>
      </c>
      <c r="F92" s="28">
        <v>144374</v>
      </c>
      <c r="G92" s="27" t="s">
        <v>8</v>
      </c>
      <c r="H92" s="27" t="s">
        <v>248</v>
      </c>
      <c r="I92" s="27" t="s">
        <v>13</v>
      </c>
    </row>
    <row r="93" spans="1:9" x14ac:dyDescent="0.3">
      <c r="A93" s="26">
        <v>44932</v>
      </c>
      <c r="B93" s="27" t="s">
        <v>116</v>
      </c>
      <c r="C93" s="27" t="s">
        <v>20</v>
      </c>
      <c r="D93" s="27" t="s">
        <v>24</v>
      </c>
      <c r="E93" s="28">
        <v>146883</v>
      </c>
      <c r="F93" s="28">
        <v>38119</v>
      </c>
      <c r="G93" s="27" t="s">
        <v>22</v>
      </c>
      <c r="H93" s="27" t="s">
        <v>424</v>
      </c>
      <c r="I93" s="27" t="s">
        <v>13</v>
      </c>
    </row>
    <row r="94" spans="1:9" x14ac:dyDescent="0.3">
      <c r="A94" s="26">
        <v>44932</v>
      </c>
      <c r="B94" s="27" t="s">
        <v>116</v>
      </c>
      <c r="C94" s="27" t="s">
        <v>15</v>
      </c>
      <c r="D94" s="27" t="s">
        <v>21</v>
      </c>
      <c r="E94" s="28">
        <v>58538</v>
      </c>
      <c r="F94" s="28">
        <v>42380</v>
      </c>
      <c r="G94" s="27" t="s">
        <v>22</v>
      </c>
      <c r="H94" s="27" t="s">
        <v>636</v>
      </c>
      <c r="I94" s="27" t="s">
        <v>13</v>
      </c>
    </row>
    <row r="95" spans="1:9" x14ac:dyDescent="0.3">
      <c r="A95" s="26">
        <v>44932</v>
      </c>
      <c r="B95" s="27" t="s">
        <v>116</v>
      </c>
      <c r="C95" s="27" t="s">
        <v>14</v>
      </c>
      <c r="D95" s="27" t="s">
        <v>7</v>
      </c>
      <c r="E95" s="28">
        <v>18670</v>
      </c>
      <c r="F95" s="28">
        <v>128839</v>
      </c>
      <c r="G95" s="27" t="s">
        <v>8</v>
      </c>
      <c r="H95" s="27" t="s">
        <v>1074</v>
      </c>
      <c r="I95" s="27" t="s">
        <v>13</v>
      </c>
    </row>
    <row r="96" spans="1:9" x14ac:dyDescent="0.3">
      <c r="A96" s="26">
        <v>44932</v>
      </c>
      <c r="B96" s="27" t="s">
        <v>116</v>
      </c>
      <c r="C96" s="27" t="s">
        <v>15</v>
      </c>
      <c r="D96" s="27" t="s">
        <v>19</v>
      </c>
      <c r="E96" s="28">
        <v>14257</v>
      </c>
      <c r="F96" s="28">
        <v>32031</v>
      </c>
      <c r="G96" s="27" t="s">
        <v>8</v>
      </c>
      <c r="H96" s="27" t="s">
        <v>1270</v>
      </c>
      <c r="I96" s="27" t="s">
        <v>13</v>
      </c>
    </row>
    <row r="97" spans="1:9" x14ac:dyDescent="0.3">
      <c r="A97" s="26">
        <v>44932</v>
      </c>
      <c r="B97" s="27" t="s">
        <v>116</v>
      </c>
      <c r="C97" s="27" t="s">
        <v>10</v>
      </c>
      <c r="D97" s="27" t="s">
        <v>16</v>
      </c>
      <c r="E97" s="28">
        <v>140865</v>
      </c>
      <c r="F97" s="28">
        <v>70482</v>
      </c>
      <c r="G97" s="27" t="s">
        <v>11</v>
      </c>
      <c r="H97" s="27" t="s">
        <v>2591</v>
      </c>
      <c r="I97" s="27" t="s">
        <v>13</v>
      </c>
    </row>
    <row r="98" spans="1:9" x14ac:dyDescent="0.3">
      <c r="A98" s="26">
        <v>44932</v>
      </c>
      <c r="B98" s="27" t="s">
        <v>116</v>
      </c>
      <c r="C98" s="27" t="s">
        <v>93</v>
      </c>
      <c r="D98" s="27" t="s">
        <v>19</v>
      </c>
      <c r="E98" s="28">
        <v>59600</v>
      </c>
      <c r="F98" s="28">
        <v>70100</v>
      </c>
      <c r="G98" s="27" t="s">
        <v>11</v>
      </c>
      <c r="H98" s="27" t="s">
        <v>3629</v>
      </c>
      <c r="I98" s="27" t="s">
        <v>9</v>
      </c>
    </row>
    <row r="99" spans="1:9" x14ac:dyDescent="0.3">
      <c r="A99" s="26">
        <v>44932</v>
      </c>
      <c r="B99" s="27" t="s">
        <v>116</v>
      </c>
      <c r="C99" s="27" t="s">
        <v>93</v>
      </c>
      <c r="D99" s="27" t="s">
        <v>24</v>
      </c>
      <c r="E99" s="28">
        <v>210900</v>
      </c>
      <c r="F99" s="28">
        <v>189500</v>
      </c>
      <c r="G99" s="27" t="s">
        <v>22</v>
      </c>
      <c r="H99" s="27" t="s">
        <v>3805</v>
      </c>
      <c r="I99" s="27" t="s">
        <v>9</v>
      </c>
    </row>
    <row r="100" spans="1:9" x14ac:dyDescent="0.3">
      <c r="A100" s="26">
        <v>44932</v>
      </c>
      <c r="B100" s="27" t="s">
        <v>116</v>
      </c>
      <c r="C100" s="27" t="s">
        <v>93</v>
      </c>
      <c r="D100" s="27" t="s">
        <v>21</v>
      </c>
      <c r="E100" s="28">
        <v>88700</v>
      </c>
      <c r="F100" s="28">
        <v>70800</v>
      </c>
      <c r="G100" s="27" t="s">
        <v>11</v>
      </c>
      <c r="H100" s="27" t="s">
        <v>4017</v>
      </c>
      <c r="I100" s="27" t="s">
        <v>9</v>
      </c>
    </row>
    <row r="101" spans="1:9" x14ac:dyDescent="0.3">
      <c r="A101" s="26">
        <v>44932</v>
      </c>
      <c r="B101" s="27" t="s">
        <v>116</v>
      </c>
      <c r="C101" s="27" t="s">
        <v>93</v>
      </c>
      <c r="D101" s="27" t="s">
        <v>7</v>
      </c>
      <c r="E101" s="28">
        <v>115200</v>
      </c>
      <c r="F101" s="28">
        <v>108600</v>
      </c>
      <c r="G101" s="27" t="s">
        <v>11</v>
      </c>
      <c r="H101" s="27" t="s">
        <v>4456</v>
      </c>
      <c r="I101" s="27" t="s">
        <v>9</v>
      </c>
    </row>
    <row r="102" spans="1:9" x14ac:dyDescent="0.3">
      <c r="A102" s="26">
        <v>44932</v>
      </c>
      <c r="B102" s="27" t="s">
        <v>116</v>
      </c>
      <c r="C102" s="27" t="s">
        <v>6</v>
      </c>
      <c r="D102" s="27" t="s">
        <v>19</v>
      </c>
      <c r="E102" s="28">
        <v>122700</v>
      </c>
      <c r="F102" s="28">
        <v>132900</v>
      </c>
      <c r="G102" s="27" t="s">
        <v>22</v>
      </c>
      <c r="H102" s="27" t="s">
        <v>4653</v>
      </c>
      <c r="I102" s="27" t="s">
        <v>9</v>
      </c>
    </row>
    <row r="103" spans="1:9" x14ac:dyDescent="0.3">
      <c r="A103" s="26">
        <v>44932</v>
      </c>
      <c r="B103" s="27" t="s">
        <v>116</v>
      </c>
      <c r="C103" s="27" t="s">
        <v>6</v>
      </c>
      <c r="D103" s="27" t="s">
        <v>16</v>
      </c>
      <c r="E103" s="28">
        <v>147700</v>
      </c>
      <c r="F103" s="28">
        <v>155100</v>
      </c>
      <c r="G103" s="27" t="s">
        <v>11</v>
      </c>
      <c r="H103" s="27" t="s">
        <v>5976</v>
      </c>
      <c r="I103" s="27" t="s">
        <v>9</v>
      </c>
    </row>
    <row r="104" spans="1:9" x14ac:dyDescent="0.3">
      <c r="A104" s="26">
        <v>44933</v>
      </c>
      <c r="B104" s="27" t="s">
        <v>116</v>
      </c>
      <c r="C104" s="27" t="s">
        <v>15</v>
      </c>
      <c r="D104" s="27" t="s">
        <v>7</v>
      </c>
      <c r="E104" s="28">
        <v>115763</v>
      </c>
      <c r="F104" s="28">
        <v>114627</v>
      </c>
      <c r="G104" s="27" t="s">
        <v>11</v>
      </c>
      <c r="H104" s="27" t="s">
        <v>990</v>
      </c>
      <c r="I104" s="27" t="s">
        <v>13</v>
      </c>
    </row>
    <row r="105" spans="1:9" x14ac:dyDescent="0.3">
      <c r="A105" s="26">
        <v>44933</v>
      </c>
      <c r="B105" s="27" t="s">
        <v>116</v>
      </c>
      <c r="C105" s="27" t="s">
        <v>15</v>
      </c>
      <c r="D105" s="27" t="s">
        <v>21</v>
      </c>
      <c r="E105" s="28">
        <v>101659</v>
      </c>
      <c r="F105" s="28">
        <v>24478</v>
      </c>
      <c r="G105" s="27" t="s">
        <v>22</v>
      </c>
      <c r="H105" s="27" t="s">
        <v>1181</v>
      </c>
      <c r="I105" s="27" t="s">
        <v>13</v>
      </c>
    </row>
    <row r="106" spans="1:9" x14ac:dyDescent="0.3">
      <c r="A106" s="26">
        <v>44933</v>
      </c>
      <c r="B106" s="27" t="s">
        <v>116</v>
      </c>
      <c r="C106" s="27" t="s">
        <v>32</v>
      </c>
      <c r="D106" s="27" t="s">
        <v>7</v>
      </c>
      <c r="E106" s="28">
        <v>21771</v>
      </c>
      <c r="F106" s="28">
        <v>98609</v>
      </c>
      <c r="G106" s="27" t="s">
        <v>17</v>
      </c>
      <c r="H106" s="27" t="s">
        <v>2205</v>
      </c>
      <c r="I106" s="27" t="s">
        <v>13</v>
      </c>
    </row>
    <row r="107" spans="1:9" x14ac:dyDescent="0.3">
      <c r="A107" s="26">
        <v>44933</v>
      </c>
      <c r="B107" s="27" t="s">
        <v>116</v>
      </c>
      <c r="C107" s="27" t="s">
        <v>15</v>
      </c>
      <c r="D107" s="27" t="s">
        <v>21</v>
      </c>
      <c r="E107" s="28">
        <v>79683</v>
      </c>
      <c r="F107" s="28">
        <v>159298</v>
      </c>
      <c r="G107" s="27" t="s">
        <v>11</v>
      </c>
      <c r="H107" s="27" t="s">
        <v>2592</v>
      </c>
      <c r="I107" s="27" t="s">
        <v>13</v>
      </c>
    </row>
    <row r="108" spans="1:9" x14ac:dyDescent="0.3">
      <c r="A108" s="26">
        <v>44933</v>
      </c>
      <c r="B108" s="27" t="s">
        <v>116</v>
      </c>
      <c r="C108" s="27" t="s">
        <v>20</v>
      </c>
      <c r="D108" s="27" t="s">
        <v>16</v>
      </c>
      <c r="E108" s="28">
        <v>56828</v>
      </c>
      <c r="F108" s="28">
        <v>96322</v>
      </c>
      <c r="G108" s="27" t="s">
        <v>11</v>
      </c>
      <c r="H108" s="27" t="s">
        <v>2745</v>
      </c>
      <c r="I108" s="27" t="s">
        <v>13</v>
      </c>
    </row>
    <row r="109" spans="1:9" x14ac:dyDescent="0.3">
      <c r="A109" s="26">
        <v>44933</v>
      </c>
      <c r="B109" s="27" t="s">
        <v>116</v>
      </c>
      <c r="C109" s="27" t="s">
        <v>15</v>
      </c>
      <c r="D109" s="27" t="s">
        <v>24</v>
      </c>
      <c r="E109" s="28">
        <v>84045</v>
      </c>
      <c r="F109" s="28">
        <v>39359</v>
      </c>
      <c r="G109" s="27" t="s">
        <v>8</v>
      </c>
      <c r="H109" s="27" t="s">
        <v>3090</v>
      </c>
      <c r="I109" s="27" t="s">
        <v>13</v>
      </c>
    </row>
    <row r="110" spans="1:9" x14ac:dyDescent="0.3">
      <c r="A110" s="26">
        <v>44933</v>
      </c>
      <c r="B110" s="27" t="s">
        <v>116</v>
      </c>
      <c r="C110" s="27" t="s">
        <v>6</v>
      </c>
      <c r="D110" s="27" t="s">
        <v>7</v>
      </c>
      <c r="E110" s="28">
        <v>76400</v>
      </c>
      <c r="F110" s="28">
        <v>79500</v>
      </c>
      <c r="G110" s="27" t="s">
        <v>17</v>
      </c>
      <c r="H110" s="27" t="s">
        <v>4371</v>
      </c>
      <c r="I110" s="27" t="s">
        <v>9</v>
      </c>
    </row>
    <row r="111" spans="1:9" x14ac:dyDescent="0.3">
      <c r="A111" s="26">
        <v>44933</v>
      </c>
      <c r="B111" s="27" t="s">
        <v>116</v>
      </c>
      <c r="C111" s="27" t="s">
        <v>6</v>
      </c>
      <c r="D111" s="27" t="s">
        <v>21</v>
      </c>
      <c r="E111" s="28">
        <v>76500</v>
      </c>
      <c r="F111" s="28">
        <v>84500</v>
      </c>
      <c r="G111" s="27" t="s">
        <v>17</v>
      </c>
      <c r="H111" s="27" t="s">
        <v>4564</v>
      </c>
      <c r="I111" s="27" t="s">
        <v>9</v>
      </c>
    </row>
    <row r="112" spans="1:9" x14ac:dyDescent="0.3">
      <c r="A112" s="26">
        <v>44933</v>
      </c>
      <c r="B112" s="27" t="s">
        <v>116</v>
      </c>
      <c r="C112" s="27" t="s">
        <v>6</v>
      </c>
      <c r="D112" s="27" t="s">
        <v>7</v>
      </c>
      <c r="E112" s="28">
        <v>86100</v>
      </c>
      <c r="F112" s="28">
        <v>57900</v>
      </c>
      <c r="G112" s="27" t="s">
        <v>22</v>
      </c>
      <c r="H112" s="27" t="s">
        <v>5590</v>
      </c>
      <c r="I112" s="27" t="s">
        <v>9</v>
      </c>
    </row>
    <row r="113" spans="1:9" x14ac:dyDescent="0.3">
      <c r="A113" s="26">
        <v>44933</v>
      </c>
      <c r="B113" s="27" t="s">
        <v>116</v>
      </c>
      <c r="C113" s="27" t="s">
        <v>6</v>
      </c>
      <c r="D113" s="27" t="s">
        <v>21</v>
      </c>
      <c r="E113" s="28">
        <v>96500</v>
      </c>
      <c r="F113" s="28">
        <v>116500</v>
      </c>
      <c r="G113" s="27" t="s">
        <v>11</v>
      </c>
      <c r="H113" s="27" t="s">
        <v>5977</v>
      </c>
      <c r="I113" s="27" t="s">
        <v>9</v>
      </c>
    </row>
    <row r="114" spans="1:9" x14ac:dyDescent="0.3">
      <c r="A114" s="26">
        <v>44933</v>
      </c>
      <c r="B114" s="27" t="s">
        <v>116</v>
      </c>
      <c r="C114" s="27" t="s">
        <v>6</v>
      </c>
      <c r="D114" s="27" t="s">
        <v>16</v>
      </c>
      <c r="E114" s="28">
        <v>146400</v>
      </c>
      <c r="F114" s="28">
        <v>146900</v>
      </c>
      <c r="G114" s="27" t="s">
        <v>11</v>
      </c>
      <c r="H114" s="27" t="s">
        <v>6130</v>
      </c>
      <c r="I114" s="27" t="s">
        <v>9</v>
      </c>
    </row>
    <row r="115" spans="1:9" x14ac:dyDescent="0.3">
      <c r="A115" s="26">
        <v>44933</v>
      </c>
      <c r="B115" s="27" t="s">
        <v>116</v>
      </c>
      <c r="C115" s="27" t="s">
        <v>93</v>
      </c>
      <c r="D115" s="27" t="s">
        <v>24</v>
      </c>
      <c r="E115" s="28">
        <v>159600</v>
      </c>
      <c r="F115" s="28">
        <v>181900</v>
      </c>
      <c r="G115" s="27" t="s">
        <v>22</v>
      </c>
      <c r="H115" s="27" t="s">
        <v>6475</v>
      </c>
      <c r="I115" s="27" t="s">
        <v>9</v>
      </c>
    </row>
    <row r="116" spans="1:9" x14ac:dyDescent="0.3">
      <c r="A116" s="26">
        <v>44934</v>
      </c>
      <c r="B116" s="27" t="s">
        <v>116</v>
      </c>
      <c r="C116" s="27" t="s">
        <v>18</v>
      </c>
      <c r="D116" s="27" t="s">
        <v>19</v>
      </c>
      <c r="E116" s="28">
        <v>24837</v>
      </c>
      <c r="F116" s="28">
        <v>16133</v>
      </c>
      <c r="G116" s="27" t="s">
        <v>17</v>
      </c>
      <c r="H116" s="27" t="s">
        <v>285</v>
      </c>
      <c r="I116" s="27" t="s">
        <v>13</v>
      </c>
    </row>
    <row r="117" spans="1:9" x14ac:dyDescent="0.3">
      <c r="A117" s="26">
        <v>44934</v>
      </c>
      <c r="B117" s="27" t="s">
        <v>116</v>
      </c>
      <c r="C117" s="27" t="s">
        <v>20</v>
      </c>
      <c r="D117" s="27" t="s">
        <v>24</v>
      </c>
      <c r="E117" s="28">
        <v>67797</v>
      </c>
      <c r="F117" s="28">
        <v>45014</v>
      </c>
      <c r="G117" s="27" t="s">
        <v>17</v>
      </c>
      <c r="H117" s="27" t="s">
        <v>495</v>
      </c>
      <c r="I117" s="27" t="s">
        <v>13</v>
      </c>
    </row>
    <row r="118" spans="1:9" x14ac:dyDescent="0.3">
      <c r="A118" s="26">
        <v>44934</v>
      </c>
      <c r="B118" s="27" t="s">
        <v>116</v>
      </c>
      <c r="C118" s="27" t="s">
        <v>10</v>
      </c>
      <c r="D118" s="27" t="s">
        <v>24</v>
      </c>
      <c r="E118" s="28">
        <v>132494</v>
      </c>
      <c r="F118" s="28">
        <v>105757</v>
      </c>
      <c r="G118" s="27" t="s">
        <v>17</v>
      </c>
      <c r="H118" s="27" t="s">
        <v>528</v>
      </c>
      <c r="I118" s="27" t="s">
        <v>13</v>
      </c>
    </row>
    <row r="119" spans="1:9" x14ac:dyDescent="0.3">
      <c r="A119" s="26">
        <v>44934</v>
      </c>
      <c r="B119" s="27" t="s">
        <v>116</v>
      </c>
      <c r="C119" s="27" t="s">
        <v>15</v>
      </c>
      <c r="D119" s="27" t="s">
        <v>21</v>
      </c>
      <c r="E119" s="28">
        <v>145349</v>
      </c>
      <c r="F119" s="28">
        <v>9376</v>
      </c>
      <c r="G119" s="27" t="s">
        <v>11</v>
      </c>
      <c r="H119" s="27" t="s">
        <v>694</v>
      </c>
      <c r="I119" s="27" t="s">
        <v>13</v>
      </c>
    </row>
    <row r="120" spans="1:9" x14ac:dyDescent="0.3">
      <c r="A120" s="26">
        <v>44934</v>
      </c>
      <c r="B120" s="27" t="s">
        <v>116</v>
      </c>
      <c r="C120" s="27" t="s">
        <v>10</v>
      </c>
      <c r="D120" s="27" t="s">
        <v>21</v>
      </c>
      <c r="E120" s="28">
        <v>99229</v>
      </c>
      <c r="F120" s="28">
        <v>67844</v>
      </c>
      <c r="G120" s="27" t="s">
        <v>11</v>
      </c>
      <c r="H120" s="27" t="s">
        <v>1374</v>
      </c>
      <c r="I120" s="27" t="s">
        <v>13</v>
      </c>
    </row>
    <row r="121" spans="1:9" x14ac:dyDescent="0.3">
      <c r="A121" s="26">
        <v>44934</v>
      </c>
      <c r="B121" s="27" t="s">
        <v>116</v>
      </c>
      <c r="C121" s="27" t="s">
        <v>15</v>
      </c>
      <c r="D121" s="27" t="s">
        <v>24</v>
      </c>
      <c r="E121" s="28">
        <v>149828</v>
      </c>
      <c r="F121" s="28">
        <v>104673</v>
      </c>
      <c r="G121" s="27" t="s">
        <v>22</v>
      </c>
      <c r="H121" s="27" t="s">
        <v>1885</v>
      </c>
      <c r="I121" s="27" t="s">
        <v>13</v>
      </c>
    </row>
    <row r="122" spans="1:9" x14ac:dyDescent="0.3">
      <c r="A122" s="26">
        <v>44934</v>
      </c>
      <c r="B122" s="27" t="s">
        <v>116</v>
      </c>
      <c r="C122" s="27" t="s">
        <v>18</v>
      </c>
      <c r="D122" s="27" t="s">
        <v>21</v>
      </c>
      <c r="E122" s="28">
        <v>61838</v>
      </c>
      <c r="F122" s="28">
        <v>76373</v>
      </c>
      <c r="G122" s="27" t="s">
        <v>17</v>
      </c>
      <c r="H122" s="27" t="s">
        <v>2029</v>
      </c>
      <c r="I122" s="27" t="s">
        <v>13</v>
      </c>
    </row>
    <row r="123" spans="1:9" x14ac:dyDescent="0.3">
      <c r="A123" s="26">
        <v>44934</v>
      </c>
      <c r="B123" s="27" t="s">
        <v>116</v>
      </c>
      <c r="C123" s="27" t="s">
        <v>18</v>
      </c>
      <c r="D123" s="27" t="s">
        <v>24</v>
      </c>
      <c r="E123" s="28">
        <v>76545</v>
      </c>
      <c r="F123" s="28">
        <v>69292</v>
      </c>
      <c r="G123" s="27" t="s">
        <v>17</v>
      </c>
      <c r="H123" s="27" t="s">
        <v>2040</v>
      </c>
      <c r="I123" s="27" t="s">
        <v>13</v>
      </c>
    </row>
    <row r="124" spans="1:9" x14ac:dyDescent="0.3">
      <c r="A124" s="26">
        <v>44934</v>
      </c>
      <c r="B124" s="27" t="s">
        <v>116</v>
      </c>
      <c r="C124" s="27" t="s">
        <v>14</v>
      </c>
      <c r="D124" s="27" t="s">
        <v>16</v>
      </c>
      <c r="E124" s="28">
        <v>75295</v>
      </c>
      <c r="F124" s="28">
        <v>32924</v>
      </c>
      <c r="G124" s="27" t="s">
        <v>22</v>
      </c>
      <c r="H124" s="27" t="s">
        <v>2294</v>
      </c>
      <c r="I124" s="27" t="s">
        <v>13</v>
      </c>
    </row>
    <row r="125" spans="1:9" x14ac:dyDescent="0.3">
      <c r="A125" s="26">
        <v>44934</v>
      </c>
      <c r="B125" s="27" t="s">
        <v>116</v>
      </c>
      <c r="C125" s="27" t="s">
        <v>18</v>
      </c>
      <c r="D125" s="27" t="s">
        <v>16</v>
      </c>
      <c r="E125" s="28">
        <v>80295</v>
      </c>
      <c r="F125" s="28">
        <v>70953</v>
      </c>
      <c r="G125" s="27" t="s">
        <v>8</v>
      </c>
      <c r="H125" s="27" t="s">
        <v>2317</v>
      </c>
      <c r="I125" s="27" t="s">
        <v>13</v>
      </c>
    </row>
    <row r="126" spans="1:9" x14ac:dyDescent="0.3">
      <c r="A126" s="26">
        <v>44934</v>
      </c>
      <c r="B126" s="27" t="s">
        <v>116</v>
      </c>
      <c r="C126" s="27" t="s">
        <v>18</v>
      </c>
      <c r="D126" s="27" t="s">
        <v>19</v>
      </c>
      <c r="E126" s="28">
        <v>136356</v>
      </c>
      <c r="F126" s="28">
        <v>76975</v>
      </c>
      <c r="G126" s="27" t="s">
        <v>11</v>
      </c>
      <c r="H126" s="27" t="s">
        <v>2430</v>
      </c>
      <c r="I126" s="27" t="s">
        <v>13</v>
      </c>
    </row>
    <row r="127" spans="1:9" x14ac:dyDescent="0.3">
      <c r="A127" s="26">
        <v>44934</v>
      </c>
      <c r="B127" s="27" t="s">
        <v>116</v>
      </c>
      <c r="C127" s="27" t="s">
        <v>14</v>
      </c>
      <c r="D127" s="27" t="s">
        <v>24</v>
      </c>
      <c r="E127" s="28">
        <v>144150</v>
      </c>
      <c r="F127" s="28">
        <v>97617</v>
      </c>
      <c r="G127" s="27" t="s">
        <v>22</v>
      </c>
      <c r="H127" s="27" t="s">
        <v>2694</v>
      </c>
      <c r="I127" s="27" t="s">
        <v>13</v>
      </c>
    </row>
    <row r="128" spans="1:9" x14ac:dyDescent="0.3">
      <c r="A128" s="26">
        <v>44934</v>
      </c>
      <c r="B128" s="27" t="s">
        <v>116</v>
      </c>
      <c r="C128" s="27" t="s">
        <v>15</v>
      </c>
      <c r="D128" s="27" t="s">
        <v>7</v>
      </c>
      <c r="E128" s="28">
        <v>109183</v>
      </c>
      <c r="F128" s="28">
        <v>85236</v>
      </c>
      <c r="G128" s="27" t="s">
        <v>22</v>
      </c>
      <c r="H128" s="27" t="s">
        <v>2870</v>
      </c>
      <c r="I128" s="27" t="s">
        <v>13</v>
      </c>
    </row>
    <row r="129" spans="1:9" x14ac:dyDescent="0.3">
      <c r="A129" s="26">
        <v>44934</v>
      </c>
      <c r="B129" s="27" t="s">
        <v>116</v>
      </c>
      <c r="C129" s="27" t="s">
        <v>10</v>
      </c>
      <c r="D129" s="27" t="s">
        <v>19</v>
      </c>
      <c r="E129" s="28">
        <v>89284</v>
      </c>
      <c r="F129" s="28">
        <v>90298</v>
      </c>
      <c r="G129" s="27" t="s">
        <v>22</v>
      </c>
      <c r="H129" s="27" t="s">
        <v>3295</v>
      </c>
      <c r="I129" s="27" t="s">
        <v>13</v>
      </c>
    </row>
    <row r="130" spans="1:9" x14ac:dyDescent="0.3">
      <c r="A130" s="26">
        <v>44934</v>
      </c>
      <c r="B130" s="27" t="s">
        <v>116</v>
      </c>
      <c r="C130" s="27" t="s">
        <v>6</v>
      </c>
      <c r="D130" s="27" t="s">
        <v>19</v>
      </c>
      <c r="E130" s="28">
        <v>115700</v>
      </c>
      <c r="F130" s="28">
        <v>118800</v>
      </c>
      <c r="G130" s="27" t="s">
        <v>22</v>
      </c>
      <c r="H130" s="27" t="s">
        <v>3666</v>
      </c>
      <c r="I130" s="27" t="s">
        <v>9</v>
      </c>
    </row>
    <row r="131" spans="1:9" x14ac:dyDescent="0.3">
      <c r="A131" s="26">
        <v>44934</v>
      </c>
      <c r="B131" s="27" t="s">
        <v>116</v>
      </c>
      <c r="C131" s="27" t="s">
        <v>6</v>
      </c>
      <c r="D131" s="27" t="s">
        <v>24</v>
      </c>
      <c r="E131" s="28">
        <v>122000</v>
      </c>
      <c r="F131" s="28">
        <v>113200</v>
      </c>
      <c r="G131" s="27" t="s">
        <v>22</v>
      </c>
      <c r="H131" s="27" t="s">
        <v>3876</v>
      </c>
      <c r="I131" s="27" t="s">
        <v>9</v>
      </c>
    </row>
    <row r="132" spans="1:9" x14ac:dyDescent="0.3">
      <c r="A132" s="26">
        <v>44934</v>
      </c>
      <c r="B132" s="27" t="s">
        <v>116</v>
      </c>
      <c r="C132" s="27" t="s">
        <v>6</v>
      </c>
      <c r="D132" s="27" t="s">
        <v>24</v>
      </c>
      <c r="E132" s="28">
        <v>78400</v>
      </c>
      <c r="F132" s="28">
        <v>89900</v>
      </c>
      <c r="G132" s="27" t="s">
        <v>22</v>
      </c>
      <c r="H132" s="27" t="s">
        <v>3909</v>
      </c>
      <c r="I132" s="27" t="s">
        <v>9</v>
      </c>
    </row>
    <row r="133" spans="1:9" x14ac:dyDescent="0.3">
      <c r="A133" s="26">
        <v>44934</v>
      </c>
      <c r="B133" s="27" t="s">
        <v>116</v>
      </c>
      <c r="C133" s="27" t="s">
        <v>93</v>
      </c>
      <c r="D133" s="27" t="s">
        <v>21</v>
      </c>
      <c r="E133" s="28">
        <v>71800</v>
      </c>
      <c r="F133" s="28">
        <v>71600</v>
      </c>
      <c r="G133" s="27" t="s">
        <v>11</v>
      </c>
      <c r="H133" s="27" t="s">
        <v>4075</v>
      </c>
      <c r="I133" s="27" t="s">
        <v>9</v>
      </c>
    </row>
    <row r="134" spans="1:9" x14ac:dyDescent="0.3">
      <c r="A134" s="26">
        <v>44934</v>
      </c>
      <c r="B134" s="27" t="s">
        <v>116</v>
      </c>
      <c r="C134" s="27" t="s">
        <v>93</v>
      </c>
      <c r="D134" s="27" t="s">
        <v>21</v>
      </c>
      <c r="E134" s="28">
        <v>115700</v>
      </c>
      <c r="F134" s="28">
        <v>95000</v>
      </c>
      <c r="G134" s="27" t="s">
        <v>22</v>
      </c>
      <c r="H134" s="27" t="s">
        <v>4757</v>
      </c>
      <c r="I134" s="27" t="s">
        <v>9</v>
      </c>
    </row>
    <row r="135" spans="1:9" x14ac:dyDescent="0.3">
      <c r="A135" s="26">
        <v>44934</v>
      </c>
      <c r="B135" s="27" t="s">
        <v>116</v>
      </c>
      <c r="C135" s="27" t="s">
        <v>6</v>
      </c>
      <c r="D135" s="27" t="s">
        <v>24</v>
      </c>
      <c r="E135" s="28">
        <v>173300</v>
      </c>
      <c r="F135" s="28">
        <v>214100</v>
      </c>
      <c r="G135" s="27" t="s">
        <v>11</v>
      </c>
      <c r="H135" s="27" t="s">
        <v>5269</v>
      </c>
      <c r="I135" s="27" t="s">
        <v>9</v>
      </c>
    </row>
    <row r="136" spans="1:9" x14ac:dyDescent="0.3">
      <c r="A136" s="26">
        <v>44934</v>
      </c>
      <c r="B136" s="27" t="s">
        <v>116</v>
      </c>
      <c r="C136" s="27" t="s">
        <v>6</v>
      </c>
      <c r="D136" s="27" t="s">
        <v>21</v>
      </c>
      <c r="E136" s="28">
        <v>75900</v>
      </c>
      <c r="F136" s="28">
        <v>81400</v>
      </c>
      <c r="G136" s="27" t="s">
        <v>11</v>
      </c>
      <c r="H136" s="27" t="s">
        <v>5413</v>
      </c>
      <c r="I136" s="27" t="s">
        <v>9</v>
      </c>
    </row>
    <row r="137" spans="1:9" x14ac:dyDescent="0.3">
      <c r="A137" s="26">
        <v>44934</v>
      </c>
      <c r="B137" s="27" t="s">
        <v>116</v>
      </c>
      <c r="C137" s="27" t="s">
        <v>93</v>
      </c>
      <c r="D137" s="27" t="s">
        <v>24</v>
      </c>
      <c r="E137" s="28">
        <v>105600</v>
      </c>
      <c r="F137" s="28">
        <v>135000</v>
      </c>
      <c r="G137" s="27" t="s">
        <v>11</v>
      </c>
      <c r="H137" s="27" t="s">
        <v>5424</v>
      </c>
      <c r="I137" s="27" t="s">
        <v>9</v>
      </c>
    </row>
    <row r="138" spans="1:9" x14ac:dyDescent="0.3">
      <c r="A138" s="26">
        <v>44934</v>
      </c>
      <c r="B138" s="27" t="s">
        <v>116</v>
      </c>
      <c r="C138" s="27" t="s">
        <v>6</v>
      </c>
      <c r="D138" s="27" t="s">
        <v>16</v>
      </c>
      <c r="E138" s="28">
        <v>135500</v>
      </c>
      <c r="F138" s="28">
        <v>157800</v>
      </c>
      <c r="G138" s="27" t="s">
        <v>11</v>
      </c>
      <c r="H138" s="27" t="s">
        <v>5679</v>
      </c>
      <c r="I138" s="27" t="s">
        <v>9</v>
      </c>
    </row>
    <row r="139" spans="1:9" x14ac:dyDescent="0.3">
      <c r="A139" s="26">
        <v>44934</v>
      </c>
      <c r="B139" s="27" t="s">
        <v>116</v>
      </c>
      <c r="C139" s="27" t="s">
        <v>6</v>
      </c>
      <c r="D139" s="27" t="s">
        <v>16</v>
      </c>
      <c r="E139" s="28">
        <v>212600</v>
      </c>
      <c r="F139" s="28">
        <v>207400</v>
      </c>
      <c r="G139" s="27" t="s">
        <v>11</v>
      </c>
      <c r="H139" s="27" t="s">
        <v>5702</v>
      </c>
      <c r="I139" s="27" t="s">
        <v>9</v>
      </c>
    </row>
    <row r="140" spans="1:9" x14ac:dyDescent="0.3">
      <c r="A140" s="26">
        <v>44934</v>
      </c>
      <c r="B140" s="27" t="s">
        <v>116</v>
      </c>
      <c r="C140" s="27" t="s">
        <v>93</v>
      </c>
      <c r="D140" s="27" t="s">
        <v>19</v>
      </c>
      <c r="E140" s="28">
        <v>134100</v>
      </c>
      <c r="F140" s="28">
        <v>150300</v>
      </c>
      <c r="G140" s="27" t="s">
        <v>17</v>
      </c>
      <c r="H140" s="27" t="s">
        <v>5815</v>
      </c>
      <c r="I140" s="27" t="s">
        <v>9</v>
      </c>
    </row>
    <row r="141" spans="1:9" x14ac:dyDescent="0.3">
      <c r="A141" s="26">
        <v>44934</v>
      </c>
      <c r="B141" s="27" t="s">
        <v>116</v>
      </c>
      <c r="C141" s="27" t="s">
        <v>93</v>
      </c>
      <c r="D141" s="27" t="s">
        <v>24</v>
      </c>
      <c r="E141" s="28">
        <v>198300</v>
      </c>
      <c r="F141" s="28">
        <v>176900</v>
      </c>
      <c r="G141" s="27" t="s">
        <v>22</v>
      </c>
      <c r="H141" s="27" t="s">
        <v>6079</v>
      </c>
      <c r="I141" s="27" t="s">
        <v>9</v>
      </c>
    </row>
    <row r="142" spans="1:9" x14ac:dyDescent="0.3">
      <c r="A142" s="26">
        <v>44934</v>
      </c>
      <c r="B142" s="27" t="s">
        <v>116</v>
      </c>
      <c r="C142" s="27" t="s">
        <v>6</v>
      </c>
      <c r="D142" s="27" t="s">
        <v>7</v>
      </c>
      <c r="E142" s="28">
        <v>70400</v>
      </c>
      <c r="F142" s="28">
        <v>66400</v>
      </c>
      <c r="G142" s="27" t="s">
        <v>11</v>
      </c>
      <c r="H142" s="27" t="s">
        <v>6255</v>
      </c>
      <c r="I142" s="27" t="s">
        <v>9</v>
      </c>
    </row>
    <row r="143" spans="1:9" x14ac:dyDescent="0.3">
      <c r="A143" s="26">
        <v>44934</v>
      </c>
      <c r="B143" s="27" t="s">
        <v>116</v>
      </c>
      <c r="C143" s="27" t="s">
        <v>6</v>
      </c>
      <c r="D143" s="27" t="s">
        <v>19</v>
      </c>
      <c r="E143" s="28">
        <v>114200</v>
      </c>
      <c r="F143" s="28">
        <v>90700</v>
      </c>
      <c r="G143" s="27" t="s">
        <v>11</v>
      </c>
      <c r="H143" s="27" t="s">
        <v>6680</v>
      </c>
      <c r="I143" s="27" t="s">
        <v>9</v>
      </c>
    </row>
    <row r="144" spans="1:9" x14ac:dyDescent="0.3">
      <c r="A144" s="26">
        <v>44935</v>
      </c>
      <c r="B144" s="27" t="s">
        <v>116</v>
      </c>
      <c r="C144" s="27" t="s">
        <v>10</v>
      </c>
      <c r="D144" s="27" t="s">
        <v>16</v>
      </c>
      <c r="E144" s="28">
        <v>104817</v>
      </c>
      <c r="F144" s="28">
        <v>144746</v>
      </c>
      <c r="G144" s="27" t="s">
        <v>17</v>
      </c>
      <c r="H144" s="27" t="s">
        <v>210</v>
      </c>
      <c r="I144" s="27" t="s">
        <v>13</v>
      </c>
    </row>
    <row r="145" spans="1:9" x14ac:dyDescent="0.3">
      <c r="A145" s="26">
        <v>44935</v>
      </c>
      <c r="B145" s="27" t="s">
        <v>116</v>
      </c>
      <c r="C145" s="27" t="s">
        <v>32</v>
      </c>
      <c r="D145" s="27" t="s">
        <v>21</v>
      </c>
      <c r="E145" s="28">
        <v>59663</v>
      </c>
      <c r="F145" s="28">
        <v>128400</v>
      </c>
      <c r="G145" s="27" t="s">
        <v>11</v>
      </c>
      <c r="H145" s="27" t="s">
        <v>315</v>
      </c>
      <c r="I145" s="27" t="s">
        <v>13</v>
      </c>
    </row>
    <row r="146" spans="1:9" x14ac:dyDescent="0.3">
      <c r="A146" s="26">
        <v>44935</v>
      </c>
      <c r="B146" s="27" t="s">
        <v>116</v>
      </c>
      <c r="C146" s="27" t="s">
        <v>18</v>
      </c>
      <c r="D146" s="27" t="s">
        <v>21</v>
      </c>
      <c r="E146" s="28">
        <v>45252</v>
      </c>
      <c r="F146" s="28">
        <v>127424</v>
      </c>
      <c r="G146" s="27" t="s">
        <v>22</v>
      </c>
      <c r="H146" s="27" t="s">
        <v>468</v>
      </c>
      <c r="I146" s="27" t="s">
        <v>13</v>
      </c>
    </row>
    <row r="147" spans="1:9" x14ac:dyDescent="0.3">
      <c r="A147" s="26">
        <v>44935</v>
      </c>
      <c r="B147" s="27" t="s">
        <v>116</v>
      </c>
      <c r="C147" s="27" t="s">
        <v>32</v>
      </c>
      <c r="D147" s="27" t="s">
        <v>16</v>
      </c>
      <c r="E147" s="28">
        <v>57561</v>
      </c>
      <c r="F147" s="28">
        <v>135587</v>
      </c>
      <c r="G147" s="27" t="s">
        <v>11</v>
      </c>
      <c r="H147" s="27" t="s">
        <v>1396</v>
      </c>
      <c r="I147" s="27" t="s">
        <v>13</v>
      </c>
    </row>
    <row r="148" spans="1:9" x14ac:dyDescent="0.3">
      <c r="A148" s="26">
        <v>44935</v>
      </c>
      <c r="B148" s="27" t="s">
        <v>116</v>
      </c>
      <c r="C148" s="27" t="s">
        <v>32</v>
      </c>
      <c r="D148" s="27" t="s">
        <v>24</v>
      </c>
      <c r="E148" s="28">
        <v>61689</v>
      </c>
      <c r="F148" s="28">
        <v>33268</v>
      </c>
      <c r="G148" s="27" t="s">
        <v>17</v>
      </c>
      <c r="H148" s="27" t="s">
        <v>1441</v>
      </c>
      <c r="I148" s="27" t="s">
        <v>13</v>
      </c>
    </row>
    <row r="149" spans="1:9" x14ac:dyDescent="0.3">
      <c r="A149" s="26">
        <v>44935</v>
      </c>
      <c r="B149" s="27" t="s">
        <v>116</v>
      </c>
      <c r="C149" s="27" t="s">
        <v>20</v>
      </c>
      <c r="D149" s="27" t="s">
        <v>21</v>
      </c>
      <c r="E149" s="28">
        <v>39145</v>
      </c>
      <c r="F149" s="28">
        <v>42576</v>
      </c>
      <c r="G149" s="27" t="s">
        <v>11</v>
      </c>
      <c r="H149" s="27" t="s">
        <v>2196</v>
      </c>
      <c r="I149" s="27" t="s">
        <v>13</v>
      </c>
    </row>
    <row r="150" spans="1:9" x14ac:dyDescent="0.3">
      <c r="A150" s="26">
        <v>44935</v>
      </c>
      <c r="B150" s="27" t="s">
        <v>116</v>
      </c>
      <c r="C150" s="27" t="s">
        <v>10</v>
      </c>
      <c r="D150" s="27" t="s">
        <v>19</v>
      </c>
      <c r="E150" s="28">
        <v>23408</v>
      </c>
      <c r="F150" s="28">
        <v>108154</v>
      </c>
      <c r="G150" s="27" t="s">
        <v>8</v>
      </c>
      <c r="H150" s="27" t="s">
        <v>2441</v>
      </c>
      <c r="I150" s="27" t="s">
        <v>13</v>
      </c>
    </row>
    <row r="151" spans="1:9" x14ac:dyDescent="0.3">
      <c r="A151" s="26">
        <v>44935</v>
      </c>
      <c r="B151" s="27" t="s">
        <v>116</v>
      </c>
      <c r="C151" s="27" t="s">
        <v>32</v>
      </c>
      <c r="D151" s="27" t="s">
        <v>19</v>
      </c>
      <c r="E151" s="28">
        <v>23787</v>
      </c>
      <c r="F151" s="28">
        <v>126698</v>
      </c>
      <c r="G151" s="27" t="s">
        <v>17</v>
      </c>
      <c r="H151" s="27" t="s">
        <v>2857</v>
      </c>
      <c r="I151" s="27" t="s">
        <v>13</v>
      </c>
    </row>
    <row r="152" spans="1:9" x14ac:dyDescent="0.3">
      <c r="A152" s="26">
        <v>44935</v>
      </c>
      <c r="B152" s="27" t="s">
        <v>116</v>
      </c>
      <c r="C152" s="27" t="s">
        <v>10</v>
      </c>
      <c r="D152" s="27" t="s">
        <v>19</v>
      </c>
      <c r="E152" s="28">
        <v>53154</v>
      </c>
      <c r="F152" s="28">
        <v>54716</v>
      </c>
      <c r="G152" s="27" t="s">
        <v>8</v>
      </c>
      <c r="H152" s="27" t="s">
        <v>3012</v>
      </c>
      <c r="I152" s="27" t="s">
        <v>13</v>
      </c>
    </row>
    <row r="153" spans="1:9" x14ac:dyDescent="0.3">
      <c r="A153" s="26">
        <v>44935</v>
      </c>
      <c r="B153" s="27" t="s">
        <v>116</v>
      </c>
      <c r="C153" s="27" t="s">
        <v>20</v>
      </c>
      <c r="D153" s="27" t="s">
        <v>16</v>
      </c>
      <c r="E153" s="28">
        <v>147472</v>
      </c>
      <c r="F153" s="28">
        <v>162302</v>
      </c>
      <c r="G153" s="27" t="s">
        <v>17</v>
      </c>
      <c r="H153" s="27" t="s">
        <v>3171</v>
      </c>
      <c r="I153" s="27" t="s">
        <v>13</v>
      </c>
    </row>
    <row r="154" spans="1:9" x14ac:dyDescent="0.3">
      <c r="A154" s="26">
        <v>44935</v>
      </c>
      <c r="B154" s="27" t="s">
        <v>116</v>
      </c>
      <c r="C154" s="27" t="s">
        <v>14</v>
      </c>
      <c r="D154" s="27" t="s">
        <v>21</v>
      </c>
      <c r="E154" s="28">
        <v>117036</v>
      </c>
      <c r="F154" s="28">
        <v>28576</v>
      </c>
      <c r="G154" s="27" t="s">
        <v>17</v>
      </c>
      <c r="H154" s="27" t="s">
        <v>3366</v>
      </c>
      <c r="I154" s="27" t="s">
        <v>13</v>
      </c>
    </row>
    <row r="155" spans="1:9" x14ac:dyDescent="0.3">
      <c r="A155" s="26">
        <v>44935</v>
      </c>
      <c r="B155" s="27" t="s">
        <v>116</v>
      </c>
      <c r="C155" s="27" t="s">
        <v>6</v>
      </c>
      <c r="D155" s="27" t="s">
        <v>16</v>
      </c>
      <c r="E155" s="28">
        <v>166700</v>
      </c>
      <c r="F155" s="28">
        <v>177400</v>
      </c>
      <c r="G155" s="27" t="s">
        <v>17</v>
      </c>
      <c r="H155" s="27" t="s">
        <v>3591</v>
      </c>
      <c r="I155" s="27" t="s">
        <v>9</v>
      </c>
    </row>
    <row r="156" spans="1:9" x14ac:dyDescent="0.3">
      <c r="A156" s="26">
        <v>44935</v>
      </c>
      <c r="B156" s="27" t="s">
        <v>116</v>
      </c>
      <c r="C156" s="27" t="s">
        <v>6</v>
      </c>
      <c r="D156" s="27" t="s">
        <v>21</v>
      </c>
      <c r="E156" s="28">
        <v>140800</v>
      </c>
      <c r="F156" s="28">
        <v>168500</v>
      </c>
      <c r="G156" s="27" t="s">
        <v>22</v>
      </c>
      <c r="H156" s="27" t="s">
        <v>3696</v>
      </c>
      <c r="I156" s="27" t="s">
        <v>9</v>
      </c>
    </row>
    <row r="157" spans="1:9" x14ac:dyDescent="0.3">
      <c r="A157" s="26">
        <v>44935</v>
      </c>
      <c r="B157" s="27" t="s">
        <v>116</v>
      </c>
      <c r="C157" s="27" t="s">
        <v>93</v>
      </c>
      <c r="D157" s="27" t="s">
        <v>21</v>
      </c>
      <c r="E157" s="28">
        <v>81900</v>
      </c>
      <c r="F157" s="28">
        <v>101900</v>
      </c>
      <c r="G157" s="27" t="s">
        <v>11</v>
      </c>
      <c r="H157" s="27" t="s">
        <v>3849</v>
      </c>
      <c r="I157" s="27" t="s">
        <v>9</v>
      </c>
    </row>
    <row r="158" spans="1:9" x14ac:dyDescent="0.3">
      <c r="A158" s="26">
        <v>44935</v>
      </c>
      <c r="B158" s="27" t="s">
        <v>116</v>
      </c>
      <c r="C158" s="27" t="s">
        <v>6</v>
      </c>
      <c r="D158" s="27" t="s">
        <v>16</v>
      </c>
      <c r="E158" s="28">
        <v>96700</v>
      </c>
      <c r="F158" s="28">
        <v>84900</v>
      </c>
      <c r="G158" s="27" t="s">
        <v>11</v>
      </c>
      <c r="H158" s="27" t="s">
        <v>4779</v>
      </c>
      <c r="I158" s="27" t="s">
        <v>9</v>
      </c>
    </row>
    <row r="159" spans="1:9" x14ac:dyDescent="0.3">
      <c r="A159" s="26">
        <v>44935</v>
      </c>
      <c r="B159" s="27" t="s">
        <v>116</v>
      </c>
      <c r="C159" s="27" t="s">
        <v>6</v>
      </c>
      <c r="D159" s="27" t="s">
        <v>24</v>
      </c>
      <c r="E159" s="28">
        <v>63600</v>
      </c>
      <c r="F159" s="28">
        <v>70900</v>
      </c>
      <c r="G159" s="27" t="s">
        <v>11</v>
      </c>
      <c r="H159" s="27" t="s">
        <v>4824</v>
      </c>
      <c r="I159" s="27" t="s">
        <v>9</v>
      </c>
    </row>
    <row r="160" spans="1:9" x14ac:dyDescent="0.3">
      <c r="A160" s="26">
        <v>44935</v>
      </c>
      <c r="B160" s="27" t="s">
        <v>116</v>
      </c>
      <c r="C160" s="27" t="s">
        <v>93</v>
      </c>
      <c r="D160" s="27" t="s">
        <v>21</v>
      </c>
      <c r="E160" s="28">
        <v>53500</v>
      </c>
      <c r="F160" s="28">
        <v>53600</v>
      </c>
      <c r="G160" s="27" t="s">
        <v>17</v>
      </c>
      <c r="H160" s="27" t="s">
        <v>5581</v>
      </c>
      <c r="I160" s="27" t="s">
        <v>9</v>
      </c>
    </row>
    <row r="161" spans="1:9" x14ac:dyDescent="0.3">
      <c r="A161" s="26">
        <v>44935</v>
      </c>
      <c r="B161" s="27" t="s">
        <v>116</v>
      </c>
      <c r="C161" s="27" t="s">
        <v>6</v>
      </c>
      <c r="D161" s="27" t="s">
        <v>19</v>
      </c>
      <c r="E161" s="28">
        <v>167600</v>
      </c>
      <c r="F161" s="28">
        <v>159300</v>
      </c>
      <c r="G161" s="27" t="s">
        <v>17</v>
      </c>
      <c r="H161" s="27" t="s">
        <v>5826</v>
      </c>
      <c r="I161" s="27" t="s">
        <v>9</v>
      </c>
    </row>
    <row r="162" spans="1:9" x14ac:dyDescent="0.3">
      <c r="A162" s="26">
        <v>44935</v>
      </c>
      <c r="B162" s="27" t="s">
        <v>116</v>
      </c>
      <c r="C162" s="27" t="s">
        <v>6</v>
      </c>
      <c r="D162" s="27" t="s">
        <v>19</v>
      </c>
      <c r="E162" s="28">
        <v>136800</v>
      </c>
      <c r="F162" s="28">
        <v>207800</v>
      </c>
      <c r="G162" s="27" t="s">
        <v>11</v>
      </c>
      <c r="H162" s="27" t="s">
        <v>6242</v>
      </c>
      <c r="I162" s="27" t="s">
        <v>9</v>
      </c>
    </row>
    <row r="163" spans="1:9" x14ac:dyDescent="0.3">
      <c r="A163" s="26">
        <v>44935</v>
      </c>
      <c r="B163" s="27" t="s">
        <v>116</v>
      </c>
      <c r="C163" s="27" t="s">
        <v>6</v>
      </c>
      <c r="D163" s="27" t="s">
        <v>19</v>
      </c>
      <c r="E163" s="28">
        <v>47800</v>
      </c>
      <c r="F163" s="28">
        <v>43400</v>
      </c>
      <c r="G163" s="27" t="s">
        <v>11</v>
      </c>
      <c r="H163" s="27" t="s">
        <v>6397</v>
      </c>
      <c r="I163" s="27" t="s">
        <v>9</v>
      </c>
    </row>
    <row r="164" spans="1:9" x14ac:dyDescent="0.3">
      <c r="A164" s="26">
        <v>44935</v>
      </c>
      <c r="B164" s="27" t="s">
        <v>116</v>
      </c>
      <c r="C164" s="27" t="s">
        <v>93</v>
      </c>
      <c r="D164" s="27" t="s">
        <v>16</v>
      </c>
      <c r="E164" s="28">
        <v>54900</v>
      </c>
      <c r="F164" s="28">
        <v>43300</v>
      </c>
      <c r="G164" s="27" t="s">
        <v>11</v>
      </c>
      <c r="H164" s="27" t="s">
        <v>6556</v>
      </c>
      <c r="I164" s="27" t="s">
        <v>9</v>
      </c>
    </row>
    <row r="165" spans="1:9" x14ac:dyDescent="0.3">
      <c r="A165" s="26">
        <v>44935</v>
      </c>
      <c r="B165" s="27" t="s">
        <v>116</v>
      </c>
      <c r="C165" s="27" t="s">
        <v>6</v>
      </c>
      <c r="D165" s="27" t="s">
        <v>21</v>
      </c>
      <c r="E165" s="28">
        <v>253800</v>
      </c>
      <c r="F165" s="28">
        <v>296700</v>
      </c>
      <c r="G165" s="27" t="s">
        <v>11</v>
      </c>
      <c r="H165" s="27" t="s">
        <v>6751</v>
      </c>
      <c r="I165" s="27" t="s">
        <v>9</v>
      </c>
    </row>
    <row r="166" spans="1:9" x14ac:dyDescent="0.3">
      <c r="A166" s="26">
        <v>44936</v>
      </c>
      <c r="B166" s="27" t="s">
        <v>116</v>
      </c>
      <c r="C166" s="27" t="s">
        <v>14</v>
      </c>
      <c r="D166" s="27" t="s">
        <v>16</v>
      </c>
      <c r="E166" s="28">
        <v>88699</v>
      </c>
      <c r="F166" s="28">
        <v>66594</v>
      </c>
      <c r="G166" s="27" t="s">
        <v>17</v>
      </c>
      <c r="H166" s="27" t="s">
        <v>255</v>
      </c>
      <c r="I166" s="27" t="s">
        <v>13</v>
      </c>
    </row>
    <row r="167" spans="1:9" x14ac:dyDescent="0.3">
      <c r="A167" s="26">
        <v>44936</v>
      </c>
      <c r="B167" s="27" t="s">
        <v>116</v>
      </c>
      <c r="C167" s="27" t="s">
        <v>14</v>
      </c>
      <c r="D167" s="27" t="s">
        <v>24</v>
      </c>
      <c r="E167" s="28">
        <v>130123</v>
      </c>
      <c r="F167" s="28">
        <v>162254</v>
      </c>
      <c r="G167" s="27" t="s">
        <v>8</v>
      </c>
      <c r="H167" s="27" t="s">
        <v>799</v>
      </c>
      <c r="I167" s="27" t="s">
        <v>13</v>
      </c>
    </row>
    <row r="168" spans="1:9" x14ac:dyDescent="0.3">
      <c r="A168" s="26">
        <v>44936</v>
      </c>
      <c r="B168" s="27" t="s">
        <v>116</v>
      </c>
      <c r="C168" s="27" t="s">
        <v>10</v>
      </c>
      <c r="D168" s="27" t="s">
        <v>7</v>
      </c>
      <c r="E168" s="28">
        <v>103254</v>
      </c>
      <c r="F168" s="28">
        <v>10164</v>
      </c>
      <c r="G168" s="27" t="s">
        <v>22</v>
      </c>
      <c r="H168" s="27" t="s">
        <v>1056</v>
      </c>
      <c r="I168" s="27" t="s">
        <v>13</v>
      </c>
    </row>
    <row r="169" spans="1:9" x14ac:dyDescent="0.3">
      <c r="A169" s="26">
        <v>44936</v>
      </c>
      <c r="B169" s="27" t="s">
        <v>116</v>
      </c>
      <c r="C169" s="27" t="s">
        <v>10</v>
      </c>
      <c r="D169" s="27" t="s">
        <v>21</v>
      </c>
      <c r="E169" s="28">
        <v>22193</v>
      </c>
      <c r="F169" s="28">
        <v>152160</v>
      </c>
      <c r="G169" s="27" t="s">
        <v>17</v>
      </c>
      <c r="H169" s="27" t="s">
        <v>1093</v>
      </c>
      <c r="I169" s="27" t="s">
        <v>13</v>
      </c>
    </row>
    <row r="170" spans="1:9" x14ac:dyDescent="0.3">
      <c r="A170" s="26">
        <v>44936</v>
      </c>
      <c r="B170" s="27" t="s">
        <v>116</v>
      </c>
      <c r="C170" s="27" t="s">
        <v>18</v>
      </c>
      <c r="D170" s="27" t="s">
        <v>24</v>
      </c>
      <c r="E170" s="28">
        <v>34646</v>
      </c>
      <c r="F170" s="28">
        <v>38373</v>
      </c>
      <c r="G170" s="27" t="s">
        <v>8</v>
      </c>
      <c r="H170" s="27" t="s">
        <v>1865</v>
      </c>
      <c r="I170" s="27" t="s">
        <v>13</v>
      </c>
    </row>
    <row r="171" spans="1:9" x14ac:dyDescent="0.3">
      <c r="A171" s="26">
        <v>44936</v>
      </c>
      <c r="B171" s="27" t="s">
        <v>116</v>
      </c>
      <c r="C171" s="27" t="s">
        <v>10</v>
      </c>
      <c r="D171" s="27" t="s">
        <v>21</v>
      </c>
      <c r="E171" s="28">
        <v>93808</v>
      </c>
      <c r="F171" s="28">
        <v>80283</v>
      </c>
      <c r="G171" s="27" t="s">
        <v>22</v>
      </c>
      <c r="H171" s="27" t="s">
        <v>2772</v>
      </c>
      <c r="I171" s="27" t="s">
        <v>13</v>
      </c>
    </row>
    <row r="172" spans="1:9" x14ac:dyDescent="0.3">
      <c r="A172" s="26">
        <v>44936</v>
      </c>
      <c r="B172" s="27" t="s">
        <v>116</v>
      </c>
      <c r="C172" s="27" t="s">
        <v>20</v>
      </c>
      <c r="D172" s="27" t="s">
        <v>7</v>
      </c>
      <c r="E172" s="28">
        <v>56637</v>
      </c>
      <c r="F172" s="28">
        <v>95464</v>
      </c>
      <c r="G172" s="27" t="s">
        <v>17</v>
      </c>
      <c r="H172" s="27" t="s">
        <v>2817</v>
      </c>
      <c r="I172" s="27" t="s">
        <v>13</v>
      </c>
    </row>
    <row r="173" spans="1:9" x14ac:dyDescent="0.3">
      <c r="A173" s="26">
        <v>44936</v>
      </c>
      <c r="B173" s="27" t="s">
        <v>116</v>
      </c>
      <c r="C173" s="27" t="s">
        <v>18</v>
      </c>
      <c r="D173" s="27" t="s">
        <v>7</v>
      </c>
      <c r="E173" s="28">
        <v>99233</v>
      </c>
      <c r="F173" s="28">
        <v>164671</v>
      </c>
      <c r="G173" s="27" t="s">
        <v>8</v>
      </c>
      <c r="H173" s="27" t="s">
        <v>2929</v>
      </c>
      <c r="I173" s="27" t="s">
        <v>13</v>
      </c>
    </row>
    <row r="174" spans="1:9" x14ac:dyDescent="0.3">
      <c r="A174" s="26">
        <v>44936</v>
      </c>
      <c r="B174" s="27" t="s">
        <v>116</v>
      </c>
      <c r="C174" s="27" t="s">
        <v>15</v>
      </c>
      <c r="D174" s="27" t="s">
        <v>24</v>
      </c>
      <c r="E174" s="28">
        <v>148589</v>
      </c>
      <c r="F174" s="28">
        <v>9816</v>
      </c>
      <c r="G174" s="27" t="s">
        <v>8</v>
      </c>
      <c r="H174" s="27" t="s">
        <v>3069</v>
      </c>
      <c r="I174" s="27" t="s">
        <v>13</v>
      </c>
    </row>
    <row r="175" spans="1:9" x14ac:dyDescent="0.3">
      <c r="A175" s="26">
        <v>44936</v>
      </c>
      <c r="B175" s="27" t="s">
        <v>116</v>
      </c>
      <c r="C175" s="27" t="s">
        <v>15</v>
      </c>
      <c r="D175" s="27" t="s">
        <v>7</v>
      </c>
      <c r="E175" s="28">
        <v>54778</v>
      </c>
      <c r="F175" s="28">
        <v>18637</v>
      </c>
      <c r="G175" s="27" t="s">
        <v>8</v>
      </c>
      <c r="H175" s="27" t="s">
        <v>3362</v>
      </c>
      <c r="I175" s="27" t="s">
        <v>13</v>
      </c>
    </row>
    <row r="176" spans="1:9" x14ac:dyDescent="0.3">
      <c r="A176" s="26">
        <v>44936</v>
      </c>
      <c r="B176" s="27" t="s">
        <v>116</v>
      </c>
      <c r="C176" s="27" t="s">
        <v>20</v>
      </c>
      <c r="D176" s="27" t="s">
        <v>7</v>
      </c>
      <c r="E176" s="28">
        <v>144529</v>
      </c>
      <c r="F176" s="28">
        <v>42951</v>
      </c>
      <c r="G176" s="27" t="s">
        <v>22</v>
      </c>
      <c r="H176" s="27" t="s">
        <v>3398</v>
      </c>
      <c r="I176" s="27" t="s">
        <v>13</v>
      </c>
    </row>
    <row r="177" spans="1:9" x14ac:dyDescent="0.3">
      <c r="A177" s="26">
        <v>44936</v>
      </c>
      <c r="B177" s="27" t="s">
        <v>116</v>
      </c>
      <c r="C177" s="27" t="s">
        <v>93</v>
      </c>
      <c r="D177" s="27" t="s">
        <v>16</v>
      </c>
      <c r="E177" s="28">
        <v>95100</v>
      </c>
      <c r="F177" s="28">
        <v>105300</v>
      </c>
      <c r="G177" s="27" t="s">
        <v>11</v>
      </c>
      <c r="H177" s="27" t="s">
        <v>3636</v>
      </c>
      <c r="I177" s="27" t="s">
        <v>9</v>
      </c>
    </row>
    <row r="178" spans="1:9" x14ac:dyDescent="0.3">
      <c r="A178" s="26">
        <v>44936</v>
      </c>
      <c r="B178" s="27" t="s">
        <v>116</v>
      </c>
      <c r="C178" s="27" t="s">
        <v>6</v>
      </c>
      <c r="D178" s="27" t="s">
        <v>24</v>
      </c>
      <c r="E178" s="28">
        <v>149300</v>
      </c>
      <c r="F178" s="28">
        <v>119500</v>
      </c>
      <c r="G178" s="27" t="s">
        <v>22</v>
      </c>
      <c r="H178" s="27" t="s">
        <v>4180</v>
      </c>
      <c r="I178" s="27" t="s">
        <v>9</v>
      </c>
    </row>
    <row r="179" spans="1:9" x14ac:dyDescent="0.3">
      <c r="A179" s="26">
        <v>44936</v>
      </c>
      <c r="B179" s="27" t="s">
        <v>116</v>
      </c>
      <c r="C179" s="27" t="s">
        <v>6</v>
      </c>
      <c r="D179" s="27" t="s">
        <v>7</v>
      </c>
      <c r="E179" s="28">
        <v>70500</v>
      </c>
      <c r="F179" s="28">
        <v>78900</v>
      </c>
      <c r="G179" s="27" t="s">
        <v>11</v>
      </c>
      <c r="H179" s="27" t="s">
        <v>4438</v>
      </c>
      <c r="I179" s="27" t="s">
        <v>9</v>
      </c>
    </row>
    <row r="180" spans="1:9" x14ac:dyDescent="0.3">
      <c r="A180" s="26">
        <v>44936</v>
      </c>
      <c r="B180" s="27" t="s">
        <v>116</v>
      </c>
      <c r="C180" s="27" t="s">
        <v>6</v>
      </c>
      <c r="D180" s="27" t="s">
        <v>21</v>
      </c>
      <c r="E180" s="28">
        <v>139300</v>
      </c>
      <c r="F180" s="28">
        <v>161600</v>
      </c>
      <c r="G180" s="27" t="s">
        <v>11</v>
      </c>
      <c r="H180" s="27" t="s">
        <v>4475</v>
      </c>
      <c r="I180" s="27" t="s">
        <v>9</v>
      </c>
    </row>
    <row r="181" spans="1:9" x14ac:dyDescent="0.3">
      <c r="A181" s="26">
        <v>44936</v>
      </c>
      <c r="B181" s="27" t="s">
        <v>116</v>
      </c>
      <c r="C181" s="27" t="s">
        <v>6</v>
      </c>
      <c r="D181" s="27" t="s">
        <v>24</v>
      </c>
      <c r="E181" s="28">
        <v>176800</v>
      </c>
      <c r="F181" s="28">
        <v>188900</v>
      </c>
      <c r="G181" s="27" t="s">
        <v>22</v>
      </c>
      <c r="H181" s="27" t="s">
        <v>5249</v>
      </c>
      <c r="I181" s="27" t="s">
        <v>9</v>
      </c>
    </row>
    <row r="182" spans="1:9" x14ac:dyDescent="0.3">
      <c r="A182" s="26">
        <v>44936</v>
      </c>
      <c r="B182" s="27" t="s">
        <v>116</v>
      </c>
      <c r="C182" s="27" t="s">
        <v>6</v>
      </c>
      <c r="D182" s="27" t="s">
        <v>21</v>
      </c>
      <c r="E182" s="28">
        <v>154700</v>
      </c>
      <c r="F182" s="28">
        <v>153200</v>
      </c>
      <c r="G182" s="27" t="s">
        <v>11</v>
      </c>
      <c r="H182" s="27" t="s">
        <v>6157</v>
      </c>
      <c r="I182" s="27" t="s">
        <v>9</v>
      </c>
    </row>
    <row r="183" spans="1:9" x14ac:dyDescent="0.3">
      <c r="A183" s="26">
        <v>44936</v>
      </c>
      <c r="B183" s="27" t="s">
        <v>116</v>
      </c>
      <c r="C183" s="27" t="s">
        <v>6</v>
      </c>
      <c r="D183" s="27" t="s">
        <v>7</v>
      </c>
      <c r="E183" s="28">
        <v>106200</v>
      </c>
      <c r="F183" s="28">
        <v>110700</v>
      </c>
      <c r="G183" s="27" t="s">
        <v>11</v>
      </c>
      <c r="H183" s="27" t="s">
        <v>6202</v>
      </c>
      <c r="I183" s="27" t="s">
        <v>9</v>
      </c>
    </row>
    <row r="184" spans="1:9" x14ac:dyDescent="0.3">
      <c r="A184" s="26">
        <v>44936</v>
      </c>
      <c r="B184" s="27" t="s">
        <v>116</v>
      </c>
      <c r="C184" s="27" t="s">
        <v>6</v>
      </c>
      <c r="D184" s="27" t="s">
        <v>7</v>
      </c>
      <c r="E184" s="28">
        <v>121500</v>
      </c>
      <c r="F184" s="28">
        <v>162500</v>
      </c>
      <c r="G184" s="27" t="s">
        <v>11</v>
      </c>
      <c r="H184" s="27" t="s">
        <v>6314</v>
      </c>
      <c r="I184" s="27" t="s">
        <v>9</v>
      </c>
    </row>
    <row r="185" spans="1:9" x14ac:dyDescent="0.3">
      <c r="A185" s="26">
        <v>44936</v>
      </c>
      <c r="B185" s="27" t="s">
        <v>116</v>
      </c>
      <c r="C185" s="27" t="s">
        <v>93</v>
      </c>
      <c r="D185" s="27" t="s">
        <v>24</v>
      </c>
      <c r="E185" s="28">
        <v>140200</v>
      </c>
      <c r="F185" s="28">
        <v>151800</v>
      </c>
      <c r="G185" s="27" t="s">
        <v>11</v>
      </c>
      <c r="H185" s="27" t="s">
        <v>6454</v>
      </c>
      <c r="I185" s="27" t="s">
        <v>9</v>
      </c>
    </row>
    <row r="186" spans="1:9" x14ac:dyDescent="0.3">
      <c r="A186" s="26">
        <v>44936</v>
      </c>
      <c r="B186" s="27" t="s">
        <v>116</v>
      </c>
      <c r="C186" s="27" t="s">
        <v>6</v>
      </c>
      <c r="D186" s="27" t="s">
        <v>7</v>
      </c>
      <c r="E186" s="28">
        <v>57600</v>
      </c>
      <c r="F186" s="28">
        <v>50100</v>
      </c>
      <c r="G186" s="27" t="s">
        <v>11</v>
      </c>
      <c r="H186" s="27" t="s">
        <v>6747</v>
      </c>
      <c r="I186" s="27" t="s">
        <v>9</v>
      </c>
    </row>
    <row r="187" spans="1:9" x14ac:dyDescent="0.3">
      <c r="A187" s="26">
        <v>44936</v>
      </c>
      <c r="B187" s="27" t="s">
        <v>116</v>
      </c>
      <c r="C187" s="27" t="s">
        <v>6</v>
      </c>
      <c r="D187" s="27" t="s">
        <v>7</v>
      </c>
      <c r="E187" s="28">
        <v>160600</v>
      </c>
      <c r="F187" s="28">
        <v>153700</v>
      </c>
      <c r="G187" s="27" t="s">
        <v>11</v>
      </c>
      <c r="H187" s="27" t="s">
        <v>6783</v>
      </c>
      <c r="I187" s="27" t="s">
        <v>9</v>
      </c>
    </row>
    <row r="188" spans="1:9" x14ac:dyDescent="0.3">
      <c r="A188" s="26">
        <v>44937</v>
      </c>
      <c r="B188" s="27" t="s">
        <v>116</v>
      </c>
      <c r="C188" s="27" t="s">
        <v>18</v>
      </c>
      <c r="D188" s="27" t="s">
        <v>19</v>
      </c>
      <c r="E188" s="28">
        <v>103039</v>
      </c>
      <c r="F188" s="28">
        <v>36669</v>
      </c>
      <c r="G188" s="27" t="s">
        <v>17</v>
      </c>
      <c r="H188" s="27" t="s">
        <v>176</v>
      </c>
      <c r="I188" s="27" t="s">
        <v>13</v>
      </c>
    </row>
    <row r="189" spans="1:9" x14ac:dyDescent="0.3">
      <c r="A189" s="26">
        <v>44937</v>
      </c>
      <c r="B189" s="27" t="s">
        <v>116</v>
      </c>
      <c r="C189" s="27" t="s">
        <v>15</v>
      </c>
      <c r="D189" s="27" t="s">
        <v>24</v>
      </c>
      <c r="E189" s="28">
        <v>124383</v>
      </c>
      <c r="F189" s="28">
        <v>168243</v>
      </c>
      <c r="G189" s="27" t="s">
        <v>8</v>
      </c>
      <c r="H189" s="27" t="s">
        <v>1044</v>
      </c>
      <c r="I189" s="27" t="s">
        <v>13</v>
      </c>
    </row>
    <row r="190" spans="1:9" x14ac:dyDescent="0.3">
      <c r="A190" s="26">
        <v>44937</v>
      </c>
      <c r="B190" s="27" t="s">
        <v>116</v>
      </c>
      <c r="C190" s="27" t="s">
        <v>18</v>
      </c>
      <c r="D190" s="27" t="s">
        <v>24</v>
      </c>
      <c r="E190" s="28">
        <v>78506</v>
      </c>
      <c r="F190" s="28">
        <v>103795</v>
      </c>
      <c r="G190" s="27" t="s">
        <v>11</v>
      </c>
      <c r="H190" s="27" t="s">
        <v>1893</v>
      </c>
      <c r="I190" s="27" t="s">
        <v>13</v>
      </c>
    </row>
    <row r="191" spans="1:9" x14ac:dyDescent="0.3">
      <c r="A191" s="26">
        <v>44937</v>
      </c>
      <c r="B191" s="27" t="s">
        <v>116</v>
      </c>
      <c r="C191" s="27" t="s">
        <v>32</v>
      </c>
      <c r="D191" s="27" t="s">
        <v>24</v>
      </c>
      <c r="E191" s="28">
        <v>63737</v>
      </c>
      <c r="F191" s="28">
        <v>80948</v>
      </c>
      <c r="G191" s="27" t="s">
        <v>22</v>
      </c>
      <c r="H191" s="27" t="s">
        <v>2874</v>
      </c>
      <c r="I191" s="27" t="s">
        <v>13</v>
      </c>
    </row>
    <row r="192" spans="1:9" x14ac:dyDescent="0.3">
      <c r="A192" s="26">
        <v>44937</v>
      </c>
      <c r="B192" s="27" t="s">
        <v>116</v>
      </c>
      <c r="C192" s="27" t="s">
        <v>18</v>
      </c>
      <c r="D192" s="27" t="s">
        <v>21</v>
      </c>
      <c r="E192" s="28">
        <v>125703</v>
      </c>
      <c r="F192" s="28">
        <v>22518</v>
      </c>
      <c r="G192" s="27" t="s">
        <v>11</v>
      </c>
      <c r="H192" s="27" t="s">
        <v>3006</v>
      </c>
      <c r="I192" s="27" t="s">
        <v>13</v>
      </c>
    </row>
    <row r="193" spans="1:9" x14ac:dyDescent="0.3">
      <c r="A193" s="26">
        <v>44937</v>
      </c>
      <c r="B193" s="27" t="s">
        <v>116</v>
      </c>
      <c r="C193" s="27" t="s">
        <v>6</v>
      </c>
      <c r="D193" s="27" t="s">
        <v>19</v>
      </c>
      <c r="E193" s="28">
        <v>183300</v>
      </c>
      <c r="F193" s="28">
        <v>164200</v>
      </c>
      <c r="G193" s="27" t="s">
        <v>22</v>
      </c>
      <c r="H193" s="27" t="s">
        <v>3557</v>
      </c>
      <c r="I193" s="27" t="s">
        <v>9</v>
      </c>
    </row>
    <row r="194" spans="1:9" x14ac:dyDescent="0.3">
      <c r="A194" s="26">
        <v>44937</v>
      </c>
      <c r="B194" s="27" t="s">
        <v>116</v>
      </c>
      <c r="C194" s="27" t="s">
        <v>6</v>
      </c>
      <c r="D194" s="27" t="s">
        <v>24</v>
      </c>
      <c r="E194" s="28">
        <v>66600</v>
      </c>
      <c r="F194" s="28">
        <v>58700</v>
      </c>
      <c r="G194" s="27" t="s">
        <v>22</v>
      </c>
      <c r="H194" s="27" t="s">
        <v>4426</v>
      </c>
      <c r="I194" s="27" t="s">
        <v>9</v>
      </c>
    </row>
    <row r="195" spans="1:9" x14ac:dyDescent="0.3">
      <c r="A195" s="26">
        <v>44937</v>
      </c>
      <c r="B195" s="27" t="s">
        <v>116</v>
      </c>
      <c r="C195" s="27" t="s">
        <v>93</v>
      </c>
      <c r="D195" s="27" t="s">
        <v>24</v>
      </c>
      <c r="E195" s="28">
        <v>206700</v>
      </c>
      <c r="F195" s="28">
        <v>203100</v>
      </c>
      <c r="G195" s="27" t="s">
        <v>11</v>
      </c>
      <c r="H195" s="27" t="s">
        <v>5277</v>
      </c>
      <c r="I195" s="27" t="s">
        <v>9</v>
      </c>
    </row>
    <row r="196" spans="1:9" x14ac:dyDescent="0.3">
      <c r="A196" s="26">
        <v>44937</v>
      </c>
      <c r="B196" s="27" t="s">
        <v>116</v>
      </c>
      <c r="C196" s="27" t="s">
        <v>6</v>
      </c>
      <c r="D196" s="27" t="s">
        <v>24</v>
      </c>
      <c r="E196" s="28">
        <v>70600</v>
      </c>
      <c r="F196" s="28">
        <v>75900</v>
      </c>
      <c r="G196" s="27" t="s">
        <v>11</v>
      </c>
      <c r="H196" s="27" t="s">
        <v>6259</v>
      </c>
      <c r="I196" s="27" t="s">
        <v>9</v>
      </c>
    </row>
    <row r="197" spans="1:9" x14ac:dyDescent="0.3">
      <c r="A197" s="26">
        <v>44937</v>
      </c>
      <c r="B197" s="27" t="s">
        <v>116</v>
      </c>
      <c r="C197" s="27" t="s">
        <v>6</v>
      </c>
      <c r="D197" s="27" t="s">
        <v>21</v>
      </c>
      <c r="E197" s="28">
        <v>121100</v>
      </c>
      <c r="F197" s="28">
        <v>96600</v>
      </c>
      <c r="G197" s="27" t="s">
        <v>11</v>
      </c>
      <c r="H197" s="27" t="s">
        <v>6391</v>
      </c>
      <c r="I197" s="27" t="s">
        <v>9</v>
      </c>
    </row>
    <row r="198" spans="1:9" x14ac:dyDescent="0.3">
      <c r="A198" s="26">
        <v>44938</v>
      </c>
      <c r="B198" s="27" t="s">
        <v>116</v>
      </c>
      <c r="C198" s="27" t="s">
        <v>15</v>
      </c>
      <c r="D198" s="27" t="s">
        <v>24</v>
      </c>
      <c r="E198" s="28">
        <v>71631</v>
      </c>
      <c r="F198" s="28">
        <v>97191</v>
      </c>
      <c r="G198" s="27" t="s">
        <v>11</v>
      </c>
      <c r="H198" s="27" t="s">
        <v>731</v>
      </c>
      <c r="I198" s="27" t="s">
        <v>13</v>
      </c>
    </row>
    <row r="199" spans="1:9" x14ac:dyDescent="0.3">
      <c r="A199" s="26">
        <v>44938</v>
      </c>
      <c r="B199" s="27" t="s">
        <v>116</v>
      </c>
      <c r="C199" s="27" t="s">
        <v>18</v>
      </c>
      <c r="D199" s="27" t="s">
        <v>16</v>
      </c>
      <c r="E199" s="28">
        <v>111890</v>
      </c>
      <c r="F199" s="28">
        <v>134861</v>
      </c>
      <c r="G199" s="27" t="s">
        <v>22</v>
      </c>
      <c r="H199" s="27" t="s">
        <v>1193</v>
      </c>
      <c r="I199" s="27" t="s">
        <v>13</v>
      </c>
    </row>
    <row r="200" spans="1:9" x14ac:dyDescent="0.3">
      <c r="A200" s="26">
        <v>44938</v>
      </c>
      <c r="B200" s="27" t="s">
        <v>116</v>
      </c>
      <c r="C200" s="27" t="s">
        <v>10</v>
      </c>
      <c r="D200" s="27" t="s">
        <v>24</v>
      </c>
      <c r="E200" s="28">
        <v>73903</v>
      </c>
      <c r="F200" s="28">
        <v>102827</v>
      </c>
      <c r="G200" s="27" t="s">
        <v>8</v>
      </c>
      <c r="H200" s="27" t="s">
        <v>1319</v>
      </c>
      <c r="I200" s="27" t="s">
        <v>13</v>
      </c>
    </row>
    <row r="201" spans="1:9" x14ac:dyDescent="0.3">
      <c r="A201" s="26">
        <v>44938</v>
      </c>
      <c r="B201" s="27" t="s">
        <v>116</v>
      </c>
      <c r="C201" s="27" t="s">
        <v>14</v>
      </c>
      <c r="D201" s="27" t="s">
        <v>24</v>
      </c>
      <c r="E201" s="28">
        <v>112462</v>
      </c>
      <c r="F201" s="28">
        <v>89041</v>
      </c>
      <c r="G201" s="27" t="s">
        <v>22</v>
      </c>
      <c r="H201" s="27" t="s">
        <v>1597</v>
      </c>
      <c r="I201" s="27" t="s">
        <v>13</v>
      </c>
    </row>
    <row r="202" spans="1:9" x14ac:dyDescent="0.3">
      <c r="A202" s="26">
        <v>44938</v>
      </c>
      <c r="B202" s="27" t="s">
        <v>116</v>
      </c>
      <c r="C202" s="27" t="s">
        <v>10</v>
      </c>
      <c r="D202" s="27" t="s">
        <v>24</v>
      </c>
      <c r="E202" s="28">
        <v>108634</v>
      </c>
      <c r="F202" s="28">
        <v>24466</v>
      </c>
      <c r="G202" s="27" t="s">
        <v>11</v>
      </c>
      <c r="H202" s="27" t="s">
        <v>1608</v>
      </c>
      <c r="I202" s="27" t="s">
        <v>13</v>
      </c>
    </row>
    <row r="203" spans="1:9" x14ac:dyDescent="0.3">
      <c r="A203" s="26">
        <v>44938</v>
      </c>
      <c r="B203" s="27" t="s">
        <v>116</v>
      </c>
      <c r="C203" s="27" t="s">
        <v>15</v>
      </c>
      <c r="D203" s="27" t="s">
        <v>24</v>
      </c>
      <c r="E203" s="28">
        <v>124643</v>
      </c>
      <c r="F203" s="28">
        <v>99765</v>
      </c>
      <c r="G203" s="27" t="s">
        <v>11</v>
      </c>
      <c r="H203" s="27" t="s">
        <v>2168</v>
      </c>
      <c r="I203" s="27" t="s">
        <v>13</v>
      </c>
    </row>
    <row r="204" spans="1:9" x14ac:dyDescent="0.3">
      <c r="A204" s="26">
        <v>44938</v>
      </c>
      <c r="B204" s="27" t="s">
        <v>116</v>
      </c>
      <c r="C204" s="27" t="s">
        <v>32</v>
      </c>
      <c r="D204" s="27" t="s">
        <v>24</v>
      </c>
      <c r="E204" s="28">
        <v>29193</v>
      </c>
      <c r="F204" s="28">
        <v>154140</v>
      </c>
      <c r="G204" s="27" t="s">
        <v>17</v>
      </c>
      <c r="H204" s="27" t="s">
        <v>2494</v>
      </c>
      <c r="I204" s="27" t="s">
        <v>13</v>
      </c>
    </row>
    <row r="205" spans="1:9" x14ac:dyDescent="0.3">
      <c r="A205" s="26">
        <v>44938</v>
      </c>
      <c r="B205" s="27" t="s">
        <v>116</v>
      </c>
      <c r="C205" s="27" t="s">
        <v>15</v>
      </c>
      <c r="D205" s="27" t="s">
        <v>21</v>
      </c>
      <c r="E205" s="28">
        <v>100111</v>
      </c>
      <c r="F205" s="28">
        <v>94977</v>
      </c>
      <c r="G205" s="27" t="s">
        <v>22</v>
      </c>
      <c r="H205" s="27" t="s">
        <v>3248</v>
      </c>
      <c r="I205" s="27" t="s">
        <v>13</v>
      </c>
    </row>
    <row r="206" spans="1:9" x14ac:dyDescent="0.3">
      <c r="A206" s="26">
        <v>44938</v>
      </c>
      <c r="B206" s="27" t="s">
        <v>116</v>
      </c>
      <c r="C206" s="27" t="s">
        <v>93</v>
      </c>
      <c r="D206" s="27" t="s">
        <v>24</v>
      </c>
      <c r="E206" s="28">
        <v>95300</v>
      </c>
      <c r="F206" s="28">
        <v>115500</v>
      </c>
      <c r="G206" s="27" t="s">
        <v>22</v>
      </c>
      <c r="H206" s="27" t="s">
        <v>4112</v>
      </c>
      <c r="I206" s="27" t="s">
        <v>9</v>
      </c>
    </row>
    <row r="207" spans="1:9" x14ac:dyDescent="0.3">
      <c r="A207" s="26">
        <v>44938</v>
      </c>
      <c r="B207" s="27" t="s">
        <v>116</v>
      </c>
      <c r="C207" s="27" t="s">
        <v>6</v>
      </c>
      <c r="D207" s="27" t="s">
        <v>16</v>
      </c>
      <c r="E207" s="28">
        <v>104500</v>
      </c>
      <c r="F207" s="28">
        <v>86100</v>
      </c>
      <c r="G207" s="27" t="s">
        <v>11</v>
      </c>
      <c r="H207" s="27" t="s">
        <v>4576</v>
      </c>
      <c r="I207" s="27" t="s">
        <v>9</v>
      </c>
    </row>
    <row r="208" spans="1:9" x14ac:dyDescent="0.3">
      <c r="A208" s="26">
        <v>44938</v>
      </c>
      <c r="B208" s="27" t="s">
        <v>116</v>
      </c>
      <c r="C208" s="27" t="s">
        <v>93</v>
      </c>
      <c r="D208" s="27" t="s">
        <v>24</v>
      </c>
      <c r="E208" s="28">
        <v>106000</v>
      </c>
      <c r="F208" s="28">
        <v>130500</v>
      </c>
      <c r="G208" s="27" t="s">
        <v>22</v>
      </c>
      <c r="H208" s="27" t="s">
        <v>4702</v>
      </c>
      <c r="I208" s="27" t="s">
        <v>9</v>
      </c>
    </row>
    <row r="209" spans="1:9" x14ac:dyDescent="0.3">
      <c r="A209" s="26">
        <v>44938</v>
      </c>
      <c r="B209" s="27" t="s">
        <v>116</v>
      </c>
      <c r="C209" s="27" t="s">
        <v>6</v>
      </c>
      <c r="D209" s="27" t="s">
        <v>24</v>
      </c>
      <c r="E209" s="28">
        <v>150100</v>
      </c>
      <c r="F209" s="28">
        <v>129100</v>
      </c>
      <c r="G209" s="27" t="s">
        <v>22</v>
      </c>
      <c r="H209" s="27" t="s">
        <v>4980</v>
      </c>
      <c r="I209" s="27" t="s">
        <v>9</v>
      </c>
    </row>
    <row r="210" spans="1:9" x14ac:dyDescent="0.3">
      <c r="A210" s="26">
        <v>44938</v>
      </c>
      <c r="B210" s="27" t="s">
        <v>116</v>
      </c>
      <c r="C210" s="27" t="s">
        <v>6</v>
      </c>
      <c r="D210" s="27" t="s">
        <v>24</v>
      </c>
      <c r="E210" s="28">
        <v>90300</v>
      </c>
      <c r="F210" s="28">
        <v>82700</v>
      </c>
      <c r="G210" s="27" t="s">
        <v>11</v>
      </c>
      <c r="H210" s="27" t="s">
        <v>4991</v>
      </c>
      <c r="I210" s="27" t="s">
        <v>9</v>
      </c>
    </row>
    <row r="211" spans="1:9" x14ac:dyDescent="0.3">
      <c r="A211" s="26">
        <v>44938</v>
      </c>
      <c r="B211" s="27" t="s">
        <v>116</v>
      </c>
      <c r="C211" s="27" t="s">
        <v>6</v>
      </c>
      <c r="D211" s="27" t="s">
        <v>24</v>
      </c>
      <c r="E211" s="28">
        <v>135300</v>
      </c>
      <c r="F211" s="28">
        <v>167700</v>
      </c>
      <c r="G211" s="27" t="s">
        <v>11</v>
      </c>
      <c r="H211" s="27" t="s">
        <v>5553</v>
      </c>
      <c r="I211" s="27" t="s">
        <v>9</v>
      </c>
    </row>
    <row r="212" spans="1:9" x14ac:dyDescent="0.3">
      <c r="A212" s="26">
        <v>44938</v>
      </c>
      <c r="B212" s="27" t="s">
        <v>116</v>
      </c>
      <c r="C212" s="27" t="s">
        <v>93</v>
      </c>
      <c r="D212" s="27" t="s">
        <v>24</v>
      </c>
      <c r="E212" s="28">
        <v>137100</v>
      </c>
      <c r="F212" s="28">
        <v>147200</v>
      </c>
      <c r="G212" s="27" t="s">
        <v>11</v>
      </c>
      <c r="H212" s="27" t="s">
        <v>5879</v>
      </c>
      <c r="I212" s="27" t="s">
        <v>9</v>
      </c>
    </row>
    <row r="213" spans="1:9" x14ac:dyDescent="0.3">
      <c r="A213" s="26">
        <v>44938</v>
      </c>
      <c r="B213" s="27" t="s">
        <v>116</v>
      </c>
      <c r="C213" s="27" t="s">
        <v>93</v>
      </c>
      <c r="D213" s="27" t="s">
        <v>21</v>
      </c>
      <c r="E213" s="28">
        <v>135300</v>
      </c>
      <c r="F213" s="28">
        <v>112500</v>
      </c>
      <c r="G213" s="27" t="s">
        <v>11</v>
      </c>
      <c r="H213" s="27" t="s">
        <v>6633</v>
      </c>
      <c r="I213" s="27" t="s">
        <v>9</v>
      </c>
    </row>
    <row r="214" spans="1:9" x14ac:dyDescent="0.3">
      <c r="A214" s="26">
        <v>44939</v>
      </c>
      <c r="B214" s="27" t="s">
        <v>116</v>
      </c>
      <c r="C214" s="27" t="s">
        <v>10</v>
      </c>
      <c r="D214" s="27" t="s">
        <v>7</v>
      </c>
      <c r="E214" s="28">
        <v>135114</v>
      </c>
      <c r="F214" s="28">
        <v>162322</v>
      </c>
      <c r="G214" s="27" t="s">
        <v>11</v>
      </c>
      <c r="H214" s="27" t="s">
        <v>12</v>
      </c>
      <c r="I214" s="27" t="s">
        <v>13</v>
      </c>
    </row>
    <row r="215" spans="1:9" x14ac:dyDescent="0.3">
      <c r="A215" s="26">
        <v>44939</v>
      </c>
      <c r="B215" s="27" t="s">
        <v>116</v>
      </c>
      <c r="C215" s="27" t="s">
        <v>18</v>
      </c>
      <c r="D215" s="27" t="s">
        <v>16</v>
      </c>
      <c r="E215" s="28">
        <v>22023</v>
      </c>
      <c r="F215" s="28">
        <v>117067</v>
      </c>
      <c r="G215" s="27" t="s">
        <v>17</v>
      </c>
      <c r="H215" s="27" t="s">
        <v>811</v>
      </c>
      <c r="I215" s="27" t="s">
        <v>13</v>
      </c>
    </row>
    <row r="216" spans="1:9" x14ac:dyDescent="0.3">
      <c r="A216" s="26">
        <v>44939</v>
      </c>
      <c r="B216" s="27" t="s">
        <v>116</v>
      </c>
      <c r="C216" s="27" t="s">
        <v>20</v>
      </c>
      <c r="D216" s="27" t="s">
        <v>7</v>
      </c>
      <c r="E216" s="28">
        <v>142559</v>
      </c>
      <c r="F216" s="28">
        <v>23168</v>
      </c>
      <c r="G216" s="27" t="s">
        <v>8</v>
      </c>
      <c r="H216" s="27" t="s">
        <v>2037</v>
      </c>
      <c r="I216" s="27" t="s">
        <v>13</v>
      </c>
    </row>
    <row r="217" spans="1:9" x14ac:dyDescent="0.3">
      <c r="A217" s="26">
        <v>44939</v>
      </c>
      <c r="B217" s="27" t="s">
        <v>116</v>
      </c>
      <c r="C217" s="27" t="s">
        <v>20</v>
      </c>
      <c r="D217" s="27" t="s">
        <v>16</v>
      </c>
      <c r="E217" s="28">
        <v>80353</v>
      </c>
      <c r="F217" s="28">
        <v>169845</v>
      </c>
      <c r="G217" s="27" t="s">
        <v>22</v>
      </c>
      <c r="H217" s="27" t="s">
        <v>2131</v>
      </c>
      <c r="I217" s="27" t="s">
        <v>13</v>
      </c>
    </row>
    <row r="218" spans="1:9" x14ac:dyDescent="0.3">
      <c r="A218" s="26">
        <v>44939</v>
      </c>
      <c r="B218" s="27" t="s">
        <v>116</v>
      </c>
      <c r="C218" s="27" t="s">
        <v>15</v>
      </c>
      <c r="D218" s="27" t="s">
        <v>24</v>
      </c>
      <c r="E218" s="28">
        <v>107150</v>
      </c>
      <c r="F218" s="28">
        <v>107749</v>
      </c>
      <c r="G218" s="27" t="s">
        <v>11</v>
      </c>
      <c r="H218" s="27" t="s">
        <v>2465</v>
      </c>
      <c r="I218" s="27" t="s">
        <v>13</v>
      </c>
    </row>
    <row r="219" spans="1:9" x14ac:dyDescent="0.3">
      <c r="A219" s="26">
        <v>44939</v>
      </c>
      <c r="B219" s="27" t="s">
        <v>116</v>
      </c>
      <c r="C219" s="27" t="s">
        <v>14</v>
      </c>
      <c r="D219" s="27" t="s">
        <v>19</v>
      </c>
      <c r="E219" s="28">
        <v>10073</v>
      </c>
      <c r="F219" s="28">
        <v>74133</v>
      </c>
      <c r="G219" s="27" t="s">
        <v>8</v>
      </c>
      <c r="H219" s="27" t="s">
        <v>2499</v>
      </c>
      <c r="I219" s="27" t="s">
        <v>13</v>
      </c>
    </row>
    <row r="220" spans="1:9" x14ac:dyDescent="0.3">
      <c r="A220" s="26">
        <v>44939</v>
      </c>
      <c r="B220" s="27" t="s">
        <v>116</v>
      </c>
      <c r="C220" s="27" t="s">
        <v>10</v>
      </c>
      <c r="D220" s="27" t="s">
        <v>7</v>
      </c>
      <c r="E220" s="28">
        <v>136657</v>
      </c>
      <c r="F220" s="28">
        <v>124231</v>
      </c>
      <c r="G220" s="27" t="s">
        <v>17</v>
      </c>
      <c r="H220" s="27" t="s">
        <v>2602</v>
      </c>
      <c r="I220" s="27" t="s">
        <v>13</v>
      </c>
    </row>
    <row r="221" spans="1:9" x14ac:dyDescent="0.3">
      <c r="A221" s="26">
        <v>44939</v>
      </c>
      <c r="B221" s="27" t="s">
        <v>116</v>
      </c>
      <c r="C221" s="27" t="s">
        <v>14</v>
      </c>
      <c r="D221" s="27" t="s">
        <v>7</v>
      </c>
      <c r="E221" s="28">
        <v>109952</v>
      </c>
      <c r="F221" s="28">
        <v>42754</v>
      </c>
      <c r="G221" s="27" t="s">
        <v>8</v>
      </c>
      <c r="H221" s="27" t="s">
        <v>2648</v>
      </c>
      <c r="I221" s="27" t="s">
        <v>13</v>
      </c>
    </row>
    <row r="222" spans="1:9" x14ac:dyDescent="0.3">
      <c r="A222" s="26">
        <v>44939</v>
      </c>
      <c r="B222" s="27" t="s">
        <v>116</v>
      </c>
      <c r="C222" s="27" t="s">
        <v>32</v>
      </c>
      <c r="D222" s="27" t="s">
        <v>21</v>
      </c>
      <c r="E222" s="28">
        <v>79769</v>
      </c>
      <c r="F222" s="28">
        <v>134295</v>
      </c>
      <c r="G222" s="27" t="s">
        <v>8</v>
      </c>
      <c r="H222" s="27" t="s">
        <v>2866</v>
      </c>
      <c r="I222" s="27" t="s">
        <v>13</v>
      </c>
    </row>
    <row r="223" spans="1:9" x14ac:dyDescent="0.3">
      <c r="A223" s="26">
        <v>44939</v>
      </c>
      <c r="B223" s="27" t="s">
        <v>116</v>
      </c>
      <c r="C223" s="27" t="s">
        <v>20</v>
      </c>
      <c r="D223" s="27" t="s">
        <v>7</v>
      </c>
      <c r="E223" s="28">
        <v>142091</v>
      </c>
      <c r="F223" s="28">
        <v>20039</v>
      </c>
      <c r="G223" s="27" t="s">
        <v>11</v>
      </c>
      <c r="H223" s="27" t="s">
        <v>3074</v>
      </c>
      <c r="I223" s="27" t="s">
        <v>13</v>
      </c>
    </row>
    <row r="224" spans="1:9" x14ac:dyDescent="0.3">
      <c r="A224" s="26">
        <v>44939</v>
      </c>
      <c r="B224" s="27" t="s">
        <v>116</v>
      </c>
      <c r="C224" s="27" t="s">
        <v>93</v>
      </c>
      <c r="D224" s="27" t="s">
        <v>7</v>
      </c>
      <c r="E224" s="28">
        <v>80900</v>
      </c>
      <c r="F224" s="28">
        <v>99900</v>
      </c>
      <c r="G224" s="27" t="s">
        <v>11</v>
      </c>
      <c r="H224" s="27" t="s">
        <v>3483</v>
      </c>
      <c r="I224" s="27" t="s">
        <v>9</v>
      </c>
    </row>
    <row r="225" spans="1:9" x14ac:dyDescent="0.3">
      <c r="A225" s="26">
        <v>44939</v>
      </c>
      <c r="B225" s="27" t="s">
        <v>116</v>
      </c>
      <c r="C225" s="27" t="s">
        <v>6</v>
      </c>
      <c r="D225" s="27" t="s">
        <v>16</v>
      </c>
      <c r="E225" s="28">
        <v>97000</v>
      </c>
      <c r="F225" s="28">
        <v>110500</v>
      </c>
      <c r="G225" s="27" t="s">
        <v>22</v>
      </c>
      <c r="H225" s="27" t="s">
        <v>4192</v>
      </c>
      <c r="I225" s="27" t="s">
        <v>9</v>
      </c>
    </row>
    <row r="226" spans="1:9" x14ac:dyDescent="0.3">
      <c r="A226" s="26">
        <v>44939</v>
      </c>
      <c r="B226" s="27" t="s">
        <v>116</v>
      </c>
      <c r="C226" s="27" t="s">
        <v>93</v>
      </c>
      <c r="D226" s="27" t="s">
        <v>7</v>
      </c>
      <c r="E226" s="28">
        <v>83800</v>
      </c>
      <c r="F226" s="28">
        <v>62800</v>
      </c>
      <c r="G226" s="27" t="s">
        <v>17</v>
      </c>
      <c r="H226" s="27" t="s">
        <v>5421</v>
      </c>
      <c r="I226" s="27" t="s">
        <v>9</v>
      </c>
    </row>
    <row r="227" spans="1:9" x14ac:dyDescent="0.3">
      <c r="A227" s="26">
        <v>44939</v>
      </c>
      <c r="B227" s="27" t="s">
        <v>116</v>
      </c>
      <c r="C227" s="27" t="s">
        <v>93</v>
      </c>
      <c r="D227" s="27" t="s">
        <v>16</v>
      </c>
      <c r="E227" s="28">
        <v>299700</v>
      </c>
      <c r="F227" s="28">
        <v>282300</v>
      </c>
      <c r="G227" s="27" t="s">
        <v>11</v>
      </c>
      <c r="H227" s="27" t="s">
        <v>5515</v>
      </c>
      <c r="I227" s="27" t="s">
        <v>9</v>
      </c>
    </row>
    <row r="228" spans="1:9" x14ac:dyDescent="0.3">
      <c r="A228" s="26">
        <v>44939</v>
      </c>
      <c r="B228" s="27" t="s">
        <v>116</v>
      </c>
      <c r="C228" s="27" t="s">
        <v>93</v>
      </c>
      <c r="D228" s="27" t="s">
        <v>24</v>
      </c>
      <c r="E228" s="28">
        <v>90400</v>
      </c>
      <c r="F228" s="28">
        <v>96500</v>
      </c>
      <c r="G228" s="27" t="s">
        <v>17</v>
      </c>
      <c r="H228" s="27" t="s">
        <v>5850</v>
      </c>
      <c r="I228" s="27" t="s">
        <v>9</v>
      </c>
    </row>
    <row r="229" spans="1:9" x14ac:dyDescent="0.3">
      <c r="A229" s="26">
        <v>44939</v>
      </c>
      <c r="B229" s="27" t="s">
        <v>116</v>
      </c>
      <c r="C229" s="27" t="s">
        <v>6</v>
      </c>
      <c r="D229" s="27" t="s">
        <v>19</v>
      </c>
      <c r="E229" s="28">
        <v>140000</v>
      </c>
      <c r="F229" s="28">
        <v>155800</v>
      </c>
      <c r="G229" s="27" t="s">
        <v>11</v>
      </c>
      <c r="H229" s="27" t="s">
        <v>5884</v>
      </c>
      <c r="I229" s="27" t="s">
        <v>9</v>
      </c>
    </row>
    <row r="230" spans="1:9" x14ac:dyDescent="0.3">
      <c r="A230" s="26">
        <v>44939</v>
      </c>
      <c r="B230" s="27" t="s">
        <v>116</v>
      </c>
      <c r="C230" s="27" t="s">
        <v>6</v>
      </c>
      <c r="D230" s="27" t="s">
        <v>7</v>
      </c>
      <c r="E230" s="28">
        <v>120500</v>
      </c>
      <c r="F230" s="28">
        <v>157100</v>
      </c>
      <c r="G230" s="27" t="s">
        <v>11</v>
      </c>
      <c r="H230" s="27" t="s">
        <v>5987</v>
      </c>
      <c r="I230" s="27" t="s">
        <v>9</v>
      </c>
    </row>
    <row r="231" spans="1:9" x14ac:dyDescent="0.3">
      <c r="A231" s="26">
        <v>44939</v>
      </c>
      <c r="B231" s="27" t="s">
        <v>116</v>
      </c>
      <c r="C231" s="27" t="s">
        <v>6</v>
      </c>
      <c r="D231" s="27" t="s">
        <v>7</v>
      </c>
      <c r="E231" s="28">
        <v>101000</v>
      </c>
      <c r="F231" s="28">
        <v>99400</v>
      </c>
      <c r="G231" s="27" t="s">
        <v>22</v>
      </c>
      <c r="H231" s="27" t="s">
        <v>6033</v>
      </c>
      <c r="I231" s="27" t="s">
        <v>9</v>
      </c>
    </row>
    <row r="232" spans="1:9" x14ac:dyDescent="0.3">
      <c r="A232" s="26">
        <v>44939</v>
      </c>
      <c r="B232" s="27" t="s">
        <v>116</v>
      </c>
      <c r="C232" s="27" t="s">
        <v>93</v>
      </c>
      <c r="D232" s="27" t="s">
        <v>21</v>
      </c>
      <c r="E232" s="28">
        <v>81300</v>
      </c>
      <c r="F232" s="28">
        <v>95100</v>
      </c>
      <c r="G232" s="27" t="s">
        <v>22</v>
      </c>
      <c r="H232" s="27" t="s">
        <v>6251</v>
      </c>
      <c r="I232" s="27" t="s">
        <v>9</v>
      </c>
    </row>
    <row r="233" spans="1:9" x14ac:dyDescent="0.3">
      <c r="A233" s="26">
        <v>44939</v>
      </c>
      <c r="B233" s="27" t="s">
        <v>116</v>
      </c>
      <c r="C233" s="27" t="s">
        <v>6</v>
      </c>
      <c r="D233" s="27" t="s">
        <v>7</v>
      </c>
      <c r="E233" s="28">
        <v>190600</v>
      </c>
      <c r="F233" s="28">
        <v>198500</v>
      </c>
      <c r="G233" s="27" t="s">
        <v>11</v>
      </c>
      <c r="H233" s="27" t="s">
        <v>6459</v>
      </c>
      <c r="I233" s="27" t="s">
        <v>9</v>
      </c>
    </row>
    <row r="234" spans="1:9" x14ac:dyDescent="0.3">
      <c r="A234" s="26">
        <v>44940</v>
      </c>
      <c r="B234" s="27" t="s">
        <v>116</v>
      </c>
      <c r="C234" s="27" t="s">
        <v>32</v>
      </c>
      <c r="D234" s="27" t="s">
        <v>7</v>
      </c>
      <c r="E234" s="28">
        <v>49865</v>
      </c>
      <c r="F234" s="28">
        <v>101846</v>
      </c>
      <c r="G234" s="27" t="s">
        <v>8</v>
      </c>
      <c r="H234" s="27" t="s">
        <v>439</v>
      </c>
      <c r="I234" s="27" t="s">
        <v>13</v>
      </c>
    </row>
    <row r="235" spans="1:9" x14ac:dyDescent="0.3">
      <c r="A235" s="26">
        <v>44940</v>
      </c>
      <c r="B235" s="27" t="s">
        <v>116</v>
      </c>
      <c r="C235" s="27" t="s">
        <v>15</v>
      </c>
      <c r="D235" s="27" t="s">
        <v>7</v>
      </c>
      <c r="E235" s="28">
        <v>30823</v>
      </c>
      <c r="F235" s="28">
        <v>36351</v>
      </c>
      <c r="G235" s="27" t="s">
        <v>11</v>
      </c>
      <c r="H235" s="27" t="s">
        <v>620</v>
      </c>
      <c r="I235" s="27" t="s">
        <v>13</v>
      </c>
    </row>
    <row r="236" spans="1:9" x14ac:dyDescent="0.3">
      <c r="A236" s="26">
        <v>44940</v>
      </c>
      <c r="B236" s="27" t="s">
        <v>116</v>
      </c>
      <c r="C236" s="27" t="s">
        <v>32</v>
      </c>
      <c r="D236" s="27" t="s">
        <v>19</v>
      </c>
      <c r="E236" s="28">
        <v>145239</v>
      </c>
      <c r="F236" s="28">
        <v>58064</v>
      </c>
      <c r="G236" s="27" t="s">
        <v>8</v>
      </c>
      <c r="H236" s="27" t="s">
        <v>678</v>
      </c>
      <c r="I236" s="27" t="s">
        <v>13</v>
      </c>
    </row>
    <row r="237" spans="1:9" x14ac:dyDescent="0.3">
      <c r="A237" s="26">
        <v>44940</v>
      </c>
      <c r="B237" s="27" t="s">
        <v>116</v>
      </c>
      <c r="C237" s="27" t="s">
        <v>15</v>
      </c>
      <c r="D237" s="27" t="s">
        <v>24</v>
      </c>
      <c r="E237" s="28">
        <v>103668</v>
      </c>
      <c r="F237" s="28">
        <v>37129</v>
      </c>
      <c r="G237" s="27" t="s">
        <v>11</v>
      </c>
      <c r="H237" s="27" t="s">
        <v>735</v>
      </c>
      <c r="I237" s="27" t="s">
        <v>13</v>
      </c>
    </row>
    <row r="238" spans="1:9" x14ac:dyDescent="0.3">
      <c r="A238" s="26">
        <v>44940</v>
      </c>
      <c r="B238" s="27" t="s">
        <v>116</v>
      </c>
      <c r="C238" s="27" t="s">
        <v>32</v>
      </c>
      <c r="D238" s="27" t="s">
        <v>7</v>
      </c>
      <c r="E238" s="28">
        <v>30071</v>
      </c>
      <c r="F238" s="28">
        <v>94581</v>
      </c>
      <c r="G238" s="27" t="s">
        <v>11</v>
      </c>
      <c r="H238" s="27" t="s">
        <v>841</v>
      </c>
      <c r="I238" s="27" t="s">
        <v>13</v>
      </c>
    </row>
    <row r="239" spans="1:9" x14ac:dyDescent="0.3">
      <c r="A239" s="26">
        <v>44940</v>
      </c>
      <c r="B239" s="27" t="s">
        <v>116</v>
      </c>
      <c r="C239" s="27" t="s">
        <v>32</v>
      </c>
      <c r="D239" s="27" t="s">
        <v>16</v>
      </c>
      <c r="E239" s="28">
        <v>89756</v>
      </c>
      <c r="F239" s="28">
        <v>166194</v>
      </c>
      <c r="G239" s="27" t="s">
        <v>22</v>
      </c>
      <c r="H239" s="27" t="s">
        <v>2355</v>
      </c>
      <c r="I239" s="27" t="s">
        <v>13</v>
      </c>
    </row>
    <row r="240" spans="1:9" x14ac:dyDescent="0.3">
      <c r="A240" s="26">
        <v>44940</v>
      </c>
      <c r="B240" s="27" t="s">
        <v>116</v>
      </c>
      <c r="C240" s="27" t="s">
        <v>20</v>
      </c>
      <c r="D240" s="27" t="s">
        <v>7</v>
      </c>
      <c r="E240" s="28">
        <v>103856</v>
      </c>
      <c r="F240" s="28">
        <v>74458</v>
      </c>
      <c r="G240" s="27" t="s">
        <v>22</v>
      </c>
      <c r="H240" s="27" t="s">
        <v>3241</v>
      </c>
      <c r="I240" s="27" t="s">
        <v>13</v>
      </c>
    </row>
    <row r="241" spans="1:9" x14ac:dyDescent="0.3">
      <c r="A241" s="26">
        <v>44940</v>
      </c>
      <c r="B241" s="27" t="s">
        <v>116</v>
      </c>
      <c r="C241" s="27" t="s">
        <v>93</v>
      </c>
      <c r="D241" s="27" t="s">
        <v>7</v>
      </c>
      <c r="E241" s="28">
        <v>69100</v>
      </c>
      <c r="F241" s="28">
        <v>60700</v>
      </c>
      <c r="G241" s="27" t="s">
        <v>11</v>
      </c>
      <c r="H241" s="27" t="s">
        <v>3820</v>
      </c>
      <c r="I241" s="27" t="s">
        <v>9</v>
      </c>
    </row>
    <row r="242" spans="1:9" x14ac:dyDescent="0.3">
      <c r="A242" s="26">
        <v>44940</v>
      </c>
      <c r="B242" s="27" t="s">
        <v>116</v>
      </c>
      <c r="C242" s="27" t="s">
        <v>93</v>
      </c>
      <c r="D242" s="27" t="s">
        <v>7</v>
      </c>
      <c r="E242" s="28">
        <v>108300</v>
      </c>
      <c r="F242" s="28">
        <v>115300</v>
      </c>
      <c r="G242" s="27" t="s">
        <v>11</v>
      </c>
      <c r="H242" s="27" t="s">
        <v>4001</v>
      </c>
      <c r="I242" s="27" t="s">
        <v>9</v>
      </c>
    </row>
    <row r="243" spans="1:9" x14ac:dyDescent="0.3">
      <c r="A243" s="26">
        <v>44940</v>
      </c>
      <c r="B243" s="27" t="s">
        <v>116</v>
      </c>
      <c r="C243" s="27" t="s">
        <v>93</v>
      </c>
      <c r="D243" s="27" t="s">
        <v>19</v>
      </c>
      <c r="E243" s="28">
        <v>77600</v>
      </c>
      <c r="F243" s="28">
        <v>64900</v>
      </c>
      <c r="G243" s="27" t="s">
        <v>11</v>
      </c>
      <c r="H243" s="27" t="s">
        <v>4059</v>
      </c>
      <c r="I243" s="27" t="s">
        <v>9</v>
      </c>
    </row>
    <row r="244" spans="1:9" x14ac:dyDescent="0.3">
      <c r="A244" s="26">
        <v>44940</v>
      </c>
      <c r="B244" s="27" t="s">
        <v>116</v>
      </c>
      <c r="C244" s="27" t="s">
        <v>6</v>
      </c>
      <c r="D244" s="27" t="s">
        <v>24</v>
      </c>
      <c r="E244" s="28">
        <v>144500</v>
      </c>
      <c r="F244" s="28">
        <v>165900</v>
      </c>
      <c r="G244" s="27" t="s">
        <v>11</v>
      </c>
      <c r="H244" s="27" t="s">
        <v>4116</v>
      </c>
      <c r="I244" s="27" t="s">
        <v>9</v>
      </c>
    </row>
    <row r="245" spans="1:9" x14ac:dyDescent="0.3">
      <c r="A245" s="26">
        <v>44940</v>
      </c>
      <c r="B245" s="27" t="s">
        <v>116</v>
      </c>
      <c r="C245" s="27" t="s">
        <v>93</v>
      </c>
      <c r="D245" s="27" t="s">
        <v>7</v>
      </c>
      <c r="E245" s="28">
        <v>109900</v>
      </c>
      <c r="F245" s="28">
        <v>110100</v>
      </c>
      <c r="G245" s="27" t="s">
        <v>22</v>
      </c>
      <c r="H245" s="27" t="s">
        <v>4222</v>
      </c>
      <c r="I245" s="27" t="s">
        <v>9</v>
      </c>
    </row>
    <row r="246" spans="1:9" x14ac:dyDescent="0.3">
      <c r="A246" s="26">
        <v>44940</v>
      </c>
      <c r="B246" s="27" t="s">
        <v>116</v>
      </c>
      <c r="C246" s="27" t="s">
        <v>93</v>
      </c>
      <c r="D246" s="27" t="s">
        <v>16</v>
      </c>
      <c r="E246" s="28">
        <v>52300</v>
      </c>
      <c r="F246" s="28">
        <v>61700</v>
      </c>
      <c r="G246" s="27" t="s">
        <v>11</v>
      </c>
      <c r="H246" s="27" t="s">
        <v>5740</v>
      </c>
      <c r="I246" s="27" t="s">
        <v>9</v>
      </c>
    </row>
    <row r="247" spans="1:9" x14ac:dyDescent="0.3">
      <c r="A247" s="26">
        <v>44940</v>
      </c>
      <c r="B247" s="27" t="s">
        <v>116</v>
      </c>
      <c r="C247" s="27" t="s">
        <v>93</v>
      </c>
      <c r="D247" s="27" t="s">
        <v>7</v>
      </c>
      <c r="E247" s="28">
        <v>105800</v>
      </c>
      <c r="F247" s="28">
        <v>132000</v>
      </c>
      <c r="G247" s="27" t="s">
        <v>11</v>
      </c>
      <c r="H247" s="27" t="s">
        <v>6626</v>
      </c>
      <c r="I247" s="27" t="s">
        <v>9</v>
      </c>
    </row>
    <row r="248" spans="1:9" x14ac:dyDescent="0.3">
      <c r="A248" s="26">
        <v>44941</v>
      </c>
      <c r="B248" s="27" t="s">
        <v>116</v>
      </c>
      <c r="C248" s="27" t="s">
        <v>10</v>
      </c>
      <c r="D248" s="27" t="s">
        <v>24</v>
      </c>
      <c r="E248" s="28">
        <v>15765</v>
      </c>
      <c r="F248" s="28">
        <v>126288</v>
      </c>
      <c r="G248" s="27" t="s">
        <v>8</v>
      </c>
      <c r="H248" s="27" t="s">
        <v>1059</v>
      </c>
      <c r="I248" s="27" t="s">
        <v>13</v>
      </c>
    </row>
    <row r="249" spans="1:9" x14ac:dyDescent="0.3">
      <c r="A249" s="26">
        <v>44941</v>
      </c>
      <c r="B249" s="27" t="s">
        <v>116</v>
      </c>
      <c r="C249" s="27" t="s">
        <v>14</v>
      </c>
      <c r="D249" s="27" t="s">
        <v>16</v>
      </c>
      <c r="E249" s="28">
        <v>135797</v>
      </c>
      <c r="F249" s="28">
        <v>74648</v>
      </c>
      <c r="G249" s="27" t="s">
        <v>8</v>
      </c>
      <c r="H249" s="27" t="s">
        <v>1161</v>
      </c>
      <c r="I249" s="27" t="s">
        <v>13</v>
      </c>
    </row>
    <row r="250" spans="1:9" x14ac:dyDescent="0.3">
      <c r="A250" s="26">
        <v>44941</v>
      </c>
      <c r="B250" s="27" t="s">
        <v>116</v>
      </c>
      <c r="C250" s="27" t="s">
        <v>18</v>
      </c>
      <c r="D250" s="27" t="s">
        <v>7</v>
      </c>
      <c r="E250" s="28">
        <v>112112</v>
      </c>
      <c r="F250" s="28">
        <v>23010</v>
      </c>
      <c r="G250" s="27" t="s">
        <v>8</v>
      </c>
      <c r="H250" s="27" t="s">
        <v>1976</v>
      </c>
      <c r="I250" s="27" t="s">
        <v>13</v>
      </c>
    </row>
    <row r="251" spans="1:9" x14ac:dyDescent="0.3">
      <c r="A251" s="26">
        <v>44941</v>
      </c>
      <c r="B251" s="27" t="s">
        <v>116</v>
      </c>
      <c r="C251" s="27" t="s">
        <v>15</v>
      </c>
      <c r="D251" s="27" t="s">
        <v>24</v>
      </c>
      <c r="E251" s="28">
        <v>86092</v>
      </c>
      <c r="F251" s="28">
        <v>56489</v>
      </c>
      <c r="G251" s="27" t="s">
        <v>22</v>
      </c>
      <c r="H251" s="27" t="s">
        <v>3236</v>
      </c>
      <c r="I251" s="27" t="s">
        <v>13</v>
      </c>
    </row>
    <row r="252" spans="1:9" x14ac:dyDescent="0.3">
      <c r="A252" s="26">
        <v>44941</v>
      </c>
      <c r="B252" s="27" t="s">
        <v>116</v>
      </c>
      <c r="C252" s="27" t="s">
        <v>6</v>
      </c>
      <c r="D252" s="27" t="s">
        <v>24</v>
      </c>
      <c r="E252" s="28">
        <v>111100</v>
      </c>
      <c r="F252" s="28">
        <v>110800</v>
      </c>
      <c r="G252" s="27" t="s">
        <v>22</v>
      </c>
      <c r="H252" s="27" t="s">
        <v>4441</v>
      </c>
      <c r="I252" s="27" t="s">
        <v>9</v>
      </c>
    </row>
    <row r="253" spans="1:9" x14ac:dyDescent="0.3">
      <c r="A253" s="26">
        <v>44941</v>
      </c>
      <c r="B253" s="27" t="s">
        <v>116</v>
      </c>
      <c r="C253" s="27" t="s">
        <v>93</v>
      </c>
      <c r="D253" s="27" t="s">
        <v>16</v>
      </c>
      <c r="E253" s="28">
        <v>85700</v>
      </c>
      <c r="F253" s="28">
        <v>86700</v>
      </c>
      <c r="G253" s="27" t="s">
        <v>17</v>
      </c>
      <c r="H253" s="27" t="s">
        <v>4544</v>
      </c>
      <c r="I253" s="27" t="s">
        <v>9</v>
      </c>
    </row>
    <row r="254" spans="1:9" x14ac:dyDescent="0.3">
      <c r="A254" s="26">
        <v>44941</v>
      </c>
      <c r="B254" s="27" t="s">
        <v>116</v>
      </c>
      <c r="C254" s="27" t="s">
        <v>6</v>
      </c>
      <c r="D254" s="27" t="s">
        <v>7</v>
      </c>
      <c r="E254" s="28">
        <v>145300</v>
      </c>
      <c r="F254" s="28">
        <v>148400</v>
      </c>
      <c r="G254" s="27" t="s">
        <v>22</v>
      </c>
      <c r="H254" s="27" t="s">
        <v>5360</v>
      </c>
      <c r="I254" s="27" t="s">
        <v>9</v>
      </c>
    </row>
    <row r="255" spans="1:9" x14ac:dyDescent="0.3">
      <c r="A255" s="26">
        <v>44941</v>
      </c>
      <c r="B255" s="27" t="s">
        <v>116</v>
      </c>
      <c r="C255" s="27" t="s">
        <v>6</v>
      </c>
      <c r="D255" s="27" t="s">
        <v>24</v>
      </c>
      <c r="E255" s="28">
        <v>138500</v>
      </c>
      <c r="F255" s="28">
        <v>136400</v>
      </c>
      <c r="G255" s="27" t="s">
        <v>22</v>
      </c>
      <c r="H255" s="27" t="s">
        <v>6621</v>
      </c>
      <c r="I255" s="27" t="s">
        <v>9</v>
      </c>
    </row>
    <row r="256" spans="1:9" x14ac:dyDescent="0.3">
      <c r="A256" s="26">
        <v>44942</v>
      </c>
      <c r="B256" s="27" t="s">
        <v>116</v>
      </c>
      <c r="C256" s="27" t="s">
        <v>20</v>
      </c>
      <c r="D256" s="27" t="s">
        <v>16</v>
      </c>
      <c r="E256" s="28">
        <v>99249</v>
      </c>
      <c r="F256" s="28">
        <v>19678</v>
      </c>
      <c r="G256" s="27" t="s">
        <v>11</v>
      </c>
      <c r="H256" s="27" t="s">
        <v>416</v>
      </c>
      <c r="I256" s="27" t="s">
        <v>13</v>
      </c>
    </row>
    <row r="257" spans="1:9" x14ac:dyDescent="0.3">
      <c r="A257" s="26">
        <v>44942</v>
      </c>
      <c r="B257" s="27" t="s">
        <v>116</v>
      </c>
      <c r="C257" s="27" t="s">
        <v>18</v>
      </c>
      <c r="D257" s="27" t="s">
        <v>21</v>
      </c>
      <c r="E257" s="28">
        <v>137325</v>
      </c>
      <c r="F257" s="28">
        <v>134769</v>
      </c>
      <c r="G257" s="27" t="s">
        <v>8</v>
      </c>
      <c r="H257" s="27" t="s">
        <v>616</v>
      </c>
      <c r="I257" s="27" t="s">
        <v>13</v>
      </c>
    </row>
    <row r="258" spans="1:9" x14ac:dyDescent="0.3">
      <c r="A258" s="26">
        <v>44942</v>
      </c>
      <c r="B258" s="27" t="s">
        <v>116</v>
      </c>
      <c r="C258" s="27" t="s">
        <v>18</v>
      </c>
      <c r="D258" s="27" t="s">
        <v>24</v>
      </c>
      <c r="E258" s="28">
        <v>39590</v>
      </c>
      <c r="F258" s="28">
        <v>71827</v>
      </c>
      <c r="G258" s="27" t="s">
        <v>17</v>
      </c>
      <c r="H258" s="27" t="s">
        <v>1209</v>
      </c>
      <c r="I258" s="27" t="s">
        <v>13</v>
      </c>
    </row>
    <row r="259" spans="1:9" x14ac:dyDescent="0.3">
      <c r="A259" s="26">
        <v>44942</v>
      </c>
      <c r="B259" s="27" t="s">
        <v>116</v>
      </c>
      <c r="C259" s="27" t="s">
        <v>10</v>
      </c>
      <c r="D259" s="27" t="s">
        <v>19</v>
      </c>
      <c r="E259" s="28">
        <v>90224</v>
      </c>
      <c r="F259" s="28">
        <v>131272</v>
      </c>
      <c r="G259" s="27" t="s">
        <v>22</v>
      </c>
      <c r="H259" s="27" t="s">
        <v>1836</v>
      </c>
      <c r="I259" s="27" t="s">
        <v>13</v>
      </c>
    </row>
    <row r="260" spans="1:9" x14ac:dyDescent="0.3">
      <c r="A260" s="26">
        <v>44942</v>
      </c>
      <c r="B260" s="27" t="s">
        <v>116</v>
      </c>
      <c r="C260" s="27" t="s">
        <v>20</v>
      </c>
      <c r="D260" s="27" t="s">
        <v>7</v>
      </c>
      <c r="E260" s="28">
        <v>112318</v>
      </c>
      <c r="F260" s="28">
        <v>130015</v>
      </c>
      <c r="G260" s="27" t="s">
        <v>11</v>
      </c>
      <c r="H260" s="27" t="s">
        <v>1939</v>
      </c>
      <c r="I260" s="27" t="s">
        <v>13</v>
      </c>
    </row>
    <row r="261" spans="1:9" x14ac:dyDescent="0.3">
      <c r="A261" s="26">
        <v>44942</v>
      </c>
      <c r="B261" s="27" t="s">
        <v>116</v>
      </c>
      <c r="C261" s="27" t="s">
        <v>32</v>
      </c>
      <c r="D261" s="27" t="s">
        <v>7</v>
      </c>
      <c r="E261" s="28">
        <v>126081</v>
      </c>
      <c r="F261" s="28">
        <v>74028</v>
      </c>
      <c r="G261" s="27" t="s">
        <v>11</v>
      </c>
      <c r="H261" s="27" t="s">
        <v>2291</v>
      </c>
      <c r="I261" s="27" t="s">
        <v>13</v>
      </c>
    </row>
    <row r="262" spans="1:9" x14ac:dyDescent="0.3">
      <c r="A262" s="26">
        <v>44942</v>
      </c>
      <c r="B262" s="27" t="s">
        <v>116</v>
      </c>
      <c r="C262" s="27" t="s">
        <v>18</v>
      </c>
      <c r="D262" s="27" t="s">
        <v>16</v>
      </c>
      <c r="E262" s="28">
        <v>91814</v>
      </c>
      <c r="F262" s="28">
        <v>117438</v>
      </c>
      <c r="G262" s="27" t="s">
        <v>22</v>
      </c>
      <c r="H262" s="27" t="s">
        <v>2562</v>
      </c>
      <c r="I262" s="27" t="s">
        <v>13</v>
      </c>
    </row>
    <row r="263" spans="1:9" x14ac:dyDescent="0.3">
      <c r="A263" s="26">
        <v>44942</v>
      </c>
      <c r="B263" s="27" t="s">
        <v>116</v>
      </c>
      <c r="C263" s="27" t="s">
        <v>32</v>
      </c>
      <c r="D263" s="27" t="s">
        <v>19</v>
      </c>
      <c r="E263" s="28">
        <v>42864</v>
      </c>
      <c r="F263" s="28">
        <v>83047</v>
      </c>
      <c r="G263" s="27" t="s">
        <v>22</v>
      </c>
      <c r="H263" s="27" t="s">
        <v>2686</v>
      </c>
      <c r="I263" s="27" t="s">
        <v>13</v>
      </c>
    </row>
    <row r="264" spans="1:9" x14ac:dyDescent="0.3">
      <c r="A264" s="26">
        <v>44942</v>
      </c>
      <c r="B264" s="27" t="s">
        <v>116</v>
      </c>
      <c r="C264" s="27" t="s">
        <v>14</v>
      </c>
      <c r="D264" s="27" t="s">
        <v>24</v>
      </c>
      <c r="E264" s="28">
        <v>36108</v>
      </c>
      <c r="F264" s="28">
        <v>124932</v>
      </c>
      <c r="G264" s="27" t="s">
        <v>17</v>
      </c>
      <c r="H264" s="27" t="s">
        <v>2861</v>
      </c>
      <c r="I264" s="27" t="s">
        <v>13</v>
      </c>
    </row>
    <row r="265" spans="1:9" x14ac:dyDescent="0.3">
      <c r="A265" s="26">
        <v>44942</v>
      </c>
      <c r="B265" s="27" t="s">
        <v>116</v>
      </c>
      <c r="C265" s="27" t="s">
        <v>32</v>
      </c>
      <c r="D265" s="27" t="s">
        <v>7</v>
      </c>
      <c r="E265" s="28">
        <v>128174</v>
      </c>
      <c r="F265" s="28">
        <v>8173</v>
      </c>
      <c r="G265" s="27" t="s">
        <v>8</v>
      </c>
      <c r="H265" s="27" t="s">
        <v>2880</v>
      </c>
      <c r="I265" s="27" t="s">
        <v>13</v>
      </c>
    </row>
    <row r="266" spans="1:9" x14ac:dyDescent="0.3">
      <c r="A266" s="26">
        <v>44942</v>
      </c>
      <c r="B266" s="27" t="s">
        <v>116</v>
      </c>
      <c r="C266" s="27" t="s">
        <v>14</v>
      </c>
      <c r="D266" s="27" t="s">
        <v>24</v>
      </c>
      <c r="E266" s="28">
        <v>141364</v>
      </c>
      <c r="F266" s="28">
        <v>101577</v>
      </c>
      <c r="G266" s="27" t="s">
        <v>11</v>
      </c>
      <c r="H266" s="27" t="s">
        <v>3254</v>
      </c>
      <c r="I266" s="27" t="s">
        <v>13</v>
      </c>
    </row>
    <row r="267" spans="1:9" x14ac:dyDescent="0.3">
      <c r="A267" s="26">
        <v>44942</v>
      </c>
      <c r="B267" s="27" t="s">
        <v>116</v>
      </c>
      <c r="C267" s="27" t="s">
        <v>6</v>
      </c>
      <c r="D267" s="27" t="s">
        <v>16</v>
      </c>
      <c r="E267" s="28">
        <v>210900</v>
      </c>
      <c r="F267" s="28">
        <v>196900</v>
      </c>
      <c r="G267" s="27" t="s">
        <v>22</v>
      </c>
      <c r="H267" s="27" t="s">
        <v>3797</v>
      </c>
      <c r="I267" s="27" t="s">
        <v>9</v>
      </c>
    </row>
    <row r="268" spans="1:9" x14ac:dyDescent="0.3">
      <c r="A268" s="26">
        <v>44942</v>
      </c>
      <c r="B268" s="27" t="s">
        <v>116</v>
      </c>
      <c r="C268" s="27" t="s">
        <v>6</v>
      </c>
      <c r="D268" s="27" t="s">
        <v>21</v>
      </c>
      <c r="E268" s="28">
        <v>151900</v>
      </c>
      <c r="F268" s="28">
        <v>149300</v>
      </c>
      <c r="G268" s="27" t="s">
        <v>22</v>
      </c>
      <c r="H268" s="27" t="s">
        <v>3997</v>
      </c>
      <c r="I268" s="27" t="s">
        <v>9</v>
      </c>
    </row>
    <row r="269" spans="1:9" x14ac:dyDescent="0.3">
      <c r="A269" s="26">
        <v>44942</v>
      </c>
      <c r="B269" s="27" t="s">
        <v>116</v>
      </c>
      <c r="C269" s="27" t="s">
        <v>6</v>
      </c>
      <c r="D269" s="27" t="s">
        <v>24</v>
      </c>
      <c r="E269" s="28">
        <v>77100</v>
      </c>
      <c r="F269" s="28">
        <v>74100</v>
      </c>
      <c r="G269" s="27" t="s">
        <v>11</v>
      </c>
      <c r="H269" s="27" t="s">
        <v>4592</v>
      </c>
      <c r="I269" s="27" t="s">
        <v>9</v>
      </c>
    </row>
    <row r="270" spans="1:9" x14ac:dyDescent="0.3">
      <c r="A270" s="26">
        <v>44942</v>
      </c>
      <c r="B270" s="27" t="s">
        <v>116</v>
      </c>
      <c r="C270" s="27" t="s">
        <v>6</v>
      </c>
      <c r="D270" s="27" t="s">
        <v>19</v>
      </c>
      <c r="E270" s="28">
        <v>138800</v>
      </c>
      <c r="F270" s="28">
        <v>155400</v>
      </c>
      <c r="G270" s="27" t="s">
        <v>22</v>
      </c>
      <c r="H270" s="27" t="s">
        <v>5219</v>
      </c>
      <c r="I270" s="27" t="s">
        <v>9</v>
      </c>
    </row>
    <row r="271" spans="1:9" x14ac:dyDescent="0.3">
      <c r="A271" s="26">
        <v>44942</v>
      </c>
      <c r="B271" s="27" t="s">
        <v>116</v>
      </c>
      <c r="C271" s="27" t="s">
        <v>6</v>
      </c>
      <c r="D271" s="27" t="s">
        <v>7</v>
      </c>
      <c r="E271" s="28">
        <v>139400</v>
      </c>
      <c r="F271" s="28">
        <v>139900</v>
      </c>
      <c r="G271" s="27" t="s">
        <v>11</v>
      </c>
      <c r="H271" s="27" t="s">
        <v>5323</v>
      </c>
      <c r="I271" s="27" t="s">
        <v>9</v>
      </c>
    </row>
    <row r="272" spans="1:9" x14ac:dyDescent="0.3">
      <c r="A272" s="26">
        <v>44942</v>
      </c>
      <c r="B272" s="27" t="s">
        <v>116</v>
      </c>
      <c r="C272" s="27" t="s">
        <v>6</v>
      </c>
      <c r="D272" s="27" t="s">
        <v>7</v>
      </c>
      <c r="E272" s="28">
        <v>182700</v>
      </c>
      <c r="F272" s="28">
        <v>162000</v>
      </c>
      <c r="G272" s="27" t="s">
        <v>11</v>
      </c>
      <c r="H272" s="27" t="s">
        <v>5676</v>
      </c>
      <c r="I272" s="27" t="s">
        <v>9</v>
      </c>
    </row>
    <row r="273" spans="1:9" x14ac:dyDescent="0.3">
      <c r="A273" s="26">
        <v>44942</v>
      </c>
      <c r="B273" s="27" t="s">
        <v>116</v>
      </c>
      <c r="C273" s="27" t="s">
        <v>6</v>
      </c>
      <c r="D273" s="27" t="s">
        <v>16</v>
      </c>
      <c r="E273" s="28">
        <v>66000</v>
      </c>
      <c r="F273" s="28">
        <v>67700</v>
      </c>
      <c r="G273" s="27" t="s">
        <v>22</v>
      </c>
      <c r="H273" s="27" t="s">
        <v>5947</v>
      </c>
      <c r="I273" s="27" t="s">
        <v>9</v>
      </c>
    </row>
    <row r="274" spans="1:9" x14ac:dyDescent="0.3">
      <c r="A274" s="26">
        <v>44942</v>
      </c>
      <c r="B274" s="27" t="s">
        <v>116</v>
      </c>
      <c r="C274" s="27" t="s">
        <v>93</v>
      </c>
      <c r="D274" s="27" t="s">
        <v>19</v>
      </c>
      <c r="E274" s="28">
        <v>84100</v>
      </c>
      <c r="F274" s="28">
        <v>98600</v>
      </c>
      <c r="G274" s="27" t="s">
        <v>11</v>
      </c>
      <c r="H274" s="27" t="s">
        <v>6071</v>
      </c>
      <c r="I274" s="27" t="s">
        <v>9</v>
      </c>
    </row>
    <row r="275" spans="1:9" x14ac:dyDescent="0.3">
      <c r="A275" s="26">
        <v>44942</v>
      </c>
      <c r="B275" s="27" t="s">
        <v>116</v>
      </c>
      <c r="C275" s="27" t="s">
        <v>93</v>
      </c>
      <c r="D275" s="27" t="s">
        <v>24</v>
      </c>
      <c r="E275" s="28">
        <v>75500</v>
      </c>
      <c r="F275" s="28">
        <v>78300</v>
      </c>
      <c r="G275" s="27" t="s">
        <v>11</v>
      </c>
      <c r="H275" s="27" t="s">
        <v>6246</v>
      </c>
      <c r="I275" s="27" t="s">
        <v>9</v>
      </c>
    </row>
    <row r="276" spans="1:9" x14ac:dyDescent="0.3">
      <c r="A276" s="26">
        <v>44942</v>
      </c>
      <c r="B276" s="27" t="s">
        <v>116</v>
      </c>
      <c r="C276" s="27" t="s">
        <v>6</v>
      </c>
      <c r="D276" s="27" t="s">
        <v>7</v>
      </c>
      <c r="E276" s="28">
        <v>154000</v>
      </c>
      <c r="F276" s="28">
        <v>179500</v>
      </c>
      <c r="G276" s="27" t="s">
        <v>17</v>
      </c>
      <c r="H276" s="27" t="s">
        <v>6265</v>
      </c>
      <c r="I276" s="27" t="s">
        <v>9</v>
      </c>
    </row>
    <row r="277" spans="1:9" x14ac:dyDescent="0.3">
      <c r="A277" s="26">
        <v>44942</v>
      </c>
      <c r="B277" s="27" t="s">
        <v>116</v>
      </c>
      <c r="C277" s="27" t="s">
        <v>93</v>
      </c>
      <c r="D277" s="27" t="s">
        <v>24</v>
      </c>
      <c r="E277" s="28">
        <v>126500</v>
      </c>
      <c r="F277" s="28">
        <v>97200</v>
      </c>
      <c r="G277" s="27" t="s">
        <v>17</v>
      </c>
      <c r="H277" s="27" t="s">
        <v>6639</v>
      </c>
      <c r="I277" s="27" t="s">
        <v>9</v>
      </c>
    </row>
    <row r="278" spans="1:9" x14ac:dyDescent="0.3">
      <c r="A278" s="26">
        <v>44943</v>
      </c>
      <c r="B278" s="27" t="s">
        <v>116</v>
      </c>
      <c r="C278" s="27" t="s">
        <v>20</v>
      </c>
      <c r="D278" s="27" t="s">
        <v>24</v>
      </c>
      <c r="E278" s="28">
        <v>41860</v>
      </c>
      <c r="F278" s="28">
        <v>98147</v>
      </c>
      <c r="G278" s="27" t="s">
        <v>17</v>
      </c>
      <c r="H278" s="27" t="s">
        <v>1599</v>
      </c>
      <c r="I278" s="27" t="s">
        <v>13</v>
      </c>
    </row>
    <row r="279" spans="1:9" x14ac:dyDescent="0.3">
      <c r="A279" s="26">
        <v>44943</v>
      </c>
      <c r="B279" s="27" t="s">
        <v>116</v>
      </c>
      <c r="C279" s="27" t="s">
        <v>32</v>
      </c>
      <c r="D279" s="27" t="s">
        <v>7</v>
      </c>
      <c r="E279" s="28">
        <v>135871</v>
      </c>
      <c r="F279" s="28">
        <v>106944</v>
      </c>
      <c r="G279" s="27" t="s">
        <v>11</v>
      </c>
      <c r="H279" s="27" t="s">
        <v>1623</v>
      </c>
      <c r="I279" s="27" t="s">
        <v>13</v>
      </c>
    </row>
    <row r="280" spans="1:9" x14ac:dyDescent="0.3">
      <c r="A280" s="26">
        <v>44943</v>
      </c>
      <c r="B280" s="27" t="s">
        <v>116</v>
      </c>
      <c r="C280" s="27" t="s">
        <v>14</v>
      </c>
      <c r="D280" s="27" t="s">
        <v>7</v>
      </c>
      <c r="E280" s="28">
        <v>143737</v>
      </c>
      <c r="F280" s="28">
        <v>90946</v>
      </c>
      <c r="G280" s="27" t="s">
        <v>11</v>
      </c>
      <c r="H280" s="27" t="s">
        <v>2065</v>
      </c>
      <c r="I280" s="27" t="s">
        <v>13</v>
      </c>
    </row>
    <row r="281" spans="1:9" x14ac:dyDescent="0.3">
      <c r="A281" s="26">
        <v>44943</v>
      </c>
      <c r="B281" s="27" t="s">
        <v>116</v>
      </c>
      <c r="C281" s="27" t="s">
        <v>10</v>
      </c>
      <c r="D281" s="27" t="s">
        <v>19</v>
      </c>
      <c r="E281" s="28">
        <v>41636</v>
      </c>
      <c r="F281" s="28">
        <v>53885</v>
      </c>
      <c r="G281" s="27" t="s">
        <v>11</v>
      </c>
      <c r="H281" s="27" t="s">
        <v>2619</v>
      </c>
      <c r="I281" s="27" t="s">
        <v>13</v>
      </c>
    </row>
    <row r="282" spans="1:9" x14ac:dyDescent="0.3">
      <c r="A282" s="26">
        <v>44943</v>
      </c>
      <c r="B282" s="27" t="s">
        <v>116</v>
      </c>
      <c r="C282" s="27" t="s">
        <v>20</v>
      </c>
      <c r="D282" s="27" t="s">
        <v>21</v>
      </c>
      <c r="E282" s="28">
        <v>91912</v>
      </c>
      <c r="F282" s="28">
        <v>9418</v>
      </c>
      <c r="G282" s="27" t="s">
        <v>8</v>
      </c>
      <c r="H282" s="27" t="s">
        <v>2670</v>
      </c>
      <c r="I282" s="27" t="s">
        <v>13</v>
      </c>
    </row>
    <row r="283" spans="1:9" x14ac:dyDescent="0.3">
      <c r="A283" s="26">
        <v>44943</v>
      </c>
      <c r="B283" s="27" t="s">
        <v>116</v>
      </c>
      <c r="C283" s="27" t="s">
        <v>15</v>
      </c>
      <c r="D283" s="27" t="s">
        <v>19</v>
      </c>
      <c r="E283" s="28">
        <v>65561</v>
      </c>
      <c r="F283" s="28">
        <v>51654</v>
      </c>
      <c r="G283" s="27" t="s">
        <v>17</v>
      </c>
      <c r="H283" s="27" t="s">
        <v>2796</v>
      </c>
      <c r="I283" s="27" t="s">
        <v>13</v>
      </c>
    </row>
    <row r="284" spans="1:9" x14ac:dyDescent="0.3">
      <c r="A284" s="26">
        <v>44943</v>
      </c>
      <c r="B284" s="27" t="s">
        <v>116</v>
      </c>
      <c r="C284" s="27" t="s">
        <v>14</v>
      </c>
      <c r="D284" s="27" t="s">
        <v>16</v>
      </c>
      <c r="E284" s="28">
        <v>106729</v>
      </c>
      <c r="F284" s="28">
        <v>30224</v>
      </c>
      <c r="G284" s="27" t="s">
        <v>8</v>
      </c>
      <c r="H284" s="27" t="s">
        <v>2823</v>
      </c>
      <c r="I284" s="27" t="s">
        <v>13</v>
      </c>
    </row>
    <row r="285" spans="1:9" x14ac:dyDescent="0.3">
      <c r="A285" s="26">
        <v>44943</v>
      </c>
      <c r="B285" s="27" t="s">
        <v>116</v>
      </c>
      <c r="C285" s="27" t="s">
        <v>32</v>
      </c>
      <c r="D285" s="27" t="s">
        <v>24</v>
      </c>
      <c r="E285" s="28">
        <v>23171</v>
      </c>
      <c r="F285" s="28">
        <v>9495</v>
      </c>
      <c r="G285" s="27" t="s">
        <v>17</v>
      </c>
      <c r="H285" s="27" t="s">
        <v>2967</v>
      </c>
      <c r="I285" s="27" t="s">
        <v>13</v>
      </c>
    </row>
    <row r="286" spans="1:9" x14ac:dyDescent="0.3">
      <c r="A286" s="26">
        <v>44943</v>
      </c>
      <c r="B286" s="27" t="s">
        <v>116</v>
      </c>
      <c r="C286" s="27" t="s">
        <v>14</v>
      </c>
      <c r="D286" s="27" t="s">
        <v>24</v>
      </c>
      <c r="E286" s="28">
        <v>83750</v>
      </c>
      <c r="F286" s="28">
        <v>108330</v>
      </c>
      <c r="G286" s="27" t="s">
        <v>8</v>
      </c>
      <c r="H286" s="27" t="s">
        <v>3124</v>
      </c>
      <c r="I286" s="27" t="s">
        <v>13</v>
      </c>
    </row>
    <row r="287" spans="1:9" x14ac:dyDescent="0.3">
      <c r="A287" s="26">
        <v>44943</v>
      </c>
      <c r="B287" s="27" t="s">
        <v>116</v>
      </c>
      <c r="C287" s="27" t="s">
        <v>6</v>
      </c>
      <c r="D287" s="27" t="s">
        <v>24</v>
      </c>
      <c r="E287" s="28">
        <v>106800</v>
      </c>
      <c r="F287" s="28">
        <v>136000</v>
      </c>
      <c r="G287" s="27" t="s">
        <v>22</v>
      </c>
      <c r="H287" s="27" t="s">
        <v>4982</v>
      </c>
      <c r="I287" s="27" t="s">
        <v>9</v>
      </c>
    </row>
    <row r="288" spans="1:9" x14ac:dyDescent="0.3">
      <c r="A288" s="26">
        <v>44943</v>
      </c>
      <c r="B288" s="27" t="s">
        <v>116</v>
      </c>
      <c r="C288" s="27" t="s">
        <v>6</v>
      </c>
      <c r="D288" s="27" t="s">
        <v>7</v>
      </c>
      <c r="E288" s="28">
        <v>68400</v>
      </c>
      <c r="F288" s="28">
        <v>57900</v>
      </c>
      <c r="G288" s="27" t="s">
        <v>22</v>
      </c>
      <c r="H288" s="27" t="s">
        <v>5006</v>
      </c>
      <c r="I288" s="27" t="s">
        <v>9</v>
      </c>
    </row>
    <row r="289" spans="1:9" x14ac:dyDescent="0.3">
      <c r="A289" s="26">
        <v>44943</v>
      </c>
      <c r="B289" s="27" t="s">
        <v>116</v>
      </c>
      <c r="C289" s="27" t="s">
        <v>6</v>
      </c>
      <c r="D289" s="27" t="s">
        <v>7</v>
      </c>
      <c r="E289" s="28">
        <v>117800</v>
      </c>
      <c r="F289" s="28">
        <v>94500</v>
      </c>
      <c r="G289" s="27" t="s">
        <v>22</v>
      </c>
      <c r="H289" s="27" t="s">
        <v>5449</v>
      </c>
      <c r="I289" s="27" t="s">
        <v>9</v>
      </c>
    </row>
    <row r="290" spans="1:9" x14ac:dyDescent="0.3">
      <c r="A290" s="26">
        <v>44943</v>
      </c>
      <c r="B290" s="27" t="s">
        <v>116</v>
      </c>
      <c r="C290" s="27" t="s">
        <v>6</v>
      </c>
      <c r="D290" s="27" t="s">
        <v>19</v>
      </c>
      <c r="E290" s="28">
        <v>92900</v>
      </c>
      <c r="F290" s="28">
        <v>108900</v>
      </c>
      <c r="G290" s="27" t="s">
        <v>11</v>
      </c>
      <c r="H290" s="27" t="s">
        <v>6004</v>
      </c>
      <c r="I290" s="27" t="s">
        <v>9</v>
      </c>
    </row>
    <row r="291" spans="1:9" x14ac:dyDescent="0.3">
      <c r="A291" s="26">
        <v>44943</v>
      </c>
      <c r="B291" s="27" t="s">
        <v>116</v>
      </c>
      <c r="C291" s="27" t="s">
        <v>6</v>
      </c>
      <c r="D291" s="27" t="s">
        <v>21</v>
      </c>
      <c r="E291" s="28">
        <v>104200</v>
      </c>
      <c r="F291" s="28">
        <v>94600</v>
      </c>
      <c r="G291" s="27" t="s">
        <v>22</v>
      </c>
      <c r="H291" s="27" t="s">
        <v>6055</v>
      </c>
      <c r="I291" s="27" t="s">
        <v>9</v>
      </c>
    </row>
    <row r="292" spans="1:9" x14ac:dyDescent="0.3">
      <c r="A292" s="26">
        <v>44943</v>
      </c>
      <c r="B292" s="27" t="s">
        <v>116</v>
      </c>
      <c r="C292" s="27" t="s">
        <v>6</v>
      </c>
      <c r="D292" s="27" t="s">
        <v>19</v>
      </c>
      <c r="E292" s="28">
        <v>224200</v>
      </c>
      <c r="F292" s="28">
        <v>294400</v>
      </c>
      <c r="G292" s="27" t="s">
        <v>11</v>
      </c>
      <c r="H292" s="27" t="s">
        <v>6181</v>
      </c>
      <c r="I292" s="27" t="s">
        <v>9</v>
      </c>
    </row>
    <row r="293" spans="1:9" x14ac:dyDescent="0.3">
      <c r="A293" s="26">
        <v>44943</v>
      </c>
      <c r="B293" s="27" t="s">
        <v>116</v>
      </c>
      <c r="C293" s="27" t="s">
        <v>93</v>
      </c>
      <c r="D293" s="27" t="s">
        <v>16</v>
      </c>
      <c r="E293" s="28">
        <v>106900</v>
      </c>
      <c r="F293" s="28">
        <v>116300</v>
      </c>
      <c r="G293" s="27" t="s">
        <v>22</v>
      </c>
      <c r="H293" s="27" t="s">
        <v>6208</v>
      </c>
      <c r="I293" s="27" t="s">
        <v>9</v>
      </c>
    </row>
    <row r="294" spans="1:9" x14ac:dyDescent="0.3">
      <c r="A294" s="26">
        <v>44943</v>
      </c>
      <c r="B294" s="27" t="s">
        <v>116</v>
      </c>
      <c r="C294" s="27" t="s">
        <v>93</v>
      </c>
      <c r="D294" s="27" t="s">
        <v>24</v>
      </c>
      <c r="E294" s="28">
        <v>98500</v>
      </c>
      <c r="F294" s="28">
        <v>87500</v>
      </c>
      <c r="G294" s="27" t="s">
        <v>22</v>
      </c>
      <c r="H294" s="27" t="s">
        <v>6352</v>
      </c>
      <c r="I294" s="27" t="s">
        <v>9</v>
      </c>
    </row>
    <row r="295" spans="1:9" x14ac:dyDescent="0.3">
      <c r="A295" s="26">
        <v>44943</v>
      </c>
      <c r="B295" s="27" t="s">
        <v>116</v>
      </c>
      <c r="C295" s="27" t="s">
        <v>6</v>
      </c>
      <c r="D295" s="27" t="s">
        <v>24</v>
      </c>
      <c r="E295" s="28">
        <v>64700</v>
      </c>
      <c r="F295" s="28">
        <v>86300</v>
      </c>
      <c r="G295" s="27" t="s">
        <v>11</v>
      </c>
      <c r="H295" s="27" t="s">
        <v>6509</v>
      </c>
      <c r="I295" s="27" t="s">
        <v>9</v>
      </c>
    </row>
    <row r="296" spans="1:9" x14ac:dyDescent="0.3">
      <c r="A296" s="26">
        <v>44944</v>
      </c>
      <c r="B296" s="27" t="s">
        <v>116</v>
      </c>
      <c r="C296" s="27" t="s">
        <v>14</v>
      </c>
      <c r="D296" s="27" t="s">
        <v>7</v>
      </c>
      <c r="E296" s="28">
        <v>69049</v>
      </c>
      <c r="F296" s="28">
        <v>120109</v>
      </c>
      <c r="G296" s="27" t="s">
        <v>22</v>
      </c>
      <c r="H296" s="27" t="s">
        <v>23</v>
      </c>
      <c r="I296" s="27" t="s">
        <v>13</v>
      </c>
    </row>
    <row r="297" spans="1:9" x14ac:dyDescent="0.3">
      <c r="A297" s="26">
        <v>44944</v>
      </c>
      <c r="B297" s="27" t="s">
        <v>116</v>
      </c>
      <c r="C297" s="27" t="s">
        <v>20</v>
      </c>
      <c r="D297" s="27" t="s">
        <v>21</v>
      </c>
      <c r="E297" s="28">
        <v>102700</v>
      </c>
      <c r="F297" s="28">
        <v>130961</v>
      </c>
      <c r="G297" s="27" t="s">
        <v>11</v>
      </c>
      <c r="H297" s="27" t="s">
        <v>319</v>
      </c>
      <c r="I297" s="27" t="s">
        <v>13</v>
      </c>
    </row>
    <row r="298" spans="1:9" x14ac:dyDescent="0.3">
      <c r="A298" s="26">
        <v>44944</v>
      </c>
      <c r="B298" s="27" t="s">
        <v>116</v>
      </c>
      <c r="C298" s="27" t="s">
        <v>32</v>
      </c>
      <c r="D298" s="27" t="s">
        <v>19</v>
      </c>
      <c r="E298" s="28">
        <v>120127</v>
      </c>
      <c r="F298" s="28">
        <v>141023</v>
      </c>
      <c r="G298" s="27" t="s">
        <v>17</v>
      </c>
      <c r="H298" s="27" t="s">
        <v>473</v>
      </c>
      <c r="I298" s="27" t="s">
        <v>13</v>
      </c>
    </row>
    <row r="299" spans="1:9" x14ac:dyDescent="0.3">
      <c r="A299" s="26">
        <v>44944</v>
      </c>
      <c r="B299" s="27" t="s">
        <v>116</v>
      </c>
      <c r="C299" s="27" t="s">
        <v>14</v>
      </c>
      <c r="D299" s="27" t="s">
        <v>24</v>
      </c>
      <c r="E299" s="28">
        <v>130975</v>
      </c>
      <c r="F299" s="28">
        <v>108465</v>
      </c>
      <c r="G299" s="27" t="s">
        <v>22</v>
      </c>
      <c r="H299" s="27" t="s">
        <v>535</v>
      </c>
      <c r="I299" s="27" t="s">
        <v>13</v>
      </c>
    </row>
    <row r="300" spans="1:9" x14ac:dyDescent="0.3">
      <c r="A300" s="26">
        <v>44944</v>
      </c>
      <c r="B300" s="27" t="s">
        <v>116</v>
      </c>
      <c r="C300" s="27" t="s">
        <v>32</v>
      </c>
      <c r="D300" s="27" t="s">
        <v>19</v>
      </c>
      <c r="E300" s="28">
        <v>28663</v>
      </c>
      <c r="F300" s="28">
        <v>15954</v>
      </c>
      <c r="G300" s="27" t="s">
        <v>22</v>
      </c>
      <c r="H300" s="27" t="s">
        <v>1703</v>
      </c>
      <c r="I300" s="27" t="s">
        <v>13</v>
      </c>
    </row>
    <row r="301" spans="1:9" x14ac:dyDescent="0.3">
      <c r="A301" s="26">
        <v>44944</v>
      </c>
      <c r="B301" s="27" t="s">
        <v>116</v>
      </c>
      <c r="C301" s="27" t="s">
        <v>18</v>
      </c>
      <c r="D301" s="27" t="s">
        <v>21</v>
      </c>
      <c r="E301" s="28">
        <v>62226</v>
      </c>
      <c r="F301" s="28">
        <v>113413</v>
      </c>
      <c r="G301" s="27" t="s">
        <v>8</v>
      </c>
      <c r="H301" s="27" t="s">
        <v>1833</v>
      </c>
      <c r="I301" s="27" t="s">
        <v>13</v>
      </c>
    </row>
    <row r="302" spans="1:9" x14ac:dyDescent="0.3">
      <c r="A302" s="26">
        <v>44944</v>
      </c>
      <c r="B302" s="27" t="s">
        <v>116</v>
      </c>
      <c r="C302" s="27" t="s">
        <v>14</v>
      </c>
      <c r="D302" s="27" t="s">
        <v>7</v>
      </c>
      <c r="E302" s="28">
        <v>57901</v>
      </c>
      <c r="F302" s="28">
        <v>101252</v>
      </c>
      <c r="G302" s="27" t="s">
        <v>22</v>
      </c>
      <c r="H302" s="27" t="s">
        <v>2328</v>
      </c>
      <c r="I302" s="27" t="s">
        <v>13</v>
      </c>
    </row>
    <row r="303" spans="1:9" x14ac:dyDescent="0.3">
      <c r="A303" s="26">
        <v>44944</v>
      </c>
      <c r="B303" s="27" t="s">
        <v>116</v>
      </c>
      <c r="C303" s="27" t="s">
        <v>93</v>
      </c>
      <c r="D303" s="27" t="s">
        <v>7</v>
      </c>
      <c r="E303" s="28">
        <v>233200</v>
      </c>
      <c r="F303" s="28">
        <v>186400</v>
      </c>
      <c r="G303" s="27" t="s">
        <v>11</v>
      </c>
      <c r="H303" s="27" t="s">
        <v>3445</v>
      </c>
      <c r="I303" s="27" t="s">
        <v>9</v>
      </c>
    </row>
    <row r="304" spans="1:9" x14ac:dyDescent="0.3">
      <c r="A304" s="26">
        <v>44944</v>
      </c>
      <c r="B304" s="27" t="s">
        <v>116</v>
      </c>
      <c r="C304" s="27" t="s">
        <v>93</v>
      </c>
      <c r="D304" s="27" t="s">
        <v>21</v>
      </c>
      <c r="E304" s="28">
        <v>181500</v>
      </c>
      <c r="F304" s="28">
        <v>245900</v>
      </c>
      <c r="G304" s="27" t="s">
        <v>11</v>
      </c>
      <c r="H304" s="27" t="s">
        <v>3700</v>
      </c>
      <c r="I304" s="27" t="s">
        <v>9</v>
      </c>
    </row>
    <row r="305" spans="1:9" x14ac:dyDescent="0.3">
      <c r="A305" s="26">
        <v>44944</v>
      </c>
      <c r="B305" s="27" t="s">
        <v>116</v>
      </c>
      <c r="C305" s="27" t="s">
        <v>6</v>
      </c>
      <c r="D305" s="27" t="s">
        <v>19</v>
      </c>
      <c r="E305" s="28">
        <v>158700</v>
      </c>
      <c r="F305" s="28">
        <v>167600</v>
      </c>
      <c r="G305" s="27" t="s">
        <v>11</v>
      </c>
      <c r="H305" s="27" t="s">
        <v>3854</v>
      </c>
      <c r="I305" s="27" t="s">
        <v>9</v>
      </c>
    </row>
    <row r="306" spans="1:9" x14ac:dyDescent="0.3">
      <c r="A306" s="26">
        <v>44944</v>
      </c>
      <c r="B306" s="27" t="s">
        <v>116</v>
      </c>
      <c r="C306" s="27" t="s">
        <v>93</v>
      </c>
      <c r="D306" s="27" t="s">
        <v>24</v>
      </c>
      <c r="E306" s="28">
        <v>110900</v>
      </c>
      <c r="F306" s="28">
        <v>120300</v>
      </c>
      <c r="G306" s="27" t="s">
        <v>17</v>
      </c>
      <c r="H306" s="27" t="s">
        <v>3916</v>
      </c>
      <c r="I306" s="27" t="s">
        <v>9</v>
      </c>
    </row>
    <row r="307" spans="1:9" x14ac:dyDescent="0.3">
      <c r="A307" s="26">
        <v>44944</v>
      </c>
      <c r="B307" s="27" t="s">
        <v>116</v>
      </c>
      <c r="C307" s="27" t="s">
        <v>93</v>
      </c>
      <c r="D307" s="27" t="s">
        <v>19</v>
      </c>
      <c r="E307" s="28">
        <v>122800</v>
      </c>
      <c r="F307" s="28">
        <v>73700</v>
      </c>
      <c r="G307" s="27" t="s">
        <v>11</v>
      </c>
      <c r="H307" s="27" t="s">
        <v>5086</v>
      </c>
      <c r="I307" s="27" t="s">
        <v>9</v>
      </c>
    </row>
    <row r="308" spans="1:9" x14ac:dyDescent="0.3">
      <c r="A308" s="26">
        <v>44944</v>
      </c>
      <c r="B308" s="27" t="s">
        <v>116</v>
      </c>
      <c r="C308" s="27" t="s">
        <v>6</v>
      </c>
      <c r="D308" s="27" t="s">
        <v>21</v>
      </c>
      <c r="E308" s="28">
        <v>132200</v>
      </c>
      <c r="F308" s="28">
        <v>124700</v>
      </c>
      <c r="G308" s="27" t="s">
        <v>11</v>
      </c>
      <c r="H308" s="27" t="s">
        <v>5216</v>
      </c>
      <c r="I308" s="27" t="s">
        <v>9</v>
      </c>
    </row>
    <row r="309" spans="1:9" x14ac:dyDescent="0.3">
      <c r="A309" s="26">
        <v>44944</v>
      </c>
      <c r="B309" s="27" t="s">
        <v>116</v>
      </c>
      <c r="C309" s="27" t="s">
        <v>93</v>
      </c>
      <c r="D309" s="27" t="s">
        <v>7</v>
      </c>
      <c r="E309" s="28">
        <v>75100</v>
      </c>
      <c r="F309" s="28">
        <v>75000</v>
      </c>
      <c r="G309" s="27" t="s">
        <v>11</v>
      </c>
      <c r="H309" s="27" t="s">
        <v>5713</v>
      </c>
      <c r="I309" s="27" t="s">
        <v>9</v>
      </c>
    </row>
    <row r="310" spans="1:9" x14ac:dyDescent="0.3">
      <c r="A310" s="26">
        <v>44945</v>
      </c>
      <c r="B310" s="27" t="s">
        <v>116</v>
      </c>
      <c r="C310" s="27" t="s">
        <v>20</v>
      </c>
      <c r="D310" s="27" t="s">
        <v>24</v>
      </c>
      <c r="E310" s="28">
        <v>72397</v>
      </c>
      <c r="F310" s="28">
        <v>158604</v>
      </c>
      <c r="G310" s="27" t="s">
        <v>11</v>
      </c>
      <c r="H310" s="27" t="s">
        <v>25</v>
      </c>
      <c r="I310" s="27" t="s">
        <v>13</v>
      </c>
    </row>
    <row r="311" spans="1:9" x14ac:dyDescent="0.3">
      <c r="A311" s="26">
        <v>44945</v>
      </c>
      <c r="B311" s="27" t="s">
        <v>116</v>
      </c>
      <c r="C311" s="27" t="s">
        <v>14</v>
      </c>
      <c r="D311" s="27" t="s">
        <v>19</v>
      </c>
      <c r="E311" s="28">
        <v>83000</v>
      </c>
      <c r="F311" s="28">
        <v>114675</v>
      </c>
      <c r="G311" s="27" t="s">
        <v>17</v>
      </c>
      <c r="H311" s="27" t="s">
        <v>695</v>
      </c>
      <c r="I311" s="27" t="s">
        <v>13</v>
      </c>
    </row>
    <row r="312" spans="1:9" x14ac:dyDescent="0.3">
      <c r="A312" s="26">
        <v>44945</v>
      </c>
      <c r="B312" s="27" t="s">
        <v>116</v>
      </c>
      <c r="C312" s="27" t="s">
        <v>32</v>
      </c>
      <c r="D312" s="27" t="s">
        <v>19</v>
      </c>
      <c r="E312" s="28">
        <v>122172</v>
      </c>
      <c r="F312" s="28">
        <v>43183</v>
      </c>
      <c r="G312" s="27" t="s">
        <v>22</v>
      </c>
      <c r="H312" s="27" t="s">
        <v>919</v>
      </c>
      <c r="I312" s="27" t="s">
        <v>13</v>
      </c>
    </row>
    <row r="313" spans="1:9" x14ac:dyDescent="0.3">
      <c r="A313" s="26">
        <v>44945</v>
      </c>
      <c r="B313" s="27" t="s">
        <v>116</v>
      </c>
      <c r="C313" s="27" t="s">
        <v>10</v>
      </c>
      <c r="D313" s="27" t="s">
        <v>24</v>
      </c>
      <c r="E313" s="28">
        <v>28055</v>
      </c>
      <c r="F313" s="28">
        <v>85942</v>
      </c>
      <c r="G313" s="27" t="s">
        <v>8</v>
      </c>
      <c r="H313" s="27" t="s">
        <v>1421</v>
      </c>
      <c r="I313" s="27" t="s">
        <v>13</v>
      </c>
    </row>
    <row r="314" spans="1:9" x14ac:dyDescent="0.3">
      <c r="A314" s="26">
        <v>44945</v>
      </c>
      <c r="B314" s="27" t="s">
        <v>116</v>
      </c>
      <c r="C314" s="27" t="s">
        <v>14</v>
      </c>
      <c r="D314" s="27" t="s">
        <v>16</v>
      </c>
      <c r="E314" s="28">
        <v>69523</v>
      </c>
      <c r="F314" s="28">
        <v>100098</v>
      </c>
      <c r="G314" s="27" t="s">
        <v>11</v>
      </c>
      <c r="H314" s="27" t="s">
        <v>2088</v>
      </c>
      <c r="I314" s="27" t="s">
        <v>13</v>
      </c>
    </row>
    <row r="315" spans="1:9" x14ac:dyDescent="0.3">
      <c r="A315" s="26">
        <v>44945</v>
      </c>
      <c r="B315" s="27" t="s">
        <v>116</v>
      </c>
      <c r="C315" s="27" t="s">
        <v>18</v>
      </c>
      <c r="D315" s="27" t="s">
        <v>7</v>
      </c>
      <c r="E315" s="28">
        <v>115142</v>
      </c>
      <c r="F315" s="28">
        <v>102837</v>
      </c>
      <c r="G315" s="27" t="s">
        <v>17</v>
      </c>
      <c r="H315" s="27" t="s">
        <v>2319</v>
      </c>
      <c r="I315" s="27" t="s">
        <v>13</v>
      </c>
    </row>
    <row r="316" spans="1:9" x14ac:dyDescent="0.3">
      <c r="A316" s="26">
        <v>44945</v>
      </c>
      <c r="B316" s="27" t="s">
        <v>116</v>
      </c>
      <c r="C316" s="27" t="s">
        <v>10</v>
      </c>
      <c r="D316" s="27" t="s">
        <v>16</v>
      </c>
      <c r="E316" s="28">
        <v>117142</v>
      </c>
      <c r="F316" s="28">
        <v>99276</v>
      </c>
      <c r="G316" s="27" t="s">
        <v>8</v>
      </c>
      <c r="H316" s="27" t="s">
        <v>2434</v>
      </c>
      <c r="I316" s="27" t="s">
        <v>13</v>
      </c>
    </row>
    <row r="317" spans="1:9" x14ac:dyDescent="0.3">
      <c r="A317" s="26">
        <v>44945</v>
      </c>
      <c r="B317" s="27" t="s">
        <v>116</v>
      </c>
      <c r="C317" s="27" t="s">
        <v>18</v>
      </c>
      <c r="D317" s="27" t="s">
        <v>16</v>
      </c>
      <c r="E317" s="28">
        <v>19401</v>
      </c>
      <c r="F317" s="28">
        <v>10057</v>
      </c>
      <c r="G317" s="27" t="s">
        <v>11</v>
      </c>
      <c r="H317" s="27" t="s">
        <v>3300</v>
      </c>
      <c r="I317" s="27" t="s">
        <v>13</v>
      </c>
    </row>
    <row r="318" spans="1:9" x14ac:dyDescent="0.3">
      <c r="A318" s="26">
        <v>44945</v>
      </c>
      <c r="B318" s="27" t="s">
        <v>116</v>
      </c>
      <c r="C318" s="27" t="s">
        <v>10</v>
      </c>
      <c r="D318" s="27" t="s">
        <v>7</v>
      </c>
      <c r="E318" s="28">
        <v>102272</v>
      </c>
      <c r="F318" s="28">
        <v>114341</v>
      </c>
      <c r="G318" s="27" t="s">
        <v>22</v>
      </c>
      <c r="H318" s="27" t="s">
        <v>3434</v>
      </c>
      <c r="I318" s="27" t="s">
        <v>13</v>
      </c>
    </row>
    <row r="319" spans="1:9" x14ac:dyDescent="0.3">
      <c r="A319" s="26">
        <v>44945</v>
      </c>
      <c r="B319" s="27" t="s">
        <v>116</v>
      </c>
      <c r="C319" s="27" t="s">
        <v>10</v>
      </c>
      <c r="D319" s="27" t="s">
        <v>7</v>
      </c>
      <c r="E319" s="28">
        <v>102272</v>
      </c>
      <c r="F319" s="28">
        <v>114341</v>
      </c>
      <c r="G319" s="27" t="s">
        <v>22</v>
      </c>
      <c r="H319" s="27" t="s">
        <v>3434</v>
      </c>
      <c r="I319" s="27" t="s">
        <v>13</v>
      </c>
    </row>
    <row r="320" spans="1:9" x14ac:dyDescent="0.3">
      <c r="A320" s="26">
        <v>44945</v>
      </c>
      <c r="B320" s="27" t="s">
        <v>116</v>
      </c>
      <c r="C320" s="27" t="s">
        <v>6</v>
      </c>
      <c r="D320" s="27" t="s">
        <v>24</v>
      </c>
      <c r="E320" s="28">
        <v>137400</v>
      </c>
      <c r="F320" s="28">
        <v>153300</v>
      </c>
      <c r="G320" s="27" t="s">
        <v>11</v>
      </c>
      <c r="H320" s="27" t="s">
        <v>3485</v>
      </c>
      <c r="I320" s="27" t="s">
        <v>9</v>
      </c>
    </row>
    <row r="321" spans="1:9" x14ac:dyDescent="0.3">
      <c r="A321" s="26">
        <v>44945</v>
      </c>
      <c r="B321" s="27" t="s">
        <v>116</v>
      </c>
      <c r="C321" s="27" t="s">
        <v>93</v>
      </c>
      <c r="D321" s="27" t="s">
        <v>19</v>
      </c>
      <c r="E321" s="28">
        <v>139900</v>
      </c>
      <c r="F321" s="28">
        <v>214800</v>
      </c>
      <c r="G321" s="27" t="s">
        <v>11</v>
      </c>
      <c r="H321" s="27" t="s">
        <v>4076</v>
      </c>
      <c r="I321" s="27" t="s">
        <v>9</v>
      </c>
    </row>
    <row r="322" spans="1:9" x14ac:dyDescent="0.3">
      <c r="A322" s="26">
        <v>44945</v>
      </c>
      <c r="B322" s="27" t="s">
        <v>116</v>
      </c>
      <c r="C322" s="27" t="s">
        <v>93</v>
      </c>
      <c r="D322" s="27" t="s">
        <v>19</v>
      </c>
      <c r="E322" s="28">
        <v>160200</v>
      </c>
      <c r="F322" s="28">
        <v>182500</v>
      </c>
      <c r="G322" s="27" t="s">
        <v>11</v>
      </c>
      <c r="H322" s="27" t="s">
        <v>4300</v>
      </c>
      <c r="I322" s="27" t="s">
        <v>9</v>
      </c>
    </row>
    <row r="323" spans="1:9" x14ac:dyDescent="0.3">
      <c r="A323" s="26">
        <v>44945</v>
      </c>
      <c r="B323" s="27" t="s">
        <v>116</v>
      </c>
      <c r="C323" s="27" t="s">
        <v>6</v>
      </c>
      <c r="D323" s="27" t="s">
        <v>24</v>
      </c>
      <c r="E323" s="28">
        <v>151700</v>
      </c>
      <c r="F323" s="28">
        <v>169800</v>
      </c>
      <c r="G323" s="27" t="s">
        <v>11</v>
      </c>
      <c r="H323" s="27" t="s">
        <v>4804</v>
      </c>
      <c r="I323" s="27" t="s">
        <v>9</v>
      </c>
    </row>
    <row r="324" spans="1:9" x14ac:dyDescent="0.3">
      <c r="A324" s="26">
        <v>44945</v>
      </c>
      <c r="B324" s="27" t="s">
        <v>116</v>
      </c>
      <c r="C324" s="27" t="s">
        <v>6</v>
      </c>
      <c r="D324" s="27" t="s">
        <v>16</v>
      </c>
      <c r="E324" s="28">
        <v>238000</v>
      </c>
      <c r="F324" s="28">
        <v>226200</v>
      </c>
      <c r="G324" s="27" t="s">
        <v>22</v>
      </c>
      <c r="H324" s="27" t="s">
        <v>5472</v>
      </c>
      <c r="I324" s="27" t="s">
        <v>9</v>
      </c>
    </row>
    <row r="325" spans="1:9" x14ac:dyDescent="0.3">
      <c r="A325" s="26">
        <v>44945</v>
      </c>
      <c r="B325" s="27" t="s">
        <v>116</v>
      </c>
      <c r="C325" s="27" t="s">
        <v>6</v>
      </c>
      <c r="D325" s="27" t="s">
        <v>7</v>
      </c>
      <c r="E325" s="28">
        <v>144900</v>
      </c>
      <c r="F325" s="28">
        <v>150500</v>
      </c>
      <c r="G325" s="27" t="s">
        <v>22</v>
      </c>
      <c r="H325" s="27" t="s">
        <v>5704</v>
      </c>
      <c r="I325" s="27" t="s">
        <v>9</v>
      </c>
    </row>
    <row r="326" spans="1:9" x14ac:dyDescent="0.3">
      <c r="A326" s="26">
        <v>44945</v>
      </c>
      <c r="B326" s="27" t="s">
        <v>116</v>
      </c>
      <c r="C326" s="27" t="s">
        <v>93</v>
      </c>
      <c r="D326" s="27" t="s">
        <v>16</v>
      </c>
      <c r="E326" s="28">
        <v>75700</v>
      </c>
      <c r="F326" s="28">
        <v>89800</v>
      </c>
      <c r="G326" s="27" t="s">
        <v>11</v>
      </c>
      <c r="H326" s="27" t="s">
        <v>5819</v>
      </c>
      <c r="I326" s="27" t="s">
        <v>9</v>
      </c>
    </row>
    <row r="327" spans="1:9" x14ac:dyDescent="0.3">
      <c r="A327" s="26">
        <v>44945</v>
      </c>
      <c r="B327" s="27" t="s">
        <v>116</v>
      </c>
      <c r="C327" s="27" t="s">
        <v>6</v>
      </c>
      <c r="D327" s="27" t="s">
        <v>16</v>
      </c>
      <c r="E327" s="28">
        <v>141700</v>
      </c>
      <c r="F327" s="28">
        <v>130100</v>
      </c>
      <c r="G327" s="27" t="s">
        <v>22</v>
      </c>
      <c r="H327" s="27" t="s">
        <v>6685</v>
      </c>
      <c r="I327" s="27" t="s">
        <v>9</v>
      </c>
    </row>
    <row r="328" spans="1:9" x14ac:dyDescent="0.3">
      <c r="A328" s="26">
        <v>44945</v>
      </c>
      <c r="B328" s="27" t="s">
        <v>116</v>
      </c>
      <c r="C328" s="27" t="s">
        <v>6</v>
      </c>
      <c r="D328" s="27" t="s">
        <v>7</v>
      </c>
      <c r="E328" s="28">
        <v>155900</v>
      </c>
      <c r="F328" s="28">
        <v>181200</v>
      </c>
      <c r="G328" s="27" t="s">
        <v>11</v>
      </c>
      <c r="H328" s="27" t="s">
        <v>6819</v>
      </c>
      <c r="I328" s="27" t="s">
        <v>9</v>
      </c>
    </row>
    <row r="329" spans="1:9" x14ac:dyDescent="0.3">
      <c r="A329" s="26">
        <v>44945</v>
      </c>
      <c r="B329" s="27" t="s">
        <v>116</v>
      </c>
      <c r="C329" s="27" t="s">
        <v>93</v>
      </c>
      <c r="D329" s="27" t="s">
        <v>7</v>
      </c>
      <c r="E329" s="28">
        <v>227100</v>
      </c>
      <c r="F329" s="28">
        <v>208900</v>
      </c>
      <c r="G329" s="27" t="s">
        <v>17</v>
      </c>
      <c r="H329" s="27" t="s">
        <v>6826</v>
      </c>
      <c r="I329" s="27" t="s">
        <v>9</v>
      </c>
    </row>
    <row r="330" spans="1:9" x14ac:dyDescent="0.3">
      <c r="A330" s="26">
        <v>44946</v>
      </c>
      <c r="B330" s="27" t="s">
        <v>116</v>
      </c>
      <c r="C330" s="27" t="s">
        <v>14</v>
      </c>
      <c r="D330" s="27" t="s">
        <v>16</v>
      </c>
      <c r="E330" s="28">
        <v>125883</v>
      </c>
      <c r="F330" s="28">
        <v>22963</v>
      </c>
      <c r="G330" s="27" t="s">
        <v>17</v>
      </c>
      <c r="H330" s="27" t="s">
        <v>138</v>
      </c>
      <c r="I330" s="27" t="s">
        <v>13</v>
      </c>
    </row>
    <row r="331" spans="1:9" x14ac:dyDescent="0.3">
      <c r="A331" s="26">
        <v>44946</v>
      </c>
      <c r="B331" s="27" t="s">
        <v>116</v>
      </c>
      <c r="C331" s="27" t="s">
        <v>15</v>
      </c>
      <c r="D331" s="27" t="s">
        <v>7</v>
      </c>
      <c r="E331" s="28">
        <v>52988</v>
      </c>
      <c r="F331" s="28">
        <v>77328</v>
      </c>
      <c r="G331" s="27" t="s">
        <v>8</v>
      </c>
      <c r="H331" s="27" t="s">
        <v>313</v>
      </c>
      <c r="I331" s="27" t="s">
        <v>13</v>
      </c>
    </row>
    <row r="332" spans="1:9" x14ac:dyDescent="0.3">
      <c r="A332" s="26">
        <v>44946</v>
      </c>
      <c r="B332" s="27" t="s">
        <v>116</v>
      </c>
      <c r="C332" s="27" t="s">
        <v>18</v>
      </c>
      <c r="D332" s="27" t="s">
        <v>19</v>
      </c>
      <c r="E332" s="28">
        <v>13943</v>
      </c>
      <c r="F332" s="28">
        <v>32843</v>
      </c>
      <c r="G332" s="27" t="s">
        <v>8</v>
      </c>
      <c r="H332" s="27" t="s">
        <v>573</v>
      </c>
      <c r="I332" s="27" t="s">
        <v>13</v>
      </c>
    </row>
    <row r="333" spans="1:9" x14ac:dyDescent="0.3">
      <c r="A333" s="26">
        <v>44946</v>
      </c>
      <c r="B333" s="27" t="s">
        <v>116</v>
      </c>
      <c r="C333" s="27" t="s">
        <v>14</v>
      </c>
      <c r="D333" s="27" t="s">
        <v>19</v>
      </c>
      <c r="E333" s="28">
        <v>133941</v>
      </c>
      <c r="F333" s="28">
        <v>116138</v>
      </c>
      <c r="G333" s="27" t="s">
        <v>22</v>
      </c>
      <c r="H333" s="27" t="s">
        <v>1658</v>
      </c>
      <c r="I333" s="27" t="s">
        <v>13</v>
      </c>
    </row>
    <row r="334" spans="1:9" x14ac:dyDescent="0.3">
      <c r="A334" s="26">
        <v>44946</v>
      </c>
      <c r="B334" s="27" t="s">
        <v>116</v>
      </c>
      <c r="C334" s="27" t="s">
        <v>15</v>
      </c>
      <c r="D334" s="27" t="s">
        <v>21</v>
      </c>
      <c r="E334" s="28">
        <v>34156</v>
      </c>
      <c r="F334" s="28">
        <v>58678</v>
      </c>
      <c r="G334" s="27" t="s">
        <v>11</v>
      </c>
      <c r="H334" s="27" t="s">
        <v>2030</v>
      </c>
      <c r="I334" s="27" t="s">
        <v>13</v>
      </c>
    </row>
    <row r="335" spans="1:9" x14ac:dyDescent="0.3">
      <c r="A335" s="26">
        <v>44946</v>
      </c>
      <c r="B335" s="27" t="s">
        <v>116</v>
      </c>
      <c r="C335" s="27" t="s">
        <v>93</v>
      </c>
      <c r="D335" s="27" t="s">
        <v>16</v>
      </c>
      <c r="E335" s="28">
        <v>215300</v>
      </c>
      <c r="F335" s="28">
        <v>282400</v>
      </c>
      <c r="G335" s="27" t="s">
        <v>11</v>
      </c>
      <c r="H335" s="27" t="s">
        <v>3519</v>
      </c>
      <c r="I335" s="27" t="s">
        <v>9</v>
      </c>
    </row>
    <row r="336" spans="1:9" x14ac:dyDescent="0.3">
      <c r="A336" s="26">
        <v>44946</v>
      </c>
      <c r="B336" s="27" t="s">
        <v>116</v>
      </c>
      <c r="C336" s="27" t="s">
        <v>93</v>
      </c>
      <c r="D336" s="27" t="s">
        <v>7</v>
      </c>
      <c r="E336" s="28">
        <v>118700</v>
      </c>
      <c r="F336" s="28">
        <v>116100</v>
      </c>
      <c r="G336" s="27" t="s">
        <v>17</v>
      </c>
      <c r="H336" s="27" t="s">
        <v>3694</v>
      </c>
      <c r="I336" s="27" t="s">
        <v>9</v>
      </c>
    </row>
    <row r="337" spans="1:9" x14ac:dyDescent="0.3">
      <c r="A337" s="26">
        <v>44946</v>
      </c>
      <c r="B337" s="27" t="s">
        <v>116</v>
      </c>
      <c r="C337" s="27" t="s">
        <v>6</v>
      </c>
      <c r="D337" s="27" t="s">
        <v>19</v>
      </c>
      <c r="E337" s="28">
        <v>133300</v>
      </c>
      <c r="F337" s="28">
        <v>148500</v>
      </c>
      <c r="G337" s="27" t="s">
        <v>17</v>
      </c>
      <c r="H337" s="27" t="s">
        <v>3954</v>
      </c>
      <c r="I337" s="27" t="s">
        <v>9</v>
      </c>
    </row>
    <row r="338" spans="1:9" x14ac:dyDescent="0.3">
      <c r="A338" s="26">
        <v>44946</v>
      </c>
      <c r="B338" s="27" t="s">
        <v>116</v>
      </c>
      <c r="C338" s="27" t="s">
        <v>93</v>
      </c>
      <c r="D338" s="27" t="s">
        <v>19</v>
      </c>
      <c r="E338" s="28">
        <v>115000</v>
      </c>
      <c r="F338" s="28">
        <v>137000</v>
      </c>
      <c r="G338" s="27" t="s">
        <v>11</v>
      </c>
      <c r="H338" s="27" t="s">
        <v>5041</v>
      </c>
      <c r="I338" s="27" t="s">
        <v>9</v>
      </c>
    </row>
    <row r="339" spans="1:9" x14ac:dyDescent="0.3">
      <c r="A339" s="26">
        <v>44946</v>
      </c>
      <c r="B339" s="27" t="s">
        <v>116</v>
      </c>
      <c r="C339" s="27" t="s">
        <v>6</v>
      </c>
      <c r="D339" s="27" t="s">
        <v>21</v>
      </c>
      <c r="E339" s="28">
        <v>69700</v>
      </c>
      <c r="F339" s="28">
        <v>75900</v>
      </c>
      <c r="G339" s="27" t="s">
        <v>11</v>
      </c>
      <c r="H339" s="27" t="s">
        <v>5414</v>
      </c>
      <c r="I339" s="27" t="s">
        <v>9</v>
      </c>
    </row>
    <row r="340" spans="1:9" x14ac:dyDescent="0.3">
      <c r="A340" s="26">
        <v>44947</v>
      </c>
      <c r="B340" s="27" t="s">
        <v>116</v>
      </c>
      <c r="C340" s="27" t="s">
        <v>15</v>
      </c>
      <c r="D340" s="27" t="s">
        <v>7</v>
      </c>
      <c r="E340" s="28">
        <v>11074</v>
      </c>
      <c r="F340" s="28">
        <v>136923</v>
      </c>
      <c r="G340" s="27" t="s">
        <v>8</v>
      </c>
      <c r="H340" s="27" t="s">
        <v>227</v>
      </c>
      <c r="I340" s="27" t="s">
        <v>13</v>
      </c>
    </row>
    <row r="341" spans="1:9" x14ac:dyDescent="0.3">
      <c r="A341" s="26">
        <v>44947</v>
      </c>
      <c r="B341" s="27" t="s">
        <v>116</v>
      </c>
      <c r="C341" s="27" t="s">
        <v>32</v>
      </c>
      <c r="D341" s="27" t="s">
        <v>7</v>
      </c>
      <c r="E341" s="28">
        <v>20461</v>
      </c>
      <c r="F341" s="28">
        <v>41313</v>
      </c>
      <c r="G341" s="27" t="s">
        <v>11</v>
      </c>
      <c r="H341" s="27" t="s">
        <v>441</v>
      </c>
      <c r="I341" s="27" t="s">
        <v>13</v>
      </c>
    </row>
    <row r="342" spans="1:9" x14ac:dyDescent="0.3">
      <c r="A342" s="26">
        <v>44947</v>
      </c>
      <c r="B342" s="27" t="s">
        <v>116</v>
      </c>
      <c r="C342" s="27" t="s">
        <v>18</v>
      </c>
      <c r="D342" s="27" t="s">
        <v>24</v>
      </c>
      <c r="E342" s="28">
        <v>13739</v>
      </c>
      <c r="F342" s="28">
        <v>161003</v>
      </c>
      <c r="G342" s="27" t="s">
        <v>8</v>
      </c>
      <c r="H342" s="27" t="s">
        <v>656</v>
      </c>
      <c r="I342" s="27" t="s">
        <v>13</v>
      </c>
    </row>
    <row r="343" spans="1:9" x14ac:dyDescent="0.3">
      <c r="A343" s="26">
        <v>44947</v>
      </c>
      <c r="B343" s="27" t="s">
        <v>116</v>
      </c>
      <c r="C343" s="27" t="s">
        <v>20</v>
      </c>
      <c r="D343" s="27" t="s">
        <v>24</v>
      </c>
      <c r="E343" s="28">
        <v>116350</v>
      </c>
      <c r="F343" s="28">
        <v>128145</v>
      </c>
      <c r="G343" s="27" t="s">
        <v>22</v>
      </c>
      <c r="H343" s="27" t="s">
        <v>1115</v>
      </c>
      <c r="I343" s="27" t="s">
        <v>13</v>
      </c>
    </row>
    <row r="344" spans="1:9" x14ac:dyDescent="0.3">
      <c r="A344" s="26">
        <v>44947</v>
      </c>
      <c r="B344" s="27" t="s">
        <v>116</v>
      </c>
      <c r="C344" s="27" t="s">
        <v>10</v>
      </c>
      <c r="D344" s="27" t="s">
        <v>24</v>
      </c>
      <c r="E344" s="28">
        <v>16227</v>
      </c>
      <c r="F344" s="28">
        <v>158913</v>
      </c>
      <c r="G344" s="27" t="s">
        <v>11</v>
      </c>
      <c r="H344" s="27" t="s">
        <v>1244</v>
      </c>
      <c r="I344" s="27" t="s">
        <v>13</v>
      </c>
    </row>
    <row r="345" spans="1:9" x14ac:dyDescent="0.3">
      <c r="A345" s="26">
        <v>44947</v>
      </c>
      <c r="B345" s="27" t="s">
        <v>116</v>
      </c>
      <c r="C345" s="27" t="s">
        <v>14</v>
      </c>
      <c r="D345" s="27" t="s">
        <v>16</v>
      </c>
      <c r="E345" s="28">
        <v>107679</v>
      </c>
      <c r="F345" s="28">
        <v>133044</v>
      </c>
      <c r="G345" s="27" t="s">
        <v>11</v>
      </c>
      <c r="H345" s="27" t="s">
        <v>1466</v>
      </c>
      <c r="I345" s="27" t="s">
        <v>13</v>
      </c>
    </row>
    <row r="346" spans="1:9" x14ac:dyDescent="0.3">
      <c r="A346" s="26">
        <v>44947</v>
      </c>
      <c r="B346" s="27" t="s">
        <v>116</v>
      </c>
      <c r="C346" s="27" t="s">
        <v>14</v>
      </c>
      <c r="D346" s="27" t="s">
        <v>16</v>
      </c>
      <c r="E346" s="28">
        <v>109889</v>
      </c>
      <c r="F346" s="28">
        <v>131637</v>
      </c>
      <c r="G346" s="27" t="s">
        <v>11</v>
      </c>
      <c r="H346" s="27" t="s">
        <v>1788</v>
      </c>
      <c r="I346" s="27" t="s">
        <v>13</v>
      </c>
    </row>
    <row r="347" spans="1:9" x14ac:dyDescent="0.3">
      <c r="A347" s="26">
        <v>44947</v>
      </c>
      <c r="B347" s="27" t="s">
        <v>116</v>
      </c>
      <c r="C347" s="27" t="s">
        <v>32</v>
      </c>
      <c r="D347" s="27" t="s">
        <v>21</v>
      </c>
      <c r="E347" s="28">
        <v>25155</v>
      </c>
      <c r="F347" s="28">
        <v>66793</v>
      </c>
      <c r="G347" s="27" t="s">
        <v>8</v>
      </c>
      <c r="H347" s="27" t="s">
        <v>2426</v>
      </c>
      <c r="I347" s="27" t="s">
        <v>13</v>
      </c>
    </row>
    <row r="348" spans="1:9" x14ac:dyDescent="0.3">
      <c r="A348" s="26">
        <v>44947</v>
      </c>
      <c r="B348" s="27" t="s">
        <v>116</v>
      </c>
      <c r="C348" s="27" t="s">
        <v>32</v>
      </c>
      <c r="D348" s="27" t="s">
        <v>16</v>
      </c>
      <c r="E348" s="28">
        <v>137301</v>
      </c>
      <c r="F348" s="28">
        <v>94670</v>
      </c>
      <c r="G348" s="27" t="s">
        <v>22</v>
      </c>
      <c r="H348" s="27" t="s">
        <v>3010</v>
      </c>
      <c r="I348" s="27" t="s">
        <v>13</v>
      </c>
    </row>
    <row r="349" spans="1:9" x14ac:dyDescent="0.3">
      <c r="A349" s="26">
        <v>44947</v>
      </c>
      <c r="B349" s="27" t="s">
        <v>116</v>
      </c>
      <c r="C349" s="27" t="s">
        <v>93</v>
      </c>
      <c r="D349" s="27" t="s">
        <v>7</v>
      </c>
      <c r="E349" s="28">
        <v>110500</v>
      </c>
      <c r="F349" s="28">
        <v>97300</v>
      </c>
      <c r="G349" s="27" t="s">
        <v>11</v>
      </c>
      <c r="H349" s="27" t="s">
        <v>3608</v>
      </c>
      <c r="I349" s="27" t="s">
        <v>9</v>
      </c>
    </row>
    <row r="350" spans="1:9" x14ac:dyDescent="0.3">
      <c r="A350" s="26">
        <v>44947</v>
      </c>
      <c r="B350" s="27" t="s">
        <v>116</v>
      </c>
      <c r="C350" s="27" t="s">
        <v>6</v>
      </c>
      <c r="D350" s="27" t="s">
        <v>7</v>
      </c>
      <c r="E350" s="28">
        <v>132500</v>
      </c>
      <c r="F350" s="28">
        <v>108400</v>
      </c>
      <c r="G350" s="27" t="s">
        <v>11</v>
      </c>
      <c r="H350" s="27" t="s">
        <v>3822</v>
      </c>
      <c r="I350" s="27" t="s">
        <v>9</v>
      </c>
    </row>
    <row r="351" spans="1:9" x14ac:dyDescent="0.3">
      <c r="A351" s="26">
        <v>44947</v>
      </c>
      <c r="B351" s="27" t="s">
        <v>116</v>
      </c>
      <c r="C351" s="27" t="s">
        <v>93</v>
      </c>
      <c r="D351" s="27" t="s">
        <v>24</v>
      </c>
      <c r="E351" s="28">
        <v>197700</v>
      </c>
      <c r="F351" s="28">
        <v>183200</v>
      </c>
      <c r="G351" s="27" t="s">
        <v>11</v>
      </c>
      <c r="H351" s="27" t="s">
        <v>4037</v>
      </c>
      <c r="I351" s="27" t="s">
        <v>9</v>
      </c>
    </row>
    <row r="352" spans="1:9" x14ac:dyDescent="0.3">
      <c r="A352" s="26">
        <v>44947</v>
      </c>
      <c r="B352" s="27" t="s">
        <v>116</v>
      </c>
      <c r="C352" s="27" t="s">
        <v>93</v>
      </c>
      <c r="D352" s="27" t="s">
        <v>24</v>
      </c>
      <c r="E352" s="28">
        <v>85900</v>
      </c>
      <c r="F352" s="28">
        <v>113300</v>
      </c>
      <c r="G352" s="27" t="s">
        <v>11</v>
      </c>
      <c r="H352" s="27" t="s">
        <v>4498</v>
      </c>
      <c r="I352" s="27" t="s">
        <v>9</v>
      </c>
    </row>
    <row r="353" spans="1:9" x14ac:dyDescent="0.3">
      <c r="A353" s="26">
        <v>44947</v>
      </c>
      <c r="B353" s="27" t="s">
        <v>116</v>
      </c>
      <c r="C353" s="27" t="s">
        <v>6</v>
      </c>
      <c r="D353" s="27" t="s">
        <v>24</v>
      </c>
      <c r="E353" s="28">
        <v>90200</v>
      </c>
      <c r="F353" s="28">
        <v>89400</v>
      </c>
      <c r="G353" s="27" t="s">
        <v>17</v>
      </c>
      <c r="H353" s="27" t="s">
        <v>4627</v>
      </c>
      <c r="I353" s="27" t="s">
        <v>9</v>
      </c>
    </row>
    <row r="354" spans="1:9" x14ac:dyDescent="0.3">
      <c r="A354" s="26">
        <v>44947</v>
      </c>
      <c r="B354" s="27" t="s">
        <v>116</v>
      </c>
      <c r="C354" s="27" t="s">
        <v>93</v>
      </c>
      <c r="D354" s="27" t="s">
        <v>16</v>
      </c>
      <c r="E354" s="28">
        <v>221400</v>
      </c>
      <c r="F354" s="28">
        <v>170400</v>
      </c>
      <c r="G354" s="27" t="s">
        <v>17</v>
      </c>
      <c r="H354" s="27" t="s">
        <v>4849</v>
      </c>
      <c r="I354" s="27" t="s">
        <v>9</v>
      </c>
    </row>
    <row r="355" spans="1:9" x14ac:dyDescent="0.3">
      <c r="A355" s="26">
        <v>44947</v>
      </c>
      <c r="B355" s="27" t="s">
        <v>116</v>
      </c>
      <c r="C355" s="27" t="s">
        <v>93</v>
      </c>
      <c r="D355" s="27" t="s">
        <v>16</v>
      </c>
      <c r="E355" s="28">
        <v>184800</v>
      </c>
      <c r="F355" s="28">
        <v>151100</v>
      </c>
      <c r="G355" s="27" t="s">
        <v>22</v>
      </c>
      <c r="H355" s="27" t="s">
        <v>5171</v>
      </c>
      <c r="I355" s="27" t="s">
        <v>9</v>
      </c>
    </row>
    <row r="356" spans="1:9" x14ac:dyDescent="0.3">
      <c r="A356" s="26">
        <v>44947</v>
      </c>
      <c r="B356" s="27" t="s">
        <v>116</v>
      </c>
      <c r="C356" s="27" t="s">
        <v>6</v>
      </c>
      <c r="D356" s="27" t="s">
        <v>21</v>
      </c>
      <c r="E356" s="28">
        <v>139600</v>
      </c>
      <c r="F356" s="28">
        <v>120100</v>
      </c>
      <c r="G356" s="27" t="s">
        <v>11</v>
      </c>
      <c r="H356" s="27" t="s">
        <v>5811</v>
      </c>
      <c r="I356" s="27" t="s">
        <v>9</v>
      </c>
    </row>
    <row r="357" spans="1:9" x14ac:dyDescent="0.3">
      <c r="A357" s="26">
        <v>44947</v>
      </c>
      <c r="B357" s="27" t="s">
        <v>116</v>
      </c>
      <c r="C357" s="27" t="s">
        <v>6</v>
      </c>
      <c r="D357" s="27" t="s">
        <v>16</v>
      </c>
      <c r="E357" s="28">
        <v>67900</v>
      </c>
      <c r="F357" s="28">
        <v>61900</v>
      </c>
      <c r="G357" s="27" t="s">
        <v>11</v>
      </c>
      <c r="H357" s="27" t="s">
        <v>6395</v>
      </c>
      <c r="I357" s="27" t="s">
        <v>9</v>
      </c>
    </row>
    <row r="358" spans="1:9" x14ac:dyDescent="0.3">
      <c r="A358" s="26">
        <v>44948</v>
      </c>
      <c r="B358" s="27" t="s">
        <v>116</v>
      </c>
      <c r="C358" s="27" t="s">
        <v>10</v>
      </c>
      <c r="D358" s="27" t="s">
        <v>19</v>
      </c>
      <c r="E358" s="28">
        <v>83736</v>
      </c>
      <c r="F358" s="28">
        <v>41625</v>
      </c>
      <c r="G358" s="27" t="s">
        <v>22</v>
      </c>
      <c r="H358" s="27" t="s">
        <v>98</v>
      </c>
      <c r="I358" s="27" t="s">
        <v>13</v>
      </c>
    </row>
    <row r="359" spans="1:9" x14ac:dyDescent="0.3">
      <c r="A359" s="26">
        <v>44948</v>
      </c>
      <c r="B359" s="27" t="s">
        <v>116</v>
      </c>
      <c r="C359" s="27" t="s">
        <v>20</v>
      </c>
      <c r="D359" s="27" t="s">
        <v>7</v>
      </c>
      <c r="E359" s="28">
        <v>67240</v>
      </c>
      <c r="F359" s="28">
        <v>92195</v>
      </c>
      <c r="G359" s="27" t="s">
        <v>11</v>
      </c>
      <c r="H359" s="27" t="s">
        <v>259</v>
      </c>
      <c r="I359" s="27" t="s">
        <v>13</v>
      </c>
    </row>
    <row r="360" spans="1:9" x14ac:dyDescent="0.3">
      <c r="A360" s="26">
        <v>44948</v>
      </c>
      <c r="B360" s="27" t="s">
        <v>116</v>
      </c>
      <c r="C360" s="27" t="s">
        <v>10</v>
      </c>
      <c r="D360" s="27" t="s">
        <v>19</v>
      </c>
      <c r="E360" s="28">
        <v>71898</v>
      </c>
      <c r="F360" s="28">
        <v>37105</v>
      </c>
      <c r="G360" s="27" t="s">
        <v>22</v>
      </c>
      <c r="H360" s="27" t="s">
        <v>592</v>
      </c>
      <c r="I360" s="27" t="s">
        <v>13</v>
      </c>
    </row>
    <row r="361" spans="1:9" x14ac:dyDescent="0.3">
      <c r="A361" s="26">
        <v>44948</v>
      </c>
      <c r="B361" s="27" t="s">
        <v>116</v>
      </c>
      <c r="C361" s="27" t="s">
        <v>15</v>
      </c>
      <c r="D361" s="27" t="s">
        <v>24</v>
      </c>
      <c r="E361" s="28">
        <v>70835</v>
      </c>
      <c r="F361" s="28">
        <v>12426</v>
      </c>
      <c r="G361" s="27" t="s">
        <v>17</v>
      </c>
      <c r="H361" s="27" t="s">
        <v>1445</v>
      </c>
      <c r="I361" s="27" t="s">
        <v>13</v>
      </c>
    </row>
    <row r="362" spans="1:9" x14ac:dyDescent="0.3">
      <c r="A362" s="26">
        <v>44948</v>
      </c>
      <c r="B362" s="27" t="s">
        <v>116</v>
      </c>
      <c r="C362" s="27" t="s">
        <v>32</v>
      </c>
      <c r="D362" s="27" t="s">
        <v>7</v>
      </c>
      <c r="E362" s="28">
        <v>113415</v>
      </c>
      <c r="F362" s="28">
        <v>23298</v>
      </c>
      <c r="G362" s="27" t="s">
        <v>17</v>
      </c>
      <c r="H362" s="27" t="s">
        <v>1591</v>
      </c>
      <c r="I362" s="27" t="s">
        <v>13</v>
      </c>
    </row>
    <row r="363" spans="1:9" x14ac:dyDescent="0.3">
      <c r="A363" s="26">
        <v>44948</v>
      </c>
      <c r="B363" s="27" t="s">
        <v>116</v>
      </c>
      <c r="C363" s="27" t="s">
        <v>32</v>
      </c>
      <c r="D363" s="27" t="s">
        <v>24</v>
      </c>
      <c r="E363" s="28">
        <v>52971</v>
      </c>
      <c r="F363" s="28">
        <v>70896</v>
      </c>
      <c r="G363" s="27" t="s">
        <v>17</v>
      </c>
      <c r="H363" s="27" t="s">
        <v>1869</v>
      </c>
      <c r="I363" s="27" t="s">
        <v>13</v>
      </c>
    </row>
    <row r="364" spans="1:9" x14ac:dyDescent="0.3">
      <c r="A364" s="26">
        <v>44948</v>
      </c>
      <c r="B364" s="27" t="s">
        <v>116</v>
      </c>
      <c r="C364" s="27" t="s">
        <v>32</v>
      </c>
      <c r="D364" s="27" t="s">
        <v>21</v>
      </c>
      <c r="E364" s="28">
        <v>116325</v>
      </c>
      <c r="F364" s="28">
        <v>21883</v>
      </c>
      <c r="G364" s="27" t="s">
        <v>17</v>
      </c>
      <c r="H364" s="27" t="s">
        <v>2313</v>
      </c>
      <c r="I364" s="27" t="s">
        <v>13</v>
      </c>
    </row>
    <row r="365" spans="1:9" x14ac:dyDescent="0.3">
      <c r="A365" s="26">
        <v>44948</v>
      </c>
      <c r="B365" s="27" t="s">
        <v>116</v>
      </c>
      <c r="C365" s="27" t="s">
        <v>18</v>
      </c>
      <c r="D365" s="27" t="s">
        <v>24</v>
      </c>
      <c r="E365" s="28">
        <v>82189</v>
      </c>
      <c r="F365" s="28">
        <v>96796</v>
      </c>
      <c r="G365" s="27" t="s">
        <v>11</v>
      </c>
      <c r="H365" s="27" t="s">
        <v>2366</v>
      </c>
      <c r="I365" s="27" t="s">
        <v>13</v>
      </c>
    </row>
    <row r="366" spans="1:9" x14ac:dyDescent="0.3">
      <c r="A366" s="26">
        <v>44948</v>
      </c>
      <c r="B366" s="27" t="s">
        <v>116</v>
      </c>
      <c r="C366" s="27" t="s">
        <v>6</v>
      </c>
      <c r="D366" s="27" t="s">
        <v>19</v>
      </c>
      <c r="E366" s="28">
        <v>161700</v>
      </c>
      <c r="F366" s="28">
        <v>167900</v>
      </c>
      <c r="G366" s="27" t="s">
        <v>22</v>
      </c>
      <c r="H366" s="27" t="s">
        <v>3498</v>
      </c>
      <c r="I366" s="27" t="s">
        <v>9</v>
      </c>
    </row>
    <row r="367" spans="1:9" x14ac:dyDescent="0.3">
      <c r="A367" s="26">
        <v>44948</v>
      </c>
      <c r="B367" s="27" t="s">
        <v>116</v>
      </c>
      <c r="C367" s="27" t="s">
        <v>93</v>
      </c>
      <c r="D367" s="27" t="s">
        <v>7</v>
      </c>
      <c r="E367" s="28">
        <v>97600</v>
      </c>
      <c r="F367" s="28">
        <v>91800</v>
      </c>
      <c r="G367" s="27" t="s">
        <v>11</v>
      </c>
      <c r="H367" s="27" t="s">
        <v>3640</v>
      </c>
      <c r="I367" s="27" t="s">
        <v>9</v>
      </c>
    </row>
    <row r="368" spans="1:9" x14ac:dyDescent="0.3">
      <c r="A368" s="26">
        <v>44948</v>
      </c>
      <c r="B368" s="27" t="s">
        <v>116</v>
      </c>
      <c r="C368" s="27" t="s">
        <v>6</v>
      </c>
      <c r="D368" s="27" t="s">
        <v>19</v>
      </c>
      <c r="E368" s="28">
        <v>78500</v>
      </c>
      <c r="F368" s="28">
        <v>95300</v>
      </c>
      <c r="G368" s="27" t="s">
        <v>11</v>
      </c>
      <c r="H368" s="27" t="s">
        <v>3973</v>
      </c>
      <c r="I368" s="27" t="s">
        <v>9</v>
      </c>
    </row>
    <row r="369" spans="1:9" x14ac:dyDescent="0.3">
      <c r="A369" s="26">
        <v>44948</v>
      </c>
      <c r="B369" s="27" t="s">
        <v>116</v>
      </c>
      <c r="C369" s="27" t="s">
        <v>6</v>
      </c>
      <c r="D369" s="27" t="s">
        <v>24</v>
      </c>
      <c r="E369" s="28">
        <v>66100</v>
      </c>
      <c r="F369" s="28">
        <v>58400</v>
      </c>
      <c r="G369" s="27" t="s">
        <v>22</v>
      </c>
      <c r="H369" s="27" t="s">
        <v>4828</v>
      </c>
      <c r="I369" s="27" t="s">
        <v>9</v>
      </c>
    </row>
    <row r="370" spans="1:9" x14ac:dyDescent="0.3">
      <c r="A370" s="26">
        <v>44948</v>
      </c>
      <c r="B370" s="27" t="s">
        <v>116</v>
      </c>
      <c r="C370" s="27" t="s">
        <v>6</v>
      </c>
      <c r="D370" s="27" t="s">
        <v>7</v>
      </c>
      <c r="E370" s="28">
        <v>173600</v>
      </c>
      <c r="F370" s="28">
        <v>164100</v>
      </c>
      <c r="G370" s="27" t="s">
        <v>11</v>
      </c>
      <c r="H370" s="27" t="s">
        <v>4974</v>
      </c>
      <c r="I370" s="27" t="s">
        <v>9</v>
      </c>
    </row>
    <row r="371" spans="1:9" x14ac:dyDescent="0.3">
      <c r="A371" s="26">
        <v>44948</v>
      </c>
      <c r="B371" s="27" t="s">
        <v>116</v>
      </c>
      <c r="C371" s="27" t="s">
        <v>93</v>
      </c>
      <c r="D371" s="27" t="s">
        <v>24</v>
      </c>
      <c r="E371" s="28">
        <v>126800</v>
      </c>
      <c r="F371" s="28">
        <v>183000</v>
      </c>
      <c r="G371" s="27" t="s">
        <v>22</v>
      </c>
      <c r="H371" s="27" t="s">
        <v>5253</v>
      </c>
      <c r="I371" s="27" t="s">
        <v>9</v>
      </c>
    </row>
    <row r="372" spans="1:9" x14ac:dyDescent="0.3">
      <c r="A372" s="26">
        <v>44948</v>
      </c>
      <c r="B372" s="27" t="s">
        <v>116</v>
      </c>
      <c r="C372" s="27" t="s">
        <v>6</v>
      </c>
      <c r="D372" s="27" t="s">
        <v>21</v>
      </c>
      <c r="E372" s="28">
        <v>167400</v>
      </c>
      <c r="F372" s="28">
        <v>171300</v>
      </c>
      <c r="G372" s="27" t="s">
        <v>22</v>
      </c>
      <c r="H372" s="27" t="s">
        <v>5698</v>
      </c>
      <c r="I372" s="27" t="s">
        <v>9</v>
      </c>
    </row>
    <row r="373" spans="1:9" x14ac:dyDescent="0.3">
      <c r="A373" s="26">
        <v>44948</v>
      </c>
      <c r="B373" s="27" t="s">
        <v>116</v>
      </c>
      <c r="C373" s="27" t="s">
        <v>6</v>
      </c>
      <c r="D373" s="27" t="s">
        <v>24</v>
      </c>
      <c r="E373" s="28">
        <v>145800</v>
      </c>
      <c r="F373" s="28">
        <v>141700</v>
      </c>
      <c r="G373" s="27" t="s">
        <v>17</v>
      </c>
      <c r="H373" s="27" t="s">
        <v>5751</v>
      </c>
      <c r="I373" s="27" t="s">
        <v>9</v>
      </c>
    </row>
    <row r="374" spans="1:9" x14ac:dyDescent="0.3">
      <c r="A374" s="26">
        <v>44949</v>
      </c>
      <c r="B374" s="27" t="s">
        <v>116</v>
      </c>
      <c r="C374" s="27" t="s">
        <v>32</v>
      </c>
      <c r="D374" s="27" t="s">
        <v>7</v>
      </c>
      <c r="E374" s="28">
        <v>131770</v>
      </c>
      <c r="F374" s="28">
        <v>17413</v>
      </c>
      <c r="G374" s="27" t="s">
        <v>17</v>
      </c>
      <c r="H374" s="27" t="s">
        <v>486</v>
      </c>
      <c r="I374" s="27" t="s">
        <v>13</v>
      </c>
    </row>
    <row r="375" spans="1:9" x14ac:dyDescent="0.3">
      <c r="A375" s="26">
        <v>44949</v>
      </c>
      <c r="B375" s="27" t="s">
        <v>116</v>
      </c>
      <c r="C375" s="27" t="s">
        <v>10</v>
      </c>
      <c r="D375" s="27" t="s">
        <v>16</v>
      </c>
      <c r="E375" s="28">
        <v>74772</v>
      </c>
      <c r="F375" s="28">
        <v>89319</v>
      </c>
      <c r="G375" s="27" t="s">
        <v>8</v>
      </c>
      <c r="H375" s="27" t="s">
        <v>917</v>
      </c>
      <c r="I375" s="27" t="s">
        <v>13</v>
      </c>
    </row>
    <row r="376" spans="1:9" x14ac:dyDescent="0.3">
      <c r="A376" s="26">
        <v>44949</v>
      </c>
      <c r="B376" s="27" t="s">
        <v>116</v>
      </c>
      <c r="C376" s="27" t="s">
        <v>32</v>
      </c>
      <c r="D376" s="27" t="s">
        <v>16</v>
      </c>
      <c r="E376" s="28">
        <v>22485</v>
      </c>
      <c r="F376" s="28">
        <v>24321</v>
      </c>
      <c r="G376" s="27" t="s">
        <v>22</v>
      </c>
      <c r="H376" s="27" t="s">
        <v>1119</v>
      </c>
      <c r="I376" s="27" t="s">
        <v>13</v>
      </c>
    </row>
    <row r="377" spans="1:9" x14ac:dyDescent="0.3">
      <c r="A377" s="26">
        <v>44949</v>
      </c>
      <c r="B377" s="27" t="s">
        <v>116</v>
      </c>
      <c r="C377" s="27" t="s">
        <v>10</v>
      </c>
      <c r="D377" s="27" t="s">
        <v>16</v>
      </c>
      <c r="E377" s="28">
        <v>134503</v>
      </c>
      <c r="F377" s="28">
        <v>27987</v>
      </c>
      <c r="G377" s="27" t="s">
        <v>17</v>
      </c>
      <c r="H377" s="27" t="s">
        <v>1126</v>
      </c>
      <c r="I377" s="27" t="s">
        <v>13</v>
      </c>
    </row>
    <row r="378" spans="1:9" x14ac:dyDescent="0.3">
      <c r="A378" s="26">
        <v>44949</v>
      </c>
      <c r="B378" s="27" t="s">
        <v>116</v>
      </c>
      <c r="C378" s="27" t="s">
        <v>10</v>
      </c>
      <c r="D378" s="27" t="s">
        <v>7</v>
      </c>
      <c r="E378" s="28">
        <v>34432</v>
      </c>
      <c r="F378" s="28">
        <v>28379</v>
      </c>
      <c r="G378" s="27" t="s">
        <v>8</v>
      </c>
      <c r="H378" s="27" t="s">
        <v>1736</v>
      </c>
      <c r="I378" s="27" t="s">
        <v>13</v>
      </c>
    </row>
    <row r="379" spans="1:9" x14ac:dyDescent="0.3">
      <c r="A379" s="26">
        <v>44949</v>
      </c>
      <c r="B379" s="27" t="s">
        <v>116</v>
      </c>
      <c r="C379" s="27" t="s">
        <v>32</v>
      </c>
      <c r="D379" s="27" t="s">
        <v>16</v>
      </c>
      <c r="E379" s="28">
        <v>126011</v>
      </c>
      <c r="F379" s="28">
        <v>60245</v>
      </c>
      <c r="G379" s="27" t="s">
        <v>22</v>
      </c>
      <c r="H379" s="27" t="s">
        <v>2155</v>
      </c>
      <c r="I379" s="27" t="s">
        <v>13</v>
      </c>
    </row>
    <row r="380" spans="1:9" x14ac:dyDescent="0.3">
      <c r="A380" s="26">
        <v>44949</v>
      </c>
      <c r="B380" s="27" t="s">
        <v>116</v>
      </c>
      <c r="C380" s="27" t="s">
        <v>14</v>
      </c>
      <c r="D380" s="27" t="s">
        <v>19</v>
      </c>
      <c r="E380" s="28">
        <v>132673</v>
      </c>
      <c r="F380" s="28">
        <v>57433</v>
      </c>
      <c r="G380" s="27" t="s">
        <v>8</v>
      </c>
      <c r="H380" s="27" t="s">
        <v>2276</v>
      </c>
      <c r="I380" s="27" t="s">
        <v>13</v>
      </c>
    </row>
    <row r="381" spans="1:9" x14ac:dyDescent="0.3">
      <c r="A381" s="26">
        <v>44949</v>
      </c>
      <c r="B381" s="27" t="s">
        <v>116</v>
      </c>
      <c r="C381" s="27" t="s">
        <v>18</v>
      </c>
      <c r="D381" s="27" t="s">
        <v>19</v>
      </c>
      <c r="E381" s="28">
        <v>34525</v>
      </c>
      <c r="F381" s="28">
        <v>163486</v>
      </c>
      <c r="G381" s="27" t="s">
        <v>8</v>
      </c>
      <c r="H381" s="27" t="s">
        <v>2523</v>
      </c>
      <c r="I381" s="27" t="s">
        <v>13</v>
      </c>
    </row>
    <row r="382" spans="1:9" x14ac:dyDescent="0.3">
      <c r="A382" s="26">
        <v>44949</v>
      </c>
      <c r="B382" s="27" t="s">
        <v>116</v>
      </c>
      <c r="C382" s="27" t="s">
        <v>20</v>
      </c>
      <c r="D382" s="27" t="s">
        <v>7</v>
      </c>
      <c r="E382" s="28">
        <v>104744</v>
      </c>
      <c r="F382" s="28">
        <v>23358</v>
      </c>
      <c r="G382" s="27" t="s">
        <v>17</v>
      </c>
      <c r="H382" s="27" t="s">
        <v>3002</v>
      </c>
      <c r="I382" s="27" t="s">
        <v>13</v>
      </c>
    </row>
    <row r="383" spans="1:9" x14ac:dyDescent="0.3">
      <c r="A383" s="26">
        <v>44949</v>
      </c>
      <c r="B383" s="27" t="s">
        <v>116</v>
      </c>
      <c r="C383" s="27" t="s">
        <v>6</v>
      </c>
      <c r="D383" s="27" t="s">
        <v>7</v>
      </c>
      <c r="E383" s="28">
        <v>145300</v>
      </c>
      <c r="F383" s="28">
        <v>124500</v>
      </c>
      <c r="G383" s="27" t="s">
        <v>11</v>
      </c>
      <c r="H383" s="27" t="s">
        <v>3867</v>
      </c>
      <c r="I383" s="27" t="s">
        <v>9</v>
      </c>
    </row>
    <row r="384" spans="1:9" x14ac:dyDescent="0.3">
      <c r="A384" s="26">
        <v>44949</v>
      </c>
      <c r="B384" s="27" t="s">
        <v>116</v>
      </c>
      <c r="C384" s="27" t="s">
        <v>6</v>
      </c>
      <c r="D384" s="27" t="s">
        <v>16</v>
      </c>
      <c r="E384" s="28">
        <v>163600</v>
      </c>
      <c r="F384" s="28">
        <v>187600</v>
      </c>
      <c r="G384" s="27" t="s">
        <v>22</v>
      </c>
      <c r="H384" s="27" t="s">
        <v>4298</v>
      </c>
      <c r="I384" s="27" t="s">
        <v>9</v>
      </c>
    </row>
    <row r="385" spans="1:9" x14ac:dyDescent="0.3">
      <c r="A385" s="26">
        <v>44949</v>
      </c>
      <c r="B385" s="27" t="s">
        <v>116</v>
      </c>
      <c r="C385" s="27" t="s">
        <v>93</v>
      </c>
      <c r="D385" s="27" t="s">
        <v>16</v>
      </c>
      <c r="E385" s="28">
        <v>193100</v>
      </c>
      <c r="F385" s="28">
        <v>213100</v>
      </c>
      <c r="G385" s="27" t="s">
        <v>11</v>
      </c>
      <c r="H385" s="27" t="s">
        <v>4502</v>
      </c>
      <c r="I385" s="27" t="s">
        <v>9</v>
      </c>
    </row>
    <row r="386" spans="1:9" x14ac:dyDescent="0.3">
      <c r="A386" s="26">
        <v>44949</v>
      </c>
      <c r="B386" s="27" t="s">
        <v>116</v>
      </c>
      <c r="C386" s="27" t="s">
        <v>93</v>
      </c>
      <c r="D386" s="27" t="s">
        <v>16</v>
      </c>
      <c r="E386" s="28">
        <v>97100</v>
      </c>
      <c r="F386" s="28">
        <v>92500</v>
      </c>
      <c r="G386" s="27" t="s">
        <v>11</v>
      </c>
      <c r="H386" s="27" t="s">
        <v>4509</v>
      </c>
      <c r="I386" s="27" t="s">
        <v>9</v>
      </c>
    </row>
    <row r="387" spans="1:9" x14ac:dyDescent="0.3">
      <c r="A387" s="26">
        <v>44949</v>
      </c>
      <c r="B387" s="27" t="s">
        <v>116</v>
      </c>
      <c r="C387" s="27" t="s">
        <v>93</v>
      </c>
      <c r="D387" s="27" t="s">
        <v>7</v>
      </c>
      <c r="E387" s="28">
        <v>87500</v>
      </c>
      <c r="F387" s="28">
        <v>91200</v>
      </c>
      <c r="G387" s="27" t="s">
        <v>11</v>
      </c>
      <c r="H387" s="27" t="s">
        <v>5119</v>
      </c>
      <c r="I387" s="27" t="s">
        <v>9</v>
      </c>
    </row>
    <row r="388" spans="1:9" x14ac:dyDescent="0.3">
      <c r="A388" s="26">
        <v>44949</v>
      </c>
      <c r="B388" s="27" t="s">
        <v>116</v>
      </c>
      <c r="C388" s="27" t="s">
        <v>6</v>
      </c>
      <c r="D388" s="27" t="s">
        <v>16</v>
      </c>
      <c r="E388" s="28">
        <v>91900</v>
      </c>
      <c r="F388" s="28">
        <v>96400</v>
      </c>
      <c r="G388" s="27" t="s">
        <v>11</v>
      </c>
      <c r="H388" s="27" t="s">
        <v>5540</v>
      </c>
      <c r="I388" s="27" t="s">
        <v>9</v>
      </c>
    </row>
    <row r="389" spans="1:9" x14ac:dyDescent="0.3">
      <c r="A389" s="26">
        <v>44949</v>
      </c>
      <c r="B389" s="27" t="s">
        <v>116</v>
      </c>
      <c r="C389" s="27" t="s">
        <v>6</v>
      </c>
      <c r="D389" s="27" t="s">
        <v>19</v>
      </c>
      <c r="E389" s="28">
        <v>56900</v>
      </c>
      <c r="F389" s="28">
        <v>54100</v>
      </c>
      <c r="G389" s="27" t="s">
        <v>11</v>
      </c>
      <c r="H389" s="27" t="s">
        <v>5661</v>
      </c>
      <c r="I389" s="27" t="s">
        <v>9</v>
      </c>
    </row>
    <row r="390" spans="1:9" x14ac:dyDescent="0.3">
      <c r="A390" s="26">
        <v>44949</v>
      </c>
      <c r="B390" s="27" t="s">
        <v>116</v>
      </c>
      <c r="C390" s="27" t="s">
        <v>6</v>
      </c>
      <c r="D390" s="27" t="s">
        <v>19</v>
      </c>
      <c r="E390" s="28">
        <v>92400</v>
      </c>
      <c r="F390" s="28">
        <v>94300</v>
      </c>
      <c r="G390" s="27" t="s">
        <v>22</v>
      </c>
      <c r="H390" s="27" t="s">
        <v>5908</v>
      </c>
      <c r="I390" s="27" t="s">
        <v>9</v>
      </c>
    </row>
    <row r="391" spans="1:9" x14ac:dyDescent="0.3">
      <c r="A391" s="26">
        <v>44949</v>
      </c>
      <c r="B391" s="27" t="s">
        <v>116</v>
      </c>
      <c r="C391" s="27" t="s">
        <v>93</v>
      </c>
      <c r="D391" s="27" t="s">
        <v>7</v>
      </c>
      <c r="E391" s="28">
        <v>86300</v>
      </c>
      <c r="F391" s="28">
        <v>80200</v>
      </c>
      <c r="G391" s="27" t="s">
        <v>22</v>
      </c>
      <c r="H391" s="27" t="s">
        <v>6387</v>
      </c>
      <c r="I391" s="27" t="s">
        <v>9</v>
      </c>
    </row>
    <row r="392" spans="1:9" x14ac:dyDescent="0.3">
      <c r="A392" s="26">
        <v>44950</v>
      </c>
      <c r="B392" s="27" t="s">
        <v>116</v>
      </c>
      <c r="C392" s="27" t="s">
        <v>20</v>
      </c>
      <c r="D392" s="27" t="s">
        <v>21</v>
      </c>
      <c r="E392" s="28">
        <v>23116</v>
      </c>
      <c r="F392" s="28">
        <v>91451</v>
      </c>
      <c r="G392" s="27" t="s">
        <v>17</v>
      </c>
      <c r="H392" s="27" t="s">
        <v>201</v>
      </c>
      <c r="I392" s="27" t="s">
        <v>13</v>
      </c>
    </row>
    <row r="393" spans="1:9" x14ac:dyDescent="0.3">
      <c r="A393" s="26">
        <v>44950</v>
      </c>
      <c r="B393" s="27" t="s">
        <v>116</v>
      </c>
      <c r="C393" s="27" t="s">
        <v>18</v>
      </c>
      <c r="D393" s="27" t="s">
        <v>19</v>
      </c>
      <c r="E393" s="28">
        <v>52174</v>
      </c>
      <c r="F393" s="28">
        <v>137045</v>
      </c>
      <c r="G393" s="27" t="s">
        <v>11</v>
      </c>
      <c r="H393" s="27" t="s">
        <v>235</v>
      </c>
      <c r="I393" s="27" t="s">
        <v>13</v>
      </c>
    </row>
    <row r="394" spans="1:9" x14ac:dyDescent="0.3">
      <c r="A394" s="26">
        <v>44950</v>
      </c>
      <c r="B394" s="27" t="s">
        <v>116</v>
      </c>
      <c r="C394" s="27" t="s">
        <v>18</v>
      </c>
      <c r="D394" s="27" t="s">
        <v>19</v>
      </c>
      <c r="E394" s="28">
        <v>10743</v>
      </c>
      <c r="F394" s="28">
        <v>44138</v>
      </c>
      <c r="G394" s="27" t="s">
        <v>22</v>
      </c>
      <c r="H394" s="27" t="s">
        <v>1087</v>
      </c>
      <c r="I394" s="27" t="s">
        <v>13</v>
      </c>
    </row>
    <row r="395" spans="1:9" x14ac:dyDescent="0.3">
      <c r="A395" s="26">
        <v>44950</v>
      </c>
      <c r="B395" s="27" t="s">
        <v>116</v>
      </c>
      <c r="C395" s="27" t="s">
        <v>32</v>
      </c>
      <c r="D395" s="27" t="s">
        <v>21</v>
      </c>
      <c r="E395" s="28">
        <v>124946</v>
      </c>
      <c r="F395" s="28">
        <v>10216</v>
      </c>
      <c r="G395" s="27" t="s">
        <v>17</v>
      </c>
      <c r="H395" s="27" t="s">
        <v>1105</v>
      </c>
      <c r="I395" s="27" t="s">
        <v>13</v>
      </c>
    </row>
    <row r="396" spans="1:9" x14ac:dyDescent="0.3">
      <c r="A396" s="26">
        <v>44950</v>
      </c>
      <c r="B396" s="27" t="s">
        <v>116</v>
      </c>
      <c r="C396" s="27" t="s">
        <v>18</v>
      </c>
      <c r="D396" s="27" t="s">
        <v>16</v>
      </c>
      <c r="E396" s="28">
        <v>89437</v>
      </c>
      <c r="F396" s="28">
        <v>89226</v>
      </c>
      <c r="G396" s="27" t="s">
        <v>17</v>
      </c>
      <c r="H396" s="27" t="s">
        <v>1462</v>
      </c>
      <c r="I396" s="27" t="s">
        <v>13</v>
      </c>
    </row>
    <row r="397" spans="1:9" x14ac:dyDescent="0.3">
      <c r="A397" s="26">
        <v>44950</v>
      </c>
      <c r="B397" s="27" t="s">
        <v>116</v>
      </c>
      <c r="C397" s="27" t="s">
        <v>20</v>
      </c>
      <c r="D397" s="27" t="s">
        <v>19</v>
      </c>
      <c r="E397" s="28">
        <v>45310</v>
      </c>
      <c r="F397" s="28">
        <v>77003</v>
      </c>
      <c r="G397" s="27" t="s">
        <v>11</v>
      </c>
      <c r="H397" s="27" t="s">
        <v>1559</v>
      </c>
      <c r="I397" s="27" t="s">
        <v>13</v>
      </c>
    </row>
    <row r="398" spans="1:9" x14ac:dyDescent="0.3">
      <c r="A398" s="26">
        <v>44950</v>
      </c>
      <c r="B398" s="27" t="s">
        <v>116</v>
      </c>
      <c r="C398" s="27" t="s">
        <v>18</v>
      </c>
      <c r="D398" s="27" t="s">
        <v>24</v>
      </c>
      <c r="E398" s="28">
        <v>119602</v>
      </c>
      <c r="F398" s="28">
        <v>101082</v>
      </c>
      <c r="G398" s="27" t="s">
        <v>22</v>
      </c>
      <c r="H398" s="27" t="s">
        <v>1956</v>
      </c>
      <c r="I398" s="27" t="s">
        <v>13</v>
      </c>
    </row>
    <row r="399" spans="1:9" x14ac:dyDescent="0.3">
      <c r="A399" s="26">
        <v>44950</v>
      </c>
      <c r="B399" s="27" t="s">
        <v>116</v>
      </c>
      <c r="C399" s="27" t="s">
        <v>15</v>
      </c>
      <c r="D399" s="27" t="s">
        <v>21</v>
      </c>
      <c r="E399" s="28">
        <v>144065</v>
      </c>
      <c r="F399" s="28">
        <v>98116</v>
      </c>
      <c r="G399" s="27" t="s">
        <v>17</v>
      </c>
      <c r="H399" s="27" t="s">
        <v>2118</v>
      </c>
      <c r="I399" s="27" t="s">
        <v>13</v>
      </c>
    </row>
    <row r="400" spans="1:9" x14ac:dyDescent="0.3">
      <c r="A400" s="26">
        <v>44950</v>
      </c>
      <c r="B400" s="27" t="s">
        <v>116</v>
      </c>
      <c r="C400" s="27" t="s">
        <v>32</v>
      </c>
      <c r="D400" s="27" t="s">
        <v>19</v>
      </c>
      <c r="E400" s="28">
        <v>140202</v>
      </c>
      <c r="F400" s="28">
        <v>23966</v>
      </c>
      <c r="G400" s="27" t="s">
        <v>17</v>
      </c>
      <c r="H400" s="27" t="s">
        <v>2297</v>
      </c>
      <c r="I400" s="27" t="s">
        <v>13</v>
      </c>
    </row>
    <row r="401" spans="1:9" x14ac:dyDescent="0.3">
      <c r="A401" s="26">
        <v>44950</v>
      </c>
      <c r="B401" s="27" t="s">
        <v>116</v>
      </c>
      <c r="C401" s="27" t="s">
        <v>10</v>
      </c>
      <c r="D401" s="27" t="s">
        <v>24</v>
      </c>
      <c r="E401" s="28">
        <v>32937</v>
      </c>
      <c r="F401" s="28">
        <v>165068</v>
      </c>
      <c r="G401" s="27" t="s">
        <v>11</v>
      </c>
      <c r="H401" s="27" t="s">
        <v>2617</v>
      </c>
      <c r="I401" s="27" t="s">
        <v>13</v>
      </c>
    </row>
    <row r="402" spans="1:9" x14ac:dyDescent="0.3">
      <c r="A402" s="26">
        <v>44950</v>
      </c>
      <c r="B402" s="27" t="s">
        <v>116</v>
      </c>
      <c r="C402" s="27" t="s">
        <v>20</v>
      </c>
      <c r="D402" s="27" t="s">
        <v>16</v>
      </c>
      <c r="E402" s="28">
        <v>128026</v>
      </c>
      <c r="F402" s="28">
        <v>162882</v>
      </c>
      <c r="G402" s="27" t="s">
        <v>17</v>
      </c>
      <c r="H402" s="27" t="s">
        <v>3308</v>
      </c>
      <c r="I402" s="27" t="s">
        <v>13</v>
      </c>
    </row>
    <row r="403" spans="1:9" x14ac:dyDescent="0.3">
      <c r="A403" s="26">
        <v>44950</v>
      </c>
      <c r="B403" s="27" t="s">
        <v>116</v>
      </c>
      <c r="C403" s="27" t="s">
        <v>6</v>
      </c>
      <c r="D403" s="27" t="s">
        <v>21</v>
      </c>
      <c r="E403" s="28">
        <v>108300</v>
      </c>
      <c r="F403" s="28">
        <v>116400</v>
      </c>
      <c r="G403" s="27" t="s">
        <v>11</v>
      </c>
      <c r="H403" s="27" t="s">
        <v>3582</v>
      </c>
      <c r="I403" s="27" t="s">
        <v>9</v>
      </c>
    </row>
    <row r="404" spans="1:9" x14ac:dyDescent="0.3">
      <c r="A404" s="26">
        <v>44950</v>
      </c>
      <c r="B404" s="27" t="s">
        <v>116</v>
      </c>
      <c r="C404" s="27" t="s">
        <v>93</v>
      </c>
      <c r="D404" s="27" t="s">
        <v>19</v>
      </c>
      <c r="E404" s="28">
        <v>72300</v>
      </c>
      <c r="F404" s="28">
        <v>65900</v>
      </c>
      <c r="G404" s="27" t="s">
        <v>11</v>
      </c>
      <c r="H404" s="27" t="s">
        <v>3616</v>
      </c>
      <c r="I404" s="27" t="s">
        <v>9</v>
      </c>
    </row>
    <row r="405" spans="1:9" x14ac:dyDescent="0.3">
      <c r="A405" s="26">
        <v>44950</v>
      </c>
      <c r="B405" s="27" t="s">
        <v>116</v>
      </c>
      <c r="C405" s="27" t="s">
        <v>6</v>
      </c>
      <c r="D405" s="27" t="s">
        <v>19</v>
      </c>
      <c r="E405" s="28">
        <v>96800</v>
      </c>
      <c r="F405" s="28">
        <v>122200</v>
      </c>
      <c r="G405" s="27" t="s">
        <v>11</v>
      </c>
      <c r="H405" s="27" t="s">
        <v>4469</v>
      </c>
      <c r="I405" s="27" t="s">
        <v>9</v>
      </c>
    </row>
    <row r="406" spans="1:9" x14ac:dyDescent="0.3">
      <c r="A406" s="26">
        <v>44950</v>
      </c>
      <c r="B406" s="27" t="s">
        <v>116</v>
      </c>
      <c r="C406" s="27" t="s">
        <v>6</v>
      </c>
      <c r="D406" s="27" t="s">
        <v>21</v>
      </c>
      <c r="E406" s="28">
        <v>96700</v>
      </c>
      <c r="F406" s="28">
        <v>97800</v>
      </c>
      <c r="G406" s="27" t="s">
        <v>11</v>
      </c>
      <c r="H406" s="27" t="s">
        <v>4488</v>
      </c>
      <c r="I406" s="27" t="s">
        <v>9</v>
      </c>
    </row>
    <row r="407" spans="1:9" x14ac:dyDescent="0.3">
      <c r="A407" s="26">
        <v>44950</v>
      </c>
      <c r="B407" s="27" t="s">
        <v>116</v>
      </c>
      <c r="C407" s="27" t="s">
        <v>93</v>
      </c>
      <c r="D407" s="27" t="s">
        <v>16</v>
      </c>
      <c r="E407" s="28">
        <v>80500</v>
      </c>
      <c r="F407" s="28">
        <v>81800</v>
      </c>
      <c r="G407" s="27" t="s">
        <v>17</v>
      </c>
      <c r="H407" s="27" t="s">
        <v>4845</v>
      </c>
      <c r="I407" s="27" t="s">
        <v>9</v>
      </c>
    </row>
    <row r="408" spans="1:9" x14ac:dyDescent="0.3">
      <c r="A408" s="26">
        <v>44950</v>
      </c>
      <c r="B408" s="27" t="s">
        <v>116</v>
      </c>
      <c r="C408" s="27" t="s">
        <v>6</v>
      </c>
      <c r="D408" s="27" t="s">
        <v>19</v>
      </c>
      <c r="E408" s="28">
        <v>156600</v>
      </c>
      <c r="F408" s="28">
        <v>161600</v>
      </c>
      <c r="G408" s="27" t="s">
        <v>22</v>
      </c>
      <c r="H408" s="27" t="s">
        <v>4942</v>
      </c>
      <c r="I408" s="27" t="s">
        <v>9</v>
      </c>
    </row>
    <row r="409" spans="1:9" x14ac:dyDescent="0.3">
      <c r="A409" s="26">
        <v>44950</v>
      </c>
      <c r="B409" s="27" t="s">
        <v>116</v>
      </c>
      <c r="C409" s="27" t="s">
        <v>6</v>
      </c>
      <c r="D409" s="27" t="s">
        <v>24</v>
      </c>
      <c r="E409" s="28">
        <v>100600</v>
      </c>
      <c r="F409" s="28">
        <v>105200</v>
      </c>
      <c r="G409" s="27" t="s">
        <v>11</v>
      </c>
      <c r="H409" s="27" t="s">
        <v>5340</v>
      </c>
      <c r="I409" s="27" t="s">
        <v>9</v>
      </c>
    </row>
    <row r="410" spans="1:9" x14ac:dyDescent="0.3">
      <c r="A410" s="26">
        <v>44950</v>
      </c>
      <c r="B410" s="27" t="s">
        <v>116</v>
      </c>
      <c r="C410" s="27" t="s">
        <v>6</v>
      </c>
      <c r="D410" s="27" t="s">
        <v>21</v>
      </c>
      <c r="E410" s="28">
        <v>119000</v>
      </c>
      <c r="F410" s="28">
        <v>118100</v>
      </c>
      <c r="G410" s="27" t="s">
        <v>17</v>
      </c>
      <c r="H410" s="27" t="s">
        <v>5502</v>
      </c>
      <c r="I410" s="27" t="s">
        <v>9</v>
      </c>
    </row>
    <row r="411" spans="1:9" x14ac:dyDescent="0.3">
      <c r="A411" s="26">
        <v>44950</v>
      </c>
      <c r="B411" s="27" t="s">
        <v>116</v>
      </c>
      <c r="C411" s="27" t="s">
        <v>6</v>
      </c>
      <c r="D411" s="27" t="s">
        <v>19</v>
      </c>
      <c r="E411" s="28">
        <v>139700</v>
      </c>
      <c r="F411" s="28">
        <v>156600</v>
      </c>
      <c r="G411" s="27" t="s">
        <v>22</v>
      </c>
      <c r="H411" s="27" t="s">
        <v>5682</v>
      </c>
      <c r="I411" s="27" t="s">
        <v>9</v>
      </c>
    </row>
    <row r="412" spans="1:9" x14ac:dyDescent="0.3">
      <c r="A412" s="26">
        <v>44950</v>
      </c>
      <c r="B412" s="27" t="s">
        <v>116</v>
      </c>
      <c r="C412" s="27" t="s">
        <v>6</v>
      </c>
      <c r="D412" s="27" t="s">
        <v>24</v>
      </c>
      <c r="E412" s="28">
        <v>108500</v>
      </c>
      <c r="F412" s="28">
        <v>100800</v>
      </c>
      <c r="G412" s="27" t="s">
        <v>17</v>
      </c>
      <c r="H412" s="27" t="s">
        <v>6002</v>
      </c>
      <c r="I412" s="27" t="s">
        <v>9</v>
      </c>
    </row>
    <row r="413" spans="1:9" x14ac:dyDescent="0.3">
      <c r="A413" s="26">
        <v>44950</v>
      </c>
      <c r="B413" s="27" t="s">
        <v>116</v>
      </c>
      <c r="C413" s="27" t="s">
        <v>6</v>
      </c>
      <c r="D413" s="27" t="s">
        <v>16</v>
      </c>
      <c r="E413" s="28">
        <v>119000</v>
      </c>
      <c r="F413" s="28">
        <v>140500</v>
      </c>
      <c r="G413" s="27" t="s">
        <v>22</v>
      </c>
      <c r="H413" s="27" t="s">
        <v>6693</v>
      </c>
      <c r="I413" s="27" t="s">
        <v>9</v>
      </c>
    </row>
    <row r="414" spans="1:9" x14ac:dyDescent="0.3">
      <c r="A414" s="26">
        <v>44951</v>
      </c>
      <c r="B414" s="27" t="s">
        <v>116</v>
      </c>
      <c r="C414" s="27" t="s">
        <v>14</v>
      </c>
      <c r="D414" s="27" t="s">
        <v>21</v>
      </c>
      <c r="E414" s="28">
        <v>12019</v>
      </c>
      <c r="F414" s="28">
        <v>90267</v>
      </c>
      <c r="G414" s="27" t="s">
        <v>11</v>
      </c>
      <c r="H414" s="27" t="s">
        <v>359</v>
      </c>
      <c r="I414" s="27" t="s">
        <v>13</v>
      </c>
    </row>
    <row r="415" spans="1:9" x14ac:dyDescent="0.3">
      <c r="A415" s="26">
        <v>44951</v>
      </c>
      <c r="B415" s="27" t="s">
        <v>116</v>
      </c>
      <c r="C415" s="27" t="s">
        <v>10</v>
      </c>
      <c r="D415" s="27" t="s">
        <v>21</v>
      </c>
      <c r="E415" s="28">
        <v>112958</v>
      </c>
      <c r="F415" s="28">
        <v>125260</v>
      </c>
      <c r="G415" s="27" t="s">
        <v>17</v>
      </c>
      <c r="H415" s="27" t="s">
        <v>578</v>
      </c>
      <c r="I415" s="27" t="s">
        <v>13</v>
      </c>
    </row>
    <row r="416" spans="1:9" x14ac:dyDescent="0.3">
      <c r="A416" s="26">
        <v>44951</v>
      </c>
      <c r="B416" s="27" t="s">
        <v>116</v>
      </c>
      <c r="C416" s="27" t="s">
        <v>14</v>
      </c>
      <c r="D416" s="27" t="s">
        <v>21</v>
      </c>
      <c r="E416" s="28">
        <v>141717</v>
      </c>
      <c r="F416" s="28">
        <v>47821</v>
      </c>
      <c r="G416" s="27" t="s">
        <v>8</v>
      </c>
      <c r="H416" s="27" t="s">
        <v>588</v>
      </c>
      <c r="I416" s="27" t="s">
        <v>13</v>
      </c>
    </row>
    <row r="417" spans="1:9" x14ac:dyDescent="0.3">
      <c r="A417" s="26">
        <v>44951</v>
      </c>
      <c r="B417" s="27" t="s">
        <v>116</v>
      </c>
      <c r="C417" s="27" t="s">
        <v>14</v>
      </c>
      <c r="D417" s="27" t="s">
        <v>19</v>
      </c>
      <c r="E417" s="28">
        <v>75536</v>
      </c>
      <c r="F417" s="28">
        <v>31377</v>
      </c>
      <c r="G417" s="27" t="s">
        <v>22</v>
      </c>
      <c r="H417" s="27" t="s">
        <v>2111</v>
      </c>
      <c r="I417" s="27" t="s">
        <v>13</v>
      </c>
    </row>
    <row r="418" spans="1:9" x14ac:dyDescent="0.3">
      <c r="A418" s="26">
        <v>44951</v>
      </c>
      <c r="B418" s="27" t="s">
        <v>116</v>
      </c>
      <c r="C418" s="27" t="s">
        <v>15</v>
      </c>
      <c r="D418" s="27" t="s">
        <v>16</v>
      </c>
      <c r="E418" s="28">
        <v>48229</v>
      </c>
      <c r="F418" s="28">
        <v>169637</v>
      </c>
      <c r="G418" s="27" t="s">
        <v>8</v>
      </c>
      <c r="H418" s="27" t="s">
        <v>2179</v>
      </c>
      <c r="I418" s="27" t="s">
        <v>13</v>
      </c>
    </row>
    <row r="419" spans="1:9" x14ac:dyDescent="0.3">
      <c r="A419" s="26">
        <v>44951</v>
      </c>
      <c r="B419" s="27" t="s">
        <v>116</v>
      </c>
      <c r="C419" s="27" t="s">
        <v>10</v>
      </c>
      <c r="D419" s="27" t="s">
        <v>21</v>
      </c>
      <c r="E419" s="28">
        <v>80909</v>
      </c>
      <c r="F419" s="28">
        <v>86999</v>
      </c>
      <c r="G419" s="27" t="s">
        <v>11</v>
      </c>
      <c r="H419" s="27" t="s">
        <v>3075</v>
      </c>
      <c r="I419" s="27" t="s">
        <v>13</v>
      </c>
    </row>
    <row r="420" spans="1:9" x14ac:dyDescent="0.3">
      <c r="A420" s="26">
        <v>44951</v>
      </c>
      <c r="B420" s="27" t="s">
        <v>116</v>
      </c>
      <c r="C420" s="27" t="s">
        <v>20</v>
      </c>
      <c r="D420" s="27" t="s">
        <v>16</v>
      </c>
      <c r="E420" s="28">
        <v>15514</v>
      </c>
      <c r="F420" s="28">
        <v>60957</v>
      </c>
      <c r="G420" s="27" t="s">
        <v>8</v>
      </c>
      <c r="H420" s="27" t="s">
        <v>3322</v>
      </c>
      <c r="I420" s="27" t="s">
        <v>13</v>
      </c>
    </row>
    <row r="421" spans="1:9" x14ac:dyDescent="0.3">
      <c r="A421" s="26">
        <v>44951</v>
      </c>
      <c r="B421" s="27" t="s">
        <v>116</v>
      </c>
      <c r="C421" s="27" t="s">
        <v>6</v>
      </c>
      <c r="D421" s="27" t="s">
        <v>21</v>
      </c>
      <c r="E421" s="28">
        <v>305700</v>
      </c>
      <c r="F421" s="28">
        <v>260900</v>
      </c>
      <c r="G421" s="27" t="s">
        <v>17</v>
      </c>
      <c r="H421" s="27" t="s">
        <v>3740</v>
      </c>
      <c r="I421" s="27" t="s">
        <v>9</v>
      </c>
    </row>
    <row r="422" spans="1:9" x14ac:dyDescent="0.3">
      <c r="A422" s="26">
        <v>44951</v>
      </c>
      <c r="B422" s="27" t="s">
        <v>116</v>
      </c>
      <c r="C422" s="27" t="s">
        <v>93</v>
      </c>
      <c r="D422" s="27" t="s">
        <v>21</v>
      </c>
      <c r="E422" s="28">
        <v>83200</v>
      </c>
      <c r="F422" s="28">
        <v>87000</v>
      </c>
      <c r="G422" s="27" t="s">
        <v>11</v>
      </c>
      <c r="H422" s="27" t="s">
        <v>3959</v>
      </c>
      <c r="I422" s="27" t="s">
        <v>9</v>
      </c>
    </row>
    <row r="423" spans="1:9" x14ac:dyDescent="0.3">
      <c r="A423" s="26">
        <v>44951</v>
      </c>
      <c r="B423" s="27" t="s">
        <v>116</v>
      </c>
      <c r="C423" s="27" t="s">
        <v>93</v>
      </c>
      <c r="D423" s="27" t="s">
        <v>21</v>
      </c>
      <c r="E423" s="28">
        <v>458700</v>
      </c>
      <c r="F423" s="28">
        <v>434600</v>
      </c>
      <c r="G423" s="27" t="s">
        <v>22</v>
      </c>
      <c r="H423" s="27" t="s">
        <v>3969</v>
      </c>
      <c r="I423" s="27" t="s">
        <v>9</v>
      </c>
    </row>
    <row r="424" spans="1:9" x14ac:dyDescent="0.3">
      <c r="A424" s="26">
        <v>44951</v>
      </c>
      <c r="B424" s="27" t="s">
        <v>116</v>
      </c>
      <c r="C424" s="27" t="s">
        <v>93</v>
      </c>
      <c r="D424" s="27" t="s">
        <v>19</v>
      </c>
      <c r="E424" s="28">
        <v>148300</v>
      </c>
      <c r="F424" s="28">
        <v>215400</v>
      </c>
      <c r="G424" s="27" t="s">
        <v>11</v>
      </c>
      <c r="H424" s="27" t="s">
        <v>5495</v>
      </c>
      <c r="I424" s="27" t="s">
        <v>9</v>
      </c>
    </row>
    <row r="425" spans="1:9" x14ac:dyDescent="0.3">
      <c r="A425" s="26">
        <v>44951</v>
      </c>
      <c r="B425" s="27" t="s">
        <v>116</v>
      </c>
      <c r="C425" s="27" t="s">
        <v>6</v>
      </c>
      <c r="D425" s="27" t="s">
        <v>16</v>
      </c>
      <c r="E425" s="28">
        <v>108100</v>
      </c>
      <c r="F425" s="28">
        <v>115600</v>
      </c>
      <c r="G425" s="27" t="s">
        <v>17</v>
      </c>
      <c r="H425" s="27" t="s">
        <v>5564</v>
      </c>
      <c r="I425" s="27" t="s">
        <v>9</v>
      </c>
    </row>
    <row r="426" spans="1:9" x14ac:dyDescent="0.3">
      <c r="A426" s="26">
        <v>44951</v>
      </c>
      <c r="B426" s="27" t="s">
        <v>116</v>
      </c>
      <c r="C426" s="27" t="s">
        <v>93</v>
      </c>
      <c r="D426" s="27" t="s">
        <v>21</v>
      </c>
      <c r="E426" s="28">
        <v>252200</v>
      </c>
      <c r="F426" s="28">
        <v>231500</v>
      </c>
      <c r="G426" s="27" t="s">
        <v>17</v>
      </c>
      <c r="H426" s="27" t="s">
        <v>6460</v>
      </c>
      <c r="I426" s="27" t="s">
        <v>9</v>
      </c>
    </row>
    <row r="427" spans="1:9" x14ac:dyDescent="0.3">
      <c r="A427" s="26">
        <v>44951</v>
      </c>
      <c r="B427" s="27" t="s">
        <v>116</v>
      </c>
      <c r="C427" s="27" t="s">
        <v>93</v>
      </c>
      <c r="D427" s="27" t="s">
        <v>16</v>
      </c>
      <c r="E427" s="28">
        <v>74200</v>
      </c>
      <c r="F427" s="28">
        <v>74400</v>
      </c>
      <c r="G427" s="27" t="s">
        <v>11</v>
      </c>
      <c r="H427" s="27" t="s">
        <v>6707</v>
      </c>
      <c r="I427" s="27" t="s">
        <v>9</v>
      </c>
    </row>
    <row r="428" spans="1:9" x14ac:dyDescent="0.3">
      <c r="A428" s="26">
        <v>44952</v>
      </c>
      <c r="B428" s="27" t="s">
        <v>116</v>
      </c>
      <c r="C428" s="27" t="s">
        <v>15</v>
      </c>
      <c r="D428" s="27" t="s">
        <v>7</v>
      </c>
      <c r="E428" s="28">
        <v>25458</v>
      </c>
      <c r="F428" s="28">
        <v>94707</v>
      </c>
      <c r="G428" s="27" t="s">
        <v>8</v>
      </c>
      <c r="H428" s="27" t="s">
        <v>1060</v>
      </c>
      <c r="I428" s="27" t="s">
        <v>13</v>
      </c>
    </row>
    <row r="429" spans="1:9" x14ac:dyDescent="0.3">
      <c r="A429" s="26">
        <v>44952</v>
      </c>
      <c r="B429" s="27" t="s">
        <v>116</v>
      </c>
      <c r="C429" s="27" t="s">
        <v>18</v>
      </c>
      <c r="D429" s="27" t="s">
        <v>7</v>
      </c>
      <c r="E429" s="28">
        <v>31137</v>
      </c>
      <c r="F429" s="28">
        <v>134825</v>
      </c>
      <c r="G429" s="27" t="s">
        <v>22</v>
      </c>
      <c r="H429" s="27" t="s">
        <v>1614</v>
      </c>
      <c r="I429" s="27" t="s">
        <v>13</v>
      </c>
    </row>
    <row r="430" spans="1:9" x14ac:dyDescent="0.3">
      <c r="A430" s="26">
        <v>44952</v>
      </c>
      <c r="B430" s="27" t="s">
        <v>116</v>
      </c>
      <c r="C430" s="27" t="s">
        <v>10</v>
      </c>
      <c r="D430" s="27" t="s">
        <v>24</v>
      </c>
      <c r="E430" s="28">
        <v>57993</v>
      </c>
      <c r="F430" s="28">
        <v>122909</v>
      </c>
      <c r="G430" s="27" t="s">
        <v>22</v>
      </c>
      <c r="H430" s="27" t="s">
        <v>1690</v>
      </c>
      <c r="I430" s="27" t="s">
        <v>13</v>
      </c>
    </row>
    <row r="431" spans="1:9" x14ac:dyDescent="0.3">
      <c r="A431" s="26">
        <v>44952</v>
      </c>
      <c r="B431" s="27" t="s">
        <v>116</v>
      </c>
      <c r="C431" s="27" t="s">
        <v>10</v>
      </c>
      <c r="D431" s="27" t="s">
        <v>16</v>
      </c>
      <c r="E431" s="28">
        <v>22473</v>
      </c>
      <c r="F431" s="28">
        <v>28421</v>
      </c>
      <c r="G431" s="27" t="s">
        <v>17</v>
      </c>
      <c r="H431" s="27" t="s">
        <v>1881</v>
      </c>
      <c r="I431" s="27" t="s">
        <v>13</v>
      </c>
    </row>
    <row r="432" spans="1:9" x14ac:dyDescent="0.3">
      <c r="A432" s="26">
        <v>44952</v>
      </c>
      <c r="B432" s="27" t="s">
        <v>116</v>
      </c>
      <c r="C432" s="27" t="s">
        <v>18</v>
      </c>
      <c r="D432" s="27" t="s">
        <v>19</v>
      </c>
      <c r="E432" s="28">
        <v>27366</v>
      </c>
      <c r="F432" s="28">
        <v>136287</v>
      </c>
      <c r="G432" s="27" t="s">
        <v>22</v>
      </c>
      <c r="H432" s="27" t="s">
        <v>1922</v>
      </c>
      <c r="I432" s="27" t="s">
        <v>13</v>
      </c>
    </row>
    <row r="433" spans="1:9" x14ac:dyDescent="0.3">
      <c r="A433" s="26">
        <v>44952</v>
      </c>
      <c r="B433" s="27" t="s">
        <v>116</v>
      </c>
      <c r="C433" s="27" t="s">
        <v>14</v>
      </c>
      <c r="D433" s="27" t="s">
        <v>16</v>
      </c>
      <c r="E433" s="28">
        <v>145449</v>
      </c>
      <c r="F433" s="28">
        <v>27377</v>
      </c>
      <c r="G433" s="27" t="s">
        <v>8</v>
      </c>
      <c r="H433" s="27" t="s">
        <v>2372</v>
      </c>
      <c r="I433" s="27" t="s">
        <v>13</v>
      </c>
    </row>
    <row r="434" spans="1:9" x14ac:dyDescent="0.3">
      <c r="A434" s="26">
        <v>44952</v>
      </c>
      <c r="B434" s="27" t="s">
        <v>116</v>
      </c>
      <c r="C434" s="27" t="s">
        <v>20</v>
      </c>
      <c r="D434" s="27" t="s">
        <v>19</v>
      </c>
      <c r="E434" s="28">
        <v>97377</v>
      </c>
      <c r="F434" s="28">
        <v>39803</v>
      </c>
      <c r="G434" s="27" t="s">
        <v>17</v>
      </c>
      <c r="H434" s="27" t="s">
        <v>2916</v>
      </c>
      <c r="I434" s="27" t="s">
        <v>13</v>
      </c>
    </row>
    <row r="435" spans="1:9" x14ac:dyDescent="0.3">
      <c r="A435" s="26">
        <v>44952</v>
      </c>
      <c r="B435" s="27" t="s">
        <v>116</v>
      </c>
      <c r="C435" s="27" t="s">
        <v>6</v>
      </c>
      <c r="D435" s="27" t="s">
        <v>7</v>
      </c>
      <c r="E435" s="28">
        <v>97000</v>
      </c>
      <c r="F435" s="28">
        <v>110800</v>
      </c>
      <c r="G435" s="27" t="s">
        <v>11</v>
      </c>
      <c r="H435" s="27" t="s">
        <v>4442</v>
      </c>
      <c r="I435" s="27" t="s">
        <v>9</v>
      </c>
    </row>
    <row r="436" spans="1:9" x14ac:dyDescent="0.3">
      <c r="A436" s="26">
        <v>44952</v>
      </c>
      <c r="B436" s="27" t="s">
        <v>116</v>
      </c>
      <c r="C436" s="27" t="s">
        <v>93</v>
      </c>
      <c r="D436" s="27" t="s">
        <v>7</v>
      </c>
      <c r="E436" s="28">
        <v>113500</v>
      </c>
      <c r="F436" s="28">
        <v>105700</v>
      </c>
      <c r="G436" s="27" t="s">
        <v>11</v>
      </c>
      <c r="H436" s="27" t="s">
        <v>4997</v>
      </c>
      <c r="I436" s="27" t="s">
        <v>9</v>
      </c>
    </row>
    <row r="437" spans="1:9" x14ac:dyDescent="0.3">
      <c r="A437" s="26">
        <v>44952</v>
      </c>
      <c r="B437" s="27" t="s">
        <v>116</v>
      </c>
      <c r="C437" s="27" t="s">
        <v>93</v>
      </c>
      <c r="D437" s="27" t="s">
        <v>24</v>
      </c>
      <c r="E437" s="28">
        <v>136000</v>
      </c>
      <c r="F437" s="28">
        <v>126200</v>
      </c>
      <c r="G437" s="27" t="s">
        <v>17</v>
      </c>
      <c r="H437" s="27" t="s">
        <v>5073</v>
      </c>
      <c r="I437" s="27" t="s">
        <v>9</v>
      </c>
    </row>
    <row r="438" spans="1:9" x14ac:dyDescent="0.3">
      <c r="A438" s="26">
        <v>44952</v>
      </c>
      <c r="B438" s="27" t="s">
        <v>116</v>
      </c>
      <c r="C438" s="27" t="s">
        <v>6</v>
      </c>
      <c r="D438" s="27" t="s">
        <v>16</v>
      </c>
      <c r="E438" s="28">
        <v>131000</v>
      </c>
      <c r="F438" s="28">
        <v>105700</v>
      </c>
      <c r="G438" s="27" t="s">
        <v>17</v>
      </c>
      <c r="H438" s="27" t="s">
        <v>5265</v>
      </c>
      <c r="I438" s="27" t="s">
        <v>9</v>
      </c>
    </row>
    <row r="439" spans="1:9" x14ac:dyDescent="0.3">
      <c r="A439" s="26">
        <v>44952</v>
      </c>
      <c r="B439" s="27" t="s">
        <v>116</v>
      </c>
      <c r="C439" s="27" t="s">
        <v>6</v>
      </c>
      <c r="D439" s="27" t="s">
        <v>19</v>
      </c>
      <c r="E439" s="28">
        <v>57900</v>
      </c>
      <c r="F439" s="28">
        <v>68200</v>
      </c>
      <c r="G439" s="27" t="s">
        <v>11</v>
      </c>
      <c r="H439" s="27" t="s">
        <v>5306</v>
      </c>
      <c r="I439" s="27" t="s">
        <v>9</v>
      </c>
    </row>
    <row r="440" spans="1:9" x14ac:dyDescent="0.3">
      <c r="A440" s="26">
        <v>44952</v>
      </c>
      <c r="B440" s="27" t="s">
        <v>116</v>
      </c>
      <c r="C440" s="27" t="s">
        <v>6</v>
      </c>
      <c r="D440" s="27" t="s">
        <v>16</v>
      </c>
      <c r="E440" s="28">
        <v>114900</v>
      </c>
      <c r="F440" s="28">
        <v>103800</v>
      </c>
      <c r="G440" s="27" t="s">
        <v>17</v>
      </c>
      <c r="H440" s="27" t="s">
        <v>5757</v>
      </c>
      <c r="I440" s="27" t="s">
        <v>9</v>
      </c>
    </row>
    <row r="441" spans="1:9" x14ac:dyDescent="0.3">
      <c r="A441" s="26">
        <v>44952</v>
      </c>
      <c r="B441" s="27" t="s">
        <v>116</v>
      </c>
      <c r="C441" s="27" t="s">
        <v>6</v>
      </c>
      <c r="D441" s="27" t="s">
        <v>19</v>
      </c>
      <c r="E441" s="28">
        <v>151300</v>
      </c>
      <c r="F441" s="28">
        <v>141100</v>
      </c>
      <c r="G441" s="27" t="s">
        <v>11</v>
      </c>
      <c r="H441" s="27" t="s">
        <v>6301</v>
      </c>
      <c r="I441" s="27" t="s">
        <v>9</v>
      </c>
    </row>
    <row r="442" spans="1:9" x14ac:dyDescent="0.3">
      <c r="A442" s="26">
        <v>44953</v>
      </c>
      <c r="B442" s="27" t="s">
        <v>116</v>
      </c>
      <c r="C442" s="27" t="s">
        <v>10</v>
      </c>
      <c r="D442" s="27" t="s">
        <v>21</v>
      </c>
      <c r="E442" s="28">
        <v>139162</v>
      </c>
      <c r="F442" s="28">
        <v>33091</v>
      </c>
      <c r="G442" s="27" t="s">
        <v>8</v>
      </c>
      <c r="H442" s="27" t="s">
        <v>808</v>
      </c>
      <c r="I442" s="27" t="s">
        <v>13</v>
      </c>
    </row>
    <row r="443" spans="1:9" x14ac:dyDescent="0.3">
      <c r="A443" s="26">
        <v>44953</v>
      </c>
      <c r="B443" s="27" t="s">
        <v>116</v>
      </c>
      <c r="C443" s="27" t="s">
        <v>18</v>
      </c>
      <c r="D443" s="27" t="s">
        <v>19</v>
      </c>
      <c r="E443" s="28">
        <v>145423</v>
      </c>
      <c r="F443" s="28">
        <v>85718</v>
      </c>
      <c r="G443" s="27" t="s">
        <v>8</v>
      </c>
      <c r="H443" s="27" t="s">
        <v>1178</v>
      </c>
      <c r="I443" s="27" t="s">
        <v>13</v>
      </c>
    </row>
    <row r="444" spans="1:9" x14ac:dyDescent="0.3">
      <c r="A444" s="26">
        <v>44953</v>
      </c>
      <c r="B444" s="27" t="s">
        <v>116</v>
      </c>
      <c r="C444" s="27" t="s">
        <v>15</v>
      </c>
      <c r="D444" s="27" t="s">
        <v>21</v>
      </c>
      <c r="E444" s="28">
        <v>37980</v>
      </c>
      <c r="F444" s="28">
        <v>24284</v>
      </c>
      <c r="G444" s="27" t="s">
        <v>11</v>
      </c>
      <c r="H444" s="27" t="s">
        <v>1743</v>
      </c>
      <c r="I444" s="27" t="s">
        <v>13</v>
      </c>
    </row>
    <row r="445" spans="1:9" x14ac:dyDescent="0.3">
      <c r="A445" s="26">
        <v>44953</v>
      </c>
      <c r="B445" s="27" t="s">
        <v>116</v>
      </c>
      <c r="C445" s="27" t="s">
        <v>14</v>
      </c>
      <c r="D445" s="27" t="s">
        <v>24</v>
      </c>
      <c r="E445" s="28">
        <v>78105</v>
      </c>
      <c r="F445" s="28">
        <v>167154</v>
      </c>
      <c r="G445" s="27" t="s">
        <v>22</v>
      </c>
      <c r="H445" s="27" t="s">
        <v>2225</v>
      </c>
      <c r="I445" s="27" t="s">
        <v>13</v>
      </c>
    </row>
    <row r="446" spans="1:9" x14ac:dyDescent="0.3">
      <c r="A446" s="26">
        <v>44953</v>
      </c>
      <c r="B446" s="27" t="s">
        <v>116</v>
      </c>
      <c r="C446" s="27" t="s">
        <v>18</v>
      </c>
      <c r="D446" s="27" t="s">
        <v>16</v>
      </c>
      <c r="E446" s="28">
        <v>92958</v>
      </c>
      <c r="F446" s="28">
        <v>147432</v>
      </c>
      <c r="G446" s="27" t="s">
        <v>8</v>
      </c>
      <c r="H446" s="27" t="s">
        <v>2490</v>
      </c>
      <c r="I446" s="27" t="s">
        <v>13</v>
      </c>
    </row>
    <row r="447" spans="1:9" x14ac:dyDescent="0.3">
      <c r="A447" s="26">
        <v>44953</v>
      </c>
      <c r="B447" s="27" t="s">
        <v>116</v>
      </c>
      <c r="C447" s="27" t="s">
        <v>20</v>
      </c>
      <c r="D447" s="27" t="s">
        <v>16</v>
      </c>
      <c r="E447" s="28">
        <v>140071</v>
      </c>
      <c r="F447" s="28">
        <v>144631</v>
      </c>
      <c r="G447" s="27" t="s">
        <v>22</v>
      </c>
      <c r="H447" s="27" t="s">
        <v>2809</v>
      </c>
      <c r="I447" s="27" t="s">
        <v>13</v>
      </c>
    </row>
    <row r="448" spans="1:9" x14ac:dyDescent="0.3">
      <c r="A448" s="26">
        <v>44953</v>
      </c>
      <c r="B448" s="27" t="s">
        <v>116</v>
      </c>
      <c r="C448" s="27" t="s">
        <v>20</v>
      </c>
      <c r="D448" s="27" t="s">
        <v>24</v>
      </c>
      <c r="E448" s="28">
        <v>35618</v>
      </c>
      <c r="F448" s="28">
        <v>47715</v>
      </c>
      <c r="G448" s="27" t="s">
        <v>11</v>
      </c>
      <c r="H448" s="27" t="s">
        <v>2907</v>
      </c>
      <c r="I448" s="27" t="s">
        <v>13</v>
      </c>
    </row>
    <row r="449" spans="1:9" x14ac:dyDescent="0.3">
      <c r="A449" s="26">
        <v>44953</v>
      </c>
      <c r="B449" s="27" t="s">
        <v>116</v>
      </c>
      <c r="C449" s="27" t="s">
        <v>15</v>
      </c>
      <c r="D449" s="27" t="s">
        <v>7</v>
      </c>
      <c r="E449" s="28">
        <v>12560</v>
      </c>
      <c r="F449" s="28">
        <v>42202</v>
      </c>
      <c r="G449" s="27" t="s">
        <v>22</v>
      </c>
      <c r="H449" s="27" t="s">
        <v>3107</v>
      </c>
      <c r="I449" s="27" t="s">
        <v>13</v>
      </c>
    </row>
    <row r="450" spans="1:9" x14ac:dyDescent="0.3">
      <c r="A450" s="26">
        <v>44953</v>
      </c>
      <c r="B450" s="27" t="s">
        <v>116</v>
      </c>
      <c r="C450" s="27" t="s">
        <v>20</v>
      </c>
      <c r="D450" s="27" t="s">
        <v>19</v>
      </c>
      <c r="E450" s="28">
        <v>128459</v>
      </c>
      <c r="F450" s="28">
        <v>17846</v>
      </c>
      <c r="G450" s="27" t="s">
        <v>17</v>
      </c>
      <c r="H450" s="27" t="s">
        <v>3138</v>
      </c>
      <c r="I450" s="27" t="s">
        <v>13</v>
      </c>
    </row>
    <row r="451" spans="1:9" x14ac:dyDescent="0.3">
      <c r="A451" s="26">
        <v>44953</v>
      </c>
      <c r="B451" s="27" t="s">
        <v>116</v>
      </c>
      <c r="C451" s="27" t="s">
        <v>32</v>
      </c>
      <c r="D451" s="27" t="s">
        <v>19</v>
      </c>
      <c r="E451" s="28">
        <v>104187</v>
      </c>
      <c r="F451" s="28">
        <v>18152</v>
      </c>
      <c r="G451" s="27" t="s">
        <v>8</v>
      </c>
      <c r="H451" s="27" t="s">
        <v>3309</v>
      </c>
      <c r="I451" s="27" t="s">
        <v>13</v>
      </c>
    </row>
    <row r="452" spans="1:9" x14ac:dyDescent="0.3">
      <c r="A452" s="26">
        <v>44953</v>
      </c>
      <c r="B452" s="27" t="s">
        <v>116</v>
      </c>
      <c r="C452" s="27" t="s">
        <v>6</v>
      </c>
      <c r="D452" s="27" t="s">
        <v>21</v>
      </c>
      <c r="E452" s="28">
        <v>65400</v>
      </c>
      <c r="F452" s="28">
        <v>56200</v>
      </c>
      <c r="G452" s="27" t="s">
        <v>11</v>
      </c>
      <c r="H452" s="27" t="s">
        <v>4189</v>
      </c>
      <c r="I452" s="27" t="s">
        <v>9</v>
      </c>
    </row>
    <row r="453" spans="1:9" x14ac:dyDescent="0.3">
      <c r="A453" s="26">
        <v>44953</v>
      </c>
      <c r="B453" s="27" t="s">
        <v>116</v>
      </c>
      <c r="C453" s="27" t="s">
        <v>93</v>
      </c>
      <c r="D453" s="27" t="s">
        <v>19</v>
      </c>
      <c r="E453" s="28">
        <v>101700</v>
      </c>
      <c r="F453" s="28">
        <v>97100</v>
      </c>
      <c r="G453" s="27" t="s">
        <v>17</v>
      </c>
      <c r="H453" s="27" t="s">
        <v>4561</v>
      </c>
      <c r="I453" s="27" t="s">
        <v>9</v>
      </c>
    </row>
    <row r="454" spans="1:9" x14ac:dyDescent="0.3">
      <c r="A454" s="26">
        <v>44953</v>
      </c>
      <c r="B454" s="27" t="s">
        <v>116</v>
      </c>
      <c r="C454" s="27" t="s">
        <v>6</v>
      </c>
      <c r="D454" s="27" t="s">
        <v>21</v>
      </c>
      <c r="E454" s="28">
        <v>79700</v>
      </c>
      <c r="F454" s="28">
        <v>83300</v>
      </c>
      <c r="G454" s="27" t="s">
        <v>11</v>
      </c>
      <c r="H454" s="27" t="s">
        <v>5126</v>
      </c>
      <c r="I454" s="27" t="s">
        <v>9</v>
      </c>
    </row>
    <row r="455" spans="1:9" x14ac:dyDescent="0.3">
      <c r="A455" s="26">
        <v>44953</v>
      </c>
      <c r="B455" s="27" t="s">
        <v>116</v>
      </c>
      <c r="C455" s="27" t="s">
        <v>6</v>
      </c>
      <c r="D455" s="27" t="s">
        <v>24</v>
      </c>
      <c r="E455" s="28">
        <v>121800</v>
      </c>
      <c r="F455" s="28">
        <v>130600</v>
      </c>
      <c r="G455" s="27" t="s">
        <v>22</v>
      </c>
      <c r="H455" s="27" t="s">
        <v>5610</v>
      </c>
      <c r="I455" s="27" t="s">
        <v>9</v>
      </c>
    </row>
    <row r="456" spans="1:9" x14ac:dyDescent="0.3">
      <c r="A456" s="26">
        <v>44953</v>
      </c>
      <c r="B456" s="27" t="s">
        <v>116</v>
      </c>
      <c r="C456" s="27" t="s">
        <v>6</v>
      </c>
      <c r="D456" s="27" t="s">
        <v>16</v>
      </c>
      <c r="E456" s="28">
        <v>119800</v>
      </c>
      <c r="F456" s="28">
        <v>140400</v>
      </c>
      <c r="G456" s="27" t="s">
        <v>17</v>
      </c>
      <c r="H456" s="27" t="s">
        <v>5875</v>
      </c>
      <c r="I456" s="27" t="s">
        <v>9</v>
      </c>
    </row>
    <row r="457" spans="1:9" x14ac:dyDescent="0.3">
      <c r="A457" s="26">
        <v>44953</v>
      </c>
      <c r="B457" s="27" t="s">
        <v>116</v>
      </c>
      <c r="C457" s="27" t="s">
        <v>93</v>
      </c>
      <c r="D457" s="27" t="s">
        <v>16</v>
      </c>
      <c r="E457" s="28">
        <v>87100</v>
      </c>
      <c r="F457" s="28">
        <v>100000</v>
      </c>
      <c r="G457" s="27" t="s">
        <v>11</v>
      </c>
      <c r="H457" s="27" t="s">
        <v>6194</v>
      </c>
      <c r="I457" s="27" t="s">
        <v>9</v>
      </c>
    </row>
    <row r="458" spans="1:9" x14ac:dyDescent="0.3">
      <c r="A458" s="26">
        <v>44953</v>
      </c>
      <c r="B458" s="27" t="s">
        <v>116</v>
      </c>
      <c r="C458" s="27" t="s">
        <v>6</v>
      </c>
      <c r="D458" s="27" t="s">
        <v>24</v>
      </c>
      <c r="E458" s="28">
        <v>128400</v>
      </c>
      <c r="F458" s="28">
        <v>156800</v>
      </c>
      <c r="G458" s="27" t="s">
        <v>22</v>
      </c>
      <c r="H458" s="27" t="s">
        <v>6292</v>
      </c>
      <c r="I458" s="27" t="s">
        <v>9</v>
      </c>
    </row>
    <row r="459" spans="1:9" x14ac:dyDescent="0.3">
      <c r="A459" s="26">
        <v>44953</v>
      </c>
      <c r="B459" s="27" t="s">
        <v>116</v>
      </c>
      <c r="C459" s="27" t="s">
        <v>93</v>
      </c>
      <c r="D459" s="27" t="s">
        <v>7</v>
      </c>
      <c r="E459" s="28">
        <v>121500</v>
      </c>
      <c r="F459" s="28">
        <v>140800</v>
      </c>
      <c r="G459" s="27" t="s">
        <v>17</v>
      </c>
      <c r="H459" s="27" t="s">
        <v>6492</v>
      </c>
      <c r="I459" s="27" t="s">
        <v>9</v>
      </c>
    </row>
    <row r="460" spans="1:9" x14ac:dyDescent="0.3">
      <c r="A460" s="26">
        <v>44953</v>
      </c>
      <c r="B460" s="27" t="s">
        <v>116</v>
      </c>
      <c r="C460" s="27" t="s">
        <v>93</v>
      </c>
      <c r="D460" s="27" t="s">
        <v>19</v>
      </c>
      <c r="E460" s="28">
        <v>149200</v>
      </c>
      <c r="F460" s="28">
        <v>208600</v>
      </c>
      <c r="G460" s="27" t="s">
        <v>22</v>
      </c>
      <c r="H460" s="27" t="s">
        <v>6523</v>
      </c>
      <c r="I460" s="27" t="s">
        <v>9</v>
      </c>
    </row>
    <row r="461" spans="1:9" x14ac:dyDescent="0.3">
      <c r="A461" s="26">
        <v>44953</v>
      </c>
      <c r="B461" s="27" t="s">
        <v>116</v>
      </c>
      <c r="C461" s="27" t="s">
        <v>93</v>
      </c>
      <c r="D461" s="27" t="s">
        <v>19</v>
      </c>
      <c r="E461" s="28">
        <v>142700</v>
      </c>
      <c r="F461" s="28">
        <v>121700</v>
      </c>
      <c r="G461" s="27" t="s">
        <v>11</v>
      </c>
      <c r="H461" s="27" t="s">
        <v>6694</v>
      </c>
      <c r="I461" s="27" t="s">
        <v>9</v>
      </c>
    </row>
    <row r="462" spans="1:9" x14ac:dyDescent="0.3">
      <c r="A462" s="26">
        <v>44954</v>
      </c>
      <c r="B462" s="27" t="s">
        <v>116</v>
      </c>
      <c r="C462" s="27" t="s">
        <v>18</v>
      </c>
      <c r="D462" s="27" t="s">
        <v>16</v>
      </c>
      <c r="E462" s="28">
        <v>69789</v>
      </c>
      <c r="F462" s="28">
        <v>116560</v>
      </c>
      <c r="G462" s="27" t="s">
        <v>17</v>
      </c>
      <c r="H462" s="27" t="s">
        <v>440</v>
      </c>
      <c r="I462" s="27" t="s">
        <v>13</v>
      </c>
    </row>
    <row r="463" spans="1:9" x14ac:dyDescent="0.3">
      <c r="A463" s="26">
        <v>44954</v>
      </c>
      <c r="B463" s="27" t="s">
        <v>116</v>
      </c>
      <c r="C463" s="27" t="s">
        <v>18</v>
      </c>
      <c r="D463" s="27" t="s">
        <v>21</v>
      </c>
      <c r="E463" s="28">
        <v>65020</v>
      </c>
      <c r="F463" s="28">
        <v>153720</v>
      </c>
      <c r="G463" s="27" t="s">
        <v>11</v>
      </c>
      <c r="H463" s="27" t="s">
        <v>1221</v>
      </c>
      <c r="I463" s="27" t="s">
        <v>13</v>
      </c>
    </row>
    <row r="464" spans="1:9" x14ac:dyDescent="0.3">
      <c r="A464" s="26">
        <v>44954</v>
      </c>
      <c r="B464" s="27" t="s">
        <v>116</v>
      </c>
      <c r="C464" s="27" t="s">
        <v>15</v>
      </c>
      <c r="D464" s="27" t="s">
        <v>24</v>
      </c>
      <c r="E464" s="28">
        <v>42234</v>
      </c>
      <c r="F464" s="28">
        <v>112169</v>
      </c>
      <c r="G464" s="27" t="s">
        <v>17</v>
      </c>
      <c r="H464" s="27" t="s">
        <v>1227</v>
      </c>
      <c r="I464" s="27" t="s">
        <v>13</v>
      </c>
    </row>
    <row r="465" spans="1:9" x14ac:dyDescent="0.3">
      <c r="A465" s="26">
        <v>44954</v>
      </c>
      <c r="B465" s="27" t="s">
        <v>116</v>
      </c>
      <c r="C465" s="27" t="s">
        <v>14</v>
      </c>
      <c r="D465" s="27" t="s">
        <v>24</v>
      </c>
      <c r="E465" s="28">
        <v>70514</v>
      </c>
      <c r="F465" s="28">
        <v>11475</v>
      </c>
      <c r="G465" s="27" t="s">
        <v>8</v>
      </c>
      <c r="H465" s="27" t="s">
        <v>1231</v>
      </c>
      <c r="I465" s="27" t="s">
        <v>13</v>
      </c>
    </row>
    <row r="466" spans="1:9" x14ac:dyDescent="0.3">
      <c r="A466" s="26">
        <v>44954</v>
      </c>
      <c r="B466" s="27" t="s">
        <v>116</v>
      </c>
      <c r="C466" s="27" t="s">
        <v>15</v>
      </c>
      <c r="D466" s="27" t="s">
        <v>19</v>
      </c>
      <c r="E466" s="28">
        <v>69123</v>
      </c>
      <c r="F466" s="28">
        <v>145742</v>
      </c>
      <c r="G466" s="27" t="s">
        <v>8</v>
      </c>
      <c r="H466" s="27" t="s">
        <v>1373</v>
      </c>
      <c r="I466" s="27" t="s">
        <v>13</v>
      </c>
    </row>
    <row r="467" spans="1:9" x14ac:dyDescent="0.3">
      <c r="A467" s="26">
        <v>44954</v>
      </c>
      <c r="B467" s="27" t="s">
        <v>116</v>
      </c>
      <c r="C467" s="27" t="s">
        <v>32</v>
      </c>
      <c r="D467" s="27" t="s">
        <v>24</v>
      </c>
      <c r="E467" s="28">
        <v>106279</v>
      </c>
      <c r="F467" s="28">
        <v>24551</v>
      </c>
      <c r="G467" s="27" t="s">
        <v>17</v>
      </c>
      <c r="H467" s="27" t="s">
        <v>1387</v>
      </c>
      <c r="I467" s="27" t="s">
        <v>13</v>
      </c>
    </row>
    <row r="468" spans="1:9" x14ac:dyDescent="0.3">
      <c r="A468" s="26">
        <v>44954</v>
      </c>
      <c r="B468" s="27" t="s">
        <v>116</v>
      </c>
      <c r="C468" s="27" t="s">
        <v>14</v>
      </c>
      <c r="D468" s="27" t="s">
        <v>21</v>
      </c>
      <c r="E468" s="28">
        <v>139649</v>
      </c>
      <c r="F468" s="28">
        <v>78439</v>
      </c>
      <c r="G468" s="27" t="s">
        <v>11</v>
      </c>
      <c r="H468" s="27" t="s">
        <v>1477</v>
      </c>
      <c r="I468" s="27" t="s">
        <v>13</v>
      </c>
    </row>
    <row r="469" spans="1:9" x14ac:dyDescent="0.3">
      <c r="A469" s="26">
        <v>44954</v>
      </c>
      <c r="B469" s="27" t="s">
        <v>116</v>
      </c>
      <c r="C469" s="27" t="s">
        <v>20</v>
      </c>
      <c r="D469" s="27" t="s">
        <v>24</v>
      </c>
      <c r="E469" s="28">
        <v>26401</v>
      </c>
      <c r="F469" s="28">
        <v>129909</v>
      </c>
      <c r="G469" s="27" t="s">
        <v>17</v>
      </c>
      <c r="H469" s="27" t="s">
        <v>1985</v>
      </c>
      <c r="I469" s="27" t="s">
        <v>13</v>
      </c>
    </row>
    <row r="470" spans="1:9" x14ac:dyDescent="0.3">
      <c r="A470" s="26">
        <v>44954</v>
      </c>
      <c r="B470" s="27" t="s">
        <v>116</v>
      </c>
      <c r="C470" s="27" t="s">
        <v>18</v>
      </c>
      <c r="D470" s="27" t="s">
        <v>19</v>
      </c>
      <c r="E470" s="28">
        <v>57455</v>
      </c>
      <c r="F470" s="28">
        <v>59104</v>
      </c>
      <c r="G470" s="27" t="s">
        <v>22</v>
      </c>
      <c r="H470" s="27" t="s">
        <v>2287</v>
      </c>
      <c r="I470" s="27" t="s">
        <v>13</v>
      </c>
    </row>
    <row r="471" spans="1:9" x14ac:dyDescent="0.3">
      <c r="A471" s="26">
        <v>44954</v>
      </c>
      <c r="B471" s="27" t="s">
        <v>116</v>
      </c>
      <c r="C471" s="27" t="s">
        <v>10</v>
      </c>
      <c r="D471" s="27" t="s">
        <v>7</v>
      </c>
      <c r="E471" s="28">
        <v>140593</v>
      </c>
      <c r="F471" s="28">
        <v>26324</v>
      </c>
      <c r="G471" s="27" t="s">
        <v>8</v>
      </c>
      <c r="H471" s="27" t="s">
        <v>2961</v>
      </c>
      <c r="I471" s="27" t="s">
        <v>13</v>
      </c>
    </row>
    <row r="472" spans="1:9" x14ac:dyDescent="0.3">
      <c r="A472" s="26">
        <v>44954</v>
      </c>
      <c r="B472" s="27" t="s">
        <v>116</v>
      </c>
      <c r="C472" s="27" t="s">
        <v>20</v>
      </c>
      <c r="D472" s="27" t="s">
        <v>19</v>
      </c>
      <c r="E472" s="28">
        <v>40888</v>
      </c>
      <c r="F472" s="28">
        <v>109824</v>
      </c>
      <c r="G472" s="27" t="s">
        <v>17</v>
      </c>
      <c r="H472" s="27" t="s">
        <v>3299</v>
      </c>
      <c r="I472" s="27" t="s">
        <v>13</v>
      </c>
    </row>
    <row r="473" spans="1:9" x14ac:dyDescent="0.3">
      <c r="A473" s="26">
        <v>44954</v>
      </c>
      <c r="B473" s="27" t="s">
        <v>116</v>
      </c>
      <c r="C473" s="27" t="s">
        <v>93</v>
      </c>
      <c r="D473" s="27" t="s">
        <v>16</v>
      </c>
      <c r="E473" s="28">
        <v>92100</v>
      </c>
      <c r="F473" s="28">
        <v>108800</v>
      </c>
      <c r="G473" s="27" t="s">
        <v>11</v>
      </c>
      <c r="H473" s="27" t="s">
        <v>3821</v>
      </c>
      <c r="I473" s="27" t="s">
        <v>9</v>
      </c>
    </row>
    <row r="474" spans="1:9" x14ac:dyDescent="0.3">
      <c r="A474" s="26">
        <v>44954</v>
      </c>
      <c r="B474" s="27" t="s">
        <v>116</v>
      </c>
      <c r="C474" s="27" t="s">
        <v>93</v>
      </c>
      <c r="D474" s="27" t="s">
        <v>21</v>
      </c>
      <c r="E474" s="28">
        <v>179400</v>
      </c>
      <c r="F474" s="28">
        <v>277500</v>
      </c>
      <c r="G474" s="27" t="s">
        <v>17</v>
      </c>
      <c r="H474" s="27" t="s">
        <v>4604</v>
      </c>
      <c r="I474" s="27" t="s">
        <v>9</v>
      </c>
    </row>
    <row r="475" spans="1:9" x14ac:dyDescent="0.3">
      <c r="A475" s="26">
        <v>44954</v>
      </c>
      <c r="B475" s="27" t="s">
        <v>116</v>
      </c>
      <c r="C475" s="27" t="s">
        <v>93</v>
      </c>
      <c r="D475" s="27" t="s">
        <v>24</v>
      </c>
      <c r="E475" s="28">
        <v>133000</v>
      </c>
      <c r="F475" s="28">
        <v>143100</v>
      </c>
      <c r="G475" s="27" t="s">
        <v>11</v>
      </c>
      <c r="H475" s="27" t="s">
        <v>4610</v>
      </c>
      <c r="I475" s="27" t="s">
        <v>9</v>
      </c>
    </row>
    <row r="476" spans="1:9" x14ac:dyDescent="0.3">
      <c r="A476" s="26">
        <v>44954</v>
      </c>
      <c r="B476" s="27" t="s">
        <v>116</v>
      </c>
      <c r="C476" s="27" t="s">
        <v>93</v>
      </c>
      <c r="D476" s="27" t="s">
        <v>24</v>
      </c>
      <c r="E476" s="28">
        <v>104200</v>
      </c>
      <c r="F476" s="28">
        <v>98400</v>
      </c>
      <c r="G476" s="27" t="s">
        <v>11</v>
      </c>
      <c r="H476" s="27" t="s">
        <v>4614</v>
      </c>
      <c r="I476" s="27" t="s">
        <v>9</v>
      </c>
    </row>
    <row r="477" spans="1:9" x14ac:dyDescent="0.3">
      <c r="A477" s="26">
        <v>44954</v>
      </c>
      <c r="B477" s="27" t="s">
        <v>116</v>
      </c>
      <c r="C477" s="27" t="s">
        <v>6</v>
      </c>
      <c r="D477" s="27" t="s">
        <v>19</v>
      </c>
      <c r="E477" s="28">
        <v>58800</v>
      </c>
      <c r="F477" s="28">
        <v>62500</v>
      </c>
      <c r="G477" s="27" t="s">
        <v>22</v>
      </c>
      <c r="H477" s="27" t="s">
        <v>4756</v>
      </c>
      <c r="I477" s="27" t="s">
        <v>9</v>
      </c>
    </row>
    <row r="478" spans="1:9" x14ac:dyDescent="0.3">
      <c r="A478" s="26">
        <v>44954</v>
      </c>
      <c r="B478" s="27" t="s">
        <v>116</v>
      </c>
      <c r="C478" s="27" t="s">
        <v>6</v>
      </c>
      <c r="D478" s="27" t="s">
        <v>24</v>
      </c>
      <c r="E478" s="28">
        <v>158800</v>
      </c>
      <c r="F478" s="28">
        <v>151400</v>
      </c>
      <c r="G478" s="27" t="s">
        <v>11</v>
      </c>
      <c r="H478" s="27" t="s">
        <v>4770</v>
      </c>
      <c r="I478" s="27" t="s">
        <v>9</v>
      </c>
    </row>
    <row r="479" spans="1:9" x14ac:dyDescent="0.3">
      <c r="A479" s="26">
        <v>44954</v>
      </c>
      <c r="B479" s="27" t="s">
        <v>116</v>
      </c>
      <c r="C479" s="27" t="s">
        <v>6</v>
      </c>
      <c r="D479" s="27" t="s">
        <v>21</v>
      </c>
      <c r="E479" s="28">
        <v>121600</v>
      </c>
      <c r="F479" s="28">
        <v>109600</v>
      </c>
      <c r="G479" s="27" t="s">
        <v>11</v>
      </c>
      <c r="H479" s="27" t="s">
        <v>4860</v>
      </c>
      <c r="I479" s="27" t="s">
        <v>9</v>
      </c>
    </row>
    <row r="480" spans="1:9" x14ac:dyDescent="0.3">
      <c r="A480" s="26">
        <v>44954</v>
      </c>
      <c r="B480" s="27" t="s">
        <v>116</v>
      </c>
      <c r="C480" s="27" t="s">
        <v>93</v>
      </c>
      <c r="D480" s="27" t="s">
        <v>24</v>
      </c>
      <c r="E480" s="28">
        <v>191200</v>
      </c>
      <c r="F480" s="28">
        <v>193600</v>
      </c>
      <c r="G480" s="27" t="s">
        <v>11</v>
      </c>
      <c r="H480" s="27" t="s">
        <v>5369</v>
      </c>
      <c r="I480" s="27" t="s">
        <v>9</v>
      </c>
    </row>
    <row r="481" spans="1:9" x14ac:dyDescent="0.3">
      <c r="A481" s="26">
        <v>44954</v>
      </c>
      <c r="B481" s="27" t="s">
        <v>116</v>
      </c>
      <c r="C481" s="27" t="s">
        <v>93</v>
      </c>
      <c r="D481" s="27" t="s">
        <v>19</v>
      </c>
      <c r="E481" s="28">
        <v>74400</v>
      </c>
      <c r="F481" s="28">
        <v>68100</v>
      </c>
      <c r="G481" s="27" t="s">
        <v>11</v>
      </c>
      <c r="H481" s="27" t="s">
        <v>5672</v>
      </c>
      <c r="I481" s="27" t="s">
        <v>9</v>
      </c>
    </row>
    <row r="482" spans="1:9" x14ac:dyDescent="0.3">
      <c r="A482" s="26">
        <v>44954</v>
      </c>
      <c r="B482" s="27" t="s">
        <v>116</v>
      </c>
      <c r="C482" s="27" t="s">
        <v>6</v>
      </c>
      <c r="D482" s="27" t="s">
        <v>7</v>
      </c>
      <c r="E482" s="28">
        <v>35000</v>
      </c>
      <c r="F482" s="28">
        <v>26300</v>
      </c>
      <c r="G482" s="27" t="s">
        <v>11</v>
      </c>
      <c r="H482" s="27" t="s">
        <v>6346</v>
      </c>
      <c r="I482" s="27" t="s">
        <v>9</v>
      </c>
    </row>
    <row r="483" spans="1:9" x14ac:dyDescent="0.3">
      <c r="A483" s="26">
        <v>44954</v>
      </c>
      <c r="B483" s="27" t="s">
        <v>116</v>
      </c>
      <c r="C483" s="27" t="s">
        <v>6</v>
      </c>
      <c r="D483" s="27" t="s">
        <v>19</v>
      </c>
      <c r="E483" s="28">
        <v>145700</v>
      </c>
      <c r="F483" s="28">
        <v>120100</v>
      </c>
      <c r="G483" s="27" t="s">
        <v>17</v>
      </c>
      <c r="H483" s="27" t="s">
        <v>6684</v>
      </c>
      <c r="I483" s="27" t="s">
        <v>9</v>
      </c>
    </row>
    <row r="484" spans="1:9" x14ac:dyDescent="0.3">
      <c r="A484" s="26">
        <v>44955</v>
      </c>
      <c r="B484" s="27" t="s">
        <v>116</v>
      </c>
      <c r="C484" s="27" t="s">
        <v>32</v>
      </c>
      <c r="D484" s="27" t="s">
        <v>21</v>
      </c>
      <c r="E484" s="28">
        <v>36654</v>
      </c>
      <c r="F484" s="28">
        <v>12581</v>
      </c>
      <c r="G484" s="27" t="s">
        <v>11</v>
      </c>
      <c r="H484" s="27" t="s">
        <v>154</v>
      </c>
      <c r="I484" s="27" t="s">
        <v>13</v>
      </c>
    </row>
    <row r="485" spans="1:9" x14ac:dyDescent="0.3">
      <c r="A485" s="26">
        <v>44955</v>
      </c>
      <c r="B485" s="27" t="s">
        <v>116</v>
      </c>
      <c r="C485" s="27" t="s">
        <v>18</v>
      </c>
      <c r="D485" s="27" t="s">
        <v>16</v>
      </c>
      <c r="E485" s="28">
        <v>92943</v>
      </c>
      <c r="F485" s="28">
        <v>15658</v>
      </c>
      <c r="G485" s="27" t="s">
        <v>22</v>
      </c>
      <c r="H485" s="27" t="s">
        <v>291</v>
      </c>
      <c r="I485" s="27" t="s">
        <v>13</v>
      </c>
    </row>
    <row r="486" spans="1:9" x14ac:dyDescent="0.3">
      <c r="A486" s="26">
        <v>44955</v>
      </c>
      <c r="B486" s="27" t="s">
        <v>116</v>
      </c>
      <c r="C486" s="27" t="s">
        <v>10</v>
      </c>
      <c r="D486" s="27" t="s">
        <v>7</v>
      </c>
      <c r="E486" s="28">
        <v>126120</v>
      </c>
      <c r="F486" s="28">
        <v>124979</v>
      </c>
      <c r="G486" s="27" t="s">
        <v>17</v>
      </c>
      <c r="H486" s="27" t="s">
        <v>323</v>
      </c>
      <c r="I486" s="27" t="s">
        <v>13</v>
      </c>
    </row>
    <row r="487" spans="1:9" x14ac:dyDescent="0.3">
      <c r="A487" s="26">
        <v>44955</v>
      </c>
      <c r="B487" s="27" t="s">
        <v>116</v>
      </c>
      <c r="C487" s="27" t="s">
        <v>20</v>
      </c>
      <c r="D487" s="27" t="s">
        <v>21</v>
      </c>
      <c r="E487" s="28">
        <v>29788</v>
      </c>
      <c r="F487" s="28">
        <v>110591</v>
      </c>
      <c r="G487" s="27" t="s">
        <v>11</v>
      </c>
      <c r="H487" s="27" t="s">
        <v>403</v>
      </c>
      <c r="I487" s="27" t="s">
        <v>13</v>
      </c>
    </row>
    <row r="488" spans="1:9" x14ac:dyDescent="0.3">
      <c r="A488" s="26">
        <v>44955</v>
      </c>
      <c r="B488" s="27" t="s">
        <v>116</v>
      </c>
      <c r="C488" s="27" t="s">
        <v>18</v>
      </c>
      <c r="D488" s="27" t="s">
        <v>16</v>
      </c>
      <c r="E488" s="28">
        <v>125625</v>
      </c>
      <c r="F488" s="28">
        <v>17106</v>
      </c>
      <c r="G488" s="27" t="s">
        <v>11</v>
      </c>
      <c r="H488" s="27" t="s">
        <v>469</v>
      </c>
      <c r="I488" s="27" t="s">
        <v>13</v>
      </c>
    </row>
    <row r="489" spans="1:9" x14ac:dyDescent="0.3">
      <c r="A489" s="26">
        <v>44955</v>
      </c>
      <c r="B489" s="27" t="s">
        <v>116</v>
      </c>
      <c r="C489" s="27" t="s">
        <v>14</v>
      </c>
      <c r="D489" s="27" t="s">
        <v>21</v>
      </c>
      <c r="E489" s="28">
        <v>51845</v>
      </c>
      <c r="F489" s="28">
        <v>96908</v>
      </c>
      <c r="G489" s="27" t="s">
        <v>11</v>
      </c>
      <c r="H489" s="27" t="s">
        <v>738</v>
      </c>
      <c r="I489" s="27" t="s">
        <v>13</v>
      </c>
    </row>
    <row r="490" spans="1:9" x14ac:dyDescent="0.3">
      <c r="A490" s="26">
        <v>44955</v>
      </c>
      <c r="B490" s="27" t="s">
        <v>116</v>
      </c>
      <c r="C490" s="27" t="s">
        <v>10</v>
      </c>
      <c r="D490" s="27" t="s">
        <v>7</v>
      </c>
      <c r="E490" s="28">
        <v>20522</v>
      </c>
      <c r="F490" s="28">
        <v>72712</v>
      </c>
      <c r="G490" s="27" t="s">
        <v>8</v>
      </c>
      <c r="H490" s="27" t="s">
        <v>1135</v>
      </c>
      <c r="I490" s="27" t="s">
        <v>13</v>
      </c>
    </row>
    <row r="491" spans="1:9" x14ac:dyDescent="0.3">
      <c r="A491" s="26">
        <v>44955</v>
      </c>
      <c r="B491" s="27" t="s">
        <v>116</v>
      </c>
      <c r="C491" s="27" t="s">
        <v>14</v>
      </c>
      <c r="D491" s="27" t="s">
        <v>24</v>
      </c>
      <c r="E491" s="28">
        <v>21290</v>
      </c>
      <c r="F491" s="28">
        <v>130582</v>
      </c>
      <c r="G491" s="27" t="s">
        <v>8</v>
      </c>
      <c r="H491" s="27" t="s">
        <v>1495</v>
      </c>
      <c r="I491" s="27" t="s">
        <v>13</v>
      </c>
    </row>
    <row r="492" spans="1:9" x14ac:dyDescent="0.3">
      <c r="A492" s="26">
        <v>44955</v>
      </c>
      <c r="B492" s="27" t="s">
        <v>116</v>
      </c>
      <c r="C492" s="27" t="s">
        <v>18</v>
      </c>
      <c r="D492" s="27" t="s">
        <v>19</v>
      </c>
      <c r="E492" s="28">
        <v>142971</v>
      </c>
      <c r="F492" s="28">
        <v>14507</v>
      </c>
      <c r="G492" s="27" t="s">
        <v>11</v>
      </c>
      <c r="H492" s="27" t="s">
        <v>2171</v>
      </c>
      <c r="I492" s="27" t="s">
        <v>13</v>
      </c>
    </row>
    <row r="493" spans="1:9" x14ac:dyDescent="0.3">
      <c r="A493" s="26">
        <v>44955</v>
      </c>
      <c r="B493" s="27" t="s">
        <v>116</v>
      </c>
      <c r="C493" s="27" t="s">
        <v>32</v>
      </c>
      <c r="D493" s="27" t="s">
        <v>21</v>
      </c>
      <c r="E493" s="28">
        <v>113295</v>
      </c>
      <c r="F493" s="28">
        <v>129353</v>
      </c>
      <c r="G493" s="27" t="s">
        <v>17</v>
      </c>
      <c r="H493" s="27" t="s">
        <v>2521</v>
      </c>
      <c r="I493" s="27" t="s">
        <v>13</v>
      </c>
    </row>
    <row r="494" spans="1:9" x14ac:dyDescent="0.3">
      <c r="A494" s="26">
        <v>44955</v>
      </c>
      <c r="B494" s="27" t="s">
        <v>116</v>
      </c>
      <c r="C494" s="27" t="s">
        <v>20</v>
      </c>
      <c r="D494" s="27" t="s">
        <v>21</v>
      </c>
      <c r="E494" s="28">
        <v>46064</v>
      </c>
      <c r="F494" s="28">
        <v>129700</v>
      </c>
      <c r="G494" s="27" t="s">
        <v>11</v>
      </c>
      <c r="H494" s="27" t="s">
        <v>2897</v>
      </c>
      <c r="I494" s="27" t="s">
        <v>13</v>
      </c>
    </row>
    <row r="495" spans="1:9" x14ac:dyDescent="0.3">
      <c r="A495" s="26">
        <v>44955</v>
      </c>
      <c r="B495" s="27" t="s">
        <v>116</v>
      </c>
      <c r="C495" s="27" t="s">
        <v>6</v>
      </c>
      <c r="D495" s="27" t="s">
        <v>21</v>
      </c>
      <c r="E495" s="28">
        <v>75000</v>
      </c>
      <c r="F495" s="28">
        <v>80100</v>
      </c>
      <c r="G495" s="27" t="s">
        <v>22</v>
      </c>
      <c r="H495" s="27" t="s">
        <v>3535</v>
      </c>
      <c r="I495" s="27" t="s">
        <v>9</v>
      </c>
    </row>
    <row r="496" spans="1:9" x14ac:dyDescent="0.3">
      <c r="A496" s="26">
        <v>44955</v>
      </c>
      <c r="B496" s="27" t="s">
        <v>116</v>
      </c>
      <c r="C496" s="27" t="s">
        <v>6</v>
      </c>
      <c r="D496" s="27" t="s">
        <v>16</v>
      </c>
      <c r="E496" s="28">
        <v>82500</v>
      </c>
      <c r="F496" s="28">
        <v>88900</v>
      </c>
      <c r="G496" s="27" t="s">
        <v>22</v>
      </c>
      <c r="H496" s="27" t="s">
        <v>3672</v>
      </c>
      <c r="I496" s="27" t="s">
        <v>9</v>
      </c>
    </row>
    <row r="497" spans="1:9" x14ac:dyDescent="0.3">
      <c r="A497" s="26">
        <v>44955</v>
      </c>
      <c r="B497" s="27" t="s">
        <v>116</v>
      </c>
      <c r="C497" s="27" t="s">
        <v>6</v>
      </c>
      <c r="D497" s="27" t="s">
        <v>7</v>
      </c>
      <c r="E497" s="28">
        <v>108600</v>
      </c>
      <c r="F497" s="28">
        <v>122300</v>
      </c>
      <c r="G497" s="27" t="s">
        <v>11</v>
      </c>
      <c r="H497" s="27" t="s">
        <v>3704</v>
      </c>
      <c r="I497" s="27" t="s">
        <v>9</v>
      </c>
    </row>
    <row r="498" spans="1:9" x14ac:dyDescent="0.3">
      <c r="A498" s="26">
        <v>44955</v>
      </c>
      <c r="B498" s="27" t="s">
        <v>116</v>
      </c>
      <c r="C498" s="27" t="s">
        <v>93</v>
      </c>
      <c r="D498" s="27" t="s">
        <v>21</v>
      </c>
      <c r="E498" s="28">
        <v>154700</v>
      </c>
      <c r="F498" s="28">
        <v>148200</v>
      </c>
      <c r="G498" s="27" t="s">
        <v>17</v>
      </c>
      <c r="H498" s="27" t="s">
        <v>3784</v>
      </c>
      <c r="I498" s="27" t="s">
        <v>9</v>
      </c>
    </row>
    <row r="499" spans="1:9" x14ac:dyDescent="0.3">
      <c r="A499" s="26">
        <v>44955</v>
      </c>
      <c r="B499" s="27" t="s">
        <v>116</v>
      </c>
      <c r="C499" s="27" t="s">
        <v>93</v>
      </c>
      <c r="D499" s="27" t="s">
        <v>16</v>
      </c>
      <c r="E499" s="28">
        <v>119700</v>
      </c>
      <c r="F499" s="28">
        <v>126600</v>
      </c>
      <c r="G499" s="27" t="s">
        <v>22</v>
      </c>
      <c r="H499" s="27" t="s">
        <v>3850</v>
      </c>
      <c r="I499" s="27" t="s">
        <v>9</v>
      </c>
    </row>
    <row r="500" spans="1:9" x14ac:dyDescent="0.3">
      <c r="A500" s="26">
        <v>44955</v>
      </c>
      <c r="B500" s="27" t="s">
        <v>116</v>
      </c>
      <c r="C500" s="27" t="s">
        <v>6</v>
      </c>
      <c r="D500" s="27" t="s">
        <v>21</v>
      </c>
      <c r="E500" s="28">
        <v>89200</v>
      </c>
      <c r="F500" s="28">
        <v>93800</v>
      </c>
      <c r="G500" s="27" t="s">
        <v>11</v>
      </c>
      <c r="H500" s="27" t="s">
        <v>4119</v>
      </c>
      <c r="I500" s="27" t="s">
        <v>9</v>
      </c>
    </row>
    <row r="501" spans="1:9" x14ac:dyDescent="0.3">
      <c r="A501" s="26">
        <v>44955</v>
      </c>
      <c r="B501" s="27" t="s">
        <v>116</v>
      </c>
      <c r="C501" s="27" t="s">
        <v>6</v>
      </c>
      <c r="D501" s="27" t="s">
        <v>7</v>
      </c>
      <c r="E501" s="28">
        <v>142100</v>
      </c>
      <c r="F501" s="28">
        <v>85300</v>
      </c>
      <c r="G501" s="27" t="s">
        <v>17</v>
      </c>
      <c r="H501" s="27" t="s">
        <v>4518</v>
      </c>
      <c r="I501" s="27" t="s">
        <v>9</v>
      </c>
    </row>
    <row r="502" spans="1:9" x14ac:dyDescent="0.3">
      <c r="A502" s="26">
        <v>44955</v>
      </c>
      <c r="B502" s="27" t="s">
        <v>116</v>
      </c>
      <c r="C502" s="27" t="s">
        <v>93</v>
      </c>
      <c r="D502" s="27" t="s">
        <v>24</v>
      </c>
      <c r="E502" s="28">
        <v>76300</v>
      </c>
      <c r="F502" s="28">
        <v>94200</v>
      </c>
      <c r="G502" s="27" t="s">
        <v>17</v>
      </c>
      <c r="H502" s="27" t="s">
        <v>4878</v>
      </c>
      <c r="I502" s="27" t="s">
        <v>9</v>
      </c>
    </row>
    <row r="503" spans="1:9" x14ac:dyDescent="0.3">
      <c r="A503" s="26">
        <v>44955</v>
      </c>
      <c r="B503" s="27" t="s">
        <v>116</v>
      </c>
      <c r="C503" s="27" t="s">
        <v>6</v>
      </c>
      <c r="D503" s="27" t="s">
        <v>19</v>
      </c>
      <c r="E503" s="28">
        <v>154500</v>
      </c>
      <c r="F503" s="28">
        <v>148000</v>
      </c>
      <c r="G503" s="27" t="s">
        <v>11</v>
      </c>
      <c r="H503" s="27" t="s">
        <v>5556</v>
      </c>
      <c r="I503" s="27" t="s">
        <v>9</v>
      </c>
    </row>
    <row r="504" spans="1:9" x14ac:dyDescent="0.3">
      <c r="A504" s="26">
        <v>44955</v>
      </c>
      <c r="B504" s="27" t="s">
        <v>116</v>
      </c>
      <c r="C504" s="27" t="s">
        <v>6</v>
      </c>
      <c r="D504" s="27" t="s">
        <v>21</v>
      </c>
      <c r="E504" s="28">
        <v>96000</v>
      </c>
      <c r="F504" s="28">
        <v>140600</v>
      </c>
      <c r="G504" s="27" t="s">
        <v>17</v>
      </c>
      <c r="H504" s="27" t="s">
        <v>5906</v>
      </c>
      <c r="I504" s="27" t="s">
        <v>9</v>
      </c>
    </row>
    <row r="505" spans="1:9" x14ac:dyDescent="0.3">
      <c r="A505" s="26">
        <v>44955</v>
      </c>
      <c r="B505" s="27" t="s">
        <v>116</v>
      </c>
      <c r="C505" s="27" t="s">
        <v>6</v>
      </c>
      <c r="D505" s="27" t="s">
        <v>21</v>
      </c>
      <c r="E505" s="28">
        <v>101900</v>
      </c>
      <c r="F505" s="28">
        <v>101800</v>
      </c>
      <c r="G505" s="27" t="s">
        <v>11</v>
      </c>
      <c r="H505" s="27" t="s">
        <v>6282</v>
      </c>
      <c r="I505" s="27" t="s">
        <v>9</v>
      </c>
    </row>
    <row r="506" spans="1:9" x14ac:dyDescent="0.3">
      <c r="A506" s="26">
        <v>44956</v>
      </c>
      <c r="B506" s="27" t="s">
        <v>116</v>
      </c>
      <c r="C506" s="27" t="s">
        <v>18</v>
      </c>
      <c r="D506" s="27" t="s">
        <v>7</v>
      </c>
      <c r="E506" s="28">
        <v>135210</v>
      </c>
      <c r="F506" s="28">
        <v>74180</v>
      </c>
      <c r="G506" s="27" t="s">
        <v>22</v>
      </c>
      <c r="H506" s="27" t="s">
        <v>1153</v>
      </c>
      <c r="I506" s="27" t="s">
        <v>13</v>
      </c>
    </row>
    <row r="507" spans="1:9" x14ac:dyDescent="0.3">
      <c r="A507" s="26">
        <v>44956</v>
      </c>
      <c r="B507" s="27" t="s">
        <v>116</v>
      </c>
      <c r="C507" s="27" t="s">
        <v>20</v>
      </c>
      <c r="D507" s="27" t="s">
        <v>21</v>
      </c>
      <c r="E507" s="28">
        <v>117896</v>
      </c>
      <c r="F507" s="28">
        <v>114535</v>
      </c>
      <c r="G507" s="27" t="s">
        <v>8</v>
      </c>
      <c r="H507" s="27" t="s">
        <v>1911</v>
      </c>
      <c r="I507" s="27" t="s">
        <v>13</v>
      </c>
    </row>
    <row r="508" spans="1:9" x14ac:dyDescent="0.3">
      <c r="A508" s="26">
        <v>44956</v>
      </c>
      <c r="B508" s="27" t="s">
        <v>116</v>
      </c>
      <c r="C508" s="27" t="s">
        <v>32</v>
      </c>
      <c r="D508" s="27" t="s">
        <v>16</v>
      </c>
      <c r="E508" s="28">
        <v>124402</v>
      </c>
      <c r="F508" s="28">
        <v>119788</v>
      </c>
      <c r="G508" s="27" t="s">
        <v>8</v>
      </c>
      <c r="H508" s="27" t="s">
        <v>3333</v>
      </c>
      <c r="I508" s="27" t="s">
        <v>13</v>
      </c>
    </row>
    <row r="509" spans="1:9" x14ac:dyDescent="0.3">
      <c r="A509" s="26">
        <v>44956</v>
      </c>
      <c r="B509" s="27" t="s">
        <v>116</v>
      </c>
      <c r="C509" s="27" t="s">
        <v>93</v>
      </c>
      <c r="D509" s="27" t="s">
        <v>7</v>
      </c>
      <c r="E509" s="28">
        <v>96800</v>
      </c>
      <c r="F509" s="28">
        <v>75800</v>
      </c>
      <c r="G509" s="27" t="s">
        <v>22</v>
      </c>
      <c r="H509" s="27" t="s">
        <v>4536</v>
      </c>
      <c r="I509" s="27" t="s">
        <v>9</v>
      </c>
    </row>
    <row r="510" spans="1:9" x14ac:dyDescent="0.3">
      <c r="A510" s="26">
        <v>44956</v>
      </c>
      <c r="B510" s="27" t="s">
        <v>116</v>
      </c>
      <c r="C510" s="27" t="s">
        <v>6</v>
      </c>
      <c r="D510" s="27" t="s">
        <v>21</v>
      </c>
      <c r="E510" s="28">
        <v>155300</v>
      </c>
      <c r="F510" s="28">
        <v>138400</v>
      </c>
      <c r="G510" s="27" t="s">
        <v>17</v>
      </c>
      <c r="H510" s="27" t="s">
        <v>5295</v>
      </c>
      <c r="I510" s="27" t="s">
        <v>9</v>
      </c>
    </row>
    <row r="511" spans="1:9" x14ac:dyDescent="0.3">
      <c r="A511" s="26">
        <v>44956</v>
      </c>
      <c r="B511" s="27" t="s">
        <v>116</v>
      </c>
      <c r="C511" s="27" t="s">
        <v>6</v>
      </c>
      <c r="D511" s="27" t="s">
        <v>16</v>
      </c>
      <c r="E511" s="28">
        <v>210100</v>
      </c>
      <c r="F511" s="28">
        <v>207800</v>
      </c>
      <c r="G511" s="27" t="s">
        <v>11</v>
      </c>
      <c r="H511" s="27" t="s">
        <v>6718</v>
      </c>
      <c r="I511" s="27" t="s">
        <v>9</v>
      </c>
    </row>
    <row r="512" spans="1:9" x14ac:dyDescent="0.3">
      <c r="A512" s="26">
        <v>44957</v>
      </c>
      <c r="B512" s="27" t="s">
        <v>116</v>
      </c>
      <c r="C512" s="27" t="s">
        <v>20</v>
      </c>
      <c r="D512" s="27" t="s">
        <v>16</v>
      </c>
      <c r="E512" s="28">
        <v>43034</v>
      </c>
      <c r="F512" s="28">
        <v>53003</v>
      </c>
      <c r="G512" s="27" t="s">
        <v>22</v>
      </c>
      <c r="H512" s="27" t="s">
        <v>208</v>
      </c>
      <c r="I512" s="27" t="s">
        <v>13</v>
      </c>
    </row>
    <row r="513" spans="1:9" x14ac:dyDescent="0.3">
      <c r="A513" s="26">
        <v>44957</v>
      </c>
      <c r="B513" s="27" t="s">
        <v>116</v>
      </c>
      <c r="C513" s="27" t="s">
        <v>15</v>
      </c>
      <c r="D513" s="27" t="s">
        <v>24</v>
      </c>
      <c r="E513" s="28">
        <v>37307</v>
      </c>
      <c r="F513" s="28">
        <v>13444</v>
      </c>
      <c r="G513" s="27" t="s">
        <v>22</v>
      </c>
      <c r="H513" s="27" t="s">
        <v>296</v>
      </c>
      <c r="I513" s="27" t="s">
        <v>13</v>
      </c>
    </row>
    <row r="514" spans="1:9" x14ac:dyDescent="0.3">
      <c r="A514" s="26">
        <v>44957</v>
      </c>
      <c r="B514" s="27" t="s">
        <v>116</v>
      </c>
      <c r="C514" s="27" t="s">
        <v>14</v>
      </c>
      <c r="D514" s="27" t="s">
        <v>16</v>
      </c>
      <c r="E514" s="28">
        <v>59588</v>
      </c>
      <c r="F514" s="28">
        <v>34348</v>
      </c>
      <c r="G514" s="27" t="s">
        <v>11</v>
      </c>
      <c r="H514" s="27" t="s">
        <v>405</v>
      </c>
      <c r="I514" s="27" t="s">
        <v>13</v>
      </c>
    </row>
    <row r="515" spans="1:9" x14ac:dyDescent="0.3">
      <c r="A515" s="26">
        <v>44957</v>
      </c>
      <c r="B515" s="27" t="s">
        <v>116</v>
      </c>
      <c r="C515" s="27" t="s">
        <v>14</v>
      </c>
      <c r="D515" s="27" t="s">
        <v>7</v>
      </c>
      <c r="E515" s="28">
        <v>143611</v>
      </c>
      <c r="F515" s="28">
        <v>117588</v>
      </c>
      <c r="G515" s="27" t="s">
        <v>11</v>
      </c>
      <c r="H515" s="27" t="s">
        <v>508</v>
      </c>
      <c r="I515" s="27" t="s">
        <v>13</v>
      </c>
    </row>
    <row r="516" spans="1:9" x14ac:dyDescent="0.3">
      <c r="A516" s="26">
        <v>44957</v>
      </c>
      <c r="B516" s="27" t="s">
        <v>116</v>
      </c>
      <c r="C516" s="27" t="s">
        <v>10</v>
      </c>
      <c r="D516" s="27" t="s">
        <v>19</v>
      </c>
      <c r="E516" s="28">
        <v>126434</v>
      </c>
      <c r="F516" s="28">
        <v>91125</v>
      </c>
      <c r="G516" s="27" t="s">
        <v>8</v>
      </c>
      <c r="H516" s="27" t="s">
        <v>697</v>
      </c>
      <c r="I516" s="27" t="s">
        <v>13</v>
      </c>
    </row>
    <row r="517" spans="1:9" x14ac:dyDescent="0.3">
      <c r="A517" s="26">
        <v>44957</v>
      </c>
      <c r="B517" s="27" t="s">
        <v>116</v>
      </c>
      <c r="C517" s="27" t="s">
        <v>15</v>
      </c>
      <c r="D517" s="27" t="s">
        <v>19</v>
      </c>
      <c r="E517" s="28">
        <v>106442</v>
      </c>
      <c r="F517" s="28">
        <v>153518</v>
      </c>
      <c r="G517" s="27" t="s">
        <v>8</v>
      </c>
      <c r="H517" s="27" t="s">
        <v>983</v>
      </c>
      <c r="I517" s="27" t="s">
        <v>13</v>
      </c>
    </row>
    <row r="518" spans="1:9" x14ac:dyDescent="0.3">
      <c r="A518" s="26">
        <v>44957</v>
      </c>
      <c r="B518" s="27" t="s">
        <v>116</v>
      </c>
      <c r="C518" s="27" t="s">
        <v>14</v>
      </c>
      <c r="D518" s="27" t="s">
        <v>16</v>
      </c>
      <c r="E518" s="28">
        <v>98617</v>
      </c>
      <c r="F518" s="28">
        <v>98296</v>
      </c>
      <c r="G518" s="27" t="s">
        <v>11</v>
      </c>
      <c r="H518" s="27" t="s">
        <v>1364</v>
      </c>
      <c r="I518" s="27" t="s">
        <v>13</v>
      </c>
    </row>
    <row r="519" spans="1:9" x14ac:dyDescent="0.3">
      <c r="A519" s="26">
        <v>44957</v>
      </c>
      <c r="B519" s="27" t="s">
        <v>116</v>
      </c>
      <c r="C519" s="27" t="s">
        <v>14</v>
      </c>
      <c r="D519" s="27" t="s">
        <v>19</v>
      </c>
      <c r="E519" s="28">
        <v>93723</v>
      </c>
      <c r="F519" s="28">
        <v>58164</v>
      </c>
      <c r="G519" s="27" t="s">
        <v>17</v>
      </c>
      <c r="H519" s="27" t="s">
        <v>1454</v>
      </c>
      <c r="I519" s="27" t="s">
        <v>13</v>
      </c>
    </row>
    <row r="520" spans="1:9" x14ac:dyDescent="0.3">
      <c r="A520" s="26">
        <v>44957</v>
      </c>
      <c r="B520" s="27" t="s">
        <v>116</v>
      </c>
      <c r="C520" s="27" t="s">
        <v>15</v>
      </c>
      <c r="D520" s="27" t="s">
        <v>19</v>
      </c>
      <c r="E520" s="28">
        <v>52914</v>
      </c>
      <c r="F520" s="28">
        <v>70852</v>
      </c>
      <c r="G520" s="27" t="s">
        <v>11</v>
      </c>
      <c r="H520" s="27" t="s">
        <v>2094</v>
      </c>
      <c r="I520" s="27" t="s">
        <v>13</v>
      </c>
    </row>
    <row r="521" spans="1:9" x14ac:dyDescent="0.3">
      <c r="A521" s="26">
        <v>44957</v>
      </c>
      <c r="B521" s="27" t="s">
        <v>116</v>
      </c>
      <c r="C521" s="27" t="s">
        <v>20</v>
      </c>
      <c r="D521" s="27" t="s">
        <v>24</v>
      </c>
      <c r="E521" s="28">
        <v>31798</v>
      </c>
      <c r="F521" s="28">
        <v>165407</v>
      </c>
      <c r="G521" s="27" t="s">
        <v>8</v>
      </c>
      <c r="H521" s="27" t="s">
        <v>2186</v>
      </c>
      <c r="I521" s="27" t="s">
        <v>13</v>
      </c>
    </row>
    <row r="522" spans="1:9" x14ac:dyDescent="0.3">
      <c r="A522" s="26">
        <v>44957</v>
      </c>
      <c r="B522" s="27" t="s">
        <v>116</v>
      </c>
      <c r="C522" s="27" t="s">
        <v>18</v>
      </c>
      <c r="D522" s="27" t="s">
        <v>16</v>
      </c>
      <c r="E522" s="28">
        <v>106200</v>
      </c>
      <c r="F522" s="28">
        <v>108874</v>
      </c>
      <c r="G522" s="27" t="s">
        <v>17</v>
      </c>
      <c r="H522" s="27" t="s">
        <v>2654</v>
      </c>
      <c r="I522" s="27" t="s">
        <v>13</v>
      </c>
    </row>
    <row r="523" spans="1:9" x14ac:dyDescent="0.3">
      <c r="A523" s="26">
        <v>44957</v>
      </c>
      <c r="B523" s="27" t="s">
        <v>116</v>
      </c>
      <c r="C523" s="27" t="s">
        <v>32</v>
      </c>
      <c r="D523" s="27" t="s">
        <v>21</v>
      </c>
      <c r="E523" s="28">
        <v>68697</v>
      </c>
      <c r="F523" s="28">
        <v>53181</v>
      </c>
      <c r="G523" s="27" t="s">
        <v>8</v>
      </c>
      <c r="H523" s="27" t="s">
        <v>2947</v>
      </c>
      <c r="I523" s="27" t="s">
        <v>13</v>
      </c>
    </row>
    <row r="524" spans="1:9" x14ac:dyDescent="0.3">
      <c r="A524" s="26">
        <v>44957</v>
      </c>
      <c r="B524" s="27" t="s">
        <v>116</v>
      </c>
      <c r="C524" s="27" t="s">
        <v>15</v>
      </c>
      <c r="D524" s="27" t="s">
        <v>16</v>
      </c>
      <c r="E524" s="28">
        <v>45791</v>
      </c>
      <c r="F524" s="28">
        <v>76716</v>
      </c>
      <c r="G524" s="27" t="s">
        <v>8</v>
      </c>
      <c r="H524" s="27" t="s">
        <v>3199</v>
      </c>
      <c r="I524" s="27" t="s">
        <v>13</v>
      </c>
    </row>
    <row r="525" spans="1:9" x14ac:dyDescent="0.3">
      <c r="A525" s="26">
        <v>44957</v>
      </c>
      <c r="B525" s="27" t="s">
        <v>116</v>
      </c>
      <c r="C525" s="27" t="s">
        <v>93</v>
      </c>
      <c r="D525" s="27" t="s">
        <v>16</v>
      </c>
      <c r="E525" s="28">
        <v>238300</v>
      </c>
      <c r="F525" s="28">
        <v>239200</v>
      </c>
      <c r="G525" s="27" t="s">
        <v>11</v>
      </c>
      <c r="H525" s="27" t="s">
        <v>3589</v>
      </c>
      <c r="I525" s="27" t="s">
        <v>9</v>
      </c>
    </row>
    <row r="526" spans="1:9" x14ac:dyDescent="0.3">
      <c r="A526" s="26">
        <v>44957</v>
      </c>
      <c r="B526" s="27" t="s">
        <v>116</v>
      </c>
      <c r="C526" s="27" t="s">
        <v>6</v>
      </c>
      <c r="D526" s="27" t="s">
        <v>24</v>
      </c>
      <c r="E526" s="28">
        <v>101400</v>
      </c>
      <c r="F526" s="28">
        <v>109300</v>
      </c>
      <c r="G526" s="27" t="s">
        <v>22</v>
      </c>
      <c r="H526" s="27" t="s">
        <v>3677</v>
      </c>
      <c r="I526" s="27" t="s">
        <v>9</v>
      </c>
    </row>
    <row r="527" spans="1:9" x14ac:dyDescent="0.3">
      <c r="A527" s="26">
        <v>44957</v>
      </c>
      <c r="B527" s="27" t="s">
        <v>116</v>
      </c>
      <c r="C527" s="27" t="s">
        <v>6</v>
      </c>
      <c r="D527" s="27" t="s">
        <v>16</v>
      </c>
      <c r="E527" s="28">
        <v>113000</v>
      </c>
      <c r="F527" s="28">
        <v>91600</v>
      </c>
      <c r="G527" s="27" t="s">
        <v>11</v>
      </c>
      <c r="H527" s="27" t="s">
        <v>3786</v>
      </c>
      <c r="I527" s="27" t="s">
        <v>9</v>
      </c>
    </row>
    <row r="528" spans="1:9" x14ac:dyDescent="0.3">
      <c r="A528" s="26">
        <v>44957</v>
      </c>
      <c r="B528" s="27" t="s">
        <v>116</v>
      </c>
      <c r="C528" s="27" t="s">
        <v>6</v>
      </c>
      <c r="D528" s="27" t="s">
        <v>7</v>
      </c>
      <c r="E528" s="28">
        <v>215500</v>
      </c>
      <c r="F528" s="28">
        <v>216000</v>
      </c>
      <c r="G528" s="27" t="s">
        <v>17</v>
      </c>
      <c r="H528" s="27" t="s">
        <v>3889</v>
      </c>
      <c r="I528" s="27" t="s">
        <v>9</v>
      </c>
    </row>
    <row r="529" spans="1:9" x14ac:dyDescent="0.3">
      <c r="A529" s="26">
        <v>44957</v>
      </c>
      <c r="B529" s="27" t="s">
        <v>116</v>
      </c>
      <c r="C529" s="27" t="s">
        <v>93</v>
      </c>
      <c r="D529" s="27" t="s">
        <v>19</v>
      </c>
      <c r="E529" s="28">
        <v>137600</v>
      </c>
      <c r="F529" s="28">
        <v>126100</v>
      </c>
      <c r="G529" s="27" t="s">
        <v>11</v>
      </c>
      <c r="H529" s="27" t="s">
        <v>4078</v>
      </c>
      <c r="I529" s="27" t="s">
        <v>9</v>
      </c>
    </row>
    <row r="530" spans="1:9" x14ac:dyDescent="0.3">
      <c r="A530" s="26">
        <v>44957</v>
      </c>
      <c r="B530" s="27" t="s">
        <v>116</v>
      </c>
      <c r="C530" s="27" t="s">
        <v>6</v>
      </c>
      <c r="D530" s="27" t="s">
        <v>19</v>
      </c>
      <c r="E530" s="28">
        <v>220700</v>
      </c>
      <c r="F530" s="28">
        <v>238100</v>
      </c>
      <c r="G530" s="27" t="s">
        <v>22</v>
      </c>
      <c r="H530" s="27" t="s">
        <v>4364</v>
      </c>
      <c r="I530" s="27" t="s">
        <v>9</v>
      </c>
    </row>
    <row r="531" spans="1:9" x14ac:dyDescent="0.3">
      <c r="A531" s="26">
        <v>44957</v>
      </c>
      <c r="B531" s="27" t="s">
        <v>116</v>
      </c>
      <c r="C531" s="27" t="s">
        <v>6</v>
      </c>
      <c r="D531" s="27" t="s">
        <v>16</v>
      </c>
      <c r="E531" s="28">
        <v>86700</v>
      </c>
      <c r="F531" s="28">
        <v>72500</v>
      </c>
      <c r="G531" s="27" t="s">
        <v>17</v>
      </c>
      <c r="H531" s="27" t="s">
        <v>4747</v>
      </c>
      <c r="I531" s="27" t="s">
        <v>9</v>
      </c>
    </row>
    <row r="532" spans="1:9" x14ac:dyDescent="0.3">
      <c r="A532" s="26">
        <v>44957</v>
      </c>
      <c r="B532" s="27" t="s">
        <v>116</v>
      </c>
      <c r="C532" s="27" t="s">
        <v>6</v>
      </c>
      <c r="D532" s="27" t="s">
        <v>19</v>
      </c>
      <c r="E532" s="28">
        <v>119900</v>
      </c>
      <c r="F532" s="28">
        <v>128400</v>
      </c>
      <c r="G532" s="27" t="s">
        <v>22</v>
      </c>
      <c r="H532" s="27" t="s">
        <v>4837</v>
      </c>
      <c r="I532" s="27" t="s">
        <v>9</v>
      </c>
    </row>
    <row r="533" spans="1:9" x14ac:dyDescent="0.3">
      <c r="A533" s="26">
        <v>44957</v>
      </c>
      <c r="B533" s="27" t="s">
        <v>116</v>
      </c>
      <c r="C533" s="27" t="s">
        <v>93</v>
      </c>
      <c r="D533" s="27" t="s">
        <v>19</v>
      </c>
      <c r="E533" s="28">
        <v>145300</v>
      </c>
      <c r="F533" s="28">
        <v>187300</v>
      </c>
      <c r="G533" s="27" t="s">
        <v>11</v>
      </c>
      <c r="H533" s="27" t="s">
        <v>5478</v>
      </c>
      <c r="I533" s="27" t="s">
        <v>9</v>
      </c>
    </row>
    <row r="534" spans="1:9" x14ac:dyDescent="0.3">
      <c r="A534" s="26">
        <v>44957</v>
      </c>
      <c r="B534" s="27" t="s">
        <v>116</v>
      </c>
      <c r="C534" s="27" t="s">
        <v>93</v>
      </c>
      <c r="D534" s="27" t="s">
        <v>24</v>
      </c>
      <c r="E534" s="28">
        <v>137900</v>
      </c>
      <c r="F534" s="28">
        <v>143700</v>
      </c>
      <c r="G534" s="27" t="s">
        <v>22</v>
      </c>
      <c r="H534" s="27" t="s">
        <v>5571</v>
      </c>
      <c r="I534" s="27" t="s">
        <v>9</v>
      </c>
    </row>
    <row r="535" spans="1:9" x14ac:dyDescent="0.3">
      <c r="A535" s="26">
        <v>44957</v>
      </c>
      <c r="B535" s="27" t="s">
        <v>116</v>
      </c>
      <c r="C535" s="27" t="s">
        <v>6</v>
      </c>
      <c r="D535" s="27" t="s">
        <v>16</v>
      </c>
      <c r="E535" s="28">
        <v>29200</v>
      </c>
      <c r="F535" s="28">
        <v>29400</v>
      </c>
      <c r="G535" s="27" t="s">
        <v>11</v>
      </c>
      <c r="H535" s="27" t="s">
        <v>6039</v>
      </c>
      <c r="I535" s="27" t="s">
        <v>9</v>
      </c>
    </row>
    <row r="536" spans="1:9" x14ac:dyDescent="0.3">
      <c r="A536" s="26">
        <v>44957</v>
      </c>
      <c r="B536" s="27" t="s">
        <v>116</v>
      </c>
      <c r="C536" s="27" t="s">
        <v>93</v>
      </c>
      <c r="D536" s="27" t="s">
        <v>21</v>
      </c>
      <c r="E536" s="28">
        <v>83700</v>
      </c>
      <c r="F536" s="28">
        <v>112300</v>
      </c>
      <c r="G536" s="27" t="s">
        <v>11</v>
      </c>
      <c r="H536" s="27" t="s">
        <v>6332</v>
      </c>
      <c r="I536" s="27" t="s">
        <v>9</v>
      </c>
    </row>
    <row r="537" spans="1:9" x14ac:dyDescent="0.3">
      <c r="A537" s="26">
        <v>44957</v>
      </c>
      <c r="B537" s="27" t="s">
        <v>116</v>
      </c>
      <c r="C537" s="27" t="s">
        <v>93</v>
      </c>
      <c r="D537" s="27" t="s">
        <v>16</v>
      </c>
      <c r="E537" s="28">
        <v>150800</v>
      </c>
      <c r="F537" s="28">
        <v>199300</v>
      </c>
      <c r="G537" s="27" t="s">
        <v>11</v>
      </c>
      <c r="H537" s="27" t="s">
        <v>6584</v>
      </c>
      <c r="I537" s="27" t="s">
        <v>9</v>
      </c>
    </row>
    <row r="538" spans="1:9" x14ac:dyDescent="0.3">
      <c r="A538" s="26">
        <v>44958</v>
      </c>
      <c r="B538" s="27" t="s">
        <v>26</v>
      </c>
      <c r="C538" s="27" t="s">
        <v>18</v>
      </c>
      <c r="D538" s="27" t="s">
        <v>24</v>
      </c>
      <c r="E538" s="28">
        <v>92697</v>
      </c>
      <c r="F538" s="28">
        <v>58261</v>
      </c>
      <c r="G538" s="27" t="s">
        <v>8</v>
      </c>
      <c r="H538" s="27" t="s">
        <v>192</v>
      </c>
      <c r="I538" s="27" t="s">
        <v>13</v>
      </c>
    </row>
    <row r="539" spans="1:9" x14ac:dyDescent="0.3">
      <c r="A539" s="26">
        <v>44958</v>
      </c>
      <c r="B539" s="27" t="s">
        <v>26</v>
      </c>
      <c r="C539" s="27" t="s">
        <v>18</v>
      </c>
      <c r="D539" s="27" t="s">
        <v>19</v>
      </c>
      <c r="E539" s="28">
        <v>35887</v>
      </c>
      <c r="F539" s="28">
        <v>32518</v>
      </c>
      <c r="G539" s="27" t="s">
        <v>8</v>
      </c>
      <c r="H539" s="27" t="s">
        <v>966</v>
      </c>
      <c r="I539" s="27" t="s">
        <v>13</v>
      </c>
    </row>
    <row r="540" spans="1:9" x14ac:dyDescent="0.3">
      <c r="A540" s="26">
        <v>44958</v>
      </c>
      <c r="B540" s="27" t="s">
        <v>26</v>
      </c>
      <c r="C540" s="27" t="s">
        <v>15</v>
      </c>
      <c r="D540" s="27" t="s">
        <v>7</v>
      </c>
      <c r="E540" s="28">
        <v>45472</v>
      </c>
      <c r="F540" s="28">
        <v>140701</v>
      </c>
      <c r="G540" s="27" t="s">
        <v>11</v>
      </c>
      <c r="H540" s="27" t="s">
        <v>973</v>
      </c>
      <c r="I540" s="27" t="s">
        <v>13</v>
      </c>
    </row>
    <row r="541" spans="1:9" x14ac:dyDescent="0.3">
      <c r="A541" s="26">
        <v>44958</v>
      </c>
      <c r="B541" s="27" t="s">
        <v>26</v>
      </c>
      <c r="C541" s="27" t="s">
        <v>15</v>
      </c>
      <c r="D541" s="27" t="s">
        <v>21</v>
      </c>
      <c r="E541" s="28">
        <v>24482</v>
      </c>
      <c r="F541" s="28">
        <v>52713</v>
      </c>
      <c r="G541" s="27" t="s">
        <v>22</v>
      </c>
      <c r="H541" s="27" t="s">
        <v>1379</v>
      </c>
      <c r="I541" s="27" t="s">
        <v>13</v>
      </c>
    </row>
    <row r="542" spans="1:9" x14ac:dyDescent="0.3">
      <c r="A542" s="26">
        <v>44958</v>
      </c>
      <c r="B542" s="27" t="s">
        <v>26</v>
      </c>
      <c r="C542" s="27" t="s">
        <v>32</v>
      </c>
      <c r="D542" s="27" t="s">
        <v>16</v>
      </c>
      <c r="E542" s="28">
        <v>109957</v>
      </c>
      <c r="F542" s="28">
        <v>168436</v>
      </c>
      <c r="G542" s="27" t="s">
        <v>8</v>
      </c>
      <c r="H542" s="27" t="s">
        <v>1762</v>
      </c>
      <c r="I542" s="27" t="s">
        <v>13</v>
      </c>
    </row>
    <row r="543" spans="1:9" x14ac:dyDescent="0.3">
      <c r="A543" s="26">
        <v>44958</v>
      </c>
      <c r="B543" s="27" t="s">
        <v>26</v>
      </c>
      <c r="C543" s="27" t="s">
        <v>20</v>
      </c>
      <c r="D543" s="27" t="s">
        <v>16</v>
      </c>
      <c r="E543" s="28">
        <v>132357</v>
      </c>
      <c r="F543" s="28">
        <v>118899</v>
      </c>
      <c r="G543" s="27" t="s">
        <v>17</v>
      </c>
      <c r="H543" s="27" t="s">
        <v>2852</v>
      </c>
      <c r="I543" s="27" t="s">
        <v>13</v>
      </c>
    </row>
    <row r="544" spans="1:9" x14ac:dyDescent="0.3">
      <c r="A544" s="26">
        <v>44958</v>
      </c>
      <c r="B544" s="27" t="s">
        <v>26</v>
      </c>
      <c r="C544" s="27" t="s">
        <v>18</v>
      </c>
      <c r="D544" s="27" t="s">
        <v>16</v>
      </c>
      <c r="E544" s="28">
        <v>53407</v>
      </c>
      <c r="F544" s="28">
        <v>70723</v>
      </c>
      <c r="G544" s="27" t="s">
        <v>11</v>
      </c>
      <c r="H544" s="27" t="s">
        <v>2915</v>
      </c>
      <c r="I544" s="27" t="s">
        <v>13</v>
      </c>
    </row>
    <row r="545" spans="1:9" x14ac:dyDescent="0.3">
      <c r="A545" s="26">
        <v>44958</v>
      </c>
      <c r="B545" s="27" t="s">
        <v>26</v>
      </c>
      <c r="C545" s="27" t="s">
        <v>10</v>
      </c>
      <c r="D545" s="27" t="s">
        <v>16</v>
      </c>
      <c r="E545" s="28">
        <v>21752</v>
      </c>
      <c r="F545" s="28">
        <v>14635</v>
      </c>
      <c r="G545" s="27" t="s">
        <v>11</v>
      </c>
      <c r="H545" s="27" t="s">
        <v>2944</v>
      </c>
      <c r="I545" s="27" t="s">
        <v>13</v>
      </c>
    </row>
    <row r="546" spans="1:9" x14ac:dyDescent="0.3">
      <c r="A546" s="26">
        <v>44958</v>
      </c>
      <c r="B546" s="27" t="s">
        <v>26</v>
      </c>
      <c r="C546" s="27" t="s">
        <v>14</v>
      </c>
      <c r="D546" s="27" t="s">
        <v>21</v>
      </c>
      <c r="E546" s="28">
        <v>146540</v>
      </c>
      <c r="F546" s="28">
        <v>62721</v>
      </c>
      <c r="G546" s="27" t="s">
        <v>8</v>
      </c>
      <c r="H546" s="27" t="s">
        <v>2954</v>
      </c>
      <c r="I546" s="27" t="s">
        <v>13</v>
      </c>
    </row>
    <row r="547" spans="1:9" x14ac:dyDescent="0.3">
      <c r="A547" s="26">
        <v>44958</v>
      </c>
      <c r="B547" s="27" t="s">
        <v>26</v>
      </c>
      <c r="C547" s="27" t="s">
        <v>20</v>
      </c>
      <c r="D547" s="27" t="s">
        <v>16</v>
      </c>
      <c r="E547" s="28">
        <v>139658</v>
      </c>
      <c r="F547" s="28">
        <v>106253</v>
      </c>
      <c r="G547" s="27" t="s">
        <v>22</v>
      </c>
      <c r="H547" s="27" t="s">
        <v>3037</v>
      </c>
      <c r="I547" s="27" t="s">
        <v>13</v>
      </c>
    </row>
    <row r="548" spans="1:9" x14ac:dyDescent="0.3">
      <c r="A548" s="26">
        <v>44958</v>
      </c>
      <c r="B548" s="27" t="s">
        <v>26</v>
      </c>
      <c r="C548" s="27" t="s">
        <v>20</v>
      </c>
      <c r="D548" s="27" t="s">
        <v>24</v>
      </c>
      <c r="E548" s="28">
        <v>130263</v>
      </c>
      <c r="F548" s="28">
        <v>136919</v>
      </c>
      <c r="G548" s="27" t="s">
        <v>22</v>
      </c>
      <c r="H548" s="27" t="s">
        <v>3218</v>
      </c>
      <c r="I548" s="27" t="s">
        <v>13</v>
      </c>
    </row>
    <row r="549" spans="1:9" x14ac:dyDescent="0.3">
      <c r="A549" s="26">
        <v>44958</v>
      </c>
      <c r="B549" s="27" t="s">
        <v>26</v>
      </c>
      <c r="C549" s="27" t="s">
        <v>15</v>
      </c>
      <c r="D549" s="27" t="s">
        <v>19</v>
      </c>
      <c r="E549" s="28">
        <v>99861</v>
      </c>
      <c r="F549" s="28">
        <v>100828</v>
      </c>
      <c r="G549" s="27" t="s">
        <v>11</v>
      </c>
      <c r="H549" s="27" t="s">
        <v>3239</v>
      </c>
      <c r="I549" s="27" t="s">
        <v>13</v>
      </c>
    </row>
    <row r="550" spans="1:9" x14ac:dyDescent="0.3">
      <c r="A550" s="26">
        <v>44958</v>
      </c>
      <c r="B550" s="27" t="s">
        <v>26</v>
      </c>
      <c r="C550" s="27" t="s">
        <v>14</v>
      </c>
      <c r="D550" s="27" t="s">
        <v>19</v>
      </c>
      <c r="E550" s="28">
        <v>39285</v>
      </c>
      <c r="F550" s="28">
        <v>136398</v>
      </c>
      <c r="G550" s="27" t="s">
        <v>17</v>
      </c>
      <c r="H550" s="27" t="s">
        <v>3258</v>
      </c>
      <c r="I550" s="27" t="s">
        <v>13</v>
      </c>
    </row>
    <row r="551" spans="1:9" x14ac:dyDescent="0.3">
      <c r="A551" s="26">
        <v>44958</v>
      </c>
      <c r="B551" s="27" t="s">
        <v>26</v>
      </c>
      <c r="C551" s="27" t="s">
        <v>20</v>
      </c>
      <c r="D551" s="27" t="s">
        <v>21</v>
      </c>
      <c r="E551" s="28">
        <v>121491</v>
      </c>
      <c r="F551" s="28">
        <v>114834</v>
      </c>
      <c r="G551" s="27" t="s">
        <v>17</v>
      </c>
      <c r="H551" s="27" t="s">
        <v>3338</v>
      </c>
      <c r="I551" s="27" t="s">
        <v>13</v>
      </c>
    </row>
    <row r="552" spans="1:9" x14ac:dyDescent="0.3">
      <c r="A552" s="26">
        <v>44958</v>
      </c>
      <c r="B552" s="27" t="s">
        <v>26</v>
      </c>
      <c r="C552" s="27" t="s">
        <v>15</v>
      </c>
      <c r="D552" s="27" t="s">
        <v>21</v>
      </c>
      <c r="E552" s="28">
        <v>75180</v>
      </c>
      <c r="F552" s="28">
        <v>159503</v>
      </c>
      <c r="G552" s="27" t="s">
        <v>11</v>
      </c>
      <c r="H552" s="27" t="s">
        <v>3422</v>
      </c>
      <c r="I552" s="27" t="s">
        <v>13</v>
      </c>
    </row>
    <row r="553" spans="1:9" x14ac:dyDescent="0.3">
      <c r="A553" s="26">
        <v>44958</v>
      </c>
      <c r="B553" s="27" t="s">
        <v>26</v>
      </c>
      <c r="C553" s="27" t="s">
        <v>6</v>
      </c>
      <c r="D553" s="27" t="s">
        <v>24</v>
      </c>
      <c r="E553" s="28">
        <v>82900</v>
      </c>
      <c r="F553" s="28">
        <v>92800</v>
      </c>
      <c r="G553" s="27" t="s">
        <v>22</v>
      </c>
      <c r="H553" s="27" t="s">
        <v>3573</v>
      </c>
      <c r="I553" s="27" t="s">
        <v>9</v>
      </c>
    </row>
    <row r="554" spans="1:9" x14ac:dyDescent="0.3">
      <c r="A554" s="26">
        <v>44958</v>
      </c>
      <c r="B554" s="27" t="s">
        <v>26</v>
      </c>
      <c r="C554" s="27" t="s">
        <v>6</v>
      </c>
      <c r="D554" s="27" t="s">
        <v>19</v>
      </c>
      <c r="E554" s="28">
        <v>160300</v>
      </c>
      <c r="F554" s="28">
        <v>184100</v>
      </c>
      <c r="G554" s="27" t="s">
        <v>11</v>
      </c>
      <c r="H554" s="27" t="s">
        <v>4347</v>
      </c>
      <c r="I554" s="27" t="s">
        <v>9</v>
      </c>
    </row>
    <row r="555" spans="1:9" x14ac:dyDescent="0.3">
      <c r="A555" s="26">
        <v>44958</v>
      </c>
      <c r="B555" s="27" t="s">
        <v>26</v>
      </c>
      <c r="C555" s="27" t="s">
        <v>93</v>
      </c>
      <c r="D555" s="27" t="s">
        <v>7</v>
      </c>
      <c r="E555" s="28">
        <v>140400</v>
      </c>
      <c r="F555" s="28">
        <v>153700</v>
      </c>
      <c r="G555" s="27" t="s">
        <v>17</v>
      </c>
      <c r="H555" s="27" t="s">
        <v>4354</v>
      </c>
      <c r="I555" s="27" t="s">
        <v>9</v>
      </c>
    </row>
    <row r="556" spans="1:9" x14ac:dyDescent="0.3">
      <c r="A556" s="26">
        <v>44958</v>
      </c>
      <c r="B556" s="27" t="s">
        <v>26</v>
      </c>
      <c r="C556" s="27" t="s">
        <v>93</v>
      </c>
      <c r="D556" s="27" t="s">
        <v>21</v>
      </c>
      <c r="E556" s="28">
        <v>57800</v>
      </c>
      <c r="F556" s="28">
        <v>81800</v>
      </c>
      <c r="G556" s="27" t="s">
        <v>17</v>
      </c>
      <c r="H556" s="27" t="s">
        <v>4762</v>
      </c>
      <c r="I556" s="27" t="s">
        <v>9</v>
      </c>
    </row>
    <row r="557" spans="1:9" x14ac:dyDescent="0.3">
      <c r="A557" s="26">
        <v>44958</v>
      </c>
      <c r="B557" s="27" t="s">
        <v>26</v>
      </c>
      <c r="C557" s="27" t="s">
        <v>6</v>
      </c>
      <c r="D557" s="27" t="s">
        <v>16</v>
      </c>
      <c r="E557" s="28">
        <v>89100</v>
      </c>
      <c r="F557" s="28">
        <v>76500</v>
      </c>
      <c r="G557" s="27" t="s">
        <v>22</v>
      </c>
      <c r="H557" s="27" t="s">
        <v>5145</v>
      </c>
      <c r="I557" s="27" t="s">
        <v>9</v>
      </c>
    </row>
    <row r="558" spans="1:9" x14ac:dyDescent="0.3">
      <c r="A558" s="26">
        <v>44958</v>
      </c>
      <c r="B558" s="27" t="s">
        <v>26</v>
      </c>
      <c r="C558" s="27" t="s">
        <v>93</v>
      </c>
      <c r="D558" s="27" t="s">
        <v>16</v>
      </c>
      <c r="E558" s="28">
        <v>104500</v>
      </c>
      <c r="F558" s="28">
        <v>115400</v>
      </c>
      <c r="G558" s="27" t="s">
        <v>22</v>
      </c>
      <c r="H558" s="27" t="s">
        <v>6237</v>
      </c>
      <c r="I558" s="27" t="s">
        <v>9</v>
      </c>
    </row>
    <row r="559" spans="1:9" x14ac:dyDescent="0.3">
      <c r="A559" s="26">
        <v>44958</v>
      </c>
      <c r="B559" s="27" t="s">
        <v>26</v>
      </c>
      <c r="C559" s="27" t="s">
        <v>6</v>
      </c>
      <c r="D559" s="27" t="s">
        <v>16</v>
      </c>
      <c r="E559" s="28">
        <v>57500</v>
      </c>
      <c r="F559" s="28">
        <v>55400</v>
      </c>
      <c r="G559" s="27" t="s">
        <v>17</v>
      </c>
      <c r="H559" s="27" t="s">
        <v>6300</v>
      </c>
      <c r="I559" s="27" t="s">
        <v>9</v>
      </c>
    </row>
    <row r="560" spans="1:9" x14ac:dyDescent="0.3">
      <c r="A560" s="26">
        <v>44958</v>
      </c>
      <c r="B560" s="27" t="s">
        <v>26</v>
      </c>
      <c r="C560" s="27" t="s">
        <v>6</v>
      </c>
      <c r="D560" s="27" t="s">
        <v>16</v>
      </c>
      <c r="E560" s="28">
        <v>180300</v>
      </c>
      <c r="F560" s="28">
        <v>168300</v>
      </c>
      <c r="G560" s="27" t="s">
        <v>11</v>
      </c>
      <c r="H560" s="27" t="s">
        <v>6329</v>
      </c>
      <c r="I560" s="27" t="s">
        <v>9</v>
      </c>
    </row>
    <row r="561" spans="1:9" x14ac:dyDescent="0.3">
      <c r="A561" s="26">
        <v>44958</v>
      </c>
      <c r="B561" s="27" t="s">
        <v>26</v>
      </c>
      <c r="C561" s="27" t="s">
        <v>6</v>
      </c>
      <c r="D561" s="27" t="s">
        <v>21</v>
      </c>
      <c r="E561" s="28">
        <v>113400</v>
      </c>
      <c r="F561" s="28">
        <v>124900</v>
      </c>
      <c r="G561" s="27" t="s">
        <v>11</v>
      </c>
      <c r="H561" s="27" t="s">
        <v>6339</v>
      </c>
      <c r="I561" s="27" t="s">
        <v>9</v>
      </c>
    </row>
    <row r="562" spans="1:9" x14ac:dyDescent="0.3">
      <c r="A562" s="26">
        <v>44958</v>
      </c>
      <c r="B562" s="27" t="s">
        <v>26</v>
      </c>
      <c r="C562" s="27" t="s">
        <v>93</v>
      </c>
      <c r="D562" s="27" t="s">
        <v>16</v>
      </c>
      <c r="E562" s="28">
        <v>85500</v>
      </c>
      <c r="F562" s="28">
        <v>73700</v>
      </c>
      <c r="G562" s="27" t="s">
        <v>11</v>
      </c>
      <c r="H562" s="27" t="s">
        <v>6422</v>
      </c>
      <c r="I562" s="27" t="s">
        <v>9</v>
      </c>
    </row>
    <row r="563" spans="1:9" x14ac:dyDescent="0.3">
      <c r="A563" s="26">
        <v>44958</v>
      </c>
      <c r="B563" s="27" t="s">
        <v>26</v>
      </c>
      <c r="C563" s="27" t="s">
        <v>93</v>
      </c>
      <c r="D563" s="27" t="s">
        <v>24</v>
      </c>
      <c r="E563" s="28">
        <v>94200</v>
      </c>
      <c r="F563" s="28">
        <v>86900</v>
      </c>
      <c r="G563" s="27" t="s">
        <v>22</v>
      </c>
      <c r="H563" s="27" t="s">
        <v>6603</v>
      </c>
      <c r="I563" s="27" t="s">
        <v>9</v>
      </c>
    </row>
    <row r="564" spans="1:9" x14ac:dyDescent="0.3">
      <c r="A564" s="26">
        <v>44958</v>
      </c>
      <c r="B564" s="27" t="s">
        <v>26</v>
      </c>
      <c r="C564" s="27" t="s">
        <v>6</v>
      </c>
      <c r="D564" s="27" t="s">
        <v>19</v>
      </c>
      <c r="E564" s="28">
        <v>54300</v>
      </c>
      <c r="F564" s="28">
        <v>51500</v>
      </c>
      <c r="G564" s="27" t="s">
        <v>11</v>
      </c>
      <c r="H564" s="27" t="s">
        <v>6624</v>
      </c>
      <c r="I564" s="27" t="s">
        <v>9</v>
      </c>
    </row>
    <row r="565" spans="1:9" x14ac:dyDescent="0.3">
      <c r="A565" s="26">
        <v>44958</v>
      </c>
      <c r="B565" s="27" t="s">
        <v>26</v>
      </c>
      <c r="C565" s="27" t="s">
        <v>93</v>
      </c>
      <c r="D565" s="27" t="s">
        <v>19</v>
      </c>
      <c r="E565" s="28">
        <v>56400</v>
      </c>
      <c r="F565" s="28">
        <v>44400</v>
      </c>
      <c r="G565" s="27" t="s">
        <v>11</v>
      </c>
      <c r="H565" s="27" t="s">
        <v>6643</v>
      </c>
      <c r="I565" s="27" t="s">
        <v>9</v>
      </c>
    </row>
    <row r="566" spans="1:9" x14ac:dyDescent="0.3">
      <c r="A566" s="26">
        <v>44958</v>
      </c>
      <c r="B566" s="27" t="s">
        <v>26</v>
      </c>
      <c r="C566" s="27" t="s">
        <v>6</v>
      </c>
      <c r="D566" s="27" t="s">
        <v>21</v>
      </c>
      <c r="E566" s="28">
        <v>88400</v>
      </c>
      <c r="F566" s="28">
        <v>83800</v>
      </c>
      <c r="G566" s="27" t="s">
        <v>11</v>
      </c>
      <c r="H566" s="27" t="s">
        <v>6723</v>
      </c>
      <c r="I566" s="27" t="s">
        <v>9</v>
      </c>
    </row>
    <row r="567" spans="1:9" x14ac:dyDescent="0.3">
      <c r="A567" s="26">
        <v>44958</v>
      </c>
      <c r="B567" s="27" t="s">
        <v>26</v>
      </c>
      <c r="C567" s="27" t="s">
        <v>6</v>
      </c>
      <c r="D567" s="27" t="s">
        <v>21</v>
      </c>
      <c r="E567" s="28">
        <v>108900</v>
      </c>
      <c r="F567" s="28">
        <v>94800</v>
      </c>
      <c r="G567" s="27" t="s">
        <v>11</v>
      </c>
      <c r="H567" s="27" t="s">
        <v>6807</v>
      </c>
      <c r="I567" s="27" t="s">
        <v>9</v>
      </c>
    </row>
    <row r="568" spans="1:9" x14ac:dyDescent="0.3">
      <c r="A568" s="26">
        <v>44959</v>
      </c>
      <c r="B568" s="27" t="s">
        <v>26</v>
      </c>
      <c r="C568" s="27" t="s">
        <v>32</v>
      </c>
      <c r="D568" s="27" t="s">
        <v>7</v>
      </c>
      <c r="E568" s="28">
        <v>76091</v>
      </c>
      <c r="F568" s="28">
        <v>22294</v>
      </c>
      <c r="G568" s="27" t="s">
        <v>17</v>
      </c>
      <c r="H568" s="27" t="s">
        <v>280</v>
      </c>
      <c r="I568" s="27" t="s">
        <v>13</v>
      </c>
    </row>
    <row r="569" spans="1:9" x14ac:dyDescent="0.3">
      <c r="A569" s="26">
        <v>44959</v>
      </c>
      <c r="B569" s="27" t="s">
        <v>26</v>
      </c>
      <c r="C569" s="27" t="s">
        <v>15</v>
      </c>
      <c r="D569" s="27" t="s">
        <v>24</v>
      </c>
      <c r="E569" s="28">
        <v>89143</v>
      </c>
      <c r="F569" s="28">
        <v>63869</v>
      </c>
      <c r="G569" s="27" t="s">
        <v>11</v>
      </c>
      <c r="H569" s="27" t="s">
        <v>384</v>
      </c>
      <c r="I569" s="27" t="s">
        <v>13</v>
      </c>
    </row>
    <row r="570" spans="1:9" x14ac:dyDescent="0.3">
      <c r="A570" s="26">
        <v>44959</v>
      </c>
      <c r="B570" s="27" t="s">
        <v>26</v>
      </c>
      <c r="C570" s="27" t="s">
        <v>14</v>
      </c>
      <c r="D570" s="27" t="s">
        <v>24</v>
      </c>
      <c r="E570" s="28">
        <v>140480</v>
      </c>
      <c r="F570" s="28">
        <v>150810</v>
      </c>
      <c r="G570" s="27" t="s">
        <v>11</v>
      </c>
      <c r="H570" s="27" t="s">
        <v>521</v>
      </c>
      <c r="I570" s="27" t="s">
        <v>13</v>
      </c>
    </row>
    <row r="571" spans="1:9" x14ac:dyDescent="0.3">
      <c r="A571" s="26">
        <v>44959</v>
      </c>
      <c r="B571" s="27" t="s">
        <v>26</v>
      </c>
      <c r="C571" s="27" t="s">
        <v>15</v>
      </c>
      <c r="D571" s="27" t="s">
        <v>21</v>
      </c>
      <c r="E571" s="28">
        <v>85811</v>
      </c>
      <c r="F571" s="28">
        <v>55576</v>
      </c>
      <c r="G571" s="27" t="s">
        <v>17</v>
      </c>
      <c r="H571" s="27" t="s">
        <v>801</v>
      </c>
      <c r="I571" s="27" t="s">
        <v>13</v>
      </c>
    </row>
    <row r="572" spans="1:9" x14ac:dyDescent="0.3">
      <c r="A572" s="26">
        <v>44959</v>
      </c>
      <c r="B572" s="27" t="s">
        <v>26</v>
      </c>
      <c r="C572" s="27" t="s">
        <v>18</v>
      </c>
      <c r="D572" s="27" t="s">
        <v>19</v>
      </c>
      <c r="E572" s="28">
        <v>124619</v>
      </c>
      <c r="F572" s="28">
        <v>36910</v>
      </c>
      <c r="G572" s="27" t="s">
        <v>8</v>
      </c>
      <c r="H572" s="27" t="s">
        <v>802</v>
      </c>
      <c r="I572" s="27" t="s">
        <v>13</v>
      </c>
    </row>
    <row r="573" spans="1:9" x14ac:dyDescent="0.3">
      <c r="A573" s="26">
        <v>44959</v>
      </c>
      <c r="B573" s="27" t="s">
        <v>26</v>
      </c>
      <c r="C573" s="27" t="s">
        <v>10</v>
      </c>
      <c r="D573" s="27" t="s">
        <v>7</v>
      </c>
      <c r="E573" s="28">
        <v>51313</v>
      </c>
      <c r="F573" s="28">
        <v>83237</v>
      </c>
      <c r="G573" s="27" t="s">
        <v>22</v>
      </c>
      <c r="H573" s="27" t="s">
        <v>892</v>
      </c>
      <c r="I573" s="27" t="s">
        <v>13</v>
      </c>
    </row>
    <row r="574" spans="1:9" x14ac:dyDescent="0.3">
      <c r="A574" s="26">
        <v>44959</v>
      </c>
      <c r="B574" s="27" t="s">
        <v>26</v>
      </c>
      <c r="C574" s="27" t="s">
        <v>18</v>
      </c>
      <c r="D574" s="27" t="s">
        <v>16</v>
      </c>
      <c r="E574" s="28">
        <v>45790</v>
      </c>
      <c r="F574" s="28">
        <v>16733</v>
      </c>
      <c r="G574" s="27" t="s">
        <v>8</v>
      </c>
      <c r="H574" s="27" t="s">
        <v>1130</v>
      </c>
      <c r="I574" s="27" t="s">
        <v>13</v>
      </c>
    </row>
    <row r="575" spans="1:9" x14ac:dyDescent="0.3">
      <c r="A575" s="26">
        <v>44959</v>
      </c>
      <c r="B575" s="27" t="s">
        <v>26</v>
      </c>
      <c r="C575" s="27" t="s">
        <v>15</v>
      </c>
      <c r="D575" s="27" t="s">
        <v>19</v>
      </c>
      <c r="E575" s="28">
        <v>139875</v>
      </c>
      <c r="F575" s="28">
        <v>73152</v>
      </c>
      <c r="G575" s="27" t="s">
        <v>22</v>
      </c>
      <c r="H575" s="27" t="s">
        <v>1340</v>
      </c>
      <c r="I575" s="27" t="s">
        <v>13</v>
      </c>
    </row>
    <row r="576" spans="1:9" x14ac:dyDescent="0.3">
      <c r="A576" s="26">
        <v>44959</v>
      </c>
      <c r="B576" s="27" t="s">
        <v>26</v>
      </c>
      <c r="C576" s="27" t="s">
        <v>14</v>
      </c>
      <c r="D576" s="27" t="s">
        <v>24</v>
      </c>
      <c r="E576" s="28">
        <v>92155</v>
      </c>
      <c r="F576" s="28">
        <v>44066</v>
      </c>
      <c r="G576" s="27" t="s">
        <v>22</v>
      </c>
      <c r="H576" s="27" t="s">
        <v>1498</v>
      </c>
      <c r="I576" s="27" t="s">
        <v>13</v>
      </c>
    </row>
    <row r="577" spans="1:9" x14ac:dyDescent="0.3">
      <c r="A577" s="26">
        <v>44959</v>
      </c>
      <c r="B577" s="27" t="s">
        <v>26</v>
      </c>
      <c r="C577" s="27" t="s">
        <v>14</v>
      </c>
      <c r="D577" s="27" t="s">
        <v>24</v>
      </c>
      <c r="E577" s="28">
        <v>147700</v>
      </c>
      <c r="F577" s="28">
        <v>72960</v>
      </c>
      <c r="G577" s="27" t="s">
        <v>8</v>
      </c>
      <c r="H577" s="27" t="s">
        <v>1986</v>
      </c>
      <c r="I577" s="27" t="s">
        <v>13</v>
      </c>
    </row>
    <row r="578" spans="1:9" x14ac:dyDescent="0.3">
      <c r="A578" s="26">
        <v>44959</v>
      </c>
      <c r="B578" s="27" t="s">
        <v>26</v>
      </c>
      <c r="C578" s="27" t="s">
        <v>32</v>
      </c>
      <c r="D578" s="27" t="s">
        <v>19</v>
      </c>
      <c r="E578" s="28">
        <v>120491</v>
      </c>
      <c r="F578" s="28">
        <v>148390</v>
      </c>
      <c r="G578" s="27" t="s">
        <v>8</v>
      </c>
      <c r="H578" s="27" t="s">
        <v>2087</v>
      </c>
      <c r="I578" s="27" t="s">
        <v>13</v>
      </c>
    </row>
    <row r="579" spans="1:9" x14ac:dyDescent="0.3">
      <c r="A579" s="26">
        <v>44959</v>
      </c>
      <c r="B579" s="27" t="s">
        <v>26</v>
      </c>
      <c r="C579" s="27" t="s">
        <v>10</v>
      </c>
      <c r="D579" s="27" t="s">
        <v>19</v>
      </c>
      <c r="E579" s="28">
        <v>49534</v>
      </c>
      <c r="F579" s="28">
        <v>82225</v>
      </c>
      <c r="G579" s="27" t="s">
        <v>22</v>
      </c>
      <c r="H579" s="27" t="s">
        <v>2316</v>
      </c>
      <c r="I579" s="27" t="s">
        <v>13</v>
      </c>
    </row>
    <row r="580" spans="1:9" x14ac:dyDescent="0.3">
      <c r="A580" s="26">
        <v>44959</v>
      </c>
      <c r="B580" s="27" t="s">
        <v>26</v>
      </c>
      <c r="C580" s="27" t="s">
        <v>32</v>
      </c>
      <c r="D580" s="27" t="s">
        <v>21</v>
      </c>
      <c r="E580" s="28">
        <v>24996</v>
      </c>
      <c r="F580" s="28">
        <v>37796</v>
      </c>
      <c r="G580" s="27" t="s">
        <v>22</v>
      </c>
      <c r="H580" s="27" t="s">
        <v>2552</v>
      </c>
      <c r="I580" s="27" t="s">
        <v>13</v>
      </c>
    </row>
    <row r="581" spans="1:9" x14ac:dyDescent="0.3">
      <c r="A581" s="26">
        <v>44959</v>
      </c>
      <c r="B581" s="27" t="s">
        <v>26</v>
      </c>
      <c r="C581" s="27" t="s">
        <v>20</v>
      </c>
      <c r="D581" s="27" t="s">
        <v>16</v>
      </c>
      <c r="E581" s="28">
        <v>107361</v>
      </c>
      <c r="F581" s="28">
        <v>98210</v>
      </c>
      <c r="G581" s="27" t="s">
        <v>17</v>
      </c>
      <c r="H581" s="27" t="s">
        <v>2578</v>
      </c>
      <c r="I581" s="27" t="s">
        <v>13</v>
      </c>
    </row>
    <row r="582" spans="1:9" x14ac:dyDescent="0.3">
      <c r="A582" s="26">
        <v>44959</v>
      </c>
      <c r="B582" s="27" t="s">
        <v>26</v>
      </c>
      <c r="C582" s="27" t="s">
        <v>10</v>
      </c>
      <c r="D582" s="27" t="s">
        <v>24</v>
      </c>
      <c r="E582" s="28">
        <v>56995</v>
      </c>
      <c r="F582" s="28">
        <v>139424</v>
      </c>
      <c r="G582" s="27" t="s">
        <v>17</v>
      </c>
      <c r="H582" s="27" t="s">
        <v>2951</v>
      </c>
      <c r="I582" s="27" t="s">
        <v>13</v>
      </c>
    </row>
    <row r="583" spans="1:9" x14ac:dyDescent="0.3">
      <c r="A583" s="26">
        <v>44959</v>
      </c>
      <c r="B583" s="27" t="s">
        <v>26</v>
      </c>
      <c r="C583" s="27" t="s">
        <v>14</v>
      </c>
      <c r="D583" s="27" t="s">
        <v>21</v>
      </c>
      <c r="E583" s="28">
        <v>99646</v>
      </c>
      <c r="F583" s="28">
        <v>145028</v>
      </c>
      <c r="G583" s="27" t="s">
        <v>11</v>
      </c>
      <c r="H583" s="27" t="s">
        <v>3013</v>
      </c>
      <c r="I583" s="27" t="s">
        <v>13</v>
      </c>
    </row>
    <row r="584" spans="1:9" x14ac:dyDescent="0.3">
      <c r="A584" s="26">
        <v>44959</v>
      </c>
      <c r="B584" s="27" t="s">
        <v>26</v>
      </c>
      <c r="C584" s="27" t="s">
        <v>18</v>
      </c>
      <c r="D584" s="27" t="s">
        <v>21</v>
      </c>
      <c r="E584" s="28">
        <v>105830</v>
      </c>
      <c r="F584" s="28">
        <v>166814</v>
      </c>
      <c r="G584" s="27" t="s">
        <v>8</v>
      </c>
      <c r="H584" s="27" t="s">
        <v>3154</v>
      </c>
      <c r="I584" s="27" t="s">
        <v>13</v>
      </c>
    </row>
    <row r="585" spans="1:9" x14ac:dyDescent="0.3">
      <c r="A585" s="26">
        <v>44959</v>
      </c>
      <c r="B585" s="27" t="s">
        <v>26</v>
      </c>
      <c r="C585" s="27" t="s">
        <v>15</v>
      </c>
      <c r="D585" s="27" t="s">
        <v>19</v>
      </c>
      <c r="E585" s="28">
        <v>60921</v>
      </c>
      <c r="F585" s="28">
        <v>15048</v>
      </c>
      <c r="G585" s="27" t="s">
        <v>22</v>
      </c>
      <c r="H585" s="27" t="s">
        <v>3238</v>
      </c>
      <c r="I585" s="27" t="s">
        <v>13</v>
      </c>
    </row>
    <row r="586" spans="1:9" x14ac:dyDescent="0.3">
      <c r="A586" s="26">
        <v>44959</v>
      </c>
      <c r="B586" s="27" t="s">
        <v>26</v>
      </c>
      <c r="C586" s="27" t="s">
        <v>93</v>
      </c>
      <c r="D586" s="27" t="s">
        <v>7</v>
      </c>
      <c r="E586" s="28">
        <v>104100</v>
      </c>
      <c r="F586" s="28">
        <v>115400</v>
      </c>
      <c r="G586" s="27" t="s">
        <v>22</v>
      </c>
      <c r="H586" s="27" t="s">
        <v>3661</v>
      </c>
      <c r="I586" s="27" t="s">
        <v>9</v>
      </c>
    </row>
    <row r="587" spans="1:9" x14ac:dyDescent="0.3">
      <c r="A587" s="26">
        <v>44959</v>
      </c>
      <c r="B587" s="27" t="s">
        <v>26</v>
      </c>
      <c r="C587" s="27" t="s">
        <v>93</v>
      </c>
      <c r="D587" s="27" t="s">
        <v>24</v>
      </c>
      <c r="E587" s="28">
        <v>210600</v>
      </c>
      <c r="F587" s="28">
        <v>246000</v>
      </c>
      <c r="G587" s="27" t="s">
        <v>11</v>
      </c>
      <c r="H587" s="27" t="s">
        <v>3765</v>
      </c>
      <c r="I587" s="27" t="s">
        <v>9</v>
      </c>
    </row>
    <row r="588" spans="1:9" x14ac:dyDescent="0.3">
      <c r="A588" s="26">
        <v>44959</v>
      </c>
      <c r="B588" s="27" t="s">
        <v>26</v>
      </c>
      <c r="C588" s="27" t="s">
        <v>6</v>
      </c>
      <c r="D588" s="27" t="s">
        <v>24</v>
      </c>
      <c r="E588" s="28">
        <v>172200</v>
      </c>
      <c r="F588" s="28">
        <v>215000</v>
      </c>
      <c r="G588" s="27" t="s">
        <v>22</v>
      </c>
      <c r="H588" s="27" t="s">
        <v>3902</v>
      </c>
      <c r="I588" s="27" t="s">
        <v>9</v>
      </c>
    </row>
    <row r="589" spans="1:9" x14ac:dyDescent="0.3">
      <c r="A589" s="26">
        <v>44959</v>
      </c>
      <c r="B589" s="27" t="s">
        <v>26</v>
      </c>
      <c r="C589" s="27" t="s">
        <v>6</v>
      </c>
      <c r="D589" s="27" t="s">
        <v>21</v>
      </c>
      <c r="E589" s="28">
        <v>110000</v>
      </c>
      <c r="F589" s="28">
        <v>92800</v>
      </c>
      <c r="G589" s="27" t="s">
        <v>22</v>
      </c>
      <c r="H589" s="27" t="s">
        <v>4182</v>
      </c>
      <c r="I589" s="27" t="s">
        <v>9</v>
      </c>
    </row>
    <row r="590" spans="1:9" x14ac:dyDescent="0.3">
      <c r="A590" s="26">
        <v>44959</v>
      </c>
      <c r="B590" s="27" t="s">
        <v>26</v>
      </c>
      <c r="C590" s="27" t="s">
        <v>6</v>
      </c>
      <c r="D590" s="27" t="s">
        <v>19</v>
      </c>
      <c r="E590" s="28">
        <v>47100</v>
      </c>
      <c r="F590" s="28">
        <v>47000</v>
      </c>
      <c r="G590" s="27" t="s">
        <v>17</v>
      </c>
      <c r="H590" s="27" t="s">
        <v>4183</v>
      </c>
      <c r="I590" s="27" t="s">
        <v>9</v>
      </c>
    </row>
    <row r="591" spans="1:9" x14ac:dyDescent="0.3">
      <c r="A591" s="26">
        <v>44959</v>
      </c>
      <c r="B591" s="27" t="s">
        <v>26</v>
      </c>
      <c r="C591" s="27" t="s">
        <v>93</v>
      </c>
      <c r="D591" s="27" t="s">
        <v>7</v>
      </c>
      <c r="E591" s="28">
        <v>143400</v>
      </c>
      <c r="F591" s="28">
        <v>137500</v>
      </c>
      <c r="G591" s="27" t="s">
        <v>17</v>
      </c>
      <c r="H591" s="27" t="s">
        <v>4273</v>
      </c>
      <c r="I591" s="27" t="s">
        <v>9</v>
      </c>
    </row>
    <row r="592" spans="1:9" x14ac:dyDescent="0.3">
      <c r="A592" s="26">
        <v>44959</v>
      </c>
      <c r="B592" s="27" t="s">
        <v>26</v>
      </c>
      <c r="C592" s="27" t="s">
        <v>93</v>
      </c>
      <c r="D592" s="27" t="s">
        <v>16</v>
      </c>
      <c r="E592" s="28">
        <v>109400</v>
      </c>
      <c r="F592" s="28">
        <v>119300</v>
      </c>
      <c r="G592" s="27" t="s">
        <v>22</v>
      </c>
      <c r="H592" s="27" t="s">
        <v>4513</v>
      </c>
      <c r="I592" s="27" t="s">
        <v>9</v>
      </c>
    </row>
    <row r="593" spans="1:9" x14ac:dyDescent="0.3">
      <c r="A593" s="26">
        <v>44959</v>
      </c>
      <c r="B593" s="27" t="s">
        <v>26</v>
      </c>
      <c r="C593" s="27" t="s">
        <v>93</v>
      </c>
      <c r="D593" s="27" t="s">
        <v>19</v>
      </c>
      <c r="E593" s="28">
        <v>97700</v>
      </c>
      <c r="F593" s="28">
        <v>97100</v>
      </c>
      <c r="G593" s="27" t="s">
        <v>11</v>
      </c>
      <c r="H593" s="27" t="s">
        <v>4723</v>
      </c>
      <c r="I593" s="27" t="s">
        <v>9</v>
      </c>
    </row>
    <row r="594" spans="1:9" x14ac:dyDescent="0.3">
      <c r="A594" s="26">
        <v>44959</v>
      </c>
      <c r="B594" s="27" t="s">
        <v>26</v>
      </c>
      <c r="C594" s="27" t="s">
        <v>6</v>
      </c>
      <c r="D594" s="27" t="s">
        <v>24</v>
      </c>
      <c r="E594" s="28">
        <v>134600</v>
      </c>
      <c r="F594" s="28">
        <v>156300</v>
      </c>
      <c r="G594" s="27" t="s">
        <v>17</v>
      </c>
      <c r="H594" s="27" t="s">
        <v>4881</v>
      </c>
      <c r="I594" s="27" t="s">
        <v>9</v>
      </c>
    </row>
    <row r="595" spans="1:9" x14ac:dyDescent="0.3">
      <c r="A595" s="26">
        <v>44959</v>
      </c>
      <c r="B595" s="27" t="s">
        <v>26</v>
      </c>
      <c r="C595" s="27" t="s">
        <v>93</v>
      </c>
      <c r="D595" s="27" t="s">
        <v>24</v>
      </c>
      <c r="E595" s="28">
        <v>130700</v>
      </c>
      <c r="F595" s="28">
        <v>129400</v>
      </c>
      <c r="G595" s="27" t="s">
        <v>11</v>
      </c>
      <c r="H595" s="27" t="s">
        <v>5370</v>
      </c>
      <c r="I595" s="27" t="s">
        <v>9</v>
      </c>
    </row>
    <row r="596" spans="1:9" x14ac:dyDescent="0.3">
      <c r="A596" s="26">
        <v>44959</v>
      </c>
      <c r="B596" s="27" t="s">
        <v>26</v>
      </c>
      <c r="C596" s="27" t="s">
        <v>6</v>
      </c>
      <c r="D596" s="27" t="s">
        <v>19</v>
      </c>
      <c r="E596" s="28">
        <v>166400</v>
      </c>
      <c r="F596" s="28">
        <v>139800</v>
      </c>
      <c r="G596" s="27" t="s">
        <v>11</v>
      </c>
      <c r="H596" s="27" t="s">
        <v>5471</v>
      </c>
      <c r="I596" s="27" t="s">
        <v>9</v>
      </c>
    </row>
    <row r="597" spans="1:9" x14ac:dyDescent="0.3">
      <c r="A597" s="26">
        <v>44959</v>
      </c>
      <c r="B597" s="27" t="s">
        <v>26</v>
      </c>
      <c r="C597" s="27" t="s">
        <v>6</v>
      </c>
      <c r="D597" s="27" t="s">
        <v>19</v>
      </c>
      <c r="E597" s="28">
        <v>211100</v>
      </c>
      <c r="F597" s="28">
        <v>282300</v>
      </c>
      <c r="G597" s="27" t="s">
        <v>22</v>
      </c>
      <c r="H597" s="27" t="s">
        <v>5701</v>
      </c>
      <c r="I597" s="27" t="s">
        <v>9</v>
      </c>
    </row>
    <row r="598" spans="1:9" x14ac:dyDescent="0.3">
      <c r="A598" s="26">
        <v>44959</v>
      </c>
      <c r="B598" s="27" t="s">
        <v>26</v>
      </c>
      <c r="C598" s="27" t="s">
        <v>93</v>
      </c>
      <c r="D598" s="27" t="s">
        <v>21</v>
      </c>
      <c r="E598" s="28">
        <v>142800</v>
      </c>
      <c r="F598" s="28">
        <v>134300</v>
      </c>
      <c r="G598" s="27" t="s">
        <v>11</v>
      </c>
      <c r="H598" s="27" t="s">
        <v>5937</v>
      </c>
      <c r="I598" s="27" t="s">
        <v>9</v>
      </c>
    </row>
    <row r="599" spans="1:9" x14ac:dyDescent="0.3">
      <c r="A599" s="26">
        <v>44959</v>
      </c>
      <c r="B599" s="27" t="s">
        <v>26</v>
      </c>
      <c r="C599" s="27" t="s">
        <v>93</v>
      </c>
      <c r="D599" s="27" t="s">
        <v>16</v>
      </c>
      <c r="E599" s="28">
        <v>94900</v>
      </c>
      <c r="F599" s="28">
        <v>74000</v>
      </c>
      <c r="G599" s="27" t="s">
        <v>17</v>
      </c>
      <c r="H599" s="27" t="s">
        <v>5963</v>
      </c>
      <c r="I599" s="27" t="s">
        <v>9</v>
      </c>
    </row>
    <row r="600" spans="1:9" x14ac:dyDescent="0.3">
      <c r="A600" s="26">
        <v>44959</v>
      </c>
      <c r="B600" s="27" t="s">
        <v>26</v>
      </c>
      <c r="C600" s="27" t="s">
        <v>6</v>
      </c>
      <c r="D600" s="27" t="s">
        <v>24</v>
      </c>
      <c r="E600" s="28">
        <v>170200</v>
      </c>
      <c r="F600" s="28">
        <v>176200</v>
      </c>
      <c r="G600" s="27" t="s">
        <v>22</v>
      </c>
      <c r="H600" s="27" t="s">
        <v>6336</v>
      </c>
      <c r="I600" s="27" t="s">
        <v>9</v>
      </c>
    </row>
    <row r="601" spans="1:9" x14ac:dyDescent="0.3">
      <c r="A601" s="26">
        <v>44959</v>
      </c>
      <c r="B601" s="27" t="s">
        <v>26</v>
      </c>
      <c r="C601" s="27" t="s">
        <v>93</v>
      </c>
      <c r="D601" s="27" t="s">
        <v>21</v>
      </c>
      <c r="E601" s="28">
        <v>69200</v>
      </c>
      <c r="F601" s="28">
        <v>59500</v>
      </c>
      <c r="G601" s="27" t="s">
        <v>22</v>
      </c>
      <c r="H601" s="27" t="s">
        <v>6398</v>
      </c>
      <c r="I601" s="27" t="s">
        <v>9</v>
      </c>
    </row>
    <row r="602" spans="1:9" x14ac:dyDescent="0.3">
      <c r="A602" s="26">
        <v>44959</v>
      </c>
      <c r="B602" s="27" t="s">
        <v>26</v>
      </c>
      <c r="C602" s="27" t="s">
        <v>93</v>
      </c>
      <c r="D602" s="27" t="s">
        <v>21</v>
      </c>
      <c r="E602" s="28">
        <v>85600</v>
      </c>
      <c r="F602" s="28">
        <v>82300</v>
      </c>
      <c r="G602" s="27" t="s">
        <v>11</v>
      </c>
      <c r="H602" s="27" t="s">
        <v>6539</v>
      </c>
      <c r="I602" s="27" t="s">
        <v>9</v>
      </c>
    </row>
    <row r="603" spans="1:9" x14ac:dyDescent="0.3">
      <c r="A603" s="26">
        <v>44959</v>
      </c>
      <c r="B603" s="27" t="s">
        <v>26</v>
      </c>
      <c r="C603" s="27" t="s">
        <v>6</v>
      </c>
      <c r="D603" s="27" t="s">
        <v>19</v>
      </c>
      <c r="E603" s="28">
        <v>53400</v>
      </c>
      <c r="F603" s="28">
        <v>48600</v>
      </c>
      <c r="G603" s="27" t="s">
        <v>11</v>
      </c>
      <c r="H603" s="27" t="s">
        <v>6623</v>
      </c>
      <c r="I603" s="27" t="s">
        <v>9</v>
      </c>
    </row>
    <row r="604" spans="1:9" x14ac:dyDescent="0.3">
      <c r="A604" s="26">
        <v>44960</v>
      </c>
      <c r="B604" s="27" t="s">
        <v>26</v>
      </c>
      <c r="C604" s="27" t="s">
        <v>20</v>
      </c>
      <c r="D604" s="27" t="s">
        <v>7</v>
      </c>
      <c r="E604" s="28">
        <v>108314</v>
      </c>
      <c r="F604" s="28">
        <v>71275</v>
      </c>
      <c r="G604" s="27" t="s">
        <v>11</v>
      </c>
      <c r="H604" s="27" t="s">
        <v>27</v>
      </c>
      <c r="I604" s="27" t="s">
        <v>13</v>
      </c>
    </row>
    <row r="605" spans="1:9" x14ac:dyDescent="0.3">
      <c r="A605" s="26">
        <v>44960</v>
      </c>
      <c r="B605" s="27" t="s">
        <v>26</v>
      </c>
      <c r="C605" s="27" t="s">
        <v>10</v>
      </c>
      <c r="D605" s="27" t="s">
        <v>16</v>
      </c>
      <c r="E605" s="28">
        <v>88375</v>
      </c>
      <c r="F605" s="28">
        <v>125991</v>
      </c>
      <c r="G605" s="27" t="s">
        <v>8</v>
      </c>
      <c r="H605" s="27" t="s">
        <v>99</v>
      </c>
      <c r="I605" s="27" t="s">
        <v>13</v>
      </c>
    </row>
    <row r="606" spans="1:9" x14ac:dyDescent="0.3">
      <c r="A606" s="26">
        <v>44960</v>
      </c>
      <c r="B606" s="27" t="s">
        <v>26</v>
      </c>
      <c r="C606" s="27" t="s">
        <v>18</v>
      </c>
      <c r="D606" s="27" t="s">
        <v>24</v>
      </c>
      <c r="E606" s="28">
        <v>141290</v>
      </c>
      <c r="F606" s="28">
        <v>126276</v>
      </c>
      <c r="G606" s="27" t="s">
        <v>17</v>
      </c>
      <c r="H606" s="27" t="s">
        <v>245</v>
      </c>
      <c r="I606" s="27" t="s">
        <v>13</v>
      </c>
    </row>
    <row r="607" spans="1:9" x14ac:dyDescent="0.3">
      <c r="A607" s="26">
        <v>44960</v>
      </c>
      <c r="B607" s="27" t="s">
        <v>26</v>
      </c>
      <c r="C607" s="27" t="s">
        <v>14</v>
      </c>
      <c r="D607" s="27" t="s">
        <v>21</v>
      </c>
      <c r="E607" s="28">
        <v>137589</v>
      </c>
      <c r="F607" s="28">
        <v>90655</v>
      </c>
      <c r="G607" s="27" t="s">
        <v>11</v>
      </c>
      <c r="H607" s="27" t="s">
        <v>284</v>
      </c>
      <c r="I607" s="27" t="s">
        <v>13</v>
      </c>
    </row>
    <row r="608" spans="1:9" x14ac:dyDescent="0.3">
      <c r="A608" s="26">
        <v>44960</v>
      </c>
      <c r="B608" s="27" t="s">
        <v>26</v>
      </c>
      <c r="C608" s="27" t="s">
        <v>10</v>
      </c>
      <c r="D608" s="27" t="s">
        <v>7</v>
      </c>
      <c r="E608" s="28">
        <v>12906</v>
      </c>
      <c r="F608" s="28">
        <v>141733</v>
      </c>
      <c r="G608" s="27" t="s">
        <v>8</v>
      </c>
      <c r="H608" s="27" t="s">
        <v>724</v>
      </c>
      <c r="I608" s="27" t="s">
        <v>13</v>
      </c>
    </row>
    <row r="609" spans="1:9" x14ac:dyDescent="0.3">
      <c r="A609" s="26">
        <v>44960</v>
      </c>
      <c r="B609" s="27" t="s">
        <v>26</v>
      </c>
      <c r="C609" s="27" t="s">
        <v>14</v>
      </c>
      <c r="D609" s="27" t="s">
        <v>21</v>
      </c>
      <c r="E609" s="28">
        <v>94027</v>
      </c>
      <c r="F609" s="28">
        <v>83112</v>
      </c>
      <c r="G609" s="27" t="s">
        <v>17</v>
      </c>
      <c r="H609" s="27" t="s">
        <v>2323</v>
      </c>
      <c r="I609" s="27" t="s">
        <v>13</v>
      </c>
    </row>
    <row r="610" spans="1:9" x14ac:dyDescent="0.3">
      <c r="A610" s="26">
        <v>44960</v>
      </c>
      <c r="B610" s="27" t="s">
        <v>26</v>
      </c>
      <c r="C610" s="27" t="s">
        <v>15</v>
      </c>
      <c r="D610" s="27" t="s">
        <v>16</v>
      </c>
      <c r="E610" s="28">
        <v>27343</v>
      </c>
      <c r="F610" s="28">
        <v>141314</v>
      </c>
      <c r="G610" s="27" t="s">
        <v>11</v>
      </c>
      <c r="H610" s="27" t="s">
        <v>3270</v>
      </c>
      <c r="I610" s="27" t="s">
        <v>13</v>
      </c>
    </row>
    <row r="611" spans="1:9" x14ac:dyDescent="0.3">
      <c r="A611" s="26">
        <v>44960</v>
      </c>
      <c r="B611" s="27" t="s">
        <v>26</v>
      </c>
      <c r="C611" s="27" t="s">
        <v>10</v>
      </c>
      <c r="D611" s="27" t="s">
        <v>19</v>
      </c>
      <c r="E611" s="28">
        <v>54398</v>
      </c>
      <c r="F611" s="28">
        <v>62653</v>
      </c>
      <c r="G611" s="27" t="s">
        <v>22</v>
      </c>
      <c r="H611" s="27" t="s">
        <v>3427</v>
      </c>
      <c r="I611" s="27" t="s">
        <v>13</v>
      </c>
    </row>
    <row r="612" spans="1:9" x14ac:dyDescent="0.3">
      <c r="A612" s="26">
        <v>44960</v>
      </c>
      <c r="B612" s="27" t="s">
        <v>26</v>
      </c>
      <c r="C612" s="27" t="s">
        <v>6</v>
      </c>
      <c r="D612" s="27" t="s">
        <v>7</v>
      </c>
      <c r="E612" s="28">
        <v>118800</v>
      </c>
      <c r="F612" s="28">
        <v>122800</v>
      </c>
      <c r="G612" s="27" t="s">
        <v>22</v>
      </c>
      <c r="H612" s="27" t="s">
        <v>3465</v>
      </c>
      <c r="I612" s="27" t="s">
        <v>9</v>
      </c>
    </row>
    <row r="613" spans="1:9" x14ac:dyDescent="0.3">
      <c r="A613" s="26">
        <v>44960</v>
      </c>
      <c r="B613" s="27" t="s">
        <v>26</v>
      </c>
      <c r="C613" s="27" t="s">
        <v>93</v>
      </c>
      <c r="D613" s="27" t="s">
        <v>16</v>
      </c>
      <c r="E613" s="28">
        <v>109700</v>
      </c>
      <c r="F613" s="28">
        <v>99000</v>
      </c>
      <c r="G613" s="27" t="s">
        <v>11</v>
      </c>
      <c r="H613" s="27" t="s">
        <v>3499</v>
      </c>
      <c r="I613" s="27" t="s">
        <v>9</v>
      </c>
    </row>
    <row r="614" spans="1:9" x14ac:dyDescent="0.3">
      <c r="A614" s="26">
        <v>44960</v>
      </c>
      <c r="B614" s="27" t="s">
        <v>26</v>
      </c>
      <c r="C614" s="27" t="s">
        <v>6</v>
      </c>
      <c r="D614" s="27" t="s">
        <v>24</v>
      </c>
      <c r="E614" s="28">
        <v>257700</v>
      </c>
      <c r="F614" s="28">
        <v>280400</v>
      </c>
      <c r="G614" s="27" t="s">
        <v>11</v>
      </c>
      <c r="H614" s="27" t="s">
        <v>3626</v>
      </c>
      <c r="I614" s="27" t="s">
        <v>9</v>
      </c>
    </row>
    <row r="615" spans="1:9" x14ac:dyDescent="0.3">
      <c r="A615" s="26">
        <v>44960</v>
      </c>
      <c r="B615" s="27" t="s">
        <v>26</v>
      </c>
      <c r="C615" s="27" t="s">
        <v>6</v>
      </c>
      <c r="D615" s="27" t="s">
        <v>21</v>
      </c>
      <c r="E615" s="28">
        <v>136000</v>
      </c>
      <c r="F615" s="28">
        <v>120200</v>
      </c>
      <c r="G615" s="27" t="s">
        <v>11</v>
      </c>
      <c r="H615" s="27" t="s">
        <v>3665</v>
      </c>
      <c r="I615" s="27" t="s">
        <v>9</v>
      </c>
    </row>
    <row r="616" spans="1:9" x14ac:dyDescent="0.3">
      <c r="A616" s="26">
        <v>44960</v>
      </c>
      <c r="B616" s="27" t="s">
        <v>26</v>
      </c>
      <c r="C616" s="27" t="s">
        <v>93</v>
      </c>
      <c r="D616" s="27" t="s">
        <v>7</v>
      </c>
      <c r="E616" s="28">
        <v>75000</v>
      </c>
      <c r="F616" s="28">
        <v>89100</v>
      </c>
      <c r="G616" s="27" t="s">
        <v>11</v>
      </c>
      <c r="H616" s="27" t="s">
        <v>4105</v>
      </c>
      <c r="I616" s="27" t="s">
        <v>9</v>
      </c>
    </row>
    <row r="617" spans="1:9" x14ac:dyDescent="0.3">
      <c r="A617" s="26">
        <v>44960</v>
      </c>
      <c r="B617" s="27" t="s">
        <v>26</v>
      </c>
      <c r="C617" s="27" t="s">
        <v>93</v>
      </c>
      <c r="D617" s="27" t="s">
        <v>21</v>
      </c>
      <c r="E617" s="28">
        <v>65200</v>
      </c>
      <c r="F617" s="28">
        <v>71000</v>
      </c>
      <c r="G617" s="27" t="s">
        <v>11</v>
      </c>
      <c r="H617" s="27" t="s">
        <v>5708</v>
      </c>
      <c r="I617" s="27" t="s">
        <v>9</v>
      </c>
    </row>
    <row r="618" spans="1:9" x14ac:dyDescent="0.3">
      <c r="A618" s="26">
        <v>44960</v>
      </c>
      <c r="B618" s="27" t="s">
        <v>26</v>
      </c>
      <c r="C618" s="27" t="s">
        <v>6</v>
      </c>
      <c r="D618" s="27" t="s">
        <v>16</v>
      </c>
      <c r="E618" s="28">
        <v>109400</v>
      </c>
      <c r="F618" s="28">
        <v>128300</v>
      </c>
      <c r="G618" s="27" t="s">
        <v>22</v>
      </c>
      <c r="H618" s="27" t="s">
        <v>6655</v>
      </c>
      <c r="I618" s="27" t="s">
        <v>9</v>
      </c>
    </row>
    <row r="619" spans="1:9" x14ac:dyDescent="0.3">
      <c r="A619" s="26">
        <v>44960</v>
      </c>
      <c r="B619" s="27" t="s">
        <v>26</v>
      </c>
      <c r="C619" s="27" t="s">
        <v>6</v>
      </c>
      <c r="D619" s="27" t="s">
        <v>19</v>
      </c>
      <c r="E619" s="28">
        <v>192200</v>
      </c>
      <c r="F619" s="28">
        <v>132000</v>
      </c>
      <c r="G619" s="27" t="s">
        <v>22</v>
      </c>
      <c r="H619" s="27" t="s">
        <v>6812</v>
      </c>
      <c r="I619" s="27" t="s">
        <v>9</v>
      </c>
    </row>
    <row r="620" spans="1:9" x14ac:dyDescent="0.3">
      <c r="A620" s="26">
        <v>44961</v>
      </c>
      <c r="B620" s="27" t="s">
        <v>26</v>
      </c>
      <c r="C620" s="27" t="s">
        <v>14</v>
      </c>
      <c r="D620" s="27" t="s">
        <v>19</v>
      </c>
      <c r="E620" s="28">
        <v>79625</v>
      </c>
      <c r="F620" s="28">
        <v>64447</v>
      </c>
      <c r="G620" s="27" t="s">
        <v>11</v>
      </c>
      <c r="H620" s="27" t="s">
        <v>1740</v>
      </c>
      <c r="I620" s="27" t="s">
        <v>13</v>
      </c>
    </row>
    <row r="621" spans="1:9" x14ac:dyDescent="0.3">
      <c r="A621" s="26">
        <v>44961</v>
      </c>
      <c r="B621" s="27" t="s">
        <v>26</v>
      </c>
      <c r="C621" s="27" t="s">
        <v>15</v>
      </c>
      <c r="D621" s="27" t="s">
        <v>24</v>
      </c>
      <c r="E621" s="28">
        <v>147948</v>
      </c>
      <c r="F621" s="28">
        <v>88215</v>
      </c>
      <c r="G621" s="27" t="s">
        <v>11</v>
      </c>
      <c r="H621" s="27" t="s">
        <v>2478</v>
      </c>
      <c r="I621" s="27" t="s">
        <v>13</v>
      </c>
    </row>
    <row r="622" spans="1:9" x14ac:dyDescent="0.3">
      <c r="A622" s="26">
        <v>44961</v>
      </c>
      <c r="B622" s="27" t="s">
        <v>26</v>
      </c>
      <c r="C622" s="27" t="s">
        <v>32</v>
      </c>
      <c r="D622" s="27" t="s">
        <v>16</v>
      </c>
      <c r="E622" s="28">
        <v>48728</v>
      </c>
      <c r="F622" s="28">
        <v>141929</v>
      </c>
      <c r="G622" s="27" t="s">
        <v>11</v>
      </c>
      <c r="H622" s="27" t="s">
        <v>3015</v>
      </c>
      <c r="I622" s="27" t="s">
        <v>13</v>
      </c>
    </row>
    <row r="623" spans="1:9" x14ac:dyDescent="0.3">
      <c r="A623" s="26">
        <v>44961</v>
      </c>
      <c r="B623" s="27" t="s">
        <v>26</v>
      </c>
      <c r="C623" s="27" t="s">
        <v>18</v>
      </c>
      <c r="D623" s="27" t="s">
        <v>24</v>
      </c>
      <c r="E623" s="28">
        <v>41081</v>
      </c>
      <c r="F623" s="28">
        <v>134343</v>
      </c>
      <c r="G623" s="27" t="s">
        <v>11</v>
      </c>
      <c r="H623" s="27" t="s">
        <v>3297</v>
      </c>
      <c r="I623" s="27" t="s">
        <v>13</v>
      </c>
    </row>
    <row r="624" spans="1:9" x14ac:dyDescent="0.3">
      <c r="A624" s="26">
        <v>44961</v>
      </c>
      <c r="B624" s="27" t="s">
        <v>26</v>
      </c>
      <c r="C624" s="27" t="s">
        <v>6</v>
      </c>
      <c r="D624" s="27" t="s">
        <v>19</v>
      </c>
      <c r="E624" s="28">
        <v>96500</v>
      </c>
      <c r="F624" s="28">
        <v>103100</v>
      </c>
      <c r="G624" s="27" t="s">
        <v>11</v>
      </c>
      <c r="H624" s="27" t="s">
        <v>5123</v>
      </c>
      <c r="I624" s="27" t="s">
        <v>9</v>
      </c>
    </row>
    <row r="625" spans="1:9" x14ac:dyDescent="0.3">
      <c r="A625" s="26">
        <v>44961</v>
      </c>
      <c r="B625" s="27" t="s">
        <v>26</v>
      </c>
      <c r="C625" s="27" t="s">
        <v>93</v>
      </c>
      <c r="D625" s="27" t="s">
        <v>24</v>
      </c>
      <c r="E625" s="28">
        <v>209500</v>
      </c>
      <c r="F625" s="28">
        <v>145400</v>
      </c>
      <c r="G625" s="27" t="s">
        <v>17</v>
      </c>
      <c r="H625" s="27" t="s">
        <v>5863</v>
      </c>
      <c r="I625" s="27" t="s">
        <v>9</v>
      </c>
    </row>
    <row r="626" spans="1:9" x14ac:dyDescent="0.3">
      <c r="A626" s="26">
        <v>44961</v>
      </c>
      <c r="B626" s="27" t="s">
        <v>26</v>
      </c>
      <c r="C626" s="27" t="s">
        <v>93</v>
      </c>
      <c r="D626" s="27" t="s">
        <v>16</v>
      </c>
      <c r="E626" s="28">
        <v>103700</v>
      </c>
      <c r="F626" s="28">
        <v>104400</v>
      </c>
      <c r="G626" s="27" t="s">
        <v>11</v>
      </c>
      <c r="H626" s="27" t="s">
        <v>6400</v>
      </c>
      <c r="I626" s="27" t="s">
        <v>9</v>
      </c>
    </row>
    <row r="627" spans="1:9" x14ac:dyDescent="0.3">
      <c r="A627" s="26">
        <v>44961</v>
      </c>
      <c r="B627" s="27" t="s">
        <v>26</v>
      </c>
      <c r="C627" s="27" t="s">
        <v>6</v>
      </c>
      <c r="D627" s="27" t="s">
        <v>24</v>
      </c>
      <c r="E627" s="28">
        <v>100700</v>
      </c>
      <c r="F627" s="28">
        <v>81600</v>
      </c>
      <c r="G627" s="27" t="s">
        <v>17</v>
      </c>
      <c r="H627" s="27" t="s">
        <v>6682</v>
      </c>
      <c r="I627" s="27" t="s">
        <v>9</v>
      </c>
    </row>
    <row r="628" spans="1:9" x14ac:dyDescent="0.3">
      <c r="A628" s="26">
        <v>44962</v>
      </c>
      <c r="B628" s="27" t="s">
        <v>26</v>
      </c>
      <c r="C628" s="27" t="s">
        <v>14</v>
      </c>
      <c r="D628" s="27" t="s">
        <v>21</v>
      </c>
      <c r="E628" s="28">
        <v>75580</v>
      </c>
      <c r="F628" s="28">
        <v>153374</v>
      </c>
      <c r="G628" s="27" t="s">
        <v>11</v>
      </c>
      <c r="H628" s="27" t="s">
        <v>794</v>
      </c>
      <c r="I628" s="27" t="s">
        <v>13</v>
      </c>
    </row>
    <row r="629" spans="1:9" x14ac:dyDescent="0.3">
      <c r="A629" s="26">
        <v>44962</v>
      </c>
      <c r="B629" s="27" t="s">
        <v>26</v>
      </c>
      <c r="C629" s="27" t="s">
        <v>15</v>
      </c>
      <c r="D629" s="27" t="s">
        <v>7</v>
      </c>
      <c r="E629" s="28">
        <v>149969</v>
      </c>
      <c r="F629" s="28">
        <v>24260</v>
      </c>
      <c r="G629" s="27" t="s">
        <v>22</v>
      </c>
      <c r="H629" s="27" t="s">
        <v>1378</v>
      </c>
      <c r="I629" s="27" t="s">
        <v>13</v>
      </c>
    </row>
    <row r="630" spans="1:9" x14ac:dyDescent="0.3">
      <c r="A630" s="26">
        <v>44962</v>
      </c>
      <c r="B630" s="27" t="s">
        <v>26</v>
      </c>
      <c r="C630" s="27" t="s">
        <v>20</v>
      </c>
      <c r="D630" s="27" t="s">
        <v>24</v>
      </c>
      <c r="E630" s="28">
        <v>113232</v>
      </c>
      <c r="F630" s="28">
        <v>167838</v>
      </c>
      <c r="G630" s="27" t="s">
        <v>22</v>
      </c>
      <c r="H630" s="27" t="s">
        <v>2711</v>
      </c>
      <c r="I630" s="27" t="s">
        <v>13</v>
      </c>
    </row>
    <row r="631" spans="1:9" x14ac:dyDescent="0.3">
      <c r="A631" s="26">
        <v>44962</v>
      </c>
      <c r="B631" s="27" t="s">
        <v>26</v>
      </c>
      <c r="C631" s="27" t="s">
        <v>10</v>
      </c>
      <c r="D631" s="27" t="s">
        <v>19</v>
      </c>
      <c r="E631" s="28">
        <v>111264</v>
      </c>
      <c r="F631" s="28">
        <v>19299</v>
      </c>
      <c r="G631" s="27" t="s">
        <v>11</v>
      </c>
      <c r="H631" s="27" t="s">
        <v>2715</v>
      </c>
      <c r="I631" s="27" t="s">
        <v>13</v>
      </c>
    </row>
    <row r="632" spans="1:9" x14ac:dyDescent="0.3">
      <c r="A632" s="26">
        <v>44962</v>
      </c>
      <c r="B632" s="27" t="s">
        <v>26</v>
      </c>
      <c r="C632" s="27" t="s">
        <v>32</v>
      </c>
      <c r="D632" s="27" t="s">
        <v>24</v>
      </c>
      <c r="E632" s="28">
        <v>26025</v>
      </c>
      <c r="F632" s="28">
        <v>85797</v>
      </c>
      <c r="G632" s="27" t="s">
        <v>8</v>
      </c>
      <c r="H632" s="27" t="s">
        <v>3016</v>
      </c>
      <c r="I632" s="27" t="s">
        <v>13</v>
      </c>
    </row>
    <row r="633" spans="1:9" x14ac:dyDescent="0.3">
      <c r="A633" s="26">
        <v>44962</v>
      </c>
      <c r="B633" s="27" t="s">
        <v>26</v>
      </c>
      <c r="C633" s="27" t="s">
        <v>10</v>
      </c>
      <c r="D633" s="27" t="s">
        <v>7</v>
      </c>
      <c r="E633" s="28">
        <v>54362</v>
      </c>
      <c r="F633" s="28">
        <v>142048</v>
      </c>
      <c r="G633" s="27" t="s">
        <v>17</v>
      </c>
      <c r="H633" s="27" t="s">
        <v>3255</v>
      </c>
      <c r="I633" s="27" t="s">
        <v>13</v>
      </c>
    </row>
    <row r="634" spans="1:9" x14ac:dyDescent="0.3">
      <c r="A634" s="26">
        <v>44962</v>
      </c>
      <c r="B634" s="27" t="s">
        <v>26</v>
      </c>
      <c r="C634" s="27" t="s">
        <v>6</v>
      </c>
      <c r="D634" s="27" t="s">
        <v>21</v>
      </c>
      <c r="E634" s="28">
        <v>145300</v>
      </c>
      <c r="F634" s="28">
        <v>147300</v>
      </c>
      <c r="G634" s="27" t="s">
        <v>11</v>
      </c>
      <c r="H634" s="27" t="s">
        <v>4175</v>
      </c>
      <c r="I634" s="27" t="s">
        <v>9</v>
      </c>
    </row>
    <row r="635" spans="1:9" x14ac:dyDescent="0.3">
      <c r="A635" s="26">
        <v>44962</v>
      </c>
      <c r="B635" s="27" t="s">
        <v>26</v>
      </c>
      <c r="C635" s="27" t="s">
        <v>6</v>
      </c>
      <c r="D635" s="27" t="s">
        <v>7</v>
      </c>
      <c r="E635" s="28">
        <v>91800</v>
      </c>
      <c r="F635" s="28">
        <v>90300</v>
      </c>
      <c r="G635" s="27" t="s">
        <v>22</v>
      </c>
      <c r="H635" s="27" t="s">
        <v>4761</v>
      </c>
      <c r="I635" s="27" t="s">
        <v>9</v>
      </c>
    </row>
    <row r="636" spans="1:9" x14ac:dyDescent="0.3">
      <c r="A636" s="26">
        <v>44962</v>
      </c>
      <c r="B636" s="27" t="s">
        <v>26</v>
      </c>
      <c r="C636" s="27" t="s">
        <v>6</v>
      </c>
      <c r="D636" s="27" t="s">
        <v>24</v>
      </c>
      <c r="E636" s="28">
        <v>60300</v>
      </c>
      <c r="F636" s="28">
        <v>68000</v>
      </c>
      <c r="G636" s="27" t="s">
        <v>11</v>
      </c>
      <c r="H636" s="27" t="s">
        <v>6096</v>
      </c>
      <c r="I636" s="27" t="s">
        <v>9</v>
      </c>
    </row>
    <row r="637" spans="1:9" x14ac:dyDescent="0.3">
      <c r="A637" s="26">
        <v>44962</v>
      </c>
      <c r="B637" s="27" t="s">
        <v>26</v>
      </c>
      <c r="C637" s="27" t="s">
        <v>6</v>
      </c>
      <c r="D637" s="27" t="s">
        <v>19</v>
      </c>
      <c r="E637" s="28">
        <v>113100</v>
      </c>
      <c r="F637" s="28">
        <v>99300</v>
      </c>
      <c r="G637" s="27" t="s">
        <v>11</v>
      </c>
      <c r="H637" s="27" t="s">
        <v>6100</v>
      </c>
      <c r="I637" s="27" t="s">
        <v>9</v>
      </c>
    </row>
    <row r="638" spans="1:9" x14ac:dyDescent="0.3">
      <c r="A638" s="26">
        <v>44962</v>
      </c>
      <c r="B638" s="27" t="s">
        <v>26</v>
      </c>
      <c r="C638" s="27" t="s">
        <v>6</v>
      </c>
      <c r="D638" s="27" t="s">
        <v>24</v>
      </c>
      <c r="E638" s="28">
        <v>169400</v>
      </c>
      <c r="F638" s="28">
        <v>171300</v>
      </c>
      <c r="G638" s="27" t="s">
        <v>11</v>
      </c>
      <c r="H638" s="27" t="s">
        <v>6401</v>
      </c>
      <c r="I638" s="27" t="s">
        <v>9</v>
      </c>
    </row>
    <row r="639" spans="1:9" x14ac:dyDescent="0.3">
      <c r="A639" s="26">
        <v>44962</v>
      </c>
      <c r="B639" s="27" t="s">
        <v>26</v>
      </c>
      <c r="C639" s="27" t="s">
        <v>93</v>
      </c>
      <c r="D639" s="27" t="s">
        <v>7</v>
      </c>
      <c r="E639" s="28">
        <v>57600</v>
      </c>
      <c r="F639" s="28">
        <v>52600</v>
      </c>
      <c r="G639" s="27" t="s">
        <v>11</v>
      </c>
      <c r="H639" s="27" t="s">
        <v>6640</v>
      </c>
      <c r="I639" s="27" t="s">
        <v>9</v>
      </c>
    </row>
    <row r="640" spans="1:9" x14ac:dyDescent="0.3">
      <c r="A640" s="26">
        <v>44963</v>
      </c>
      <c r="B640" s="27" t="s">
        <v>26</v>
      </c>
      <c r="C640" s="27" t="s">
        <v>20</v>
      </c>
      <c r="D640" s="27" t="s">
        <v>24</v>
      </c>
      <c r="E640" s="28">
        <v>136878</v>
      </c>
      <c r="F640" s="28">
        <v>35045</v>
      </c>
      <c r="G640" s="27" t="s">
        <v>17</v>
      </c>
      <c r="H640" s="27" t="s">
        <v>28</v>
      </c>
      <c r="I640" s="27" t="s">
        <v>13</v>
      </c>
    </row>
    <row r="641" spans="1:9" x14ac:dyDescent="0.3">
      <c r="A641" s="26">
        <v>44963</v>
      </c>
      <c r="B641" s="27" t="s">
        <v>26</v>
      </c>
      <c r="C641" s="27" t="s">
        <v>14</v>
      </c>
      <c r="D641" s="27" t="s">
        <v>21</v>
      </c>
      <c r="E641" s="28">
        <v>137791</v>
      </c>
      <c r="F641" s="28">
        <v>147565</v>
      </c>
      <c r="G641" s="27" t="s">
        <v>22</v>
      </c>
      <c r="H641" s="27" t="s">
        <v>95</v>
      </c>
      <c r="I641" s="27" t="s">
        <v>13</v>
      </c>
    </row>
    <row r="642" spans="1:9" x14ac:dyDescent="0.3">
      <c r="A642" s="26">
        <v>44963</v>
      </c>
      <c r="B642" s="27" t="s">
        <v>26</v>
      </c>
      <c r="C642" s="27" t="s">
        <v>32</v>
      </c>
      <c r="D642" s="27" t="s">
        <v>16</v>
      </c>
      <c r="E642" s="28">
        <v>138291</v>
      </c>
      <c r="F642" s="28">
        <v>148276</v>
      </c>
      <c r="G642" s="27" t="s">
        <v>17</v>
      </c>
      <c r="H642" s="27" t="s">
        <v>281</v>
      </c>
      <c r="I642" s="27" t="s">
        <v>13</v>
      </c>
    </row>
    <row r="643" spans="1:9" x14ac:dyDescent="0.3">
      <c r="A643" s="26">
        <v>44963</v>
      </c>
      <c r="B643" s="27" t="s">
        <v>26</v>
      </c>
      <c r="C643" s="27" t="s">
        <v>15</v>
      </c>
      <c r="D643" s="27" t="s">
        <v>19</v>
      </c>
      <c r="E643" s="28">
        <v>127739</v>
      </c>
      <c r="F643" s="28">
        <v>47056</v>
      </c>
      <c r="G643" s="27" t="s">
        <v>11</v>
      </c>
      <c r="H643" s="27" t="s">
        <v>755</v>
      </c>
      <c r="I643" s="27" t="s">
        <v>13</v>
      </c>
    </row>
    <row r="644" spans="1:9" x14ac:dyDescent="0.3">
      <c r="A644" s="26">
        <v>44963</v>
      </c>
      <c r="B644" s="27" t="s">
        <v>26</v>
      </c>
      <c r="C644" s="27" t="s">
        <v>32</v>
      </c>
      <c r="D644" s="27" t="s">
        <v>7</v>
      </c>
      <c r="E644" s="28">
        <v>125192</v>
      </c>
      <c r="F644" s="28">
        <v>53701</v>
      </c>
      <c r="G644" s="27" t="s">
        <v>11</v>
      </c>
      <c r="H644" s="27" t="s">
        <v>1121</v>
      </c>
      <c r="I644" s="27" t="s">
        <v>13</v>
      </c>
    </row>
    <row r="645" spans="1:9" x14ac:dyDescent="0.3">
      <c r="A645" s="26">
        <v>44963</v>
      </c>
      <c r="B645" s="27" t="s">
        <v>26</v>
      </c>
      <c r="C645" s="27" t="s">
        <v>18</v>
      </c>
      <c r="D645" s="27" t="s">
        <v>19</v>
      </c>
      <c r="E645" s="28">
        <v>13884</v>
      </c>
      <c r="F645" s="28">
        <v>146277</v>
      </c>
      <c r="G645" s="27" t="s">
        <v>17</v>
      </c>
      <c r="H645" s="27" t="s">
        <v>2250</v>
      </c>
      <c r="I645" s="27" t="s">
        <v>13</v>
      </c>
    </row>
    <row r="646" spans="1:9" x14ac:dyDescent="0.3">
      <c r="A646" s="26">
        <v>44963</v>
      </c>
      <c r="B646" s="27" t="s">
        <v>26</v>
      </c>
      <c r="C646" s="27" t="s">
        <v>6</v>
      </c>
      <c r="D646" s="27" t="s">
        <v>24</v>
      </c>
      <c r="E646" s="28">
        <v>82700</v>
      </c>
      <c r="F646" s="28">
        <v>75700</v>
      </c>
      <c r="G646" s="27" t="s">
        <v>17</v>
      </c>
      <c r="H646" s="27" t="s">
        <v>3477</v>
      </c>
      <c r="I646" s="27" t="s">
        <v>9</v>
      </c>
    </row>
    <row r="647" spans="1:9" x14ac:dyDescent="0.3">
      <c r="A647" s="26">
        <v>44963</v>
      </c>
      <c r="B647" s="27" t="s">
        <v>26</v>
      </c>
      <c r="C647" s="27" t="s">
        <v>6</v>
      </c>
      <c r="D647" s="27" t="s">
        <v>21</v>
      </c>
      <c r="E647" s="28">
        <v>85000</v>
      </c>
      <c r="F647" s="28">
        <v>71900</v>
      </c>
      <c r="G647" s="27" t="s">
        <v>11</v>
      </c>
      <c r="H647" s="27" t="s">
        <v>3495</v>
      </c>
      <c r="I647" s="27" t="s">
        <v>9</v>
      </c>
    </row>
    <row r="648" spans="1:9" x14ac:dyDescent="0.3">
      <c r="A648" s="26">
        <v>44963</v>
      </c>
      <c r="B648" s="27" t="s">
        <v>26</v>
      </c>
      <c r="C648" s="27" t="s">
        <v>93</v>
      </c>
      <c r="D648" s="27" t="s">
        <v>16</v>
      </c>
      <c r="E648" s="28">
        <v>125400</v>
      </c>
      <c r="F648" s="28">
        <v>133000</v>
      </c>
      <c r="G648" s="27" t="s">
        <v>22</v>
      </c>
      <c r="H648" s="27" t="s">
        <v>3662</v>
      </c>
      <c r="I648" s="27" t="s">
        <v>9</v>
      </c>
    </row>
    <row r="649" spans="1:9" x14ac:dyDescent="0.3">
      <c r="A649" s="26">
        <v>44963</v>
      </c>
      <c r="B649" s="27" t="s">
        <v>26</v>
      </c>
      <c r="C649" s="27" t="s">
        <v>6</v>
      </c>
      <c r="D649" s="27" t="s">
        <v>19</v>
      </c>
      <c r="E649" s="28">
        <v>95600</v>
      </c>
      <c r="F649" s="28">
        <v>122200</v>
      </c>
      <c r="G649" s="27" t="s">
        <v>17</v>
      </c>
      <c r="H649" s="27" t="s">
        <v>4136</v>
      </c>
      <c r="I649" s="27" t="s">
        <v>9</v>
      </c>
    </row>
    <row r="650" spans="1:9" x14ac:dyDescent="0.3">
      <c r="A650" s="26">
        <v>44963</v>
      </c>
      <c r="B650" s="27" t="s">
        <v>26</v>
      </c>
      <c r="C650" s="27" t="s">
        <v>93</v>
      </c>
      <c r="D650" s="27" t="s">
        <v>7</v>
      </c>
      <c r="E650" s="28">
        <v>89200</v>
      </c>
      <c r="F650" s="28">
        <v>91400</v>
      </c>
      <c r="G650" s="27" t="s">
        <v>11</v>
      </c>
      <c r="H650" s="27" t="s">
        <v>4504</v>
      </c>
      <c r="I650" s="27" t="s">
        <v>9</v>
      </c>
    </row>
    <row r="651" spans="1:9" x14ac:dyDescent="0.3">
      <c r="A651" s="26">
        <v>44963</v>
      </c>
      <c r="B651" s="27" t="s">
        <v>26</v>
      </c>
      <c r="C651" s="27" t="s">
        <v>6</v>
      </c>
      <c r="D651" s="27" t="s">
        <v>19</v>
      </c>
      <c r="E651" s="28">
        <v>185100</v>
      </c>
      <c r="F651" s="28">
        <v>167200</v>
      </c>
      <c r="G651" s="27" t="s">
        <v>17</v>
      </c>
      <c r="H651" s="27" t="s">
        <v>5635</v>
      </c>
      <c r="I651" s="27" t="s">
        <v>9</v>
      </c>
    </row>
    <row r="652" spans="1:9" x14ac:dyDescent="0.3">
      <c r="A652" s="26">
        <v>44964</v>
      </c>
      <c r="B652" s="27" t="s">
        <v>26</v>
      </c>
      <c r="C652" s="27" t="s">
        <v>14</v>
      </c>
      <c r="D652" s="27" t="s">
        <v>19</v>
      </c>
      <c r="E652" s="28">
        <v>44940</v>
      </c>
      <c r="F652" s="28">
        <v>159611</v>
      </c>
      <c r="G652" s="27" t="s">
        <v>11</v>
      </c>
      <c r="H652" s="27" t="s">
        <v>729</v>
      </c>
      <c r="I652" s="27" t="s">
        <v>13</v>
      </c>
    </row>
    <row r="653" spans="1:9" x14ac:dyDescent="0.3">
      <c r="A653" s="26">
        <v>44964</v>
      </c>
      <c r="B653" s="27" t="s">
        <v>26</v>
      </c>
      <c r="C653" s="27" t="s">
        <v>20</v>
      </c>
      <c r="D653" s="27" t="s">
        <v>19</v>
      </c>
      <c r="E653" s="28">
        <v>111190</v>
      </c>
      <c r="F653" s="28">
        <v>33927</v>
      </c>
      <c r="G653" s="27" t="s">
        <v>22</v>
      </c>
      <c r="H653" s="27" t="s">
        <v>1573</v>
      </c>
      <c r="I653" s="27" t="s">
        <v>13</v>
      </c>
    </row>
    <row r="654" spans="1:9" x14ac:dyDescent="0.3">
      <c r="A654" s="26">
        <v>44964</v>
      </c>
      <c r="B654" s="27" t="s">
        <v>26</v>
      </c>
      <c r="C654" s="27" t="s">
        <v>32</v>
      </c>
      <c r="D654" s="27" t="s">
        <v>21</v>
      </c>
      <c r="E654" s="28">
        <v>107473</v>
      </c>
      <c r="F654" s="28">
        <v>111860</v>
      </c>
      <c r="G654" s="27" t="s">
        <v>22</v>
      </c>
      <c r="H654" s="27" t="s">
        <v>1697</v>
      </c>
      <c r="I654" s="27" t="s">
        <v>13</v>
      </c>
    </row>
    <row r="655" spans="1:9" x14ac:dyDescent="0.3">
      <c r="A655" s="26">
        <v>44964</v>
      </c>
      <c r="B655" s="27" t="s">
        <v>26</v>
      </c>
      <c r="C655" s="27" t="s">
        <v>18</v>
      </c>
      <c r="D655" s="27" t="s">
        <v>16</v>
      </c>
      <c r="E655" s="28">
        <v>37968</v>
      </c>
      <c r="F655" s="28">
        <v>37676</v>
      </c>
      <c r="G655" s="27" t="s">
        <v>17</v>
      </c>
      <c r="H655" s="27" t="s">
        <v>1926</v>
      </c>
      <c r="I655" s="27" t="s">
        <v>13</v>
      </c>
    </row>
    <row r="656" spans="1:9" x14ac:dyDescent="0.3">
      <c r="A656" s="26">
        <v>44964</v>
      </c>
      <c r="B656" s="27" t="s">
        <v>26</v>
      </c>
      <c r="C656" s="27" t="s">
        <v>18</v>
      </c>
      <c r="D656" s="27" t="s">
        <v>24</v>
      </c>
      <c r="E656" s="28">
        <v>51860</v>
      </c>
      <c r="F656" s="28">
        <v>80934</v>
      </c>
      <c r="G656" s="27" t="s">
        <v>11</v>
      </c>
      <c r="H656" s="27" t="s">
        <v>2135</v>
      </c>
      <c r="I656" s="27" t="s">
        <v>13</v>
      </c>
    </row>
    <row r="657" spans="1:9" x14ac:dyDescent="0.3">
      <c r="A657" s="26">
        <v>44964</v>
      </c>
      <c r="B657" s="27" t="s">
        <v>26</v>
      </c>
      <c r="C657" s="27" t="s">
        <v>20</v>
      </c>
      <c r="D657" s="27" t="s">
        <v>21</v>
      </c>
      <c r="E657" s="28">
        <v>21036</v>
      </c>
      <c r="F657" s="28">
        <v>91165</v>
      </c>
      <c r="G657" s="27" t="s">
        <v>11</v>
      </c>
      <c r="H657" s="27" t="s">
        <v>2252</v>
      </c>
      <c r="I657" s="27" t="s">
        <v>13</v>
      </c>
    </row>
    <row r="658" spans="1:9" x14ac:dyDescent="0.3">
      <c r="A658" s="26">
        <v>44964</v>
      </c>
      <c r="B658" s="27" t="s">
        <v>26</v>
      </c>
      <c r="C658" s="27" t="s">
        <v>10</v>
      </c>
      <c r="D658" s="27" t="s">
        <v>19</v>
      </c>
      <c r="E658" s="28">
        <v>57764</v>
      </c>
      <c r="F658" s="28">
        <v>155253</v>
      </c>
      <c r="G658" s="27" t="s">
        <v>8</v>
      </c>
      <c r="H658" s="27" t="s">
        <v>2545</v>
      </c>
      <c r="I658" s="27" t="s">
        <v>13</v>
      </c>
    </row>
    <row r="659" spans="1:9" x14ac:dyDescent="0.3">
      <c r="A659" s="26">
        <v>44964</v>
      </c>
      <c r="B659" s="27" t="s">
        <v>26</v>
      </c>
      <c r="C659" s="27" t="s">
        <v>20</v>
      </c>
      <c r="D659" s="27" t="s">
        <v>24</v>
      </c>
      <c r="E659" s="28">
        <v>49842</v>
      </c>
      <c r="F659" s="28">
        <v>163464</v>
      </c>
      <c r="G659" s="27" t="s">
        <v>8</v>
      </c>
      <c r="H659" s="27" t="s">
        <v>2807</v>
      </c>
      <c r="I659" s="27" t="s">
        <v>13</v>
      </c>
    </row>
    <row r="660" spans="1:9" x14ac:dyDescent="0.3">
      <c r="A660" s="26">
        <v>44964</v>
      </c>
      <c r="B660" s="27" t="s">
        <v>26</v>
      </c>
      <c r="C660" s="27" t="s">
        <v>15</v>
      </c>
      <c r="D660" s="27" t="s">
        <v>7</v>
      </c>
      <c r="E660" s="28">
        <v>112205</v>
      </c>
      <c r="F660" s="28">
        <v>42024</v>
      </c>
      <c r="G660" s="27" t="s">
        <v>11</v>
      </c>
      <c r="H660" s="27" t="s">
        <v>3080</v>
      </c>
      <c r="I660" s="27" t="s">
        <v>13</v>
      </c>
    </row>
    <row r="661" spans="1:9" x14ac:dyDescent="0.3">
      <c r="A661" s="26">
        <v>44964</v>
      </c>
      <c r="B661" s="27" t="s">
        <v>26</v>
      </c>
      <c r="C661" s="27" t="s">
        <v>6</v>
      </c>
      <c r="D661" s="27" t="s">
        <v>19</v>
      </c>
      <c r="E661" s="28">
        <v>186600</v>
      </c>
      <c r="F661" s="28">
        <v>179600</v>
      </c>
      <c r="G661" s="27" t="s">
        <v>17</v>
      </c>
      <c r="H661" s="27" t="s">
        <v>4110</v>
      </c>
      <c r="I661" s="27" t="s">
        <v>9</v>
      </c>
    </row>
    <row r="662" spans="1:9" x14ac:dyDescent="0.3">
      <c r="A662" s="26">
        <v>44964</v>
      </c>
      <c r="B662" s="27" t="s">
        <v>26</v>
      </c>
      <c r="C662" s="27" t="s">
        <v>93</v>
      </c>
      <c r="D662" s="27" t="s">
        <v>19</v>
      </c>
      <c r="E662" s="28">
        <v>60700</v>
      </c>
      <c r="F662" s="28">
        <v>64700</v>
      </c>
      <c r="G662" s="27" t="s">
        <v>11</v>
      </c>
      <c r="H662" s="27" t="s">
        <v>4956</v>
      </c>
      <c r="I662" s="27" t="s">
        <v>9</v>
      </c>
    </row>
    <row r="663" spans="1:9" x14ac:dyDescent="0.3">
      <c r="A663" s="26">
        <v>44964</v>
      </c>
      <c r="B663" s="27" t="s">
        <v>26</v>
      </c>
      <c r="C663" s="27" t="s">
        <v>6</v>
      </c>
      <c r="D663" s="27" t="s">
        <v>21</v>
      </c>
      <c r="E663" s="28">
        <v>124400</v>
      </c>
      <c r="F663" s="28">
        <v>92100</v>
      </c>
      <c r="G663" s="27" t="s">
        <v>11</v>
      </c>
      <c r="H663" s="27" t="s">
        <v>5080</v>
      </c>
      <c r="I663" s="27" t="s">
        <v>9</v>
      </c>
    </row>
    <row r="664" spans="1:9" x14ac:dyDescent="0.3">
      <c r="A664" s="26">
        <v>44964</v>
      </c>
      <c r="B664" s="27" t="s">
        <v>26</v>
      </c>
      <c r="C664" s="27" t="s">
        <v>6</v>
      </c>
      <c r="D664" s="27" t="s">
        <v>16</v>
      </c>
      <c r="E664" s="28">
        <v>116400</v>
      </c>
      <c r="F664" s="28">
        <v>115000</v>
      </c>
      <c r="G664" s="27" t="s">
        <v>22</v>
      </c>
      <c r="H664" s="27" t="s">
        <v>5310</v>
      </c>
      <c r="I664" s="27" t="s">
        <v>9</v>
      </c>
    </row>
    <row r="665" spans="1:9" x14ac:dyDescent="0.3">
      <c r="A665" s="26">
        <v>44964</v>
      </c>
      <c r="B665" s="27" t="s">
        <v>26</v>
      </c>
      <c r="C665" s="27" t="s">
        <v>6</v>
      </c>
      <c r="D665" s="27" t="s">
        <v>24</v>
      </c>
      <c r="E665" s="28">
        <v>98300</v>
      </c>
      <c r="F665" s="28">
        <v>123900</v>
      </c>
      <c r="G665" s="27" t="s">
        <v>11</v>
      </c>
      <c r="H665" s="27" t="s">
        <v>5519</v>
      </c>
      <c r="I665" s="27" t="s">
        <v>9</v>
      </c>
    </row>
    <row r="666" spans="1:9" x14ac:dyDescent="0.3">
      <c r="A666" s="26">
        <v>44964</v>
      </c>
      <c r="B666" s="27" t="s">
        <v>26</v>
      </c>
      <c r="C666" s="27" t="s">
        <v>6</v>
      </c>
      <c r="D666" s="27" t="s">
        <v>21</v>
      </c>
      <c r="E666" s="28">
        <v>83900</v>
      </c>
      <c r="F666" s="28">
        <v>116900</v>
      </c>
      <c r="G666" s="27" t="s">
        <v>11</v>
      </c>
      <c r="H666" s="27" t="s">
        <v>5637</v>
      </c>
      <c r="I666" s="27" t="s">
        <v>9</v>
      </c>
    </row>
    <row r="667" spans="1:9" x14ac:dyDescent="0.3">
      <c r="A667" s="26">
        <v>44964</v>
      </c>
      <c r="B667" s="27" t="s">
        <v>26</v>
      </c>
      <c r="C667" s="27" t="s">
        <v>6</v>
      </c>
      <c r="D667" s="27" t="s">
        <v>19</v>
      </c>
      <c r="E667" s="28">
        <v>112700</v>
      </c>
      <c r="F667" s="28">
        <v>93900</v>
      </c>
      <c r="G667" s="27" t="s">
        <v>11</v>
      </c>
      <c r="H667" s="27" t="s">
        <v>5930</v>
      </c>
      <c r="I667" s="27" t="s">
        <v>9</v>
      </c>
    </row>
    <row r="668" spans="1:9" x14ac:dyDescent="0.3">
      <c r="A668" s="26">
        <v>44964</v>
      </c>
      <c r="B668" s="27" t="s">
        <v>26</v>
      </c>
      <c r="C668" s="27" t="s">
        <v>6</v>
      </c>
      <c r="D668" s="27" t="s">
        <v>24</v>
      </c>
      <c r="E668" s="28">
        <v>90600</v>
      </c>
      <c r="F668" s="28">
        <v>67400</v>
      </c>
      <c r="G668" s="27" t="s">
        <v>11</v>
      </c>
      <c r="H668" s="27" t="s">
        <v>6192</v>
      </c>
      <c r="I668" s="27" t="s">
        <v>9</v>
      </c>
    </row>
    <row r="669" spans="1:9" x14ac:dyDescent="0.3">
      <c r="A669" s="26">
        <v>44964</v>
      </c>
      <c r="B669" s="27" t="s">
        <v>26</v>
      </c>
      <c r="C669" s="27" t="s">
        <v>6</v>
      </c>
      <c r="D669" s="27" t="s">
        <v>7</v>
      </c>
      <c r="E669" s="28">
        <v>143600</v>
      </c>
      <c r="F669" s="28">
        <v>131100</v>
      </c>
      <c r="G669" s="27" t="s">
        <v>11</v>
      </c>
      <c r="H669" s="27" t="s">
        <v>6465</v>
      </c>
      <c r="I669" s="27" t="s">
        <v>9</v>
      </c>
    </row>
    <row r="670" spans="1:9" x14ac:dyDescent="0.3">
      <c r="A670" s="26">
        <v>44965</v>
      </c>
      <c r="B670" s="27" t="s">
        <v>26</v>
      </c>
      <c r="C670" s="27" t="s">
        <v>10</v>
      </c>
      <c r="D670" s="27" t="s">
        <v>19</v>
      </c>
      <c r="E670" s="28">
        <v>100990</v>
      </c>
      <c r="F670" s="28">
        <v>153639</v>
      </c>
      <c r="G670" s="27" t="s">
        <v>22</v>
      </c>
      <c r="H670" s="27" t="s">
        <v>193</v>
      </c>
      <c r="I670" s="27" t="s">
        <v>13</v>
      </c>
    </row>
    <row r="671" spans="1:9" x14ac:dyDescent="0.3">
      <c r="A671" s="26">
        <v>44965</v>
      </c>
      <c r="B671" s="27" t="s">
        <v>26</v>
      </c>
      <c r="C671" s="27" t="s">
        <v>32</v>
      </c>
      <c r="D671" s="27" t="s">
        <v>19</v>
      </c>
      <c r="E671" s="28">
        <v>86768</v>
      </c>
      <c r="F671" s="28">
        <v>23479</v>
      </c>
      <c r="G671" s="27" t="s">
        <v>11</v>
      </c>
      <c r="H671" s="27" t="s">
        <v>393</v>
      </c>
      <c r="I671" s="27" t="s">
        <v>13</v>
      </c>
    </row>
    <row r="672" spans="1:9" x14ac:dyDescent="0.3">
      <c r="A672" s="26">
        <v>44965</v>
      </c>
      <c r="B672" s="27" t="s">
        <v>26</v>
      </c>
      <c r="C672" s="27" t="s">
        <v>14</v>
      </c>
      <c r="D672" s="27" t="s">
        <v>19</v>
      </c>
      <c r="E672" s="28">
        <v>35847</v>
      </c>
      <c r="F672" s="28">
        <v>102626</v>
      </c>
      <c r="G672" s="27" t="s">
        <v>22</v>
      </c>
      <c r="H672" s="27" t="s">
        <v>1279</v>
      </c>
      <c r="I672" s="27" t="s">
        <v>13</v>
      </c>
    </row>
    <row r="673" spans="1:9" x14ac:dyDescent="0.3">
      <c r="A673" s="26">
        <v>44965</v>
      </c>
      <c r="B673" s="27" t="s">
        <v>26</v>
      </c>
      <c r="C673" s="27" t="s">
        <v>14</v>
      </c>
      <c r="D673" s="27" t="s">
        <v>24</v>
      </c>
      <c r="E673" s="28">
        <v>126953</v>
      </c>
      <c r="F673" s="28">
        <v>168845</v>
      </c>
      <c r="G673" s="27" t="s">
        <v>22</v>
      </c>
      <c r="H673" s="27" t="s">
        <v>2245</v>
      </c>
      <c r="I673" s="27" t="s">
        <v>13</v>
      </c>
    </row>
    <row r="674" spans="1:9" x14ac:dyDescent="0.3">
      <c r="A674" s="26">
        <v>44965</v>
      </c>
      <c r="B674" s="27" t="s">
        <v>26</v>
      </c>
      <c r="C674" s="27" t="s">
        <v>10</v>
      </c>
      <c r="D674" s="27" t="s">
        <v>21</v>
      </c>
      <c r="E674" s="28">
        <v>68474</v>
      </c>
      <c r="F674" s="28">
        <v>68693</v>
      </c>
      <c r="G674" s="27" t="s">
        <v>22</v>
      </c>
      <c r="H674" s="27" t="s">
        <v>2455</v>
      </c>
      <c r="I674" s="27" t="s">
        <v>13</v>
      </c>
    </row>
    <row r="675" spans="1:9" x14ac:dyDescent="0.3">
      <c r="A675" s="26">
        <v>44965</v>
      </c>
      <c r="B675" s="27" t="s">
        <v>26</v>
      </c>
      <c r="C675" s="27" t="s">
        <v>18</v>
      </c>
      <c r="D675" s="27" t="s">
        <v>19</v>
      </c>
      <c r="E675" s="28">
        <v>65460</v>
      </c>
      <c r="F675" s="28">
        <v>152949</v>
      </c>
      <c r="G675" s="27" t="s">
        <v>11</v>
      </c>
      <c r="H675" s="27" t="s">
        <v>2496</v>
      </c>
      <c r="I675" s="27" t="s">
        <v>13</v>
      </c>
    </row>
    <row r="676" spans="1:9" x14ac:dyDescent="0.3">
      <c r="A676" s="26">
        <v>44965</v>
      </c>
      <c r="B676" s="27" t="s">
        <v>26</v>
      </c>
      <c r="C676" s="27" t="s">
        <v>20</v>
      </c>
      <c r="D676" s="27" t="s">
        <v>16</v>
      </c>
      <c r="E676" s="28">
        <v>64137</v>
      </c>
      <c r="F676" s="28">
        <v>24778</v>
      </c>
      <c r="G676" s="27" t="s">
        <v>8</v>
      </c>
      <c r="H676" s="27" t="s">
        <v>2815</v>
      </c>
      <c r="I676" s="27" t="s">
        <v>13</v>
      </c>
    </row>
    <row r="677" spans="1:9" x14ac:dyDescent="0.3">
      <c r="A677" s="26">
        <v>44965</v>
      </c>
      <c r="B677" s="27" t="s">
        <v>26</v>
      </c>
      <c r="C677" s="27" t="s">
        <v>15</v>
      </c>
      <c r="D677" s="27" t="s">
        <v>7</v>
      </c>
      <c r="E677" s="28">
        <v>108718</v>
      </c>
      <c r="F677" s="28">
        <v>121717</v>
      </c>
      <c r="G677" s="27" t="s">
        <v>17</v>
      </c>
      <c r="H677" s="27" t="s">
        <v>2855</v>
      </c>
      <c r="I677" s="27" t="s">
        <v>13</v>
      </c>
    </row>
    <row r="678" spans="1:9" x14ac:dyDescent="0.3">
      <c r="A678" s="26">
        <v>44965</v>
      </c>
      <c r="B678" s="27" t="s">
        <v>26</v>
      </c>
      <c r="C678" s="27" t="s">
        <v>14</v>
      </c>
      <c r="D678" s="27" t="s">
        <v>16</v>
      </c>
      <c r="E678" s="28">
        <v>27393</v>
      </c>
      <c r="F678" s="28">
        <v>138279</v>
      </c>
      <c r="G678" s="27" t="s">
        <v>11</v>
      </c>
      <c r="H678" s="27" t="s">
        <v>3360</v>
      </c>
      <c r="I678" s="27" t="s">
        <v>13</v>
      </c>
    </row>
    <row r="679" spans="1:9" x14ac:dyDescent="0.3">
      <c r="A679" s="26">
        <v>44965</v>
      </c>
      <c r="B679" s="27" t="s">
        <v>26</v>
      </c>
      <c r="C679" s="27" t="s">
        <v>6</v>
      </c>
      <c r="D679" s="27" t="s">
        <v>19</v>
      </c>
      <c r="E679" s="28">
        <v>214100</v>
      </c>
      <c r="F679" s="28">
        <v>218800</v>
      </c>
      <c r="G679" s="27" t="s">
        <v>22</v>
      </c>
      <c r="H679" s="27" t="s">
        <v>3574</v>
      </c>
      <c r="I679" s="27" t="s">
        <v>9</v>
      </c>
    </row>
    <row r="680" spans="1:9" x14ac:dyDescent="0.3">
      <c r="A680" s="26">
        <v>44965</v>
      </c>
      <c r="B680" s="27" t="s">
        <v>26</v>
      </c>
      <c r="C680" s="27" t="s">
        <v>93</v>
      </c>
      <c r="D680" s="27" t="s">
        <v>19</v>
      </c>
      <c r="E680" s="28">
        <v>133800</v>
      </c>
      <c r="F680" s="28">
        <v>150100</v>
      </c>
      <c r="G680" s="27" t="s">
        <v>22</v>
      </c>
      <c r="H680" s="27" t="s">
        <v>3774</v>
      </c>
      <c r="I680" s="27" t="s">
        <v>9</v>
      </c>
    </row>
    <row r="681" spans="1:9" x14ac:dyDescent="0.3">
      <c r="A681" s="26">
        <v>44965</v>
      </c>
      <c r="B681" s="27" t="s">
        <v>26</v>
      </c>
      <c r="C681" s="27" t="s">
        <v>93</v>
      </c>
      <c r="D681" s="27" t="s">
        <v>19</v>
      </c>
      <c r="E681" s="28">
        <v>280400</v>
      </c>
      <c r="F681" s="28">
        <v>257600</v>
      </c>
      <c r="G681" s="27" t="s">
        <v>11</v>
      </c>
      <c r="H681" s="27" t="s">
        <v>4662</v>
      </c>
      <c r="I681" s="27" t="s">
        <v>9</v>
      </c>
    </row>
    <row r="682" spans="1:9" x14ac:dyDescent="0.3">
      <c r="A682" s="26">
        <v>44965</v>
      </c>
      <c r="B682" s="27" t="s">
        <v>26</v>
      </c>
      <c r="C682" s="27" t="s">
        <v>6</v>
      </c>
      <c r="D682" s="27" t="s">
        <v>24</v>
      </c>
      <c r="E682" s="28">
        <v>99300</v>
      </c>
      <c r="F682" s="28">
        <v>86500</v>
      </c>
      <c r="G682" s="27" t="s">
        <v>11</v>
      </c>
      <c r="H682" s="27" t="s">
        <v>5630</v>
      </c>
      <c r="I682" s="27" t="s">
        <v>9</v>
      </c>
    </row>
    <row r="683" spans="1:9" x14ac:dyDescent="0.3">
      <c r="A683" s="26">
        <v>44965</v>
      </c>
      <c r="B683" s="27" t="s">
        <v>26</v>
      </c>
      <c r="C683" s="27" t="s">
        <v>93</v>
      </c>
      <c r="D683" s="27" t="s">
        <v>21</v>
      </c>
      <c r="E683" s="28">
        <v>56700</v>
      </c>
      <c r="F683" s="28">
        <v>54700</v>
      </c>
      <c r="G683" s="27" t="s">
        <v>17</v>
      </c>
      <c r="H683" s="27" t="s">
        <v>5840</v>
      </c>
      <c r="I683" s="27" t="s">
        <v>9</v>
      </c>
    </row>
    <row r="684" spans="1:9" x14ac:dyDescent="0.3">
      <c r="A684" s="26">
        <v>44965</v>
      </c>
      <c r="B684" s="27" t="s">
        <v>26</v>
      </c>
      <c r="C684" s="27" t="s">
        <v>6</v>
      </c>
      <c r="D684" s="27" t="s">
        <v>19</v>
      </c>
      <c r="E684" s="28">
        <v>66700</v>
      </c>
      <c r="F684" s="28">
        <v>63000</v>
      </c>
      <c r="G684" s="27" t="s">
        <v>11</v>
      </c>
      <c r="H684" s="27" t="s">
        <v>5881</v>
      </c>
      <c r="I684" s="27" t="s">
        <v>9</v>
      </c>
    </row>
    <row r="685" spans="1:9" x14ac:dyDescent="0.3">
      <c r="A685" s="26">
        <v>44965</v>
      </c>
      <c r="B685" s="27" t="s">
        <v>26</v>
      </c>
      <c r="C685" s="27" t="s">
        <v>93</v>
      </c>
      <c r="D685" s="27" t="s">
        <v>16</v>
      </c>
      <c r="E685" s="28">
        <v>196800</v>
      </c>
      <c r="F685" s="28">
        <v>167800</v>
      </c>
      <c r="G685" s="27" t="s">
        <v>11</v>
      </c>
      <c r="H685" s="27" t="s">
        <v>6200</v>
      </c>
      <c r="I685" s="27" t="s">
        <v>9</v>
      </c>
    </row>
    <row r="686" spans="1:9" x14ac:dyDescent="0.3">
      <c r="A686" s="26">
        <v>44965</v>
      </c>
      <c r="B686" s="27" t="s">
        <v>26</v>
      </c>
      <c r="C686" s="27" t="s">
        <v>6</v>
      </c>
      <c r="D686" s="27" t="s">
        <v>7</v>
      </c>
      <c r="E686" s="28">
        <v>60500</v>
      </c>
      <c r="F686" s="28">
        <v>48500</v>
      </c>
      <c r="G686" s="27" t="s">
        <v>11</v>
      </c>
      <c r="H686" s="27" t="s">
        <v>6240</v>
      </c>
      <c r="I686" s="27" t="s">
        <v>9</v>
      </c>
    </row>
    <row r="687" spans="1:9" x14ac:dyDescent="0.3">
      <c r="A687" s="26">
        <v>44965</v>
      </c>
      <c r="B687" s="27" t="s">
        <v>26</v>
      </c>
      <c r="C687" s="27" t="s">
        <v>6</v>
      </c>
      <c r="D687" s="27" t="s">
        <v>16</v>
      </c>
      <c r="E687" s="28">
        <v>137900</v>
      </c>
      <c r="F687" s="28">
        <v>189200</v>
      </c>
      <c r="G687" s="27" t="s">
        <v>22</v>
      </c>
      <c r="H687" s="27" t="s">
        <v>6745</v>
      </c>
      <c r="I687" s="27" t="s">
        <v>9</v>
      </c>
    </row>
    <row r="688" spans="1:9" x14ac:dyDescent="0.3">
      <c r="A688" s="26">
        <v>44966</v>
      </c>
      <c r="B688" s="27" t="s">
        <v>26</v>
      </c>
      <c r="C688" s="27" t="s">
        <v>15</v>
      </c>
      <c r="D688" s="27" t="s">
        <v>16</v>
      </c>
      <c r="E688" s="28">
        <v>95737</v>
      </c>
      <c r="F688" s="28">
        <v>58734</v>
      </c>
      <c r="G688" s="27" t="s">
        <v>17</v>
      </c>
      <c r="H688" s="27" t="s">
        <v>29</v>
      </c>
      <c r="I688" s="27" t="s">
        <v>13</v>
      </c>
    </row>
    <row r="689" spans="1:9" x14ac:dyDescent="0.3">
      <c r="A689" s="26">
        <v>44966</v>
      </c>
      <c r="B689" s="27" t="s">
        <v>26</v>
      </c>
      <c r="C689" s="27" t="s">
        <v>14</v>
      </c>
      <c r="D689" s="27" t="s">
        <v>21</v>
      </c>
      <c r="E689" s="28">
        <v>84227</v>
      </c>
      <c r="F689" s="28">
        <v>159925</v>
      </c>
      <c r="G689" s="27" t="s">
        <v>8</v>
      </c>
      <c r="H689" s="27" t="s">
        <v>675</v>
      </c>
      <c r="I689" s="27" t="s">
        <v>13</v>
      </c>
    </row>
    <row r="690" spans="1:9" x14ac:dyDescent="0.3">
      <c r="A690" s="26">
        <v>44966</v>
      </c>
      <c r="B690" s="27" t="s">
        <v>26</v>
      </c>
      <c r="C690" s="27" t="s">
        <v>10</v>
      </c>
      <c r="D690" s="27" t="s">
        <v>19</v>
      </c>
      <c r="E690" s="28">
        <v>56666</v>
      </c>
      <c r="F690" s="28">
        <v>120362</v>
      </c>
      <c r="G690" s="27" t="s">
        <v>11</v>
      </c>
      <c r="H690" s="27" t="s">
        <v>685</v>
      </c>
      <c r="I690" s="27" t="s">
        <v>13</v>
      </c>
    </row>
    <row r="691" spans="1:9" x14ac:dyDescent="0.3">
      <c r="A691" s="26">
        <v>44966</v>
      </c>
      <c r="B691" s="27" t="s">
        <v>26</v>
      </c>
      <c r="C691" s="27" t="s">
        <v>14</v>
      </c>
      <c r="D691" s="27" t="s">
        <v>21</v>
      </c>
      <c r="E691" s="28">
        <v>77081</v>
      </c>
      <c r="F691" s="28">
        <v>62887</v>
      </c>
      <c r="G691" s="27" t="s">
        <v>22</v>
      </c>
      <c r="H691" s="27" t="s">
        <v>696</v>
      </c>
      <c r="I691" s="27" t="s">
        <v>13</v>
      </c>
    </row>
    <row r="692" spans="1:9" x14ac:dyDescent="0.3">
      <c r="A692" s="26">
        <v>44966</v>
      </c>
      <c r="B692" s="27" t="s">
        <v>26</v>
      </c>
      <c r="C692" s="27" t="s">
        <v>10</v>
      </c>
      <c r="D692" s="27" t="s">
        <v>19</v>
      </c>
      <c r="E692" s="28">
        <v>20318</v>
      </c>
      <c r="F692" s="28">
        <v>164420</v>
      </c>
      <c r="G692" s="27" t="s">
        <v>8</v>
      </c>
      <c r="H692" s="27" t="s">
        <v>756</v>
      </c>
      <c r="I692" s="27" t="s">
        <v>13</v>
      </c>
    </row>
    <row r="693" spans="1:9" x14ac:dyDescent="0.3">
      <c r="A693" s="26">
        <v>44966</v>
      </c>
      <c r="B693" s="27" t="s">
        <v>26</v>
      </c>
      <c r="C693" s="27" t="s">
        <v>18</v>
      </c>
      <c r="D693" s="27" t="s">
        <v>16</v>
      </c>
      <c r="E693" s="28">
        <v>53042</v>
      </c>
      <c r="F693" s="28">
        <v>161407</v>
      </c>
      <c r="G693" s="27" t="s">
        <v>17</v>
      </c>
      <c r="H693" s="27" t="s">
        <v>769</v>
      </c>
      <c r="I693" s="27" t="s">
        <v>13</v>
      </c>
    </row>
    <row r="694" spans="1:9" x14ac:dyDescent="0.3">
      <c r="A694" s="26">
        <v>44966</v>
      </c>
      <c r="B694" s="27" t="s">
        <v>26</v>
      </c>
      <c r="C694" s="27" t="s">
        <v>10</v>
      </c>
      <c r="D694" s="27" t="s">
        <v>19</v>
      </c>
      <c r="E694" s="28">
        <v>48946</v>
      </c>
      <c r="F694" s="28">
        <v>81061</v>
      </c>
      <c r="G694" s="27" t="s">
        <v>22</v>
      </c>
      <c r="H694" s="27" t="s">
        <v>1192</v>
      </c>
      <c r="I694" s="27" t="s">
        <v>13</v>
      </c>
    </row>
    <row r="695" spans="1:9" x14ac:dyDescent="0.3">
      <c r="A695" s="26">
        <v>44966</v>
      </c>
      <c r="B695" s="27" t="s">
        <v>26</v>
      </c>
      <c r="C695" s="27" t="s">
        <v>15</v>
      </c>
      <c r="D695" s="27" t="s">
        <v>24</v>
      </c>
      <c r="E695" s="28">
        <v>49428</v>
      </c>
      <c r="F695" s="28">
        <v>117491</v>
      </c>
      <c r="G695" s="27" t="s">
        <v>17</v>
      </c>
      <c r="H695" s="27" t="s">
        <v>1624</v>
      </c>
      <c r="I695" s="27" t="s">
        <v>13</v>
      </c>
    </row>
    <row r="696" spans="1:9" x14ac:dyDescent="0.3">
      <c r="A696" s="26">
        <v>44966</v>
      </c>
      <c r="B696" s="27" t="s">
        <v>26</v>
      </c>
      <c r="C696" s="27" t="s">
        <v>18</v>
      </c>
      <c r="D696" s="27" t="s">
        <v>19</v>
      </c>
      <c r="E696" s="28">
        <v>92946</v>
      </c>
      <c r="F696" s="28">
        <v>126578</v>
      </c>
      <c r="G696" s="27" t="s">
        <v>17</v>
      </c>
      <c r="H696" s="27" t="s">
        <v>2019</v>
      </c>
      <c r="I696" s="27" t="s">
        <v>13</v>
      </c>
    </row>
    <row r="697" spans="1:9" x14ac:dyDescent="0.3">
      <c r="A697" s="26">
        <v>44966</v>
      </c>
      <c r="B697" s="27" t="s">
        <v>26</v>
      </c>
      <c r="C697" s="27" t="s">
        <v>15</v>
      </c>
      <c r="D697" s="27" t="s">
        <v>7</v>
      </c>
      <c r="E697" s="28">
        <v>11628</v>
      </c>
      <c r="F697" s="28">
        <v>51397</v>
      </c>
      <c r="G697" s="27" t="s">
        <v>17</v>
      </c>
      <c r="H697" s="27" t="s">
        <v>2180</v>
      </c>
      <c r="I697" s="27" t="s">
        <v>13</v>
      </c>
    </row>
    <row r="698" spans="1:9" x14ac:dyDescent="0.3">
      <c r="A698" s="26">
        <v>44966</v>
      </c>
      <c r="B698" s="27" t="s">
        <v>26</v>
      </c>
      <c r="C698" s="27" t="s">
        <v>14</v>
      </c>
      <c r="D698" s="27" t="s">
        <v>24</v>
      </c>
      <c r="E698" s="28">
        <v>138941</v>
      </c>
      <c r="F698" s="28">
        <v>94142</v>
      </c>
      <c r="G698" s="27" t="s">
        <v>22</v>
      </c>
      <c r="H698" s="27" t="s">
        <v>2279</v>
      </c>
      <c r="I698" s="27" t="s">
        <v>13</v>
      </c>
    </row>
    <row r="699" spans="1:9" x14ac:dyDescent="0.3">
      <c r="A699" s="26">
        <v>44966</v>
      </c>
      <c r="B699" s="27" t="s">
        <v>26</v>
      </c>
      <c r="C699" s="27" t="s">
        <v>20</v>
      </c>
      <c r="D699" s="27" t="s">
        <v>21</v>
      </c>
      <c r="E699" s="28">
        <v>21261</v>
      </c>
      <c r="F699" s="28">
        <v>72048</v>
      </c>
      <c r="G699" s="27" t="s">
        <v>11</v>
      </c>
      <c r="H699" s="27" t="s">
        <v>2315</v>
      </c>
      <c r="I699" s="27" t="s">
        <v>13</v>
      </c>
    </row>
    <row r="700" spans="1:9" x14ac:dyDescent="0.3">
      <c r="A700" s="26">
        <v>44966</v>
      </c>
      <c r="B700" s="27" t="s">
        <v>26</v>
      </c>
      <c r="C700" s="27" t="s">
        <v>10</v>
      </c>
      <c r="D700" s="27" t="s">
        <v>7</v>
      </c>
      <c r="E700" s="28">
        <v>87515</v>
      </c>
      <c r="F700" s="28">
        <v>9222</v>
      </c>
      <c r="G700" s="27" t="s">
        <v>8</v>
      </c>
      <c r="H700" s="27" t="s">
        <v>2640</v>
      </c>
      <c r="I700" s="27" t="s">
        <v>13</v>
      </c>
    </row>
    <row r="701" spans="1:9" x14ac:dyDescent="0.3">
      <c r="A701" s="26">
        <v>44966</v>
      </c>
      <c r="B701" s="27" t="s">
        <v>26</v>
      </c>
      <c r="C701" s="27" t="s">
        <v>14</v>
      </c>
      <c r="D701" s="27" t="s">
        <v>16</v>
      </c>
      <c r="E701" s="28">
        <v>43549</v>
      </c>
      <c r="F701" s="28">
        <v>110823</v>
      </c>
      <c r="G701" s="27" t="s">
        <v>8</v>
      </c>
      <c r="H701" s="27" t="s">
        <v>2710</v>
      </c>
      <c r="I701" s="27" t="s">
        <v>13</v>
      </c>
    </row>
    <row r="702" spans="1:9" x14ac:dyDescent="0.3">
      <c r="A702" s="26">
        <v>44966</v>
      </c>
      <c r="B702" s="27" t="s">
        <v>26</v>
      </c>
      <c r="C702" s="27" t="s">
        <v>10</v>
      </c>
      <c r="D702" s="27" t="s">
        <v>16</v>
      </c>
      <c r="E702" s="28">
        <v>46528</v>
      </c>
      <c r="F702" s="28">
        <v>16064</v>
      </c>
      <c r="G702" s="27" t="s">
        <v>8</v>
      </c>
      <c r="H702" s="27" t="s">
        <v>3342</v>
      </c>
      <c r="I702" s="27" t="s">
        <v>13</v>
      </c>
    </row>
    <row r="703" spans="1:9" x14ac:dyDescent="0.3">
      <c r="A703" s="26">
        <v>44966</v>
      </c>
      <c r="B703" s="27" t="s">
        <v>26</v>
      </c>
      <c r="C703" s="27" t="s">
        <v>93</v>
      </c>
      <c r="D703" s="27" t="s">
        <v>16</v>
      </c>
      <c r="E703" s="28">
        <v>73000</v>
      </c>
      <c r="F703" s="28">
        <v>73400</v>
      </c>
      <c r="G703" s="27" t="s">
        <v>11</v>
      </c>
      <c r="H703" s="27" t="s">
        <v>3442</v>
      </c>
      <c r="I703" s="27" t="s">
        <v>9</v>
      </c>
    </row>
    <row r="704" spans="1:9" x14ac:dyDescent="0.3">
      <c r="A704" s="26">
        <v>44966</v>
      </c>
      <c r="B704" s="27" t="s">
        <v>26</v>
      </c>
      <c r="C704" s="27" t="s">
        <v>6</v>
      </c>
      <c r="D704" s="27" t="s">
        <v>21</v>
      </c>
      <c r="E704" s="28">
        <v>120600</v>
      </c>
      <c r="F704" s="28">
        <v>118600</v>
      </c>
      <c r="G704" s="27" t="s">
        <v>11</v>
      </c>
      <c r="H704" s="27" t="s">
        <v>4056</v>
      </c>
      <c r="I704" s="27" t="s">
        <v>9</v>
      </c>
    </row>
    <row r="705" spans="1:9" x14ac:dyDescent="0.3">
      <c r="A705" s="26">
        <v>44966</v>
      </c>
      <c r="B705" s="27" t="s">
        <v>26</v>
      </c>
      <c r="C705" s="27" t="s">
        <v>6</v>
      </c>
      <c r="D705" s="27" t="s">
        <v>19</v>
      </c>
      <c r="E705" s="28">
        <v>188000</v>
      </c>
      <c r="F705" s="28">
        <v>222700</v>
      </c>
      <c r="G705" s="27" t="s">
        <v>11</v>
      </c>
      <c r="H705" s="27" t="s">
        <v>4066</v>
      </c>
      <c r="I705" s="27" t="s">
        <v>9</v>
      </c>
    </row>
    <row r="706" spans="1:9" x14ac:dyDescent="0.3">
      <c r="A706" s="26">
        <v>44966</v>
      </c>
      <c r="B706" s="27" t="s">
        <v>26</v>
      </c>
      <c r="C706" s="27" t="s">
        <v>93</v>
      </c>
      <c r="D706" s="27" t="s">
        <v>21</v>
      </c>
      <c r="E706" s="28">
        <v>66300</v>
      </c>
      <c r="F706" s="28">
        <v>68800</v>
      </c>
      <c r="G706" s="27" t="s">
        <v>11</v>
      </c>
      <c r="H706" s="27" t="s">
        <v>4077</v>
      </c>
      <c r="I706" s="27" t="s">
        <v>9</v>
      </c>
    </row>
    <row r="707" spans="1:9" x14ac:dyDescent="0.3">
      <c r="A707" s="26">
        <v>44966</v>
      </c>
      <c r="B707" s="27" t="s">
        <v>26</v>
      </c>
      <c r="C707" s="27" t="s">
        <v>93</v>
      </c>
      <c r="D707" s="27" t="s">
        <v>19</v>
      </c>
      <c r="E707" s="28">
        <v>131800</v>
      </c>
      <c r="F707" s="28">
        <v>135800</v>
      </c>
      <c r="G707" s="27" t="s">
        <v>17</v>
      </c>
      <c r="H707" s="27" t="s">
        <v>4137</v>
      </c>
      <c r="I707" s="27" t="s">
        <v>9</v>
      </c>
    </row>
    <row r="708" spans="1:9" x14ac:dyDescent="0.3">
      <c r="A708" s="26">
        <v>44966</v>
      </c>
      <c r="B708" s="27" t="s">
        <v>26</v>
      </c>
      <c r="C708" s="27" t="s">
        <v>93</v>
      </c>
      <c r="D708" s="27" t="s">
        <v>16</v>
      </c>
      <c r="E708" s="28">
        <v>102400</v>
      </c>
      <c r="F708" s="28">
        <v>94900</v>
      </c>
      <c r="G708" s="27" t="s">
        <v>11</v>
      </c>
      <c r="H708" s="27" t="s">
        <v>4150</v>
      </c>
      <c r="I708" s="27" t="s">
        <v>9</v>
      </c>
    </row>
    <row r="709" spans="1:9" x14ac:dyDescent="0.3">
      <c r="A709" s="26">
        <v>44966</v>
      </c>
      <c r="B709" s="27" t="s">
        <v>26</v>
      </c>
      <c r="C709" s="27" t="s">
        <v>6</v>
      </c>
      <c r="D709" s="27" t="s">
        <v>19</v>
      </c>
      <c r="E709" s="28">
        <v>40800</v>
      </c>
      <c r="F709" s="28">
        <v>39500</v>
      </c>
      <c r="G709" s="27" t="s">
        <v>22</v>
      </c>
      <c r="H709" s="27" t="s">
        <v>4575</v>
      </c>
      <c r="I709" s="27" t="s">
        <v>9</v>
      </c>
    </row>
    <row r="710" spans="1:9" x14ac:dyDescent="0.3">
      <c r="A710" s="26">
        <v>44966</v>
      </c>
      <c r="B710" s="27" t="s">
        <v>26</v>
      </c>
      <c r="C710" s="27" t="s">
        <v>6</v>
      </c>
      <c r="D710" s="27" t="s">
        <v>24</v>
      </c>
      <c r="E710" s="28">
        <v>86300</v>
      </c>
      <c r="F710" s="28">
        <v>84500</v>
      </c>
      <c r="G710" s="27" t="s">
        <v>17</v>
      </c>
      <c r="H710" s="27" t="s">
        <v>5007</v>
      </c>
      <c r="I710" s="27" t="s">
        <v>9</v>
      </c>
    </row>
    <row r="711" spans="1:9" x14ac:dyDescent="0.3">
      <c r="A711" s="26">
        <v>44966</v>
      </c>
      <c r="B711" s="27" t="s">
        <v>26</v>
      </c>
      <c r="C711" s="27" t="s">
        <v>93</v>
      </c>
      <c r="D711" s="27" t="s">
        <v>19</v>
      </c>
      <c r="E711" s="28">
        <v>50300</v>
      </c>
      <c r="F711" s="28">
        <v>47300</v>
      </c>
      <c r="G711" s="27" t="s">
        <v>11</v>
      </c>
      <c r="H711" s="27" t="s">
        <v>5403</v>
      </c>
      <c r="I711" s="27" t="s">
        <v>9</v>
      </c>
    </row>
    <row r="712" spans="1:9" x14ac:dyDescent="0.3">
      <c r="A712" s="26">
        <v>44966</v>
      </c>
      <c r="B712" s="27" t="s">
        <v>26</v>
      </c>
      <c r="C712" s="27" t="s">
        <v>6</v>
      </c>
      <c r="D712" s="27" t="s">
        <v>7</v>
      </c>
      <c r="E712" s="28">
        <v>103500</v>
      </c>
      <c r="F712" s="28">
        <v>113800</v>
      </c>
      <c r="G712" s="27" t="s">
        <v>22</v>
      </c>
      <c r="H712" s="27" t="s">
        <v>5565</v>
      </c>
      <c r="I712" s="27" t="s">
        <v>9</v>
      </c>
    </row>
    <row r="713" spans="1:9" x14ac:dyDescent="0.3">
      <c r="A713" s="26">
        <v>44966</v>
      </c>
      <c r="B713" s="27" t="s">
        <v>26</v>
      </c>
      <c r="C713" s="27" t="s">
        <v>6</v>
      </c>
      <c r="D713" s="27" t="s">
        <v>24</v>
      </c>
      <c r="E713" s="28">
        <v>209800</v>
      </c>
      <c r="F713" s="28">
        <v>253000</v>
      </c>
      <c r="G713" s="27" t="s">
        <v>11</v>
      </c>
      <c r="H713" s="27" t="s">
        <v>5664</v>
      </c>
      <c r="I713" s="27" t="s">
        <v>9</v>
      </c>
    </row>
    <row r="714" spans="1:9" x14ac:dyDescent="0.3">
      <c r="A714" s="26">
        <v>44966</v>
      </c>
      <c r="B714" s="27" t="s">
        <v>26</v>
      </c>
      <c r="C714" s="27" t="s">
        <v>93</v>
      </c>
      <c r="D714" s="27" t="s">
        <v>21</v>
      </c>
      <c r="E714" s="28">
        <v>92700</v>
      </c>
      <c r="F714" s="28">
        <v>101100</v>
      </c>
      <c r="G714" s="27" t="s">
        <v>11</v>
      </c>
      <c r="H714" s="27" t="s">
        <v>5700</v>
      </c>
      <c r="I714" s="27" t="s">
        <v>9</v>
      </c>
    </row>
    <row r="715" spans="1:9" x14ac:dyDescent="0.3">
      <c r="A715" s="26">
        <v>44966</v>
      </c>
      <c r="B715" s="27" t="s">
        <v>26</v>
      </c>
      <c r="C715" s="27" t="s">
        <v>6</v>
      </c>
      <c r="D715" s="27" t="s">
        <v>7</v>
      </c>
      <c r="E715" s="28">
        <v>52600</v>
      </c>
      <c r="F715" s="28">
        <v>64600</v>
      </c>
      <c r="G715" s="27" t="s">
        <v>22</v>
      </c>
      <c r="H715" s="27" t="s">
        <v>6025</v>
      </c>
      <c r="I715" s="27" t="s">
        <v>9</v>
      </c>
    </row>
    <row r="716" spans="1:9" x14ac:dyDescent="0.3">
      <c r="A716" s="26">
        <v>44966</v>
      </c>
      <c r="B716" s="27" t="s">
        <v>26</v>
      </c>
      <c r="C716" s="27" t="s">
        <v>6</v>
      </c>
      <c r="D716" s="27" t="s">
        <v>16</v>
      </c>
      <c r="E716" s="28">
        <v>308800</v>
      </c>
      <c r="F716" s="28">
        <v>305400</v>
      </c>
      <c r="G716" s="27" t="s">
        <v>11</v>
      </c>
      <c r="H716" s="27" t="s">
        <v>6095</v>
      </c>
      <c r="I716" s="27" t="s">
        <v>9</v>
      </c>
    </row>
    <row r="717" spans="1:9" x14ac:dyDescent="0.3">
      <c r="A717" s="26">
        <v>44966</v>
      </c>
      <c r="B717" s="27" t="s">
        <v>26</v>
      </c>
      <c r="C717" s="27" t="s">
        <v>6</v>
      </c>
      <c r="D717" s="27" t="s">
        <v>16</v>
      </c>
      <c r="E717" s="28">
        <v>109100</v>
      </c>
      <c r="F717" s="28">
        <v>111400</v>
      </c>
      <c r="G717" s="27" t="s">
        <v>11</v>
      </c>
      <c r="H717" s="27" t="s">
        <v>6727</v>
      </c>
      <c r="I717" s="27" t="s">
        <v>9</v>
      </c>
    </row>
    <row r="718" spans="1:9" x14ac:dyDescent="0.3">
      <c r="A718" s="26">
        <v>44967</v>
      </c>
      <c r="B718" s="27" t="s">
        <v>26</v>
      </c>
      <c r="C718" s="27" t="s">
        <v>20</v>
      </c>
      <c r="D718" s="27" t="s">
        <v>21</v>
      </c>
      <c r="E718" s="28">
        <v>40619</v>
      </c>
      <c r="F718" s="28">
        <v>54596</v>
      </c>
      <c r="G718" s="27" t="s">
        <v>11</v>
      </c>
      <c r="H718" s="27" t="s">
        <v>273</v>
      </c>
      <c r="I718" s="27" t="s">
        <v>13</v>
      </c>
    </row>
    <row r="719" spans="1:9" x14ac:dyDescent="0.3">
      <c r="A719" s="26">
        <v>44967</v>
      </c>
      <c r="B719" s="27" t="s">
        <v>26</v>
      </c>
      <c r="C719" s="27" t="s">
        <v>20</v>
      </c>
      <c r="D719" s="27" t="s">
        <v>16</v>
      </c>
      <c r="E719" s="28">
        <v>29003</v>
      </c>
      <c r="F719" s="28">
        <v>25231</v>
      </c>
      <c r="G719" s="27" t="s">
        <v>17</v>
      </c>
      <c r="H719" s="27" t="s">
        <v>277</v>
      </c>
      <c r="I719" s="27" t="s">
        <v>13</v>
      </c>
    </row>
    <row r="720" spans="1:9" x14ac:dyDescent="0.3">
      <c r="A720" s="26">
        <v>44967</v>
      </c>
      <c r="B720" s="27" t="s">
        <v>26</v>
      </c>
      <c r="C720" s="27" t="s">
        <v>10</v>
      </c>
      <c r="D720" s="27" t="s">
        <v>16</v>
      </c>
      <c r="E720" s="28">
        <v>64694</v>
      </c>
      <c r="F720" s="28">
        <v>49126</v>
      </c>
      <c r="G720" s="27" t="s">
        <v>8</v>
      </c>
      <c r="H720" s="27" t="s">
        <v>939</v>
      </c>
      <c r="I720" s="27" t="s">
        <v>13</v>
      </c>
    </row>
    <row r="721" spans="1:9" x14ac:dyDescent="0.3">
      <c r="A721" s="26">
        <v>44967</v>
      </c>
      <c r="B721" s="27" t="s">
        <v>26</v>
      </c>
      <c r="C721" s="27" t="s">
        <v>18</v>
      </c>
      <c r="D721" s="27" t="s">
        <v>21</v>
      </c>
      <c r="E721" s="28">
        <v>63028</v>
      </c>
      <c r="F721" s="28">
        <v>65302</v>
      </c>
      <c r="G721" s="27" t="s">
        <v>22</v>
      </c>
      <c r="H721" s="27" t="s">
        <v>1476</v>
      </c>
      <c r="I721" s="27" t="s">
        <v>13</v>
      </c>
    </row>
    <row r="722" spans="1:9" x14ac:dyDescent="0.3">
      <c r="A722" s="26">
        <v>44967</v>
      </c>
      <c r="B722" s="27" t="s">
        <v>26</v>
      </c>
      <c r="C722" s="27" t="s">
        <v>15</v>
      </c>
      <c r="D722" s="27" t="s">
        <v>7</v>
      </c>
      <c r="E722" s="28">
        <v>126816</v>
      </c>
      <c r="F722" s="28">
        <v>67482</v>
      </c>
      <c r="G722" s="27" t="s">
        <v>8</v>
      </c>
      <c r="H722" s="27" t="s">
        <v>1678</v>
      </c>
      <c r="I722" s="27" t="s">
        <v>13</v>
      </c>
    </row>
    <row r="723" spans="1:9" x14ac:dyDescent="0.3">
      <c r="A723" s="26">
        <v>44967</v>
      </c>
      <c r="B723" s="27" t="s">
        <v>26</v>
      </c>
      <c r="C723" s="27" t="s">
        <v>20</v>
      </c>
      <c r="D723" s="27" t="s">
        <v>19</v>
      </c>
      <c r="E723" s="28">
        <v>22541</v>
      </c>
      <c r="F723" s="28">
        <v>14952</v>
      </c>
      <c r="G723" s="27" t="s">
        <v>11</v>
      </c>
      <c r="H723" s="27" t="s">
        <v>2963</v>
      </c>
      <c r="I723" s="27" t="s">
        <v>13</v>
      </c>
    </row>
    <row r="724" spans="1:9" x14ac:dyDescent="0.3">
      <c r="A724" s="26">
        <v>44967</v>
      </c>
      <c r="B724" s="27" t="s">
        <v>26</v>
      </c>
      <c r="C724" s="27" t="s">
        <v>20</v>
      </c>
      <c r="D724" s="27" t="s">
        <v>19</v>
      </c>
      <c r="E724" s="28">
        <v>75283</v>
      </c>
      <c r="F724" s="28">
        <v>165645</v>
      </c>
      <c r="G724" s="27" t="s">
        <v>17</v>
      </c>
      <c r="H724" s="27" t="s">
        <v>3148</v>
      </c>
      <c r="I724" s="27" t="s">
        <v>13</v>
      </c>
    </row>
    <row r="725" spans="1:9" x14ac:dyDescent="0.3">
      <c r="A725" s="26">
        <v>44967</v>
      </c>
      <c r="B725" s="27" t="s">
        <v>26</v>
      </c>
      <c r="C725" s="27" t="s">
        <v>93</v>
      </c>
      <c r="D725" s="27" t="s">
        <v>21</v>
      </c>
      <c r="E725" s="28">
        <v>179400</v>
      </c>
      <c r="F725" s="28">
        <v>138800</v>
      </c>
      <c r="G725" s="27" t="s">
        <v>11</v>
      </c>
      <c r="H725" s="27" t="s">
        <v>3654</v>
      </c>
      <c r="I725" s="27" t="s">
        <v>9</v>
      </c>
    </row>
    <row r="726" spans="1:9" x14ac:dyDescent="0.3">
      <c r="A726" s="26">
        <v>44967</v>
      </c>
      <c r="B726" s="27" t="s">
        <v>26</v>
      </c>
      <c r="C726" s="27" t="s">
        <v>6</v>
      </c>
      <c r="D726" s="27" t="s">
        <v>16</v>
      </c>
      <c r="E726" s="28">
        <v>39300</v>
      </c>
      <c r="F726" s="28">
        <v>37600</v>
      </c>
      <c r="G726" s="27" t="s">
        <v>11</v>
      </c>
      <c r="H726" s="27" t="s">
        <v>3658</v>
      </c>
      <c r="I726" s="27" t="s">
        <v>9</v>
      </c>
    </row>
    <row r="727" spans="1:9" x14ac:dyDescent="0.3">
      <c r="A727" s="26">
        <v>44967</v>
      </c>
      <c r="B727" s="27" t="s">
        <v>26</v>
      </c>
      <c r="C727" s="27" t="s">
        <v>93</v>
      </c>
      <c r="D727" s="27" t="s">
        <v>16</v>
      </c>
      <c r="E727" s="28">
        <v>107300</v>
      </c>
      <c r="F727" s="28">
        <v>138200</v>
      </c>
      <c r="G727" s="27" t="s">
        <v>22</v>
      </c>
      <c r="H727" s="27" t="s">
        <v>4320</v>
      </c>
      <c r="I727" s="27" t="s">
        <v>9</v>
      </c>
    </row>
    <row r="728" spans="1:9" x14ac:dyDescent="0.3">
      <c r="A728" s="26">
        <v>44967</v>
      </c>
      <c r="B728" s="27" t="s">
        <v>26</v>
      </c>
      <c r="C728" s="27" t="s">
        <v>93</v>
      </c>
      <c r="D728" s="27" t="s">
        <v>21</v>
      </c>
      <c r="E728" s="28">
        <v>125900</v>
      </c>
      <c r="F728" s="28">
        <v>90700</v>
      </c>
      <c r="G728" s="27" t="s">
        <v>11</v>
      </c>
      <c r="H728" s="27" t="s">
        <v>4859</v>
      </c>
      <c r="I728" s="27" t="s">
        <v>9</v>
      </c>
    </row>
    <row r="729" spans="1:9" x14ac:dyDescent="0.3">
      <c r="A729" s="26">
        <v>44967</v>
      </c>
      <c r="B729" s="27" t="s">
        <v>26</v>
      </c>
      <c r="C729" s="27" t="s">
        <v>93</v>
      </c>
      <c r="D729" s="27" t="s">
        <v>7</v>
      </c>
      <c r="E729" s="28">
        <v>139100</v>
      </c>
      <c r="F729" s="28">
        <v>134400</v>
      </c>
      <c r="G729" s="27" t="s">
        <v>11</v>
      </c>
      <c r="H729" s="27" t="s">
        <v>5061</v>
      </c>
      <c r="I729" s="27" t="s">
        <v>9</v>
      </c>
    </row>
    <row r="730" spans="1:9" x14ac:dyDescent="0.3">
      <c r="A730" s="26">
        <v>44967</v>
      </c>
      <c r="B730" s="27" t="s">
        <v>26</v>
      </c>
      <c r="C730" s="27" t="s">
        <v>6</v>
      </c>
      <c r="D730" s="27" t="s">
        <v>19</v>
      </c>
      <c r="E730" s="28">
        <v>120000</v>
      </c>
      <c r="F730" s="28">
        <v>126800</v>
      </c>
      <c r="G730" s="27" t="s">
        <v>22</v>
      </c>
      <c r="H730" s="27" t="s">
        <v>6348</v>
      </c>
      <c r="I730" s="27" t="s">
        <v>9</v>
      </c>
    </row>
    <row r="731" spans="1:9" x14ac:dyDescent="0.3">
      <c r="A731" s="26">
        <v>44967</v>
      </c>
      <c r="B731" s="27" t="s">
        <v>26</v>
      </c>
      <c r="C731" s="27" t="s">
        <v>6</v>
      </c>
      <c r="D731" s="27" t="s">
        <v>19</v>
      </c>
      <c r="E731" s="28">
        <v>147500</v>
      </c>
      <c r="F731" s="28">
        <v>165100</v>
      </c>
      <c r="G731" s="27" t="s">
        <v>11</v>
      </c>
      <c r="H731" s="27" t="s">
        <v>6533</v>
      </c>
      <c r="I731" s="27" t="s">
        <v>9</v>
      </c>
    </row>
    <row r="732" spans="1:9" x14ac:dyDescent="0.3">
      <c r="A732" s="26">
        <v>44968</v>
      </c>
      <c r="B732" s="27" t="s">
        <v>26</v>
      </c>
      <c r="C732" s="27" t="s">
        <v>14</v>
      </c>
      <c r="D732" s="27" t="s">
        <v>19</v>
      </c>
      <c r="E732" s="28">
        <v>88255</v>
      </c>
      <c r="F732" s="28">
        <v>50945</v>
      </c>
      <c r="G732" s="27" t="s">
        <v>17</v>
      </c>
      <c r="H732" s="27" t="s">
        <v>482</v>
      </c>
      <c r="I732" s="27" t="s">
        <v>13</v>
      </c>
    </row>
    <row r="733" spans="1:9" x14ac:dyDescent="0.3">
      <c r="A733" s="26">
        <v>44968</v>
      </c>
      <c r="B733" s="27" t="s">
        <v>26</v>
      </c>
      <c r="C733" s="27" t="s">
        <v>14</v>
      </c>
      <c r="D733" s="27" t="s">
        <v>7</v>
      </c>
      <c r="E733" s="28">
        <v>54357</v>
      </c>
      <c r="F733" s="28">
        <v>45650</v>
      </c>
      <c r="G733" s="27" t="s">
        <v>11</v>
      </c>
      <c r="H733" s="27" t="s">
        <v>913</v>
      </c>
      <c r="I733" s="27" t="s">
        <v>13</v>
      </c>
    </row>
    <row r="734" spans="1:9" x14ac:dyDescent="0.3">
      <c r="A734" s="26">
        <v>44968</v>
      </c>
      <c r="B734" s="27" t="s">
        <v>26</v>
      </c>
      <c r="C734" s="27" t="s">
        <v>15</v>
      </c>
      <c r="D734" s="27" t="s">
        <v>21</v>
      </c>
      <c r="E734" s="28">
        <v>56306</v>
      </c>
      <c r="F734" s="28">
        <v>129242</v>
      </c>
      <c r="G734" s="27" t="s">
        <v>22</v>
      </c>
      <c r="H734" s="27" t="s">
        <v>985</v>
      </c>
      <c r="I734" s="27" t="s">
        <v>13</v>
      </c>
    </row>
    <row r="735" spans="1:9" x14ac:dyDescent="0.3">
      <c r="A735" s="26">
        <v>44968</v>
      </c>
      <c r="B735" s="27" t="s">
        <v>26</v>
      </c>
      <c r="C735" s="27" t="s">
        <v>10</v>
      </c>
      <c r="D735" s="27" t="s">
        <v>16</v>
      </c>
      <c r="E735" s="28">
        <v>34232</v>
      </c>
      <c r="F735" s="28">
        <v>46739</v>
      </c>
      <c r="G735" s="27" t="s">
        <v>11</v>
      </c>
      <c r="H735" s="27" t="s">
        <v>1194</v>
      </c>
      <c r="I735" s="27" t="s">
        <v>13</v>
      </c>
    </row>
    <row r="736" spans="1:9" x14ac:dyDescent="0.3">
      <c r="A736" s="26">
        <v>44968</v>
      </c>
      <c r="B736" s="27" t="s">
        <v>26</v>
      </c>
      <c r="C736" s="27" t="s">
        <v>10</v>
      </c>
      <c r="D736" s="27" t="s">
        <v>24</v>
      </c>
      <c r="E736" s="28">
        <v>65856</v>
      </c>
      <c r="F736" s="28">
        <v>134208</v>
      </c>
      <c r="G736" s="27" t="s">
        <v>11</v>
      </c>
      <c r="H736" s="27" t="s">
        <v>1694</v>
      </c>
      <c r="I736" s="27" t="s">
        <v>13</v>
      </c>
    </row>
    <row r="737" spans="1:9" x14ac:dyDescent="0.3">
      <c r="A737" s="26">
        <v>44968</v>
      </c>
      <c r="B737" s="27" t="s">
        <v>26</v>
      </c>
      <c r="C737" s="27" t="s">
        <v>32</v>
      </c>
      <c r="D737" s="27" t="s">
        <v>21</v>
      </c>
      <c r="E737" s="28">
        <v>113379</v>
      </c>
      <c r="F737" s="28">
        <v>162682</v>
      </c>
      <c r="G737" s="27" t="s">
        <v>8</v>
      </c>
      <c r="H737" s="27" t="s">
        <v>1935</v>
      </c>
      <c r="I737" s="27" t="s">
        <v>13</v>
      </c>
    </row>
    <row r="738" spans="1:9" x14ac:dyDescent="0.3">
      <c r="A738" s="26">
        <v>44968</v>
      </c>
      <c r="B738" s="27" t="s">
        <v>26</v>
      </c>
      <c r="C738" s="27" t="s">
        <v>20</v>
      </c>
      <c r="D738" s="27" t="s">
        <v>16</v>
      </c>
      <c r="E738" s="28">
        <v>46222</v>
      </c>
      <c r="F738" s="28">
        <v>20499</v>
      </c>
      <c r="G738" s="27" t="s">
        <v>22</v>
      </c>
      <c r="H738" s="27" t="s">
        <v>2043</v>
      </c>
      <c r="I738" s="27" t="s">
        <v>13</v>
      </c>
    </row>
    <row r="739" spans="1:9" x14ac:dyDescent="0.3">
      <c r="A739" s="26">
        <v>44968</v>
      </c>
      <c r="B739" s="27" t="s">
        <v>26</v>
      </c>
      <c r="C739" s="27" t="s">
        <v>15</v>
      </c>
      <c r="D739" s="27" t="s">
        <v>16</v>
      </c>
      <c r="E739" s="28">
        <v>51098</v>
      </c>
      <c r="F739" s="28">
        <v>80911</v>
      </c>
      <c r="G739" s="27" t="s">
        <v>8</v>
      </c>
      <c r="H739" s="27" t="s">
        <v>2753</v>
      </c>
      <c r="I739" s="27" t="s">
        <v>13</v>
      </c>
    </row>
    <row r="740" spans="1:9" x14ac:dyDescent="0.3">
      <c r="A740" s="26">
        <v>44968</v>
      </c>
      <c r="B740" s="27" t="s">
        <v>26</v>
      </c>
      <c r="C740" s="27" t="s">
        <v>32</v>
      </c>
      <c r="D740" s="27" t="s">
        <v>21</v>
      </c>
      <c r="E740" s="28">
        <v>96205</v>
      </c>
      <c r="F740" s="28">
        <v>137948</v>
      </c>
      <c r="G740" s="27" t="s">
        <v>17</v>
      </c>
      <c r="H740" s="27" t="s">
        <v>2928</v>
      </c>
      <c r="I740" s="27" t="s">
        <v>13</v>
      </c>
    </row>
    <row r="741" spans="1:9" x14ac:dyDescent="0.3">
      <c r="A741" s="26">
        <v>44968</v>
      </c>
      <c r="B741" s="27" t="s">
        <v>26</v>
      </c>
      <c r="C741" s="27" t="s">
        <v>18</v>
      </c>
      <c r="D741" s="27" t="s">
        <v>24</v>
      </c>
      <c r="E741" s="28">
        <v>57068</v>
      </c>
      <c r="F741" s="28">
        <v>30468</v>
      </c>
      <c r="G741" s="27" t="s">
        <v>11</v>
      </c>
      <c r="H741" s="27" t="s">
        <v>3361</v>
      </c>
      <c r="I741" s="27" t="s">
        <v>13</v>
      </c>
    </row>
    <row r="742" spans="1:9" x14ac:dyDescent="0.3">
      <c r="A742" s="26">
        <v>44968</v>
      </c>
      <c r="B742" s="27" t="s">
        <v>26</v>
      </c>
      <c r="C742" s="27" t="s">
        <v>93</v>
      </c>
      <c r="D742" s="27" t="s">
        <v>19</v>
      </c>
      <c r="E742" s="28">
        <v>118900</v>
      </c>
      <c r="F742" s="28">
        <v>134400</v>
      </c>
      <c r="G742" s="27" t="s">
        <v>17</v>
      </c>
      <c r="H742" s="27" t="s">
        <v>3863</v>
      </c>
      <c r="I742" s="27" t="s">
        <v>9</v>
      </c>
    </row>
    <row r="743" spans="1:9" x14ac:dyDescent="0.3">
      <c r="A743" s="26">
        <v>44968</v>
      </c>
      <c r="B743" s="27" t="s">
        <v>26</v>
      </c>
      <c r="C743" s="27" t="s">
        <v>6</v>
      </c>
      <c r="D743" s="27" t="s">
        <v>7</v>
      </c>
      <c r="E743" s="28">
        <v>82200</v>
      </c>
      <c r="F743" s="28">
        <v>116600</v>
      </c>
      <c r="G743" s="27" t="s">
        <v>17</v>
      </c>
      <c r="H743" s="27" t="s">
        <v>4294</v>
      </c>
      <c r="I743" s="27" t="s">
        <v>9</v>
      </c>
    </row>
    <row r="744" spans="1:9" x14ac:dyDescent="0.3">
      <c r="A744" s="26">
        <v>44968</v>
      </c>
      <c r="B744" s="27" t="s">
        <v>26</v>
      </c>
      <c r="C744" s="27" t="s">
        <v>93</v>
      </c>
      <c r="D744" s="27" t="s">
        <v>21</v>
      </c>
      <c r="E744" s="28">
        <v>139100</v>
      </c>
      <c r="F744" s="28">
        <v>122000</v>
      </c>
      <c r="G744" s="27" t="s">
        <v>11</v>
      </c>
      <c r="H744" s="27" t="s">
        <v>4366</v>
      </c>
      <c r="I744" s="27" t="s">
        <v>9</v>
      </c>
    </row>
    <row r="745" spans="1:9" x14ac:dyDescent="0.3">
      <c r="A745" s="26">
        <v>44968</v>
      </c>
      <c r="B745" s="27" t="s">
        <v>26</v>
      </c>
      <c r="C745" s="27" t="s">
        <v>6</v>
      </c>
      <c r="D745" s="27" t="s">
        <v>16</v>
      </c>
      <c r="E745" s="28">
        <v>164600</v>
      </c>
      <c r="F745" s="28">
        <v>161200</v>
      </c>
      <c r="G745" s="27" t="s">
        <v>11</v>
      </c>
      <c r="H745" s="27" t="s">
        <v>4577</v>
      </c>
      <c r="I745" s="27" t="s">
        <v>9</v>
      </c>
    </row>
    <row r="746" spans="1:9" x14ac:dyDescent="0.3">
      <c r="A746" s="26">
        <v>44968</v>
      </c>
      <c r="B746" s="27" t="s">
        <v>26</v>
      </c>
      <c r="C746" s="27" t="s">
        <v>6</v>
      </c>
      <c r="D746" s="27" t="s">
        <v>24</v>
      </c>
      <c r="E746" s="28">
        <v>126400</v>
      </c>
      <c r="F746" s="28">
        <v>154300</v>
      </c>
      <c r="G746" s="27" t="s">
        <v>17</v>
      </c>
      <c r="H746" s="27" t="s">
        <v>5077</v>
      </c>
      <c r="I746" s="27" t="s">
        <v>9</v>
      </c>
    </row>
    <row r="747" spans="1:9" x14ac:dyDescent="0.3">
      <c r="A747" s="26">
        <v>44968</v>
      </c>
      <c r="B747" s="27" t="s">
        <v>26</v>
      </c>
      <c r="C747" s="27" t="s">
        <v>6</v>
      </c>
      <c r="D747" s="27" t="s">
        <v>21</v>
      </c>
      <c r="E747" s="28">
        <v>86800</v>
      </c>
      <c r="F747" s="28">
        <v>68500</v>
      </c>
      <c r="G747" s="27" t="s">
        <v>11</v>
      </c>
      <c r="H747" s="27" t="s">
        <v>5319</v>
      </c>
      <c r="I747" s="27" t="s">
        <v>9</v>
      </c>
    </row>
    <row r="748" spans="1:9" x14ac:dyDescent="0.3">
      <c r="A748" s="26">
        <v>44968</v>
      </c>
      <c r="B748" s="27" t="s">
        <v>26</v>
      </c>
      <c r="C748" s="27" t="s">
        <v>93</v>
      </c>
      <c r="D748" s="27" t="s">
        <v>16</v>
      </c>
      <c r="E748" s="28">
        <v>116100</v>
      </c>
      <c r="F748" s="28">
        <v>112700</v>
      </c>
      <c r="G748" s="27" t="s">
        <v>22</v>
      </c>
      <c r="H748" s="27" t="s">
        <v>5427</v>
      </c>
      <c r="I748" s="27" t="s">
        <v>9</v>
      </c>
    </row>
    <row r="749" spans="1:9" x14ac:dyDescent="0.3">
      <c r="A749" s="26">
        <v>44968</v>
      </c>
      <c r="B749" s="27" t="s">
        <v>26</v>
      </c>
      <c r="C749" s="27" t="s">
        <v>93</v>
      </c>
      <c r="D749" s="27" t="s">
        <v>16</v>
      </c>
      <c r="E749" s="28">
        <v>107800</v>
      </c>
      <c r="F749" s="28">
        <v>113800</v>
      </c>
      <c r="G749" s="27" t="s">
        <v>11</v>
      </c>
      <c r="H749" s="27" t="s">
        <v>6138</v>
      </c>
      <c r="I749" s="27" t="s">
        <v>9</v>
      </c>
    </row>
    <row r="750" spans="1:9" x14ac:dyDescent="0.3">
      <c r="A750" s="26">
        <v>44968</v>
      </c>
      <c r="B750" s="27" t="s">
        <v>26</v>
      </c>
      <c r="C750" s="27" t="s">
        <v>6</v>
      </c>
      <c r="D750" s="27" t="s">
        <v>21</v>
      </c>
      <c r="E750" s="28">
        <v>113000</v>
      </c>
      <c r="F750" s="28">
        <v>117000</v>
      </c>
      <c r="G750" s="27" t="s">
        <v>17</v>
      </c>
      <c r="H750" s="27" t="s">
        <v>6313</v>
      </c>
      <c r="I750" s="27" t="s">
        <v>9</v>
      </c>
    </row>
    <row r="751" spans="1:9" x14ac:dyDescent="0.3">
      <c r="A751" s="26">
        <v>44968</v>
      </c>
      <c r="B751" s="27" t="s">
        <v>26</v>
      </c>
      <c r="C751" s="27" t="s">
        <v>6</v>
      </c>
      <c r="D751" s="27" t="s">
        <v>24</v>
      </c>
      <c r="E751" s="28">
        <v>76300</v>
      </c>
      <c r="F751" s="28">
        <v>88100</v>
      </c>
      <c r="G751" s="27" t="s">
        <v>22</v>
      </c>
      <c r="H751" s="27" t="s">
        <v>6746</v>
      </c>
      <c r="I751" s="27" t="s">
        <v>9</v>
      </c>
    </row>
    <row r="752" spans="1:9" x14ac:dyDescent="0.3">
      <c r="A752" s="26">
        <v>44969</v>
      </c>
      <c r="B752" s="27" t="s">
        <v>26</v>
      </c>
      <c r="C752" s="27" t="s">
        <v>15</v>
      </c>
      <c r="D752" s="27" t="s">
        <v>21</v>
      </c>
      <c r="E752" s="28">
        <v>45256</v>
      </c>
      <c r="F752" s="28">
        <v>58584</v>
      </c>
      <c r="G752" s="27" t="s">
        <v>11</v>
      </c>
      <c r="H752" s="27" t="s">
        <v>748</v>
      </c>
      <c r="I752" s="27" t="s">
        <v>13</v>
      </c>
    </row>
    <row r="753" spans="1:9" x14ac:dyDescent="0.3">
      <c r="A753" s="26">
        <v>44969</v>
      </c>
      <c r="B753" s="27" t="s">
        <v>26</v>
      </c>
      <c r="C753" s="27" t="s">
        <v>20</v>
      </c>
      <c r="D753" s="27" t="s">
        <v>24</v>
      </c>
      <c r="E753" s="28">
        <v>117101</v>
      </c>
      <c r="F753" s="28">
        <v>38299</v>
      </c>
      <c r="G753" s="27" t="s">
        <v>8</v>
      </c>
      <c r="H753" s="27" t="s">
        <v>2145</v>
      </c>
      <c r="I753" s="27" t="s">
        <v>13</v>
      </c>
    </row>
    <row r="754" spans="1:9" x14ac:dyDescent="0.3">
      <c r="A754" s="26">
        <v>44969</v>
      </c>
      <c r="B754" s="27" t="s">
        <v>26</v>
      </c>
      <c r="C754" s="27" t="s">
        <v>15</v>
      </c>
      <c r="D754" s="27" t="s">
        <v>7</v>
      </c>
      <c r="E754" s="28">
        <v>48989</v>
      </c>
      <c r="F754" s="28">
        <v>142938</v>
      </c>
      <c r="G754" s="27" t="s">
        <v>8</v>
      </c>
      <c r="H754" s="27" t="s">
        <v>2207</v>
      </c>
      <c r="I754" s="27" t="s">
        <v>13</v>
      </c>
    </row>
    <row r="755" spans="1:9" x14ac:dyDescent="0.3">
      <c r="A755" s="26">
        <v>44969</v>
      </c>
      <c r="B755" s="27" t="s">
        <v>26</v>
      </c>
      <c r="C755" s="27" t="s">
        <v>6</v>
      </c>
      <c r="D755" s="27" t="s">
        <v>21</v>
      </c>
      <c r="E755" s="28">
        <v>117400</v>
      </c>
      <c r="F755" s="28">
        <v>94200</v>
      </c>
      <c r="G755" s="27" t="s">
        <v>11</v>
      </c>
      <c r="H755" s="27" t="s">
        <v>4129</v>
      </c>
      <c r="I755" s="27" t="s">
        <v>9</v>
      </c>
    </row>
    <row r="756" spans="1:9" x14ac:dyDescent="0.3">
      <c r="A756" s="26">
        <v>44969</v>
      </c>
      <c r="B756" s="27" t="s">
        <v>26</v>
      </c>
      <c r="C756" s="27" t="s">
        <v>93</v>
      </c>
      <c r="D756" s="27" t="s">
        <v>24</v>
      </c>
      <c r="E756" s="28">
        <v>64800</v>
      </c>
      <c r="F756" s="28">
        <v>63000</v>
      </c>
      <c r="G756" s="27" t="s">
        <v>11</v>
      </c>
      <c r="H756" s="27" t="s">
        <v>5530</v>
      </c>
      <c r="I756" s="27" t="s">
        <v>9</v>
      </c>
    </row>
    <row r="757" spans="1:9" x14ac:dyDescent="0.3">
      <c r="A757" s="26">
        <v>44969</v>
      </c>
      <c r="B757" s="27" t="s">
        <v>26</v>
      </c>
      <c r="C757" s="27" t="s">
        <v>93</v>
      </c>
      <c r="D757" s="27" t="s">
        <v>7</v>
      </c>
      <c r="E757" s="28">
        <v>117200</v>
      </c>
      <c r="F757" s="28">
        <v>113700</v>
      </c>
      <c r="G757" s="27" t="s">
        <v>11</v>
      </c>
      <c r="H757" s="27" t="s">
        <v>5592</v>
      </c>
      <c r="I757" s="27" t="s">
        <v>9</v>
      </c>
    </row>
    <row r="758" spans="1:9" x14ac:dyDescent="0.3">
      <c r="A758" s="26">
        <v>44970</v>
      </c>
      <c r="B758" s="27" t="s">
        <v>26</v>
      </c>
      <c r="C758" s="27" t="s">
        <v>32</v>
      </c>
      <c r="D758" s="27" t="s">
        <v>7</v>
      </c>
      <c r="E758" s="28">
        <v>67414</v>
      </c>
      <c r="F758" s="28">
        <v>106504</v>
      </c>
      <c r="G758" s="27" t="s">
        <v>11</v>
      </c>
      <c r="H758" s="27" t="s">
        <v>167</v>
      </c>
      <c r="I758" s="27" t="s">
        <v>13</v>
      </c>
    </row>
    <row r="759" spans="1:9" x14ac:dyDescent="0.3">
      <c r="A759" s="26">
        <v>44970</v>
      </c>
      <c r="B759" s="27" t="s">
        <v>26</v>
      </c>
      <c r="C759" s="27" t="s">
        <v>15</v>
      </c>
      <c r="D759" s="27" t="s">
        <v>16</v>
      </c>
      <c r="E759" s="28">
        <v>34939</v>
      </c>
      <c r="F759" s="28">
        <v>154917</v>
      </c>
      <c r="G759" s="27" t="s">
        <v>17</v>
      </c>
      <c r="H759" s="27" t="s">
        <v>563</v>
      </c>
      <c r="I759" s="27" t="s">
        <v>13</v>
      </c>
    </row>
    <row r="760" spans="1:9" x14ac:dyDescent="0.3">
      <c r="A760" s="26">
        <v>44970</v>
      </c>
      <c r="B760" s="27" t="s">
        <v>26</v>
      </c>
      <c r="C760" s="27" t="s">
        <v>20</v>
      </c>
      <c r="D760" s="27" t="s">
        <v>24</v>
      </c>
      <c r="E760" s="28">
        <v>61166</v>
      </c>
      <c r="F760" s="28">
        <v>126667</v>
      </c>
      <c r="G760" s="27" t="s">
        <v>11</v>
      </c>
      <c r="H760" s="27" t="s">
        <v>848</v>
      </c>
      <c r="I760" s="27" t="s">
        <v>13</v>
      </c>
    </row>
    <row r="761" spans="1:9" x14ac:dyDescent="0.3">
      <c r="A761" s="26">
        <v>44970</v>
      </c>
      <c r="B761" s="27" t="s">
        <v>26</v>
      </c>
      <c r="C761" s="27" t="s">
        <v>14</v>
      </c>
      <c r="D761" s="27" t="s">
        <v>19</v>
      </c>
      <c r="E761" s="28">
        <v>122362</v>
      </c>
      <c r="F761" s="28">
        <v>21467</v>
      </c>
      <c r="G761" s="27" t="s">
        <v>22</v>
      </c>
      <c r="H761" s="27" t="s">
        <v>1456</v>
      </c>
      <c r="I761" s="27" t="s">
        <v>13</v>
      </c>
    </row>
    <row r="762" spans="1:9" x14ac:dyDescent="0.3">
      <c r="A762" s="26">
        <v>44970</v>
      </c>
      <c r="B762" s="27" t="s">
        <v>26</v>
      </c>
      <c r="C762" s="27" t="s">
        <v>20</v>
      </c>
      <c r="D762" s="27" t="s">
        <v>21</v>
      </c>
      <c r="E762" s="28">
        <v>89021</v>
      </c>
      <c r="F762" s="28">
        <v>150208</v>
      </c>
      <c r="G762" s="27" t="s">
        <v>17</v>
      </c>
      <c r="H762" s="27" t="s">
        <v>1861</v>
      </c>
      <c r="I762" s="27" t="s">
        <v>13</v>
      </c>
    </row>
    <row r="763" spans="1:9" x14ac:dyDescent="0.3">
      <c r="A763" s="26">
        <v>44970</v>
      </c>
      <c r="B763" s="27" t="s">
        <v>26</v>
      </c>
      <c r="C763" s="27" t="s">
        <v>14</v>
      </c>
      <c r="D763" s="27" t="s">
        <v>19</v>
      </c>
      <c r="E763" s="28">
        <v>65039</v>
      </c>
      <c r="F763" s="28">
        <v>45611</v>
      </c>
      <c r="G763" s="27" t="s">
        <v>8</v>
      </c>
      <c r="H763" s="27" t="s">
        <v>2158</v>
      </c>
      <c r="I763" s="27" t="s">
        <v>13</v>
      </c>
    </row>
    <row r="764" spans="1:9" x14ac:dyDescent="0.3">
      <c r="A764" s="26">
        <v>44970</v>
      </c>
      <c r="B764" s="27" t="s">
        <v>26</v>
      </c>
      <c r="C764" s="27" t="s">
        <v>15</v>
      </c>
      <c r="D764" s="27" t="s">
        <v>24</v>
      </c>
      <c r="E764" s="28">
        <v>39712</v>
      </c>
      <c r="F764" s="28">
        <v>125704</v>
      </c>
      <c r="G764" s="27" t="s">
        <v>17</v>
      </c>
      <c r="H764" s="27" t="s">
        <v>2623</v>
      </c>
      <c r="I764" s="27" t="s">
        <v>13</v>
      </c>
    </row>
    <row r="765" spans="1:9" x14ac:dyDescent="0.3">
      <c r="A765" s="26">
        <v>44970</v>
      </c>
      <c r="B765" s="27" t="s">
        <v>26</v>
      </c>
      <c r="C765" s="27" t="s">
        <v>93</v>
      </c>
      <c r="D765" s="27" t="s">
        <v>7</v>
      </c>
      <c r="E765" s="28">
        <v>127700</v>
      </c>
      <c r="F765" s="28">
        <v>93200</v>
      </c>
      <c r="G765" s="27" t="s">
        <v>11</v>
      </c>
      <c r="H765" s="27" t="s">
        <v>3548</v>
      </c>
      <c r="I765" s="27" t="s">
        <v>9</v>
      </c>
    </row>
    <row r="766" spans="1:9" x14ac:dyDescent="0.3">
      <c r="A766" s="26">
        <v>44970</v>
      </c>
      <c r="B766" s="27" t="s">
        <v>26</v>
      </c>
      <c r="C766" s="27" t="s">
        <v>93</v>
      </c>
      <c r="D766" s="27" t="s">
        <v>16</v>
      </c>
      <c r="E766" s="28">
        <v>124300</v>
      </c>
      <c r="F766" s="28">
        <v>123600</v>
      </c>
      <c r="G766" s="27" t="s">
        <v>11</v>
      </c>
      <c r="H766" s="27" t="s">
        <v>3944</v>
      </c>
      <c r="I766" s="27" t="s">
        <v>9</v>
      </c>
    </row>
    <row r="767" spans="1:9" x14ac:dyDescent="0.3">
      <c r="A767" s="26">
        <v>44970</v>
      </c>
      <c r="B767" s="27" t="s">
        <v>26</v>
      </c>
      <c r="C767" s="27" t="s">
        <v>6</v>
      </c>
      <c r="D767" s="27" t="s">
        <v>24</v>
      </c>
      <c r="E767" s="28">
        <v>83400</v>
      </c>
      <c r="F767" s="28">
        <v>81000</v>
      </c>
      <c r="G767" s="27" t="s">
        <v>11</v>
      </c>
      <c r="H767" s="27" t="s">
        <v>4229</v>
      </c>
      <c r="I767" s="27" t="s">
        <v>9</v>
      </c>
    </row>
    <row r="768" spans="1:9" x14ac:dyDescent="0.3">
      <c r="A768" s="26">
        <v>44970</v>
      </c>
      <c r="B768" s="27" t="s">
        <v>26</v>
      </c>
      <c r="C768" s="27" t="s">
        <v>6</v>
      </c>
      <c r="D768" s="27" t="s">
        <v>19</v>
      </c>
      <c r="E768" s="28">
        <v>106300</v>
      </c>
      <c r="F768" s="28">
        <v>117900</v>
      </c>
      <c r="G768" s="27" t="s">
        <v>11</v>
      </c>
      <c r="H768" s="27" t="s">
        <v>4839</v>
      </c>
      <c r="I768" s="27" t="s">
        <v>9</v>
      </c>
    </row>
    <row r="769" spans="1:9" x14ac:dyDescent="0.3">
      <c r="A769" s="26">
        <v>44970</v>
      </c>
      <c r="B769" s="27" t="s">
        <v>26</v>
      </c>
      <c r="C769" s="27" t="s">
        <v>6</v>
      </c>
      <c r="D769" s="27" t="s">
        <v>21</v>
      </c>
      <c r="E769" s="28">
        <v>151400</v>
      </c>
      <c r="F769" s="28">
        <v>140900</v>
      </c>
      <c r="G769" s="27" t="s">
        <v>11</v>
      </c>
      <c r="H769" s="27" t="s">
        <v>5245</v>
      </c>
      <c r="I769" s="27" t="s">
        <v>9</v>
      </c>
    </row>
    <row r="770" spans="1:9" x14ac:dyDescent="0.3">
      <c r="A770" s="26">
        <v>44970</v>
      </c>
      <c r="B770" s="27" t="s">
        <v>26</v>
      </c>
      <c r="C770" s="27" t="s">
        <v>93</v>
      </c>
      <c r="D770" s="27" t="s">
        <v>19</v>
      </c>
      <c r="E770" s="28">
        <v>188600</v>
      </c>
      <c r="F770" s="28">
        <v>194700</v>
      </c>
      <c r="G770" s="27" t="s">
        <v>22</v>
      </c>
      <c r="H770" s="27" t="s">
        <v>5543</v>
      </c>
      <c r="I770" s="27" t="s">
        <v>9</v>
      </c>
    </row>
    <row r="771" spans="1:9" x14ac:dyDescent="0.3">
      <c r="A771" s="26">
        <v>44970</v>
      </c>
      <c r="B771" s="27" t="s">
        <v>26</v>
      </c>
      <c r="C771" s="27" t="s">
        <v>93</v>
      </c>
      <c r="D771" s="27" t="s">
        <v>24</v>
      </c>
      <c r="E771" s="28">
        <v>189600</v>
      </c>
      <c r="F771" s="28">
        <v>187300</v>
      </c>
      <c r="G771" s="27" t="s">
        <v>11</v>
      </c>
      <c r="H771" s="27" t="s">
        <v>6008</v>
      </c>
      <c r="I771" s="27" t="s">
        <v>9</v>
      </c>
    </row>
    <row r="772" spans="1:9" x14ac:dyDescent="0.3">
      <c r="A772" s="26">
        <v>44971</v>
      </c>
      <c r="B772" s="27" t="s">
        <v>26</v>
      </c>
      <c r="C772" s="27" t="s">
        <v>20</v>
      </c>
      <c r="D772" s="27" t="s">
        <v>16</v>
      </c>
      <c r="E772" s="28">
        <v>31340</v>
      </c>
      <c r="F772" s="28">
        <v>169761</v>
      </c>
      <c r="G772" s="27" t="s">
        <v>22</v>
      </c>
      <c r="H772" s="27" t="s">
        <v>413</v>
      </c>
      <c r="I772" s="27" t="s">
        <v>13</v>
      </c>
    </row>
    <row r="773" spans="1:9" x14ac:dyDescent="0.3">
      <c r="A773" s="26">
        <v>44971</v>
      </c>
      <c r="B773" s="27" t="s">
        <v>26</v>
      </c>
      <c r="C773" s="27" t="s">
        <v>14</v>
      </c>
      <c r="D773" s="27" t="s">
        <v>24</v>
      </c>
      <c r="E773" s="28">
        <v>48457</v>
      </c>
      <c r="F773" s="28">
        <v>93973</v>
      </c>
      <c r="G773" s="27" t="s">
        <v>8</v>
      </c>
      <c r="H773" s="27" t="s">
        <v>852</v>
      </c>
      <c r="I773" s="27" t="s">
        <v>13</v>
      </c>
    </row>
    <row r="774" spans="1:9" x14ac:dyDescent="0.3">
      <c r="A774" s="26">
        <v>44971</v>
      </c>
      <c r="B774" s="27" t="s">
        <v>26</v>
      </c>
      <c r="C774" s="27" t="s">
        <v>18</v>
      </c>
      <c r="D774" s="27" t="s">
        <v>19</v>
      </c>
      <c r="E774" s="28">
        <v>125781</v>
      </c>
      <c r="F774" s="28">
        <v>88163</v>
      </c>
      <c r="G774" s="27" t="s">
        <v>11</v>
      </c>
      <c r="H774" s="27" t="s">
        <v>2304</v>
      </c>
      <c r="I774" s="27" t="s">
        <v>13</v>
      </c>
    </row>
    <row r="775" spans="1:9" x14ac:dyDescent="0.3">
      <c r="A775" s="26">
        <v>44971</v>
      </c>
      <c r="B775" s="27" t="s">
        <v>26</v>
      </c>
      <c r="C775" s="27" t="s">
        <v>20</v>
      </c>
      <c r="D775" s="27" t="s">
        <v>19</v>
      </c>
      <c r="E775" s="28">
        <v>113120</v>
      </c>
      <c r="F775" s="28">
        <v>148400</v>
      </c>
      <c r="G775" s="27" t="s">
        <v>17</v>
      </c>
      <c r="H775" s="27" t="s">
        <v>2747</v>
      </c>
      <c r="I775" s="27" t="s">
        <v>13</v>
      </c>
    </row>
    <row r="776" spans="1:9" x14ac:dyDescent="0.3">
      <c r="A776" s="26">
        <v>44971</v>
      </c>
      <c r="B776" s="27" t="s">
        <v>26</v>
      </c>
      <c r="C776" s="27" t="s">
        <v>15</v>
      </c>
      <c r="D776" s="27" t="s">
        <v>21</v>
      </c>
      <c r="E776" s="28">
        <v>60889</v>
      </c>
      <c r="F776" s="28">
        <v>13894</v>
      </c>
      <c r="G776" s="27" t="s">
        <v>8</v>
      </c>
      <c r="H776" s="27" t="s">
        <v>3008</v>
      </c>
      <c r="I776" s="27" t="s">
        <v>13</v>
      </c>
    </row>
    <row r="777" spans="1:9" x14ac:dyDescent="0.3">
      <c r="A777" s="26">
        <v>44971</v>
      </c>
      <c r="B777" s="27" t="s">
        <v>26</v>
      </c>
      <c r="C777" s="27" t="s">
        <v>10</v>
      </c>
      <c r="D777" s="27" t="s">
        <v>24</v>
      </c>
      <c r="E777" s="28">
        <v>85563</v>
      </c>
      <c r="F777" s="28">
        <v>63982</v>
      </c>
      <c r="G777" s="27" t="s">
        <v>11</v>
      </c>
      <c r="H777" s="27" t="s">
        <v>3011</v>
      </c>
      <c r="I777" s="27" t="s">
        <v>13</v>
      </c>
    </row>
    <row r="778" spans="1:9" x14ac:dyDescent="0.3">
      <c r="A778" s="26">
        <v>44971</v>
      </c>
      <c r="B778" s="27" t="s">
        <v>26</v>
      </c>
      <c r="C778" s="27" t="s">
        <v>6</v>
      </c>
      <c r="D778" s="27" t="s">
        <v>16</v>
      </c>
      <c r="E778" s="28">
        <v>139300</v>
      </c>
      <c r="F778" s="28">
        <v>103400</v>
      </c>
      <c r="G778" s="27" t="s">
        <v>22</v>
      </c>
      <c r="H778" s="27" t="s">
        <v>3794</v>
      </c>
      <c r="I778" s="27" t="s">
        <v>9</v>
      </c>
    </row>
    <row r="779" spans="1:9" x14ac:dyDescent="0.3">
      <c r="A779" s="26">
        <v>44971</v>
      </c>
      <c r="B779" s="27" t="s">
        <v>26</v>
      </c>
      <c r="C779" s="27" t="s">
        <v>6</v>
      </c>
      <c r="D779" s="27" t="s">
        <v>24</v>
      </c>
      <c r="E779" s="28">
        <v>61700</v>
      </c>
      <c r="F779" s="28">
        <v>71400</v>
      </c>
      <c r="G779" s="27" t="s">
        <v>17</v>
      </c>
      <c r="H779" s="27" t="s">
        <v>4233</v>
      </c>
      <c r="I779" s="27" t="s">
        <v>9</v>
      </c>
    </row>
    <row r="780" spans="1:9" x14ac:dyDescent="0.3">
      <c r="A780" s="26">
        <v>44971</v>
      </c>
      <c r="B780" s="27" t="s">
        <v>26</v>
      </c>
      <c r="C780" s="27" t="s">
        <v>6</v>
      </c>
      <c r="D780" s="27" t="s">
        <v>19</v>
      </c>
      <c r="E780" s="28">
        <v>96000</v>
      </c>
      <c r="F780" s="28">
        <v>92800</v>
      </c>
      <c r="G780" s="27" t="s">
        <v>22</v>
      </c>
      <c r="H780" s="27" t="s">
        <v>5689</v>
      </c>
      <c r="I780" s="27" t="s">
        <v>9</v>
      </c>
    </row>
    <row r="781" spans="1:9" x14ac:dyDescent="0.3">
      <c r="A781" s="26">
        <v>44971</v>
      </c>
      <c r="B781" s="27" t="s">
        <v>26</v>
      </c>
      <c r="C781" s="27" t="s">
        <v>93</v>
      </c>
      <c r="D781" s="27" t="s">
        <v>19</v>
      </c>
      <c r="E781" s="28">
        <v>77400</v>
      </c>
      <c r="F781" s="28">
        <v>70000</v>
      </c>
      <c r="G781" s="27" t="s">
        <v>17</v>
      </c>
      <c r="H781" s="27" t="s">
        <v>6132</v>
      </c>
      <c r="I781" s="27" t="s">
        <v>9</v>
      </c>
    </row>
    <row r="782" spans="1:9" x14ac:dyDescent="0.3">
      <c r="A782" s="26">
        <v>44971</v>
      </c>
      <c r="B782" s="27" t="s">
        <v>26</v>
      </c>
      <c r="C782" s="27" t="s">
        <v>6</v>
      </c>
      <c r="D782" s="27" t="s">
        <v>21</v>
      </c>
      <c r="E782" s="28">
        <v>196100</v>
      </c>
      <c r="F782" s="28">
        <v>188900</v>
      </c>
      <c r="G782" s="27" t="s">
        <v>17</v>
      </c>
      <c r="H782" s="27" t="s">
        <v>6393</v>
      </c>
      <c r="I782" s="27" t="s">
        <v>9</v>
      </c>
    </row>
    <row r="783" spans="1:9" x14ac:dyDescent="0.3">
      <c r="A783" s="26">
        <v>44971</v>
      </c>
      <c r="B783" s="27" t="s">
        <v>26</v>
      </c>
      <c r="C783" s="27" t="s">
        <v>6</v>
      </c>
      <c r="D783" s="27" t="s">
        <v>24</v>
      </c>
      <c r="E783" s="28">
        <v>103200</v>
      </c>
      <c r="F783" s="28">
        <v>115700</v>
      </c>
      <c r="G783" s="27" t="s">
        <v>22</v>
      </c>
      <c r="H783" s="27" t="s">
        <v>6396</v>
      </c>
      <c r="I783" s="27" t="s">
        <v>9</v>
      </c>
    </row>
    <row r="784" spans="1:9" x14ac:dyDescent="0.3">
      <c r="A784" s="26">
        <v>44972</v>
      </c>
      <c r="B784" s="27" t="s">
        <v>26</v>
      </c>
      <c r="C784" s="27" t="s">
        <v>15</v>
      </c>
      <c r="D784" s="27" t="s">
        <v>19</v>
      </c>
      <c r="E784" s="28">
        <v>61747</v>
      </c>
      <c r="F784" s="28">
        <v>122329</v>
      </c>
      <c r="G784" s="27" t="s">
        <v>22</v>
      </c>
      <c r="H784" s="27" t="s">
        <v>30</v>
      </c>
      <c r="I784" s="27" t="s">
        <v>13</v>
      </c>
    </row>
    <row r="785" spans="1:9" x14ac:dyDescent="0.3">
      <c r="A785" s="26">
        <v>44972</v>
      </c>
      <c r="B785" s="27" t="s">
        <v>26</v>
      </c>
      <c r="C785" s="27" t="s">
        <v>15</v>
      </c>
      <c r="D785" s="27" t="s">
        <v>7</v>
      </c>
      <c r="E785" s="28">
        <v>18895</v>
      </c>
      <c r="F785" s="28">
        <v>32940</v>
      </c>
      <c r="G785" s="27" t="s">
        <v>17</v>
      </c>
      <c r="H785" s="27" t="s">
        <v>203</v>
      </c>
      <c r="I785" s="27" t="s">
        <v>13</v>
      </c>
    </row>
    <row r="786" spans="1:9" x14ac:dyDescent="0.3">
      <c r="A786" s="26">
        <v>44972</v>
      </c>
      <c r="B786" s="27" t="s">
        <v>26</v>
      </c>
      <c r="C786" s="27" t="s">
        <v>15</v>
      </c>
      <c r="D786" s="27" t="s">
        <v>19</v>
      </c>
      <c r="E786" s="28">
        <v>88855</v>
      </c>
      <c r="F786" s="28">
        <v>17125</v>
      </c>
      <c r="G786" s="27" t="s">
        <v>11</v>
      </c>
      <c r="H786" s="27" t="s">
        <v>683</v>
      </c>
      <c r="I786" s="27" t="s">
        <v>13</v>
      </c>
    </row>
    <row r="787" spans="1:9" x14ac:dyDescent="0.3">
      <c r="A787" s="26">
        <v>44972</v>
      </c>
      <c r="B787" s="27" t="s">
        <v>26</v>
      </c>
      <c r="C787" s="27" t="s">
        <v>18</v>
      </c>
      <c r="D787" s="27" t="s">
        <v>24</v>
      </c>
      <c r="E787" s="28">
        <v>65421</v>
      </c>
      <c r="F787" s="28">
        <v>32621</v>
      </c>
      <c r="G787" s="27" t="s">
        <v>22</v>
      </c>
      <c r="H787" s="27" t="s">
        <v>740</v>
      </c>
      <c r="I787" s="27" t="s">
        <v>13</v>
      </c>
    </row>
    <row r="788" spans="1:9" x14ac:dyDescent="0.3">
      <c r="A788" s="26">
        <v>44972</v>
      </c>
      <c r="B788" s="27" t="s">
        <v>26</v>
      </c>
      <c r="C788" s="27" t="s">
        <v>14</v>
      </c>
      <c r="D788" s="27" t="s">
        <v>7</v>
      </c>
      <c r="E788" s="28">
        <v>120549</v>
      </c>
      <c r="F788" s="28">
        <v>146489</v>
      </c>
      <c r="G788" s="27" t="s">
        <v>8</v>
      </c>
      <c r="H788" s="27" t="s">
        <v>1019</v>
      </c>
      <c r="I788" s="27" t="s">
        <v>13</v>
      </c>
    </row>
    <row r="789" spans="1:9" x14ac:dyDescent="0.3">
      <c r="A789" s="26">
        <v>44972</v>
      </c>
      <c r="B789" s="27" t="s">
        <v>26</v>
      </c>
      <c r="C789" s="27" t="s">
        <v>15</v>
      </c>
      <c r="D789" s="27" t="s">
        <v>24</v>
      </c>
      <c r="E789" s="28">
        <v>111437</v>
      </c>
      <c r="F789" s="28">
        <v>50718</v>
      </c>
      <c r="G789" s="27" t="s">
        <v>8</v>
      </c>
      <c r="H789" s="27" t="s">
        <v>1047</v>
      </c>
      <c r="I789" s="27" t="s">
        <v>13</v>
      </c>
    </row>
    <row r="790" spans="1:9" x14ac:dyDescent="0.3">
      <c r="A790" s="26">
        <v>44972</v>
      </c>
      <c r="B790" s="27" t="s">
        <v>26</v>
      </c>
      <c r="C790" s="27" t="s">
        <v>15</v>
      </c>
      <c r="D790" s="27" t="s">
        <v>7</v>
      </c>
      <c r="E790" s="28">
        <v>12829</v>
      </c>
      <c r="F790" s="28">
        <v>168514</v>
      </c>
      <c r="G790" s="27" t="s">
        <v>17</v>
      </c>
      <c r="H790" s="27" t="s">
        <v>1062</v>
      </c>
      <c r="I790" s="27" t="s">
        <v>13</v>
      </c>
    </row>
    <row r="791" spans="1:9" x14ac:dyDescent="0.3">
      <c r="A791" s="26">
        <v>44972</v>
      </c>
      <c r="B791" s="27" t="s">
        <v>26</v>
      </c>
      <c r="C791" s="27" t="s">
        <v>18</v>
      </c>
      <c r="D791" s="27" t="s">
        <v>21</v>
      </c>
      <c r="E791" s="28">
        <v>139267</v>
      </c>
      <c r="F791" s="28">
        <v>98545</v>
      </c>
      <c r="G791" s="27" t="s">
        <v>22</v>
      </c>
      <c r="H791" s="27" t="s">
        <v>2066</v>
      </c>
      <c r="I791" s="27" t="s">
        <v>13</v>
      </c>
    </row>
    <row r="792" spans="1:9" x14ac:dyDescent="0.3">
      <c r="A792" s="26">
        <v>44972</v>
      </c>
      <c r="B792" s="27" t="s">
        <v>26</v>
      </c>
      <c r="C792" s="27" t="s">
        <v>20</v>
      </c>
      <c r="D792" s="27" t="s">
        <v>16</v>
      </c>
      <c r="E792" s="28">
        <v>27736</v>
      </c>
      <c r="F792" s="28">
        <v>112733</v>
      </c>
      <c r="G792" s="27" t="s">
        <v>22</v>
      </c>
      <c r="H792" s="27" t="s">
        <v>2322</v>
      </c>
      <c r="I792" s="27" t="s">
        <v>13</v>
      </c>
    </row>
    <row r="793" spans="1:9" x14ac:dyDescent="0.3">
      <c r="A793" s="26">
        <v>44972</v>
      </c>
      <c r="B793" s="27" t="s">
        <v>26</v>
      </c>
      <c r="C793" s="27" t="s">
        <v>10</v>
      </c>
      <c r="D793" s="27" t="s">
        <v>16</v>
      </c>
      <c r="E793" s="28">
        <v>146550</v>
      </c>
      <c r="F793" s="28">
        <v>120843</v>
      </c>
      <c r="G793" s="27" t="s">
        <v>11</v>
      </c>
      <c r="H793" s="27" t="s">
        <v>2834</v>
      </c>
      <c r="I793" s="27" t="s">
        <v>13</v>
      </c>
    </row>
    <row r="794" spans="1:9" x14ac:dyDescent="0.3">
      <c r="A794" s="26">
        <v>44972</v>
      </c>
      <c r="B794" s="27" t="s">
        <v>26</v>
      </c>
      <c r="C794" s="27" t="s">
        <v>32</v>
      </c>
      <c r="D794" s="27" t="s">
        <v>16</v>
      </c>
      <c r="E794" s="28">
        <v>52772</v>
      </c>
      <c r="F794" s="28">
        <v>145580</v>
      </c>
      <c r="G794" s="27" t="s">
        <v>17</v>
      </c>
      <c r="H794" s="27" t="s">
        <v>3261</v>
      </c>
      <c r="I794" s="27" t="s">
        <v>13</v>
      </c>
    </row>
    <row r="795" spans="1:9" x14ac:dyDescent="0.3">
      <c r="A795" s="26">
        <v>44972</v>
      </c>
      <c r="B795" s="27" t="s">
        <v>26</v>
      </c>
      <c r="C795" s="27" t="s">
        <v>10</v>
      </c>
      <c r="D795" s="27" t="s">
        <v>16</v>
      </c>
      <c r="E795" s="28">
        <v>53689</v>
      </c>
      <c r="F795" s="28">
        <v>15312</v>
      </c>
      <c r="G795" s="27" t="s">
        <v>11</v>
      </c>
      <c r="H795" s="27" t="s">
        <v>3421</v>
      </c>
      <c r="I795" s="27" t="s">
        <v>13</v>
      </c>
    </row>
    <row r="796" spans="1:9" x14ac:dyDescent="0.3">
      <c r="A796" s="26">
        <v>44972</v>
      </c>
      <c r="B796" s="27" t="s">
        <v>26</v>
      </c>
      <c r="C796" s="27" t="s">
        <v>6</v>
      </c>
      <c r="D796" s="27" t="s">
        <v>19</v>
      </c>
      <c r="E796" s="28">
        <v>109600</v>
      </c>
      <c r="F796" s="28">
        <v>126500</v>
      </c>
      <c r="G796" s="27" t="s">
        <v>22</v>
      </c>
      <c r="H796" s="27" t="s">
        <v>3456</v>
      </c>
      <c r="I796" s="27" t="s">
        <v>9</v>
      </c>
    </row>
    <row r="797" spans="1:9" x14ac:dyDescent="0.3">
      <c r="A797" s="26">
        <v>44972</v>
      </c>
      <c r="B797" s="27" t="s">
        <v>26</v>
      </c>
      <c r="C797" s="27" t="s">
        <v>6</v>
      </c>
      <c r="D797" s="27" t="s">
        <v>7</v>
      </c>
      <c r="E797" s="28">
        <v>147900</v>
      </c>
      <c r="F797" s="28">
        <v>172800</v>
      </c>
      <c r="G797" s="27" t="s">
        <v>11</v>
      </c>
      <c r="H797" s="27" t="s">
        <v>3584</v>
      </c>
      <c r="I797" s="27" t="s">
        <v>9</v>
      </c>
    </row>
    <row r="798" spans="1:9" x14ac:dyDescent="0.3">
      <c r="A798" s="26">
        <v>44972</v>
      </c>
      <c r="B798" s="27" t="s">
        <v>26</v>
      </c>
      <c r="C798" s="27" t="s">
        <v>6</v>
      </c>
      <c r="D798" s="27" t="s">
        <v>19</v>
      </c>
      <c r="E798" s="28">
        <v>86500</v>
      </c>
      <c r="F798" s="28">
        <v>87800</v>
      </c>
      <c r="G798" s="27" t="s">
        <v>11</v>
      </c>
      <c r="H798" s="27" t="s">
        <v>4064</v>
      </c>
      <c r="I798" s="27" t="s">
        <v>9</v>
      </c>
    </row>
    <row r="799" spans="1:9" x14ac:dyDescent="0.3">
      <c r="A799" s="26">
        <v>44972</v>
      </c>
      <c r="B799" s="27" t="s">
        <v>26</v>
      </c>
      <c r="C799" s="27" t="s">
        <v>6</v>
      </c>
      <c r="D799" s="27" t="s">
        <v>24</v>
      </c>
      <c r="E799" s="28">
        <v>242400</v>
      </c>
      <c r="F799" s="28">
        <v>288200</v>
      </c>
      <c r="G799" s="27" t="s">
        <v>11</v>
      </c>
      <c r="H799" s="27" t="s">
        <v>4121</v>
      </c>
      <c r="I799" s="27" t="s">
        <v>9</v>
      </c>
    </row>
    <row r="800" spans="1:9" x14ac:dyDescent="0.3">
      <c r="A800" s="26">
        <v>44972</v>
      </c>
      <c r="B800" s="27" t="s">
        <v>26</v>
      </c>
      <c r="C800" s="27" t="s">
        <v>6</v>
      </c>
      <c r="D800" s="27" t="s">
        <v>7</v>
      </c>
      <c r="E800" s="28">
        <v>38600</v>
      </c>
      <c r="F800" s="28">
        <v>40600</v>
      </c>
      <c r="G800" s="27" t="s">
        <v>11</v>
      </c>
      <c r="H800" s="27" t="s">
        <v>4401</v>
      </c>
      <c r="I800" s="27" t="s">
        <v>9</v>
      </c>
    </row>
    <row r="801" spans="1:9" x14ac:dyDescent="0.3">
      <c r="A801" s="26">
        <v>44972</v>
      </c>
      <c r="B801" s="27" t="s">
        <v>26</v>
      </c>
      <c r="C801" s="27" t="s">
        <v>93</v>
      </c>
      <c r="D801" s="27" t="s">
        <v>24</v>
      </c>
      <c r="E801" s="28">
        <v>97400</v>
      </c>
      <c r="F801" s="28">
        <v>130000</v>
      </c>
      <c r="G801" s="27" t="s">
        <v>22</v>
      </c>
      <c r="H801" s="27" t="s">
        <v>4429</v>
      </c>
      <c r="I801" s="27" t="s">
        <v>9</v>
      </c>
    </row>
    <row r="802" spans="1:9" x14ac:dyDescent="0.3">
      <c r="A802" s="26">
        <v>44972</v>
      </c>
      <c r="B802" s="27" t="s">
        <v>26</v>
      </c>
      <c r="C802" s="27" t="s">
        <v>6</v>
      </c>
      <c r="D802" s="27" t="s">
        <v>7</v>
      </c>
      <c r="E802" s="28">
        <v>92200</v>
      </c>
      <c r="F802" s="28">
        <v>86100</v>
      </c>
      <c r="G802" s="27" t="s">
        <v>17</v>
      </c>
      <c r="H802" s="27" t="s">
        <v>4444</v>
      </c>
      <c r="I802" s="27" t="s">
        <v>9</v>
      </c>
    </row>
    <row r="803" spans="1:9" x14ac:dyDescent="0.3">
      <c r="A803" s="26">
        <v>44972</v>
      </c>
      <c r="B803" s="27" t="s">
        <v>26</v>
      </c>
      <c r="C803" s="27" t="s">
        <v>6</v>
      </c>
      <c r="D803" s="27" t="s">
        <v>21</v>
      </c>
      <c r="E803" s="28">
        <v>115900</v>
      </c>
      <c r="F803" s="28">
        <v>137900</v>
      </c>
      <c r="G803" s="27" t="s">
        <v>11</v>
      </c>
      <c r="H803" s="27" t="s">
        <v>5450</v>
      </c>
      <c r="I803" s="27" t="s">
        <v>9</v>
      </c>
    </row>
    <row r="804" spans="1:9" x14ac:dyDescent="0.3">
      <c r="A804" s="26">
        <v>44972</v>
      </c>
      <c r="B804" s="27" t="s">
        <v>26</v>
      </c>
      <c r="C804" s="27" t="s">
        <v>93</v>
      </c>
      <c r="D804" s="27" t="s">
        <v>16</v>
      </c>
      <c r="E804" s="28">
        <v>128400</v>
      </c>
      <c r="F804" s="28">
        <v>115300</v>
      </c>
      <c r="G804" s="27" t="s">
        <v>22</v>
      </c>
      <c r="H804" s="27" t="s">
        <v>5707</v>
      </c>
      <c r="I804" s="27" t="s">
        <v>9</v>
      </c>
    </row>
    <row r="805" spans="1:9" x14ac:dyDescent="0.3">
      <c r="A805" s="26">
        <v>44972</v>
      </c>
      <c r="B805" s="27" t="s">
        <v>26</v>
      </c>
      <c r="C805" s="27" t="s">
        <v>6</v>
      </c>
      <c r="D805" s="27" t="s">
        <v>16</v>
      </c>
      <c r="E805" s="28">
        <v>135200</v>
      </c>
      <c r="F805" s="28">
        <v>127100</v>
      </c>
      <c r="G805" s="27" t="s">
        <v>17</v>
      </c>
      <c r="H805" s="27" t="s">
        <v>6219</v>
      </c>
      <c r="I805" s="27" t="s">
        <v>9</v>
      </c>
    </row>
    <row r="806" spans="1:9" x14ac:dyDescent="0.3">
      <c r="A806" s="26">
        <v>44972</v>
      </c>
      <c r="B806" s="27" t="s">
        <v>26</v>
      </c>
      <c r="C806" s="27" t="s">
        <v>6</v>
      </c>
      <c r="D806" s="27" t="s">
        <v>16</v>
      </c>
      <c r="E806" s="28">
        <v>138400</v>
      </c>
      <c r="F806" s="28">
        <v>135600</v>
      </c>
      <c r="G806" s="27" t="s">
        <v>22</v>
      </c>
      <c r="H806" s="27" t="s">
        <v>6646</v>
      </c>
      <c r="I806" s="27" t="s">
        <v>9</v>
      </c>
    </row>
    <row r="807" spans="1:9" x14ac:dyDescent="0.3">
      <c r="A807" s="26">
        <v>44972</v>
      </c>
      <c r="B807" s="27" t="s">
        <v>26</v>
      </c>
      <c r="C807" s="27" t="s">
        <v>93</v>
      </c>
      <c r="D807" s="27" t="s">
        <v>16</v>
      </c>
      <c r="E807" s="28">
        <v>83600</v>
      </c>
      <c r="F807" s="28">
        <v>88900</v>
      </c>
      <c r="G807" s="27" t="s">
        <v>11</v>
      </c>
      <c r="H807" s="27" t="s">
        <v>6806</v>
      </c>
      <c r="I807" s="27" t="s">
        <v>9</v>
      </c>
    </row>
    <row r="808" spans="1:9" x14ac:dyDescent="0.3">
      <c r="A808" s="26">
        <v>44973</v>
      </c>
      <c r="B808" s="27" t="s">
        <v>26</v>
      </c>
      <c r="C808" s="27" t="s">
        <v>14</v>
      </c>
      <c r="D808" s="27" t="s">
        <v>7</v>
      </c>
      <c r="E808" s="28">
        <v>131686</v>
      </c>
      <c r="F808" s="28">
        <v>136324</v>
      </c>
      <c r="G808" s="27" t="s">
        <v>11</v>
      </c>
      <c r="H808" s="27" t="s">
        <v>31</v>
      </c>
      <c r="I808" s="27" t="s">
        <v>13</v>
      </c>
    </row>
    <row r="809" spans="1:9" x14ac:dyDescent="0.3">
      <c r="A809" s="26">
        <v>44973</v>
      </c>
      <c r="B809" s="27" t="s">
        <v>26</v>
      </c>
      <c r="C809" s="27" t="s">
        <v>15</v>
      </c>
      <c r="D809" s="27" t="s">
        <v>21</v>
      </c>
      <c r="E809" s="28">
        <v>93535</v>
      </c>
      <c r="F809" s="28">
        <v>13524</v>
      </c>
      <c r="G809" s="27" t="s">
        <v>11</v>
      </c>
      <c r="H809" s="27" t="s">
        <v>336</v>
      </c>
      <c r="I809" s="27" t="s">
        <v>13</v>
      </c>
    </row>
    <row r="810" spans="1:9" x14ac:dyDescent="0.3">
      <c r="A810" s="26">
        <v>44973</v>
      </c>
      <c r="B810" s="27" t="s">
        <v>26</v>
      </c>
      <c r="C810" s="27" t="s">
        <v>18</v>
      </c>
      <c r="D810" s="27" t="s">
        <v>16</v>
      </c>
      <c r="E810" s="28">
        <v>56827</v>
      </c>
      <c r="F810" s="28">
        <v>48000</v>
      </c>
      <c r="G810" s="27" t="s">
        <v>8</v>
      </c>
      <c r="H810" s="27" t="s">
        <v>1354</v>
      </c>
      <c r="I810" s="27" t="s">
        <v>13</v>
      </c>
    </row>
    <row r="811" spans="1:9" x14ac:dyDescent="0.3">
      <c r="A811" s="26">
        <v>44973</v>
      </c>
      <c r="B811" s="27" t="s">
        <v>26</v>
      </c>
      <c r="C811" s="27" t="s">
        <v>15</v>
      </c>
      <c r="D811" s="27" t="s">
        <v>7</v>
      </c>
      <c r="E811" s="28">
        <v>86794</v>
      </c>
      <c r="F811" s="28">
        <v>95516</v>
      </c>
      <c r="G811" s="27" t="s">
        <v>17</v>
      </c>
      <c r="H811" s="27" t="s">
        <v>2055</v>
      </c>
      <c r="I811" s="27" t="s">
        <v>13</v>
      </c>
    </row>
    <row r="812" spans="1:9" x14ac:dyDescent="0.3">
      <c r="A812" s="26">
        <v>44973</v>
      </c>
      <c r="B812" s="27" t="s">
        <v>26</v>
      </c>
      <c r="C812" s="27" t="s">
        <v>32</v>
      </c>
      <c r="D812" s="27" t="s">
        <v>24</v>
      </c>
      <c r="E812" s="28">
        <v>125333</v>
      </c>
      <c r="F812" s="28">
        <v>61471</v>
      </c>
      <c r="G812" s="27" t="s">
        <v>11</v>
      </c>
      <c r="H812" s="27" t="s">
        <v>3316</v>
      </c>
      <c r="I812" s="27" t="s">
        <v>13</v>
      </c>
    </row>
    <row r="813" spans="1:9" x14ac:dyDescent="0.3">
      <c r="A813" s="26">
        <v>44973</v>
      </c>
      <c r="B813" s="27" t="s">
        <v>26</v>
      </c>
      <c r="C813" s="27" t="s">
        <v>6</v>
      </c>
      <c r="D813" s="27" t="s">
        <v>7</v>
      </c>
      <c r="E813" s="28">
        <v>208700</v>
      </c>
      <c r="F813" s="28">
        <v>244900</v>
      </c>
      <c r="G813" s="27" t="s">
        <v>11</v>
      </c>
      <c r="H813" s="27" t="s">
        <v>3453</v>
      </c>
      <c r="I813" s="27" t="s">
        <v>9</v>
      </c>
    </row>
    <row r="814" spans="1:9" x14ac:dyDescent="0.3">
      <c r="A814" s="26">
        <v>44973</v>
      </c>
      <c r="B814" s="27" t="s">
        <v>26</v>
      </c>
      <c r="C814" s="27" t="s">
        <v>93</v>
      </c>
      <c r="D814" s="27" t="s">
        <v>21</v>
      </c>
      <c r="E814" s="28">
        <v>109100</v>
      </c>
      <c r="F814" s="28">
        <v>108000</v>
      </c>
      <c r="G814" s="27" t="s">
        <v>11</v>
      </c>
      <c r="H814" s="27" t="s">
        <v>3717</v>
      </c>
      <c r="I814" s="27" t="s">
        <v>9</v>
      </c>
    </row>
    <row r="815" spans="1:9" x14ac:dyDescent="0.3">
      <c r="A815" s="26">
        <v>44973</v>
      </c>
      <c r="B815" s="27" t="s">
        <v>26</v>
      </c>
      <c r="C815" s="27" t="s">
        <v>93</v>
      </c>
      <c r="D815" s="27" t="s">
        <v>16</v>
      </c>
      <c r="E815" s="28">
        <v>146400</v>
      </c>
      <c r="F815" s="28">
        <v>182200</v>
      </c>
      <c r="G815" s="27" t="s">
        <v>11</v>
      </c>
      <c r="H815" s="27" t="s">
        <v>4737</v>
      </c>
      <c r="I815" s="27" t="s">
        <v>9</v>
      </c>
    </row>
    <row r="816" spans="1:9" x14ac:dyDescent="0.3">
      <c r="A816" s="26">
        <v>44973</v>
      </c>
      <c r="B816" s="27" t="s">
        <v>26</v>
      </c>
      <c r="C816" s="27" t="s">
        <v>93</v>
      </c>
      <c r="D816" s="27" t="s">
        <v>7</v>
      </c>
      <c r="E816" s="28">
        <v>99500</v>
      </c>
      <c r="F816" s="28">
        <v>100900</v>
      </c>
      <c r="G816" s="27" t="s">
        <v>17</v>
      </c>
      <c r="H816" s="27" t="s">
        <v>5439</v>
      </c>
      <c r="I816" s="27" t="s">
        <v>9</v>
      </c>
    </row>
    <row r="817" spans="1:9" x14ac:dyDescent="0.3">
      <c r="A817" s="26">
        <v>44973</v>
      </c>
      <c r="B817" s="27" t="s">
        <v>26</v>
      </c>
      <c r="C817" s="27" t="s">
        <v>6</v>
      </c>
      <c r="D817" s="27" t="s">
        <v>24</v>
      </c>
      <c r="E817" s="28">
        <v>82600</v>
      </c>
      <c r="F817" s="28">
        <v>102700</v>
      </c>
      <c r="G817" s="27" t="s">
        <v>11</v>
      </c>
      <c r="H817" s="27" t="s">
        <v>6701</v>
      </c>
      <c r="I817" s="27" t="s">
        <v>9</v>
      </c>
    </row>
    <row r="818" spans="1:9" x14ac:dyDescent="0.3">
      <c r="A818" s="26">
        <v>44974</v>
      </c>
      <c r="B818" s="27" t="s">
        <v>26</v>
      </c>
      <c r="C818" s="27" t="s">
        <v>20</v>
      </c>
      <c r="D818" s="27" t="s">
        <v>19</v>
      </c>
      <c r="E818" s="28">
        <v>117773</v>
      </c>
      <c r="F818" s="28">
        <v>97398</v>
      </c>
      <c r="G818" s="27" t="s">
        <v>22</v>
      </c>
      <c r="H818" s="27" t="s">
        <v>400</v>
      </c>
      <c r="I818" s="27" t="s">
        <v>13</v>
      </c>
    </row>
    <row r="819" spans="1:9" x14ac:dyDescent="0.3">
      <c r="A819" s="26">
        <v>44974</v>
      </c>
      <c r="B819" s="27" t="s">
        <v>26</v>
      </c>
      <c r="C819" s="27" t="s">
        <v>10</v>
      </c>
      <c r="D819" s="27" t="s">
        <v>24</v>
      </c>
      <c r="E819" s="28">
        <v>105120</v>
      </c>
      <c r="F819" s="28">
        <v>47499</v>
      </c>
      <c r="G819" s="27" t="s">
        <v>8</v>
      </c>
      <c r="H819" s="27" t="s">
        <v>452</v>
      </c>
      <c r="I819" s="27" t="s">
        <v>13</v>
      </c>
    </row>
    <row r="820" spans="1:9" x14ac:dyDescent="0.3">
      <c r="A820" s="26">
        <v>44974</v>
      </c>
      <c r="B820" s="27" t="s">
        <v>26</v>
      </c>
      <c r="C820" s="27" t="s">
        <v>32</v>
      </c>
      <c r="D820" s="27" t="s">
        <v>24</v>
      </c>
      <c r="E820" s="28">
        <v>49468</v>
      </c>
      <c r="F820" s="28">
        <v>148607</v>
      </c>
      <c r="G820" s="27" t="s">
        <v>22</v>
      </c>
      <c r="H820" s="27" t="s">
        <v>720</v>
      </c>
      <c r="I820" s="27" t="s">
        <v>13</v>
      </c>
    </row>
    <row r="821" spans="1:9" x14ac:dyDescent="0.3">
      <c r="A821" s="26">
        <v>44974</v>
      </c>
      <c r="B821" s="27" t="s">
        <v>26</v>
      </c>
      <c r="C821" s="27" t="s">
        <v>15</v>
      </c>
      <c r="D821" s="27" t="s">
        <v>21</v>
      </c>
      <c r="E821" s="28">
        <v>59897</v>
      </c>
      <c r="F821" s="28">
        <v>82516</v>
      </c>
      <c r="G821" s="27" t="s">
        <v>17</v>
      </c>
      <c r="H821" s="27" t="s">
        <v>1157</v>
      </c>
      <c r="I821" s="27" t="s">
        <v>13</v>
      </c>
    </row>
    <row r="822" spans="1:9" x14ac:dyDescent="0.3">
      <c r="A822" s="26">
        <v>44974</v>
      </c>
      <c r="B822" s="27" t="s">
        <v>26</v>
      </c>
      <c r="C822" s="27" t="s">
        <v>18</v>
      </c>
      <c r="D822" s="27" t="s">
        <v>24</v>
      </c>
      <c r="E822" s="28">
        <v>60794</v>
      </c>
      <c r="F822" s="28">
        <v>162023</v>
      </c>
      <c r="G822" s="27" t="s">
        <v>8</v>
      </c>
      <c r="H822" s="27" t="s">
        <v>1555</v>
      </c>
      <c r="I822" s="27" t="s">
        <v>13</v>
      </c>
    </row>
    <row r="823" spans="1:9" x14ac:dyDescent="0.3">
      <c r="A823" s="26">
        <v>44974</v>
      </c>
      <c r="B823" s="27" t="s">
        <v>26</v>
      </c>
      <c r="C823" s="27" t="s">
        <v>15</v>
      </c>
      <c r="D823" s="27" t="s">
        <v>16</v>
      </c>
      <c r="E823" s="28">
        <v>149778</v>
      </c>
      <c r="F823" s="28">
        <v>33597</v>
      </c>
      <c r="G823" s="27" t="s">
        <v>22</v>
      </c>
      <c r="H823" s="27" t="s">
        <v>1632</v>
      </c>
      <c r="I823" s="27" t="s">
        <v>13</v>
      </c>
    </row>
    <row r="824" spans="1:9" x14ac:dyDescent="0.3">
      <c r="A824" s="26">
        <v>44974</v>
      </c>
      <c r="B824" s="27" t="s">
        <v>26</v>
      </c>
      <c r="C824" s="27" t="s">
        <v>20</v>
      </c>
      <c r="D824" s="27" t="s">
        <v>7</v>
      </c>
      <c r="E824" s="28">
        <v>94560</v>
      </c>
      <c r="F824" s="28">
        <v>110704</v>
      </c>
      <c r="G824" s="27" t="s">
        <v>22</v>
      </c>
      <c r="H824" s="27" t="s">
        <v>1851</v>
      </c>
      <c r="I824" s="27" t="s">
        <v>13</v>
      </c>
    </row>
    <row r="825" spans="1:9" x14ac:dyDescent="0.3">
      <c r="A825" s="26">
        <v>44974</v>
      </c>
      <c r="B825" s="27" t="s">
        <v>26</v>
      </c>
      <c r="C825" s="27" t="s">
        <v>14</v>
      </c>
      <c r="D825" s="27" t="s">
        <v>19</v>
      </c>
      <c r="E825" s="28">
        <v>100536</v>
      </c>
      <c r="F825" s="28">
        <v>109041</v>
      </c>
      <c r="G825" s="27" t="s">
        <v>11</v>
      </c>
      <c r="H825" s="27" t="s">
        <v>1964</v>
      </c>
      <c r="I825" s="27" t="s">
        <v>13</v>
      </c>
    </row>
    <row r="826" spans="1:9" x14ac:dyDescent="0.3">
      <c r="A826" s="26">
        <v>44974</v>
      </c>
      <c r="B826" s="27" t="s">
        <v>26</v>
      </c>
      <c r="C826" s="27" t="s">
        <v>32</v>
      </c>
      <c r="D826" s="27" t="s">
        <v>19</v>
      </c>
      <c r="E826" s="28">
        <v>51063</v>
      </c>
      <c r="F826" s="28">
        <v>14255</v>
      </c>
      <c r="G826" s="27" t="s">
        <v>8</v>
      </c>
      <c r="H826" s="27" t="s">
        <v>2333</v>
      </c>
      <c r="I826" s="27" t="s">
        <v>13</v>
      </c>
    </row>
    <row r="827" spans="1:9" x14ac:dyDescent="0.3">
      <c r="A827" s="26">
        <v>44974</v>
      </c>
      <c r="B827" s="27" t="s">
        <v>26</v>
      </c>
      <c r="C827" s="27" t="s">
        <v>32</v>
      </c>
      <c r="D827" s="27" t="s">
        <v>24</v>
      </c>
      <c r="E827" s="28">
        <v>73402</v>
      </c>
      <c r="F827" s="28">
        <v>115484</v>
      </c>
      <c r="G827" s="27" t="s">
        <v>17</v>
      </c>
      <c r="H827" s="27" t="s">
        <v>2596</v>
      </c>
      <c r="I827" s="27" t="s">
        <v>13</v>
      </c>
    </row>
    <row r="828" spans="1:9" x14ac:dyDescent="0.3">
      <c r="A828" s="26">
        <v>44974</v>
      </c>
      <c r="B828" s="27" t="s">
        <v>26</v>
      </c>
      <c r="C828" s="27" t="s">
        <v>10</v>
      </c>
      <c r="D828" s="27" t="s">
        <v>19</v>
      </c>
      <c r="E828" s="28">
        <v>32091</v>
      </c>
      <c r="F828" s="28">
        <v>131491</v>
      </c>
      <c r="G828" s="27" t="s">
        <v>22</v>
      </c>
      <c r="H828" s="27" t="s">
        <v>2723</v>
      </c>
      <c r="I828" s="27" t="s">
        <v>13</v>
      </c>
    </row>
    <row r="829" spans="1:9" x14ac:dyDescent="0.3">
      <c r="A829" s="26">
        <v>44974</v>
      </c>
      <c r="B829" s="27" t="s">
        <v>26</v>
      </c>
      <c r="C829" s="27" t="s">
        <v>18</v>
      </c>
      <c r="D829" s="27" t="s">
        <v>19</v>
      </c>
      <c r="E829" s="28">
        <v>15786</v>
      </c>
      <c r="F829" s="28">
        <v>72776</v>
      </c>
      <c r="G829" s="27" t="s">
        <v>22</v>
      </c>
      <c r="H829" s="27" t="s">
        <v>3389</v>
      </c>
      <c r="I829" s="27" t="s">
        <v>13</v>
      </c>
    </row>
    <row r="830" spans="1:9" x14ac:dyDescent="0.3">
      <c r="A830" s="26">
        <v>44974</v>
      </c>
      <c r="B830" s="27" t="s">
        <v>26</v>
      </c>
      <c r="C830" s="27" t="s">
        <v>93</v>
      </c>
      <c r="D830" s="27" t="s">
        <v>19</v>
      </c>
      <c r="E830" s="28">
        <v>235800</v>
      </c>
      <c r="F830" s="28">
        <v>240900</v>
      </c>
      <c r="G830" s="27" t="s">
        <v>11</v>
      </c>
      <c r="H830" s="27" t="s">
        <v>3781</v>
      </c>
      <c r="I830" s="27" t="s">
        <v>9</v>
      </c>
    </row>
    <row r="831" spans="1:9" x14ac:dyDescent="0.3">
      <c r="A831" s="26">
        <v>44974</v>
      </c>
      <c r="B831" s="27" t="s">
        <v>26</v>
      </c>
      <c r="C831" s="27" t="s">
        <v>6</v>
      </c>
      <c r="D831" s="27" t="s">
        <v>24</v>
      </c>
      <c r="E831" s="28">
        <v>85000</v>
      </c>
      <c r="F831" s="28">
        <v>100400</v>
      </c>
      <c r="G831" s="27" t="s">
        <v>11</v>
      </c>
      <c r="H831" s="27" t="s">
        <v>3833</v>
      </c>
      <c r="I831" s="27" t="s">
        <v>9</v>
      </c>
    </row>
    <row r="832" spans="1:9" x14ac:dyDescent="0.3">
      <c r="A832" s="26">
        <v>44974</v>
      </c>
      <c r="B832" s="27" t="s">
        <v>26</v>
      </c>
      <c r="C832" s="27" t="s">
        <v>6</v>
      </c>
      <c r="D832" s="27" t="s">
        <v>24</v>
      </c>
      <c r="E832" s="28">
        <v>145900</v>
      </c>
      <c r="F832" s="28">
        <v>162700</v>
      </c>
      <c r="G832" s="27" t="s">
        <v>17</v>
      </c>
      <c r="H832" s="27" t="s">
        <v>4101</v>
      </c>
      <c r="I832" s="27" t="s">
        <v>9</v>
      </c>
    </row>
    <row r="833" spans="1:9" x14ac:dyDescent="0.3">
      <c r="A833" s="26">
        <v>44974</v>
      </c>
      <c r="B833" s="27" t="s">
        <v>26</v>
      </c>
      <c r="C833" s="27" t="s">
        <v>6</v>
      </c>
      <c r="D833" s="27" t="s">
        <v>21</v>
      </c>
      <c r="E833" s="28">
        <v>78600</v>
      </c>
      <c r="F833" s="28">
        <v>95900</v>
      </c>
      <c r="G833" s="27" t="s">
        <v>22</v>
      </c>
      <c r="H833" s="27" t="s">
        <v>4540</v>
      </c>
      <c r="I833" s="27" t="s">
        <v>9</v>
      </c>
    </row>
    <row r="834" spans="1:9" x14ac:dyDescent="0.3">
      <c r="A834" s="26">
        <v>44974</v>
      </c>
      <c r="B834" s="27" t="s">
        <v>26</v>
      </c>
      <c r="C834" s="27" t="s">
        <v>93</v>
      </c>
      <c r="D834" s="27" t="s">
        <v>24</v>
      </c>
      <c r="E834" s="28">
        <v>176900</v>
      </c>
      <c r="F834" s="28">
        <v>212100</v>
      </c>
      <c r="G834" s="27" t="s">
        <v>22</v>
      </c>
      <c r="H834" s="27" t="s">
        <v>4938</v>
      </c>
      <c r="I834" s="27" t="s">
        <v>9</v>
      </c>
    </row>
    <row r="835" spans="1:9" x14ac:dyDescent="0.3">
      <c r="A835" s="26">
        <v>44974</v>
      </c>
      <c r="B835" s="27" t="s">
        <v>26</v>
      </c>
      <c r="C835" s="27" t="s">
        <v>93</v>
      </c>
      <c r="D835" s="27" t="s">
        <v>16</v>
      </c>
      <c r="E835" s="28">
        <v>109100</v>
      </c>
      <c r="F835" s="28">
        <v>95700</v>
      </c>
      <c r="G835" s="27" t="s">
        <v>22</v>
      </c>
      <c r="H835" s="27" t="s">
        <v>5015</v>
      </c>
      <c r="I835" s="27" t="s">
        <v>9</v>
      </c>
    </row>
    <row r="836" spans="1:9" x14ac:dyDescent="0.3">
      <c r="A836" s="26">
        <v>44974</v>
      </c>
      <c r="B836" s="27" t="s">
        <v>26</v>
      </c>
      <c r="C836" s="27" t="s">
        <v>6</v>
      </c>
      <c r="D836" s="27" t="s">
        <v>7</v>
      </c>
      <c r="E836" s="28">
        <v>150000</v>
      </c>
      <c r="F836" s="28">
        <v>114400</v>
      </c>
      <c r="G836" s="27" t="s">
        <v>11</v>
      </c>
      <c r="H836" s="27" t="s">
        <v>5234</v>
      </c>
      <c r="I836" s="27" t="s">
        <v>9</v>
      </c>
    </row>
    <row r="837" spans="1:9" x14ac:dyDescent="0.3">
      <c r="A837" s="26">
        <v>44974</v>
      </c>
      <c r="B837" s="27" t="s">
        <v>26</v>
      </c>
      <c r="C837" s="27" t="s">
        <v>93</v>
      </c>
      <c r="D837" s="27" t="s">
        <v>19</v>
      </c>
      <c r="E837" s="28">
        <v>115200</v>
      </c>
      <c r="F837" s="28">
        <v>129800</v>
      </c>
      <c r="G837" s="27" t="s">
        <v>17</v>
      </c>
      <c r="H837" s="27" t="s">
        <v>5348</v>
      </c>
      <c r="I837" s="27" t="s">
        <v>9</v>
      </c>
    </row>
    <row r="838" spans="1:9" x14ac:dyDescent="0.3">
      <c r="A838" s="26">
        <v>44974</v>
      </c>
      <c r="B838" s="27" t="s">
        <v>26</v>
      </c>
      <c r="C838" s="27" t="s">
        <v>93</v>
      </c>
      <c r="D838" s="27" t="s">
        <v>19</v>
      </c>
      <c r="E838" s="28">
        <v>91300</v>
      </c>
      <c r="F838" s="28">
        <v>97600</v>
      </c>
      <c r="G838" s="27" t="s">
        <v>22</v>
      </c>
      <c r="H838" s="27" t="s">
        <v>5718</v>
      </c>
      <c r="I838" s="27" t="s">
        <v>9</v>
      </c>
    </row>
    <row r="839" spans="1:9" x14ac:dyDescent="0.3">
      <c r="A839" s="26">
        <v>44974</v>
      </c>
      <c r="B839" s="27" t="s">
        <v>26</v>
      </c>
      <c r="C839" s="27" t="s">
        <v>6</v>
      </c>
      <c r="D839" s="27" t="s">
        <v>24</v>
      </c>
      <c r="E839" s="28">
        <v>119700</v>
      </c>
      <c r="F839" s="28">
        <v>133500</v>
      </c>
      <c r="G839" s="27" t="s">
        <v>22</v>
      </c>
      <c r="H839" s="27" t="s">
        <v>5981</v>
      </c>
      <c r="I839" s="27" t="s">
        <v>9</v>
      </c>
    </row>
    <row r="840" spans="1:9" x14ac:dyDescent="0.3">
      <c r="A840" s="26">
        <v>44974</v>
      </c>
      <c r="B840" s="27" t="s">
        <v>26</v>
      </c>
      <c r="C840" s="27" t="s">
        <v>6</v>
      </c>
      <c r="D840" s="27" t="s">
        <v>19</v>
      </c>
      <c r="E840" s="28">
        <v>76700</v>
      </c>
      <c r="F840" s="28">
        <v>106800</v>
      </c>
      <c r="G840" s="27" t="s">
        <v>11</v>
      </c>
      <c r="H840" s="27" t="s">
        <v>6108</v>
      </c>
      <c r="I840" s="27" t="s">
        <v>9</v>
      </c>
    </row>
    <row r="841" spans="1:9" x14ac:dyDescent="0.3">
      <c r="A841" s="26">
        <v>44974</v>
      </c>
      <c r="B841" s="27" t="s">
        <v>26</v>
      </c>
      <c r="C841" s="27" t="s">
        <v>6</v>
      </c>
      <c r="D841" s="27" t="s">
        <v>19</v>
      </c>
      <c r="E841" s="28">
        <v>74900</v>
      </c>
      <c r="F841" s="28">
        <v>90300</v>
      </c>
      <c r="G841" s="27" t="s">
        <v>11</v>
      </c>
      <c r="H841" s="27" t="s">
        <v>6774</v>
      </c>
      <c r="I841" s="27" t="s">
        <v>9</v>
      </c>
    </row>
    <row r="842" spans="1:9" x14ac:dyDescent="0.3">
      <c r="A842" s="26">
        <v>44975</v>
      </c>
      <c r="B842" s="27" t="s">
        <v>26</v>
      </c>
      <c r="C842" s="27" t="s">
        <v>10</v>
      </c>
      <c r="D842" s="27" t="s">
        <v>19</v>
      </c>
      <c r="E842" s="28">
        <v>69383</v>
      </c>
      <c r="F842" s="28">
        <v>116434</v>
      </c>
      <c r="G842" s="27" t="s">
        <v>8</v>
      </c>
      <c r="H842" s="27" t="s">
        <v>373</v>
      </c>
      <c r="I842" s="27" t="s">
        <v>13</v>
      </c>
    </row>
    <row r="843" spans="1:9" x14ac:dyDescent="0.3">
      <c r="A843" s="26">
        <v>44975</v>
      </c>
      <c r="B843" s="27" t="s">
        <v>26</v>
      </c>
      <c r="C843" s="27" t="s">
        <v>20</v>
      </c>
      <c r="D843" s="27" t="s">
        <v>24</v>
      </c>
      <c r="E843" s="28">
        <v>37883</v>
      </c>
      <c r="F843" s="28">
        <v>154610</v>
      </c>
      <c r="G843" s="27" t="s">
        <v>8</v>
      </c>
      <c r="H843" s="27" t="s">
        <v>554</v>
      </c>
      <c r="I843" s="27" t="s">
        <v>13</v>
      </c>
    </row>
    <row r="844" spans="1:9" x14ac:dyDescent="0.3">
      <c r="A844" s="26">
        <v>44975</v>
      </c>
      <c r="B844" s="27" t="s">
        <v>26</v>
      </c>
      <c r="C844" s="27" t="s">
        <v>18</v>
      </c>
      <c r="D844" s="27" t="s">
        <v>16</v>
      </c>
      <c r="E844" s="28">
        <v>145303</v>
      </c>
      <c r="F844" s="28">
        <v>115390</v>
      </c>
      <c r="G844" s="27" t="s">
        <v>17</v>
      </c>
      <c r="H844" s="27" t="s">
        <v>849</v>
      </c>
      <c r="I844" s="27" t="s">
        <v>13</v>
      </c>
    </row>
    <row r="845" spans="1:9" x14ac:dyDescent="0.3">
      <c r="A845" s="26">
        <v>44975</v>
      </c>
      <c r="B845" s="27" t="s">
        <v>26</v>
      </c>
      <c r="C845" s="27" t="s">
        <v>14</v>
      </c>
      <c r="D845" s="27" t="s">
        <v>21</v>
      </c>
      <c r="E845" s="28">
        <v>21179</v>
      </c>
      <c r="F845" s="28">
        <v>36984</v>
      </c>
      <c r="G845" s="27" t="s">
        <v>8</v>
      </c>
      <c r="H845" s="27" t="s">
        <v>906</v>
      </c>
      <c r="I845" s="27" t="s">
        <v>13</v>
      </c>
    </row>
    <row r="846" spans="1:9" x14ac:dyDescent="0.3">
      <c r="A846" s="26">
        <v>44975</v>
      </c>
      <c r="B846" s="27" t="s">
        <v>26</v>
      </c>
      <c r="C846" s="27" t="s">
        <v>15</v>
      </c>
      <c r="D846" s="27" t="s">
        <v>24</v>
      </c>
      <c r="E846" s="28">
        <v>125318</v>
      </c>
      <c r="F846" s="28">
        <v>156593</v>
      </c>
      <c r="G846" s="27" t="s">
        <v>8</v>
      </c>
      <c r="H846" s="27" t="s">
        <v>928</v>
      </c>
      <c r="I846" s="27" t="s">
        <v>13</v>
      </c>
    </row>
    <row r="847" spans="1:9" x14ac:dyDescent="0.3">
      <c r="A847" s="26">
        <v>44975</v>
      </c>
      <c r="B847" s="27" t="s">
        <v>26</v>
      </c>
      <c r="C847" s="27" t="s">
        <v>14</v>
      </c>
      <c r="D847" s="27" t="s">
        <v>7</v>
      </c>
      <c r="E847" s="28">
        <v>30018</v>
      </c>
      <c r="F847" s="28">
        <v>158913</v>
      </c>
      <c r="G847" s="27" t="s">
        <v>22</v>
      </c>
      <c r="H847" s="27" t="s">
        <v>1496</v>
      </c>
      <c r="I847" s="27" t="s">
        <v>13</v>
      </c>
    </row>
    <row r="848" spans="1:9" x14ac:dyDescent="0.3">
      <c r="A848" s="26">
        <v>44975</v>
      </c>
      <c r="B848" s="27" t="s">
        <v>26</v>
      </c>
      <c r="C848" s="27" t="s">
        <v>15</v>
      </c>
      <c r="D848" s="27" t="s">
        <v>24</v>
      </c>
      <c r="E848" s="28">
        <v>15126</v>
      </c>
      <c r="F848" s="28">
        <v>145089</v>
      </c>
      <c r="G848" s="27" t="s">
        <v>8</v>
      </c>
      <c r="H848" s="27" t="s">
        <v>2442</v>
      </c>
      <c r="I848" s="27" t="s">
        <v>13</v>
      </c>
    </row>
    <row r="849" spans="1:9" x14ac:dyDescent="0.3">
      <c r="A849" s="26">
        <v>44975</v>
      </c>
      <c r="B849" s="27" t="s">
        <v>26</v>
      </c>
      <c r="C849" s="27" t="s">
        <v>10</v>
      </c>
      <c r="D849" s="27" t="s">
        <v>24</v>
      </c>
      <c r="E849" s="28">
        <v>65820</v>
      </c>
      <c r="F849" s="28">
        <v>93332</v>
      </c>
      <c r="G849" s="27" t="s">
        <v>17</v>
      </c>
      <c r="H849" s="27" t="s">
        <v>2923</v>
      </c>
      <c r="I849" s="27" t="s">
        <v>13</v>
      </c>
    </row>
    <row r="850" spans="1:9" x14ac:dyDescent="0.3">
      <c r="A850" s="26">
        <v>44975</v>
      </c>
      <c r="B850" s="27" t="s">
        <v>26</v>
      </c>
      <c r="C850" s="27" t="s">
        <v>6</v>
      </c>
      <c r="D850" s="27" t="s">
        <v>19</v>
      </c>
      <c r="E850" s="28">
        <v>178400</v>
      </c>
      <c r="F850" s="28">
        <v>166000</v>
      </c>
      <c r="G850" s="27" t="s">
        <v>22</v>
      </c>
      <c r="H850" s="27" t="s">
        <v>3754</v>
      </c>
      <c r="I850" s="27" t="s">
        <v>9</v>
      </c>
    </row>
    <row r="851" spans="1:9" x14ac:dyDescent="0.3">
      <c r="A851" s="26">
        <v>44975</v>
      </c>
      <c r="B851" s="27" t="s">
        <v>26</v>
      </c>
      <c r="C851" s="27" t="s">
        <v>6</v>
      </c>
      <c r="D851" s="27" t="s">
        <v>24</v>
      </c>
      <c r="E851" s="28">
        <v>106300</v>
      </c>
      <c r="F851" s="28">
        <v>90300</v>
      </c>
      <c r="G851" s="27" t="s">
        <v>22</v>
      </c>
      <c r="H851" s="27" t="s">
        <v>3935</v>
      </c>
      <c r="I851" s="27" t="s">
        <v>9</v>
      </c>
    </row>
    <row r="852" spans="1:9" x14ac:dyDescent="0.3">
      <c r="A852" s="26">
        <v>44975</v>
      </c>
      <c r="B852" s="27" t="s">
        <v>26</v>
      </c>
      <c r="C852" s="27" t="s">
        <v>6</v>
      </c>
      <c r="D852" s="27" t="s">
        <v>16</v>
      </c>
      <c r="E852" s="28">
        <v>115900</v>
      </c>
      <c r="F852" s="28">
        <v>154100</v>
      </c>
      <c r="G852" s="27" t="s">
        <v>11</v>
      </c>
      <c r="H852" s="27" t="s">
        <v>4230</v>
      </c>
      <c r="I852" s="27" t="s">
        <v>9</v>
      </c>
    </row>
    <row r="853" spans="1:9" x14ac:dyDescent="0.3">
      <c r="A853" s="26">
        <v>44975</v>
      </c>
      <c r="B853" s="27" t="s">
        <v>26</v>
      </c>
      <c r="C853" s="27" t="s">
        <v>6</v>
      </c>
      <c r="D853" s="27" t="s">
        <v>21</v>
      </c>
      <c r="E853" s="28">
        <v>213200</v>
      </c>
      <c r="F853" s="28">
        <v>196100</v>
      </c>
      <c r="G853" s="27" t="s">
        <v>22</v>
      </c>
      <c r="H853" s="27" t="s">
        <v>4287</v>
      </c>
      <c r="I853" s="27" t="s">
        <v>9</v>
      </c>
    </row>
    <row r="854" spans="1:9" x14ac:dyDescent="0.3">
      <c r="A854" s="26">
        <v>44975</v>
      </c>
      <c r="B854" s="27" t="s">
        <v>26</v>
      </c>
      <c r="C854" s="27" t="s">
        <v>93</v>
      </c>
      <c r="D854" s="27" t="s">
        <v>24</v>
      </c>
      <c r="E854" s="28">
        <v>42400</v>
      </c>
      <c r="F854" s="28">
        <v>48800</v>
      </c>
      <c r="G854" s="27" t="s">
        <v>11</v>
      </c>
      <c r="H854" s="27" t="s">
        <v>4309</v>
      </c>
      <c r="I854" s="27" t="s">
        <v>9</v>
      </c>
    </row>
    <row r="855" spans="1:9" x14ac:dyDescent="0.3">
      <c r="A855" s="26">
        <v>44975</v>
      </c>
      <c r="B855" s="27" t="s">
        <v>26</v>
      </c>
      <c r="C855" s="27" t="s">
        <v>6</v>
      </c>
      <c r="D855" s="27" t="s">
        <v>7</v>
      </c>
      <c r="E855" s="28">
        <v>182600</v>
      </c>
      <c r="F855" s="28">
        <v>203800</v>
      </c>
      <c r="G855" s="27" t="s">
        <v>17</v>
      </c>
      <c r="H855" s="27" t="s">
        <v>4879</v>
      </c>
      <c r="I855" s="27" t="s">
        <v>9</v>
      </c>
    </row>
    <row r="856" spans="1:9" x14ac:dyDescent="0.3">
      <c r="A856" s="26">
        <v>44975</v>
      </c>
      <c r="B856" s="27" t="s">
        <v>26</v>
      </c>
      <c r="C856" s="27" t="s">
        <v>93</v>
      </c>
      <c r="D856" s="27" t="s">
        <v>24</v>
      </c>
      <c r="E856" s="28">
        <v>57700</v>
      </c>
      <c r="F856" s="28">
        <v>55700</v>
      </c>
      <c r="G856" s="27" t="s">
        <v>11</v>
      </c>
      <c r="H856" s="27" t="s">
        <v>5827</v>
      </c>
      <c r="I856" s="27" t="s">
        <v>9</v>
      </c>
    </row>
    <row r="857" spans="1:9" x14ac:dyDescent="0.3">
      <c r="A857" s="26">
        <v>44975</v>
      </c>
      <c r="B857" s="27" t="s">
        <v>26</v>
      </c>
      <c r="C857" s="27" t="s">
        <v>6</v>
      </c>
      <c r="D857" s="27" t="s">
        <v>24</v>
      </c>
      <c r="E857" s="28">
        <v>97700</v>
      </c>
      <c r="F857" s="28">
        <v>90900</v>
      </c>
      <c r="G857" s="27" t="s">
        <v>11</v>
      </c>
      <c r="H857" s="27" t="s">
        <v>6308</v>
      </c>
      <c r="I857" s="27" t="s">
        <v>9</v>
      </c>
    </row>
    <row r="858" spans="1:9" x14ac:dyDescent="0.3">
      <c r="A858" s="26">
        <v>44976</v>
      </c>
      <c r="B858" s="27" t="s">
        <v>26</v>
      </c>
      <c r="C858" s="27" t="s">
        <v>32</v>
      </c>
      <c r="D858" s="27" t="s">
        <v>19</v>
      </c>
      <c r="E858" s="28">
        <v>95847</v>
      </c>
      <c r="F858" s="28">
        <v>85319</v>
      </c>
      <c r="G858" s="27" t="s">
        <v>17</v>
      </c>
      <c r="H858" s="27" t="s">
        <v>33</v>
      </c>
      <c r="I858" s="27" t="s">
        <v>13</v>
      </c>
    </row>
    <row r="859" spans="1:9" x14ac:dyDescent="0.3">
      <c r="A859" s="26">
        <v>44976</v>
      </c>
      <c r="B859" s="27" t="s">
        <v>26</v>
      </c>
      <c r="C859" s="27" t="s">
        <v>10</v>
      </c>
      <c r="D859" s="27" t="s">
        <v>7</v>
      </c>
      <c r="E859" s="28">
        <v>39917</v>
      </c>
      <c r="F859" s="28">
        <v>141326</v>
      </c>
      <c r="G859" s="27" t="s">
        <v>17</v>
      </c>
      <c r="H859" s="27" t="s">
        <v>765</v>
      </c>
      <c r="I859" s="27" t="s">
        <v>13</v>
      </c>
    </row>
    <row r="860" spans="1:9" x14ac:dyDescent="0.3">
      <c r="A860" s="26">
        <v>44976</v>
      </c>
      <c r="B860" s="27" t="s">
        <v>26</v>
      </c>
      <c r="C860" s="27" t="s">
        <v>32</v>
      </c>
      <c r="D860" s="27" t="s">
        <v>19</v>
      </c>
      <c r="E860" s="28">
        <v>45225</v>
      </c>
      <c r="F860" s="28">
        <v>28177</v>
      </c>
      <c r="G860" s="27" t="s">
        <v>11</v>
      </c>
      <c r="H860" s="27" t="s">
        <v>916</v>
      </c>
      <c r="I860" s="27" t="s">
        <v>13</v>
      </c>
    </row>
    <row r="861" spans="1:9" x14ac:dyDescent="0.3">
      <c r="A861" s="26">
        <v>44976</v>
      </c>
      <c r="B861" s="27" t="s">
        <v>26</v>
      </c>
      <c r="C861" s="27" t="s">
        <v>32</v>
      </c>
      <c r="D861" s="27" t="s">
        <v>24</v>
      </c>
      <c r="E861" s="28">
        <v>105385</v>
      </c>
      <c r="F861" s="28">
        <v>102635</v>
      </c>
      <c r="G861" s="27" t="s">
        <v>22</v>
      </c>
      <c r="H861" s="27" t="s">
        <v>1301</v>
      </c>
      <c r="I861" s="27" t="s">
        <v>13</v>
      </c>
    </row>
    <row r="862" spans="1:9" x14ac:dyDescent="0.3">
      <c r="A862" s="26">
        <v>44976</v>
      </c>
      <c r="B862" s="27" t="s">
        <v>26</v>
      </c>
      <c r="C862" s="27" t="s">
        <v>10</v>
      </c>
      <c r="D862" s="27" t="s">
        <v>7</v>
      </c>
      <c r="E862" s="28">
        <v>120856</v>
      </c>
      <c r="F862" s="28">
        <v>63349</v>
      </c>
      <c r="G862" s="27" t="s">
        <v>8</v>
      </c>
      <c r="H862" s="27" t="s">
        <v>1315</v>
      </c>
      <c r="I862" s="27" t="s">
        <v>13</v>
      </c>
    </row>
    <row r="863" spans="1:9" x14ac:dyDescent="0.3">
      <c r="A863" s="26">
        <v>44976</v>
      </c>
      <c r="B863" s="27" t="s">
        <v>26</v>
      </c>
      <c r="C863" s="27" t="s">
        <v>32</v>
      </c>
      <c r="D863" s="27" t="s">
        <v>21</v>
      </c>
      <c r="E863" s="28">
        <v>45162</v>
      </c>
      <c r="F863" s="28">
        <v>11122</v>
      </c>
      <c r="G863" s="27" t="s">
        <v>22</v>
      </c>
      <c r="H863" s="27" t="s">
        <v>1592</v>
      </c>
      <c r="I863" s="27" t="s">
        <v>13</v>
      </c>
    </row>
    <row r="864" spans="1:9" x14ac:dyDescent="0.3">
      <c r="A864" s="26">
        <v>44976</v>
      </c>
      <c r="B864" s="27" t="s">
        <v>26</v>
      </c>
      <c r="C864" s="27" t="s">
        <v>14</v>
      </c>
      <c r="D864" s="27" t="s">
        <v>21</v>
      </c>
      <c r="E864" s="28">
        <v>42850</v>
      </c>
      <c r="F864" s="28">
        <v>126401</v>
      </c>
      <c r="G864" s="27" t="s">
        <v>17</v>
      </c>
      <c r="H864" s="27" t="s">
        <v>1988</v>
      </c>
      <c r="I864" s="27" t="s">
        <v>13</v>
      </c>
    </row>
    <row r="865" spans="1:9" x14ac:dyDescent="0.3">
      <c r="A865" s="26">
        <v>44976</v>
      </c>
      <c r="B865" s="27" t="s">
        <v>26</v>
      </c>
      <c r="C865" s="27" t="s">
        <v>20</v>
      </c>
      <c r="D865" s="27" t="s">
        <v>19</v>
      </c>
      <c r="E865" s="28">
        <v>43399</v>
      </c>
      <c r="F865" s="28">
        <v>55048</v>
      </c>
      <c r="G865" s="27" t="s">
        <v>8</v>
      </c>
      <c r="H865" s="27" t="s">
        <v>2344</v>
      </c>
      <c r="I865" s="27" t="s">
        <v>13</v>
      </c>
    </row>
    <row r="866" spans="1:9" x14ac:dyDescent="0.3">
      <c r="A866" s="26">
        <v>44976</v>
      </c>
      <c r="B866" s="27" t="s">
        <v>26</v>
      </c>
      <c r="C866" s="27" t="s">
        <v>18</v>
      </c>
      <c r="D866" s="27" t="s">
        <v>21</v>
      </c>
      <c r="E866" s="28">
        <v>81699</v>
      </c>
      <c r="F866" s="28">
        <v>145637</v>
      </c>
      <c r="G866" s="27" t="s">
        <v>17</v>
      </c>
      <c r="H866" s="27" t="s">
        <v>3051</v>
      </c>
      <c r="I866" s="27" t="s">
        <v>13</v>
      </c>
    </row>
    <row r="867" spans="1:9" x14ac:dyDescent="0.3">
      <c r="A867" s="26">
        <v>44976</v>
      </c>
      <c r="B867" s="27" t="s">
        <v>26</v>
      </c>
      <c r="C867" s="27" t="s">
        <v>18</v>
      </c>
      <c r="D867" s="27" t="s">
        <v>21</v>
      </c>
      <c r="E867" s="28">
        <v>96145</v>
      </c>
      <c r="F867" s="28">
        <v>32685</v>
      </c>
      <c r="G867" s="27" t="s">
        <v>17</v>
      </c>
      <c r="H867" s="27" t="s">
        <v>3256</v>
      </c>
      <c r="I867" s="27" t="s">
        <v>13</v>
      </c>
    </row>
    <row r="868" spans="1:9" x14ac:dyDescent="0.3">
      <c r="A868" s="26">
        <v>44976</v>
      </c>
      <c r="B868" s="27" t="s">
        <v>26</v>
      </c>
      <c r="C868" s="27" t="s">
        <v>15</v>
      </c>
      <c r="D868" s="27" t="s">
        <v>7</v>
      </c>
      <c r="E868" s="28">
        <v>95638</v>
      </c>
      <c r="F868" s="28">
        <v>111028</v>
      </c>
      <c r="G868" s="27" t="s">
        <v>22</v>
      </c>
      <c r="H868" s="27" t="s">
        <v>3378</v>
      </c>
      <c r="I868" s="27" t="s">
        <v>13</v>
      </c>
    </row>
    <row r="869" spans="1:9" x14ac:dyDescent="0.3">
      <c r="A869" s="26">
        <v>44976</v>
      </c>
      <c r="B869" s="27" t="s">
        <v>26</v>
      </c>
      <c r="C869" s="27" t="s">
        <v>18</v>
      </c>
      <c r="D869" s="27" t="s">
        <v>24</v>
      </c>
      <c r="E869" s="28">
        <v>17385</v>
      </c>
      <c r="F869" s="28">
        <v>79153</v>
      </c>
      <c r="G869" s="27" t="s">
        <v>17</v>
      </c>
      <c r="H869" s="27"/>
      <c r="I869" s="27" t="s">
        <v>13</v>
      </c>
    </row>
    <row r="870" spans="1:9" x14ac:dyDescent="0.3">
      <c r="A870" s="26">
        <v>44976</v>
      </c>
      <c r="B870" s="27" t="s">
        <v>26</v>
      </c>
      <c r="C870" s="27" t="s">
        <v>93</v>
      </c>
      <c r="D870" s="27" t="s">
        <v>19</v>
      </c>
      <c r="E870" s="28">
        <v>154400</v>
      </c>
      <c r="F870" s="28">
        <v>120500</v>
      </c>
      <c r="G870" s="27" t="s">
        <v>17</v>
      </c>
      <c r="H870" s="27" t="s">
        <v>3470</v>
      </c>
      <c r="I870" s="27" t="s">
        <v>9</v>
      </c>
    </row>
    <row r="871" spans="1:9" x14ac:dyDescent="0.3">
      <c r="A871" s="26">
        <v>44976</v>
      </c>
      <c r="B871" s="27" t="s">
        <v>26</v>
      </c>
      <c r="C871" s="27" t="s">
        <v>93</v>
      </c>
      <c r="D871" s="27" t="s">
        <v>7</v>
      </c>
      <c r="E871" s="28">
        <v>114200</v>
      </c>
      <c r="F871" s="28">
        <v>136400</v>
      </c>
      <c r="G871" s="27" t="s">
        <v>11</v>
      </c>
      <c r="H871" s="27" t="s">
        <v>4146</v>
      </c>
      <c r="I871" s="27" t="s">
        <v>9</v>
      </c>
    </row>
    <row r="872" spans="1:9" x14ac:dyDescent="0.3">
      <c r="A872" s="26">
        <v>44976</v>
      </c>
      <c r="B872" s="27" t="s">
        <v>26</v>
      </c>
      <c r="C872" s="27" t="s">
        <v>6</v>
      </c>
      <c r="D872" s="27" t="s">
        <v>19</v>
      </c>
      <c r="E872" s="28">
        <v>97200</v>
      </c>
      <c r="F872" s="28">
        <v>80400</v>
      </c>
      <c r="G872" s="27" t="s">
        <v>11</v>
      </c>
      <c r="H872" s="27" t="s">
        <v>4297</v>
      </c>
      <c r="I872" s="27" t="s">
        <v>9</v>
      </c>
    </row>
    <row r="873" spans="1:9" x14ac:dyDescent="0.3">
      <c r="A873" s="26">
        <v>44976</v>
      </c>
      <c r="B873" s="27" t="s">
        <v>26</v>
      </c>
      <c r="C873" s="27" t="s">
        <v>6</v>
      </c>
      <c r="D873" s="27" t="s">
        <v>24</v>
      </c>
      <c r="E873" s="28">
        <v>56500</v>
      </c>
      <c r="F873" s="28">
        <v>46000</v>
      </c>
      <c r="G873" s="27" t="s">
        <v>11</v>
      </c>
      <c r="H873" s="27" t="s">
        <v>4684</v>
      </c>
      <c r="I873" s="27" t="s">
        <v>9</v>
      </c>
    </row>
    <row r="874" spans="1:9" x14ac:dyDescent="0.3">
      <c r="A874" s="26">
        <v>44976</v>
      </c>
      <c r="B874" s="27" t="s">
        <v>26</v>
      </c>
      <c r="C874" s="27" t="s">
        <v>93</v>
      </c>
      <c r="D874" s="27" t="s">
        <v>7</v>
      </c>
      <c r="E874" s="28">
        <v>82600</v>
      </c>
      <c r="F874" s="28">
        <v>90700</v>
      </c>
      <c r="G874" s="27" t="s">
        <v>22</v>
      </c>
      <c r="H874" s="27" t="s">
        <v>4698</v>
      </c>
      <c r="I874" s="27" t="s">
        <v>9</v>
      </c>
    </row>
    <row r="875" spans="1:9" x14ac:dyDescent="0.3">
      <c r="A875" s="26">
        <v>44976</v>
      </c>
      <c r="B875" s="27" t="s">
        <v>26</v>
      </c>
      <c r="C875" s="27" t="s">
        <v>93</v>
      </c>
      <c r="D875" s="27" t="s">
        <v>21</v>
      </c>
      <c r="E875" s="28">
        <v>67000</v>
      </c>
      <c r="F875" s="28">
        <v>83600</v>
      </c>
      <c r="G875" s="27" t="s">
        <v>17</v>
      </c>
      <c r="H875" s="27" t="s">
        <v>4975</v>
      </c>
      <c r="I875" s="27" t="s">
        <v>9</v>
      </c>
    </row>
    <row r="876" spans="1:9" x14ac:dyDescent="0.3">
      <c r="A876" s="26">
        <v>44976</v>
      </c>
      <c r="B876" s="27" t="s">
        <v>26</v>
      </c>
      <c r="C876" s="27" t="s">
        <v>93</v>
      </c>
      <c r="D876" s="27" t="s">
        <v>24</v>
      </c>
      <c r="E876" s="28">
        <v>57200</v>
      </c>
      <c r="F876" s="28">
        <v>66300</v>
      </c>
      <c r="G876" s="27" t="s">
        <v>17</v>
      </c>
      <c r="H876" s="27" t="s">
        <v>5238</v>
      </c>
      <c r="I876" s="27" t="s">
        <v>9</v>
      </c>
    </row>
    <row r="877" spans="1:9" x14ac:dyDescent="0.3">
      <c r="A877" s="26">
        <v>44976</v>
      </c>
      <c r="B877" s="27" t="s">
        <v>26</v>
      </c>
      <c r="C877" s="27" t="s">
        <v>93</v>
      </c>
      <c r="D877" s="27" t="s">
        <v>21</v>
      </c>
      <c r="E877" s="28">
        <v>79800</v>
      </c>
      <c r="F877" s="28">
        <v>70200</v>
      </c>
      <c r="G877" s="27" t="s">
        <v>11</v>
      </c>
      <c r="H877" s="27" t="s">
        <v>5372</v>
      </c>
      <c r="I877" s="27" t="s">
        <v>9</v>
      </c>
    </row>
    <row r="878" spans="1:9" x14ac:dyDescent="0.3">
      <c r="A878" s="26">
        <v>44976</v>
      </c>
      <c r="B878" s="27" t="s">
        <v>26</v>
      </c>
      <c r="C878" s="27" t="s">
        <v>93</v>
      </c>
      <c r="D878" s="27" t="s">
        <v>19</v>
      </c>
      <c r="E878" s="28">
        <v>109800</v>
      </c>
      <c r="F878" s="28">
        <v>100900</v>
      </c>
      <c r="G878" s="27" t="s">
        <v>11</v>
      </c>
      <c r="H878" s="27" t="s">
        <v>5729</v>
      </c>
      <c r="I878" s="27" t="s">
        <v>9</v>
      </c>
    </row>
    <row r="879" spans="1:9" x14ac:dyDescent="0.3">
      <c r="A879" s="26">
        <v>44976</v>
      </c>
      <c r="B879" s="27" t="s">
        <v>26</v>
      </c>
      <c r="C879" s="27" t="s">
        <v>6</v>
      </c>
      <c r="D879" s="27" t="s">
        <v>21</v>
      </c>
      <c r="E879" s="28">
        <v>156300</v>
      </c>
      <c r="F879" s="28">
        <v>190400</v>
      </c>
      <c r="G879" s="27" t="s">
        <v>11</v>
      </c>
      <c r="H879" s="27" t="s">
        <v>6436</v>
      </c>
      <c r="I879" s="27" t="s">
        <v>9</v>
      </c>
    </row>
    <row r="880" spans="1:9" x14ac:dyDescent="0.3">
      <c r="A880" s="26">
        <v>44976</v>
      </c>
      <c r="B880" s="27" t="s">
        <v>26</v>
      </c>
      <c r="C880" s="27" t="s">
        <v>93</v>
      </c>
      <c r="D880" s="27" t="s">
        <v>21</v>
      </c>
      <c r="E880" s="28">
        <v>86700</v>
      </c>
      <c r="F880" s="28">
        <v>97900</v>
      </c>
      <c r="G880" s="27" t="s">
        <v>22</v>
      </c>
      <c r="H880" s="27" t="s">
        <v>6641</v>
      </c>
      <c r="I880" s="27" t="s">
        <v>9</v>
      </c>
    </row>
    <row r="881" spans="1:9" x14ac:dyDescent="0.3">
      <c r="A881" s="26">
        <v>44976</v>
      </c>
      <c r="B881" s="27" t="s">
        <v>26</v>
      </c>
      <c r="C881" s="27" t="s">
        <v>93</v>
      </c>
      <c r="D881" s="27" t="s">
        <v>7</v>
      </c>
      <c r="E881" s="28">
        <v>103100</v>
      </c>
      <c r="F881" s="28">
        <v>101600</v>
      </c>
      <c r="G881" s="27" t="s">
        <v>11</v>
      </c>
      <c r="H881" s="27" t="s">
        <v>6763</v>
      </c>
      <c r="I881" s="27" t="s">
        <v>9</v>
      </c>
    </row>
    <row r="882" spans="1:9" x14ac:dyDescent="0.3">
      <c r="A882" s="26">
        <v>44977</v>
      </c>
      <c r="B882" s="27" t="s">
        <v>26</v>
      </c>
      <c r="C882" s="27" t="s">
        <v>14</v>
      </c>
      <c r="D882" s="27" t="s">
        <v>19</v>
      </c>
      <c r="E882" s="28">
        <v>92462</v>
      </c>
      <c r="F882" s="28">
        <v>133557</v>
      </c>
      <c r="G882" s="27" t="s">
        <v>22</v>
      </c>
      <c r="H882" s="27" t="s">
        <v>490</v>
      </c>
      <c r="I882" s="27" t="s">
        <v>13</v>
      </c>
    </row>
    <row r="883" spans="1:9" x14ac:dyDescent="0.3">
      <c r="A883" s="26">
        <v>44977</v>
      </c>
      <c r="B883" s="27" t="s">
        <v>26</v>
      </c>
      <c r="C883" s="27" t="s">
        <v>15</v>
      </c>
      <c r="D883" s="27" t="s">
        <v>19</v>
      </c>
      <c r="E883" s="28">
        <v>111104</v>
      </c>
      <c r="F883" s="28">
        <v>97538</v>
      </c>
      <c r="G883" s="27" t="s">
        <v>11</v>
      </c>
      <c r="H883" s="27" t="s">
        <v>506</v>
      </c>
      <c r="I883" s="27" t="s">
        <v>13</v>
      </c>
    </row>
    <row r="884" spans="1:9" x14ac:dyDescent="0.3">
      <c r="A884" s="26">
        <v>44977</v>
      </c>
      <c r="B884" s="27" t="s">
        <v>26</v>
      </c>
      <c r="C884" s="27" t="s">
        <v>15</v>
      </c>
      <c r="D884" s="27" t="s">
        <v>21</v>
      </c>
      <c r="E884" s="28">
        <v>66784</v>
      </c>
      <c r="F884" s="28">
        <v>91610</v>
      </c>
      <c r="G884" s="27" t="s">
        <v>22</v>
      </c>
      <c r="H884" s="27" t="s">
        <v>628</v>
      </c>
      <c r="I884" s="27" t="s">
        <v>13</v>
      </c>
    </row>
    <row r="885" spans="1:9" x14ac:dyDescent="0.3">
      <c r="A885" s="26">
        <v>44977</v>
      </c>
      <c r="B885" s="27" t="s">
        <v>26</v>
      </c>
      <c r="C885" s="27" t="s">
        <v>14</v>
      </c>
      <c r="D885" s="27" t="s">
        <v>19</v>
      </c>
      <c r="E885" s="28">
        <v>71243</v>
      </c>
      <c r="F885" s="28">
        <v>137499</v>
      </c>
      <c r="G885" s="27" t="s">
        <v>8</v>
      </c>
      <c r="H885" s="27" t="s">
        <v>757</v>
      </c>
      <c r="I885" s="27" t="s">
        <v>13</v>
      </c>
    </row>
    <row r="886" spans="1:9" x14ac:dyDescent="0.3">
      <c r="A886" s="26">
        <v>44977</v>
      </c>
      <c r="B886" s="27" t="s">
        <v>26</v>
      </c>
      <c r="C886" s="27" t="s">
        <v>32</v>
      </c>
      <c r="D886" s="27" t="s">
        <v>16</v>
      </c>
      <c r="E886" s="28">
        <v>66941</v>
      </c>
      <c r="F886" s="28">
        <v>65087</v>
      </c>
      <c r="G886" s="27" t="s">
        <v>17</v>
      </c>
      <c r="H886" s="27" t="s">
        <v>1010</v>
      </c>
      <c r="I886" s="27" t="s">
        <v>13</v>
      </c>
    </row>
    <row r="887" spans="1:9" x14ac:dyDescent="0.3">
      <c r="A887" s="26">
        <v>44977</v>
      </c>
      <c r="B887" s="27" t="s">
        <v>26</v>
      </c>
      <c r="C887" s="27" t="s">
        <v>10</v>
      </c>
      <c r="D887" s="27" t="s">
        <v>24</v>
      </c>
      <c r="E887" s="28">
        <v>69000</v>
      </c>
      <c r="F887" s="28">
        <v>56159</v>
      </c>
      <c r="G887" s="27" t="s">
        <v>8</v>
      </c>
      <c r="H887" s="27" t="s">
        <v>1288</v>
      </c>
      <c r="I887" s="27" t="s">
        <v>13</v>
      </c>
    </row>
    <row r="888" spans="1:9" x14ac:dyDescent="0.3">
      <c r="A888" s="26">
        <v>44977</v>
      </c>
      <c r="B888" s="27" t="s">
        <v>26</v>
      </c>
      <c r="C888" s="27" t="s">
        <v>18</v>
      </c>
      <c r="D888" s="27" t="s">
        <v>7</v>
      </c>
      <c r="E888" s="28">
        <v>66584</v>
      </c>
      <c r="F888" s="28">
        <v>163286</v>
      </c>
      <c r="G888" s="27" t="s">
        <v>17</v>
      </c>
      <c r="H888" s="27" t="s">
        <v>1384</v>
      </c>
      <c r="I888" s="27" t="s">
        <v>13</v>
      </c>
    </row>
    <row r="889" spans="1:9" x14ac:dyDescent="0.3">
      <c r="A889" s="26">
        <v>44977</v>
      </c>
      <c r="B889" s="27" t="s">
        <v>26</v>
      </c>
      <c r="C889" s="27" t="s">
        <v>18</v>
      </c>
      <c r="D889" s="27" t="s">
        <v>16</v>
      </c>
      <c r="E889" s="28">
        <v>124073</v>
      </c>
      <c r="F889" s="28">
        <v>29521</v>
      </c>
      <c r="G889" s="27" t="s">
        <v>17</v>
      </c>
      <c r="H889" s="27" t="s">
        <v>1390</v>
      </c>
      <c r="I889" s="27" t="s">
        <v>13</v>
      </c>
    </row>
    <row r="890" spans="1:9" x14ac:dyDescent="0.3">
      <c r="A890" s="26">
        <v>44977</v>
      </c>
      <c r="B890" s="27" t="s">
        <v>26</v>
      </c>
      <c r="C890" s="27" t="s">
        <v>18</v>
      </c>
      <c r="D890" s="27" t="s">
        <v>16</v>
      </c>
      <c r="E890" s="28">
        <v>36745</v>
      </c>
      <c r="F890" s="28">
        <v>52718</v>
      </c>
      <c r="G890" s="27" t="s">
        <v>8</v>
      </c>
      <c r="H890" s="27" t="s">
        <v>1737</v>
      </c>
      <c r="I890" s="27" t="s">
        <v>13</v>
      </c>
    </row>
    <row r="891" spans="1:9" x14ac:dyDescent="0.3">
      <c r="A891" s="26">
        <v>44977</v>
      </c>
      <c r="B891" s="27" t="s">
        <v>26</v>
      </c>
      <c r="C891" s="27" t="s">
        <v>10</v>
      </c>
      <c r="D891" s="27" t="s">
        <v>7</v>
      </c>
      <c r="E891" s="28">
        <v>40112</v>
      </c>
      <c r="F891" s="28">
        <v>91996</v>
      </c>
      <c r="G891" s="27" t="s">
        <v>17</v>
      </c>
      <c r="H891" s="27" t="s">
        <v>1831</v>
      </c>
      <c r="I891" s="27" t="s">
        <v>13</v>
      </c>
    </row>
    <row r="892" spans="1:9" x14ac:dyDescent="0.3">
      <c r="A892" s="26">
        <v>44977</v>
      </c>
      <c r="B892" s="27" t="s">
        <v>26</v>
      </c>
      <c r="C892" s="27" t="s">
        <v>10</v>
      </c>
      <c r="D892" s="27" t="s">
        <v>19</v>
      </c>
      <c r="E892" s="28">
        <v>20251</v>
      </c>
      <c r="F892" s="28">
        <v>168911</v>
      </c>
      <c r="G892" s="27" t="s">
        <v>11</v>
      </c>
      <c r="H892" s="27" t="s">
        <v>2164</v>
      </c>
      <c r="I892" s="27" t="s">
        <v>13</v>
      </c>
    </row>
    <row r="893" spans="1:9" x14ac:dyDescent="0.3">
      <c r="A893" s="26">
        <v>44977</v>
      </c>
      <c r="B893" s="27" t="s">
        <v>26</v>
      </c>
      <c r="C893" s="27" t="s">
        <v>15</v>
      </c>
      <c r="D893" s="27" t="s">
        <v>24</v>
      </c>
      <c r="E893" s="28">
        <v>64653</v>
      </c>
      <c r="F893" s="28">
        <v>30905</v>
      </c>
      <c r="G893" s="27" t="s">
        <v>22</v>
      </c>
      <c r="H893" s="27" t="s">
        <v>2593</v>
      </c>
      <c r="I893" s="27" t="s">
        <v>13</v>
      </c>
    </row>
    <row r="894" spans="1:9" x14ac:dyDescent="0.3">
      <c r="A894" s="26">
        <v>44977</v>
      </c>
      <c r="B894" s="27" t="s">
        <v>26</v>
      </c>
      <c r="C894" s="27" t="s">
        <v>93</v>
      </c>
      <c r="D894" s="27" t="s">
        <v>19</v>
      </c>
      <c r="E894" s="28">
        <v>121300</v>
      </c>
      <c r="F894" s="28">
        <v>137600</v>
      </c>
      <c r="G894" s="27" t="s">
        <v>22</v>
      </c>
      <c r="H894" s="27" t="s">
        <v>3871</v>
      </c>
      <c r="I894" s="27" t="s">
        <v>9</v>
      </c>
    </row>
    <row r="895" spans="1:9" x14ac:dyDescent="0.3">
      <c r="A895" s="26">
        <v>44977</v>
      </c>
      <c r="B895" s="27" t="s">
        <v>26</v>
      </c>
      <c r="C895" s="27" t="s">
        <v>6</v>
      </c>
      <c r="D895" s="27" t="s">
        <v>19</v>
      </c>
      <c r="E895" s="28">
        <v>344300</v>
      </c>
      <c r="F895" s="28">
        <v>312800</v>
      </c>
      <c r="G895" s="27" t="s">
        <v>22</v>
      </c>
      <c r="H895" s="27" t="s">
        <v>3887</v>
      </c>
      <c r="I895" s="27" t="s">
        <v>9</v>
      </c>
    </row>
    <row r="896" spans="1:9" x14ac:dyDescent="0.3">
      <c r="A896" s="26">
        <v>44977</v>
      </c>
      <c r="B896" s="27" t="s">
        <v>26</v>
      </c>
      <c r="C896" s="27" t="s">
        <v>6</v>
      </c>
      <c r="D896" s="27" t="s">
        <v>21</v>
      </c>
      <c r="E896" s="28">
        <v>149200</v>
      </c>
      <c r="F896" s="28">
        <v>150300</v>
      </c>
      <c r="G896" s="27" t="s">
        <v>11</v>
      </c>
      <c r="H896" s="27" t="s">
        <v>4009</v>
      </c>
      <c r="I896" s="27" t="s">
        <v>9</v>
      </c>
    </row>
    <row r="897" spans="1:9" x14ac:dyDescent="0.3">
      <c r="A897" s="26">
        <v>44977</v>
      </c>
      <c r="B897" s="27" t="s">
        <v>26</v>
      </c>
      <c r="C897" s="27" t="s">
        <v>6</v>
      </c>
      <c r="D897" s="27" t="s">
        <v>19</v>
      </c>
      <c r="E897" s="28">
        <v>53700</v>
      </c>
      <c r="F897" s="28">
        <v>64100</v>
      </c>
      <c r="G897" s="27" t="s">
        <v>11</v>
      </c>
      <c r="H897" s="27" t="s">
        <v>4138</v>
      </c>
      <c r="I897" s="27" t="s">
        <v>9</v>
      </c>
    </row>
    <row r="898" spans="1:9" x14ac:dyDescent="0.3">
      <c r="A898" s="26">
        <v>44977</v>
      </c>
      <c r="B898" s="27" t="s">
        <v>26</v>
      </c>
      <c r="C898" s="27" t="s">
        <v>6</v>
      </c>
      <c r="D898" s="27" t="s">
        <v>16</v>
      </c>
      <c r="E898" s="28">
        <v>136800</v>
      </c>
      <c r="F898" s="28">
        <v>99200</v>
      </c>
      <c r="G898" s="27" t="s">
        <v>11</v>
      </c>
      <c r="H898" s="27" t="s">
        <v>4391</v>
      </c>
      <c r="I898" s="27" t="s">
        <v>9</v>
      </c>
    </row>
    <row r="899" spans="1:9" x14ac:dyDescent="0.3">
      <c r="A899" s="26">
        <v>44977</v>
      </c>
      <c r="B899" s="27" t="s">
        <v>26</v>
      </c>
      <c r="C899" s="27" t="s">
        <v>6</v>
      </c>
      <c r="D899" s="27" t="s">
        <v>24</v>
      </c>
      <c r="E899" s="28">
        <v>115500</v>
      </c>
      <c r="F899" s="28">
        <v>128200</v>
      </c>
      <c r="G899" s="27" t="s">
        <v>11</v>
      </c>
      <c r="H899" s="27" t="s">
        <v>4671</v>
      </c>
      <c r="I899" s="27" t="s">
        <v>9</v>
      </c>
    </row>
    <row r="900" spans="1:9" x14ac:dyDescent="0.3">
      <c r="A900" s="26">
        <v>44977</v>
      </c>
      <c r="B900" s="27" t="s">
        <v>26</v>
      </c>
      <c r="C900" s="27" t="s">
        <v>6</v>
      </c>
      <c r="D900" s="27" t="s">
        <v>7</v>
      </c>
      <c r="E900" s="28">
        <v>91600</v>
      </c>
      <c r="F900" s="28">
        <v>97800</v>
      </c>
      <c r="G900" s="27" t="s">
        <v>11</v>
      </c>
      <c r="H900" s="27" t="s">
        <v>4767</v>
      </c>
      <c r="I900" s="27" t="s">
        <v>9</v>
      </c>
    </row>
    <row r="901" spans="1:9" x14ac:dyDescent="0.3">
      <c r="A901" s="26">
        <v>44977</v>
      </c>
      <c r="B901" s="27" t="s">
        <v>26</v>
      </c>
      <c r="C901" s="27" t="s">
        <v>93</v>
      </c>
      <c r="D901" s="27" t="s">
        <v>16</v>
      </c>
      <c r="E901" s="28">
        <v>157300</v>
      </c>
      <c r="F901" s="28">
        <v>181000</v>
      </c>
      <c r="G901" s="27" t="s">
        <v>22</v>
      </c>
      <c r="H901" s="27" t="s">
        <v>4773</v>
      </c>
      <c r="I901" s="27" t="s">
        <v>9</v>
      </c>
    </row>
    <row r="902" spans="1:9" x14ac:dyDescent="0.3">
      <c r="A902" s="26">
        <v>44977</v>
      </c>
      <c r="B902" s="27" t="s">
        <v>26</v>
      </c>
      <c r="C902" s="27" t="s">
        <v>93</v>
      </c>
      <c r="D902" s="27" t="s">
        <v>16</v>
      </c>
      <c r="E902" s="28">
        <v>140000</v>
      </c>
      <c r="F902" s="28">
        <v>148200</v>
      </c>
      <c r="G902" s="27" t="s">
        <v>22</v>
      </c>
      <c r="H902" s="27" t="s">
        <v>5120</v>
      </c>
      <c r="I902" s="27" t="s">
        <v>9</v>
      </c>
    </row>
    <row r="903" spans="1:9" x14ac:dyDescent="0.3">
      <c r="A903" s="26">
        <v>44977</v>
      </c>
      <c r="B903" s="27" t="s">
        <v>26</v>
      </c>
      <c r="C903" s="27" t="s">
        <v>6</v>
      </c>
      <c r="D903" s="27" t="s">
        <v>7</v>
      </c>
      <c r="E903" s="28">
        <v>82700</v>
      </c>
      <c r="F903" s="28">
        <v>99600</v>
      </c>
      <c r="G903" s="27" t="s">
        <v>22</v>
      </c>
      <c r="H903" s="27" t="s">
        <v>5214</v>
      </c>
      <c r="I903" s="27" t="s">
        <v>9</v>
      </c>
    </row>
    <row r="904" spans="1:9" x14ac:dyDescent="0.3">
      <c r="A904" s="26">
        <v>44977</v>
      </c>
      <c r="B904" s="27" t="s">
        <v>26</v>
      </c>
      <c r="C904" s="27" t="s">
        <v>6</v>
      </c>
      <c r="D904" s="27" t="s">
        <v>19</v>
      </c>
      <c r="E904" s="28">
        <v>207400</v>
      </c>
      <c r="F904" s="28">
        <v>175300</v>
      </c>
      <c r="G904" s="27" t="s">
        <v>11</v>
      </c>
      <c r="H904" s="27" t="s">
        <v>5549</v>
      </c>
      <c r="I904" s="27" t="s">
        <v>9</v>
      </c>
    </row>
    <row r="905" spans="1:9" x14ac:dyDescent="0.3">
      <c r="A905" s="26">
        <v>44977</v>
      </c>
      <c r="B905" s="27" t="s">
        <v>26</v>
      </c>
      <c r="C905" s="27" t="s">
        <v>6</v>
      </c>
      <c r="D905" s="27" t="s">
        <v>24</v>
      </c>
      <c r="E905" s="28">
        <v>77400</v>
      </c>
      <c r="F905" s="28">
        <v>85400</v>
      </c>
      <c r="G905" s="27" t="s">
        <v>11</v>
      </c>
      <c r="H905" s="27" t="s">
        <v>5978</v>
      </c>
      <c r="I905" s="27" t="s">
        <v>9</v>
      </c>
    </row>
    <row r="906" spans="1:9" x14ac:dyDescent="0.3">
      <c r="A906" s="26">
        <v>44978</v>
      </c>
      <c r="B906" s="27" t="s">
        <v>26</v>
      </c>
      <c r="C906" s="27" t="s">
        <v>20</v>
      </c>
      <c r="D906" s="27" t="s">
        <v>24</v>
      </c>
      <c r="E906" s="28">
        <v>79034</v>
      </c>
      <c r="F906" s="28">
        <v>104663</v>
      </c>
      <c r="G906" s="27" t="s">
        <v>22</v>
      </c>
      <c r="H906" s="27" t="s">
        <v>842</v>
      </c>
      <c r="I906" s="27" t="s">
        <v>13</v>
      </c>
    </row>
    <row r="907" spans="1:9" x14ac:dyDescent="0.3">
      <c r="A907" s="26">
        <v>44978</v>
      </c>
      <c r="B907" s="27" t="s">
        <v>26</v>
      </c>
      <c r="C907" s="27" t="s">
        <v>20</v>
      </c>
      <c r="D907" s="27" t="s">
        <v>7</v>
      </c>
      <c r="E907" s="28">
        <v>140386</v>
      </c>
      <c r="F907" s="28">
        <v>145017</v>
      </c>
      <c r="G907" s="27" t="s">
        <v>17</v>
      </c>
      <c r="H907" s="27" t="s">
        <v>1603</v>
      </c>
      <c r="I907" s="27" t="s">
        <v>13</v>
      </c>
    </row>
    <row r="908" spans="1:9" x14ac:dyDescent="0.3">
      <c r="A908" s="26">
        <v>44978</v>
      </c>
      <c r="B908" s="27" t="s">
        <v>26</v>
      </c>
      <c r="C908" s="27" t="s">
        <v>10</v>
      </c>
      <c r="D908" s="27" t="s">
        <v>24</v>
      </c>
      <c r="E908" s="28">
        <v>99301</v>
      </c>
      <c r="F908" s="28">
        <v>13481</v>
      </c>
      <c r="G908" s="27" t="s">
        <v>22</v>
      </c>
      <c r="H908" s="27" t="s">
        <v>2226</v>
      </c>
      <c r="I908" s="27" t="s">
        <v>13</v>
      </c>
    </row>
    <row r="909" spans="1:9" x14ac:dyDescent="0.3">
      <c r="A909" s="26">
        <v>44978</v>
      </c>
      <c r="B909" s="27" t="s">
        <v>26</v>
      </c>
      <c r="C909" s="27" t="s">
        <v>20</v>
      </c>
      <c r="D909" s="27" t="s">
        <v>21</v>
      </c>
      <c r="E909" s="28">
        <v>122113</v>
      </c>
      <c r="F909" s="28">
        <v>43847</v>
      </c>
      <c r="G909" s="27" t="s">
        <v>11</v>
      </c>
      <c r="H909" s="27" t="s">
        <v>2661</v>
      </c>
      <c r="I909" s="27" t="s">
        <v>13</v>
      </c>
    </row>
    <row r="910" spans="1:9" x14ac:dyDescent="0.3">
      <c r="A910" s="26">
        <v>44978</v>
      </c>
      <c r="B910" s="27" t="s">
        <v>26</v>
      </c>
      <c r="C910" s="27" t="s">
        <v>20</v>
      </c>
      <c r="D910" s="27" t="s">
        <v>21</v>
      </c>
      <c r="E910" s="28">
        <v>125880</v>
      </c>
      <c r="F910" s="28">
        <v>96020</v>
      </c>
      <c r="G910" s="27" t="s">
        <v>22</v>
      </c>
      <c r="H910" s="27" t="s">
        <v>2824</v>
      </c>
      <c r="I910" s="27" t="s">
        <v>13</v>
      </c>
    </row>
    <row r="911" spans="1:9" x14ac:dyDescent="0.3">
      <c r="A911" s="26">
        <v>44978</v>
      </c>
      <c r="B911" s="27" t="s">
        <v>26</v>
      </c>
      <c r="C911" s="27" t="s">
        <v>93</v>
      </c>
      <c r="D911" s="27" t="s">
        <v>24</v>
      </c>
      <c r="E911" s="28">
        <v>84100</v>
      </c>
      <c r="F911" s="28">
        <v>70800</v>
      </c>
      <c r="G911" s="27" t="s">
        <v>22</v>
      </c>
      <c r="H911" s="27" t="s">
        <v>4223</v>
      </c>
      <c r="I911" s="27" t="s">
        <v>9</v>
      </c>
    </row>
    <row r="912" spans="1:9" x14ac:dyDescent="0.3">
      <c r="A912" s="26">
        <v>44978</v>
      </c>
      <c r="B912" s="27" t="s">
        <v>26</v>
      </c>
      <c r="C912" s="27" t="s">
        <v>93</v>
      </c>
      <c r="D912" s="27" t="s">
        <v>7</v>
      </c>
      <c r="E912" s="28">
        <v>75000</v>
      </c>
      <c r="F912" s="28">
        <v>92200</v>
      </c>
      <c r="G912" s="27" t="s">
        <v>11</v>
      </c>
      <c r="H912" s="27" t="s">
        <v>4986</v>
      </c>
      <c r="I912" s="27" t="s">
        <v>9</v>
      </c>
    </row>
    <row r="913" spans="1:9" x14ac:dyDescent="0.3">
      <c r="A913" s="26">
        <v>44978</v>
      </c>
      <c r="B913" s="27" t="s">
        <v>26</v>
      </c>
      <c r="C913" s="27" t="s">
        <v>6</v>
      </c>
      <c r="D913" s="27" t="s">
        <v>24</v>
      </c>
      <c r="E913" s="28">
        <v>111900</v>
      </c>
      <c r="F913" s="28">
        <v>101800</v>
      </c>
      <c r="G913" s="27" t="s">
        <v>22</v>
      </c>
      <c r="H913" s="27" t="s">
        <v>5611</v>
      </c>
      <c r="I913" s="27" t="s">
        <v>9</v>
      </c>
    </row>
    <row r="914" spans="1:9" x14ac:dyDescent="0.3">
      <c r="A914" s="26">
        <v>44978</v>
      </c>
      <c r="B914" s="27" t="s">
        <v>26</v>
      </c>
      <c r="C914" s="27" t="s">
        <v>6</v>
      </c>
      <c r="D914" s="27" t="s">
        <v>21</v>
      </c>
      <c r="E914" s="28">
        <v>277000</v>
      </c>
      <c r="F914" s="28">
        <v>322100</v>
      </c>
      <c r="G914" s="27" t="s">
        <v>11</v>
      </c>
      <c r="H914" s="27" t="s">
        <v>6046</v>
      </c>
      <c r="I914" s="27" t="s">
        <v>9</v>
      </c>
    </row>
    <row r="915" spans="1:9" x14ac:dyDescent="0.3">
      <c r="A915" s="26">
        <v>44978</v>
      </c>
      <c r="B915" s="27" t="s">
        <v>26</v>
      </c>
      <c r="C915" s="27" t="s">
        <v>6</v>
      </c>
      <c r="D915" s="27" t="s">
        <v>21</v>
      </c>
      <c r="E915" s="28">
        <v>264300</v>
      </c>
      <c r="F915" s="28">
        <v>292900</v>
      </c>
      <c r="G915" s="27" t="s">
        <v>11</v>
      </c>
      <c r="H915" s="27" t="s">
        <v>6209</v>
      </c>
      <c r="I915" s="27" t="s">
        <v>9</v>
      </c>
    </row>
    <row r="916" spans="1:9" x14ac:dyDescent="0.3">
      <c r="A916" s="26">
        <v>44979</v>
      </c>
      <c r="B916" s="27" t="s">
        <v>26</v>
      </c>
      <c r="C916" s="27" t="s">
        <v>15</v>
      </c>
      <c r="D916" s="27" t="s">
        <v>16</v>
      </c>
      <c r="E916" s="28">
        <v>84227</v>
      </c>
      <c r="F916" s="28">
        <v>19902</v>
      </c>
      <c r="G916" s="27" t="s">
        <v>11</v>
      </c>
      <c r="H916" s="27" t="s">
        <v>646</v>
      </c>
      <c r="I916" s="27" t="s">
        <v>13</v>
      </c>
    </row>
    <row r="917" spans="1:9" x14ac:dyDescent="0.3">
      <c r="A917" s="26">
        <v>44979</v>
      </c>
      <c r="B917" s="27" t="s">
        <v>26</v>
      </c>
      <c r="C917" s="27" t="s">
        <v>32</v>
      </c>
      <c r="D917" s="27" t="s">
        <v>19</v>
      </c>
      <c r="E917" s="28">
        <v>58949</v>
      </c>
      <c r="F917" s="28">
        <v>75314</v>
      </c>
      <c r="G917" s="27" t="s">
        <v>11</v>
      </c>
      <c r="H917" s="27" t="s">
        <v>759</v>
      </c>
      <c r="I917" s="27" t="s">
        <v>13</v>
      </c>
    </row>
    <row r="918" spans="1:9" x14ac:dyDescent="0.3">
      <c r="A918" s="26">
        <v>44979</v>
      </c>
      <c r="B918" s="27" t="s">
        <v>26</v>
      </c>
      <c r="C918" s="27" t="s">
        <v>10</v>
      </c>
      <c r="D918" s="27" t="s">
        <v>16</v>
      </c>
      <c r="E918" s="28">
        <v>90600</v>
      </c>
      <c r="F918" s="28">
        <v>56573</v>
      </c>
      <c r="G918" s="27" t="s">
        <v>11</v>
      </c>
      <c r="H918" s="27" t="s">
        <v>1343</v>
      </c>
      <c r="I918" s="27" t="s">
        <v>13</v>
      </c>
    </row>
    <row r="919" spans="1:9" x14ac:dyDescent="0.3">
      <c r="A919" s="26">
        <v>44979</v>
      </c>
      <c r="B919" s="27" t="s">
        <v>26</v>
      </c>
      <c r="C919" s="27" t="s">
        <v>20</v>
      </c>
      <c r="D919" s="27" t="s">
        <v>7</v>
      </c>
      <c r="E919" s="28">
        <v>125697</v>
      </c>
      <c r="F919" s="28">
        <v>159690</v>
      </c>
      <c r="G919" s="27" t="s">
        <v>8</v>
      </c>
      <c r="H919" s="27" t="s">
        <v>1908</v>
      </c>
      <c r="I919" s="27" t="s">
        <v>13</v>
      </c>
    </row>
    <row r="920" spans="1:9" x14ac:dyDescent="0.3">
      <c r="A920" s="26">
        <v>44979</v>
      </c>
      <c r="B920" s="27" t="s">
        <v>26</v>
      </c>
      <c r="C920" s="27" t="s">
        <v>18</v>
      </c>
      <c r="D920" s="27" t="s">
        <v>24</v>
      </c>
      <c r="E920" s="28">
        <v>80505</v>
      </c>
      <c r="F920" s="28">
        <v>134746</v>
      </c>
      <c r="G920" s="27" t="s">
        <v>17</v>
      </c>
      <c r="H920" s="27" t="s">
        <v>2501</v>
      </c>
      <c r="I920" s="27" t="s">
        <v>13</v>
      </c>
    </row>
    <row r="921" spans="1:9" x14ac:dyDescent="0.3">
      <c r="A921" s="26">
        <v>44979</v>
      </c>
      <c r="B921" s="27" t="s">
        <v>26</v>
      </c>
      <c r="C921" s="27" t="s">
        <v>15</v>
      </c>
      <c r="D921" s="27" t="s">
        <v>24</v>
      </c>
      <c r="E921" s="28">
        <v>73532</v>
      </c>
      <c r="F921" s="28">
        <v>132520</v>
      </c>
      <c r="G921" s="27" t="s">
        <v>17</v>
      </c>
      <c r="H921" s="27" t="s">
        <v>2628</v>
      </c>
      <c r="I921" s="27" t="s">
        <v>13</v>
      </c>
    </row>
    <row r="922" spans="1:9" x14ac:dyDescent="0.3">
      <c r="A922" s="26">
        <v>44979</v>
      </c>
      <c r="B922" s="27" t="s">
        <v>26</v>
      </c>
      <c r="C922" s="27" t="s">
        <v>14</v>
      </c>
      <c r="D922" s="27" t="s">
        <v>16</v>
      </c>
      <c r="E922" s="28">
        <v>137211</v>
      </c>
      <c r="F922" s="28">
        <v>25005</v>
      </c>
      <c r="G922" s="27" t="s">
        <v>11</v>
      </c>
      <c r="H922" s="27" t="s">
        <v>2958</v>
      </c>
      <c r="I922" s="27" t="s">
        <v>13</v>
      </c>
    </row>
    <row r="923" spans="1:9" x14ac:dyDescent="0.3">
      <c r="A923" s="26">
        <v>44979</v>
      </c>
      <c r="B923" s="27" t="s">
        <v>26</v>
      </c>
      <c r="C923" s="27" t="s">
        <v>20</v>
      </c>
      <c r="D923" s="27" t="s">
        <v>19</v>
      </c>
      <c r="E923" s="28">
        <v>38552</v>
      </c>
      <c r="F923" s="28">
        <v>129141</v>
      </c>
      <c r="G923" s="27" t="s">
        <v>8</v>
      </c>
      <c r="H923" s="27" t="s">
        <v>3161</v>
      </c>
      <c r="I923" s="27" t="s">
        <v>13</v>
      </c>
    </row>
    <row r="924" spans="1:9" x14ac:dyDescent="0.3">
      <c r="A924" s="26">
        <v>44979</v>
      </c>
      <c r="B924" s="27" t="s">
        <v>26</v>
      </c>
      <c r="C924" s="27" t="s">
        <v>32</v>
      </c>
      <c r="D924" s="27" t="s">
        <v>16</v>
      </c>
      <c r="E924" s="28">
        <v>107479</v>
      </c>
      <c r="F924" s="28">
        <v>21552</v>
      </c>
      <c r="G924" s="27" t="s">
        <v>8</v>
      </c>
      <c r="H924" s="27" t="s">
        <v>3274</v>
      </c>
      <c r="I924" s="27" t="s">
        <v>13</v>
      </c>
    </row>
    <row r="925" spans="1:9" x14ac:dyDescent="0.3">
      <c r="A925" s="26">
        <v>44979</v>
      </c>
      <c r="B925" s="27" t="s">
        <v>26</v>
      </c>
      <c r="C925" s="27" t="s">
        <v>6</v>
      </c>
      <c r="D925" s="27" t="s">
        <v>16</v>
      </c>
      <c r="E925" s="28">
        <v>90500</v>
      </c>
      <c r="F925" s="28">
        <v>112700</v>
      </c>
      <c r="G925" s="27" t="s">
        <v>17</v>
      </c>
      <c r="H925" s="27" t="s">
        <v>4027</v>
      </c>
      <c r="I925" s="27" t="s">
        <v>9</v>
      </c>
    </row>
    <row r="926" spans="1:9" x14ac:dyDescent="0.3">
      <c r="A926" s="26">
        <v>44979</v>
      </c>
      <c r="B926" s="27" t="s">
        <v>26</v>
      </c>
      <c r="C926" s="27" t="s">
        <v>6</v>
      </c>
      <c r="D926" s="27" t="s">
        <v>19</v>
      </c>
      <c r="E926" s="28">
        <v>102200</v>
      </c>
      <c r="F926" s="28">
        <v>107700</v>
      </c>
      <c r="G926" s="27" t="s">
        <v>11</v>
      </c>
      <c r="H926" s="27" t="s">
        <v>4140</v>
      </c>
      <c r="I926" s="27" t="s">
        <v>9</v>
      </c>
    </row>
    <row r="927" spans="1:9" x14ac:dyDescent="0.3">
      <c r="A927" s="26">
        <v>44979</v>
      </c>
      <c r="B927" s="27" t="s">
        <v>26</v>
      </c>
      <c r="C927" s="27" t="s">
        <v>6</v>
      </c>
      <c r="D927" s="27" t="s">
        <v>16</v>
      </c>
      <c r="E927" s="28">
        <v>84400</v>
      </c>
      <c r="F927" s="28">
        <v>74100</v>
      </c>
      <c r="G927" s="27" t="s">
        <v>22</v>
      </c>
      <c r="H927" s="27" t="s">
        <v>4726</v>
      </c>
      <c r="I927" s="27" t="s">
        <v>9</v>
      </c>
    </row>
    <row r="928" spans="1:9" x14ac:dyDescent="0.3">
      <c r="A928" s="26">
        <v>44979</v>
      </c>
      <c r="B928" s="27" t="s">
        <v>26</v>
      </c>
      <c r="C928" s="27" t="s">
        <v>93</v>
      </c>
      <c r="D928" s="27" t="s">
        <v>7</v>
      </c>
      <c r="E928" s="28">
        <v>122300</v>
      </c>
      <c r="F928" s="28">
        <v>112200</v>
      </c>
      <c r="G928" s="27" t="s">
        <v>11</v>
      </c>
      <c r="H928" s="27" t="s">
        <v>5292</v>
      </c>
      <c r="I928" s="27" t="s">
        <v>9</v>
      </c>
    </row>
    <row r="929" spans="1:9" x14ac:dyDescent="0.3">
      <c r="A929" s="26">
        <v>44979</v>
      </c>
      <c r="B929" s="27" t="s">
        <v>26</v>
      </c>
      <c r="C929" s="27" t="s">
        <v>6</v>
      </c>
      <c r="D929" s="27" t="s">
        <v>24</v>
      </c>
      <c r="E929" s="28">
        <v>94700</v>
      </c>
      <c r="F929" s="28">
        <v>108400</v>
      </c>
      <c r="G929" s="27" t="s">
        <v>11</v>
      </c>
      <c r="H929" s="27" t="s">
        <v>5886</v>
      </c>
      <c r="I929" s="27" t="s">
        <v>9</v>
      </c>
    </row>
    <row r="930" spans="1:9" x14ac:dyDescent="0.3">
      <c r="A930" s="26">
        <v>44979</v>
      </c>
      <c r="B930" s="27" t="s">
        <v>26</v>
      </c>
      <c r="C930" s="27" t="s">
        <v>6</v>
      </c>
      <c r="D930" s="27" t="s">
        <v>24</v>
      </c>
      <c r="E930" s="28">
        <v>178700</v>
      </c>
      <c r="F930" s="28">
        <v>191900</v>
      </c>
      <c r="G930" s="27" t="s">
        <v>22</v>
      </c>
      <c r="H930" s="27" t="s">
        <v>6013</v>
      </c>
      <c r="I930" s="27" t="s">
        <v>9</v>
      </c>
    </row>
    <row r="931" spans="1:9" x14ac:dyDescent="0.3">
      <c r="A931" s="26">
        <v>44979</v>
      </c>
      <c r="B931" s="27" t="s">
        <v>26</v>
      </c>
      <c r="C931" s="27" t="s">
        <v>6</v>
      </c>
      <c r="D931" s="27" t="s">
        <v>16</v>
      </c>
      <c r="E931" s="28">
        <v>227300</v>
      </c>
      <c r="F931" s="28">
        <v>223700</v>
      </c>
      <c r="G931" s="27" t="s">
        <v>11</v>
      </c>
      <c r="H931" s="27" t="s">
        <v>6343</v>
      </c>
      <c r="I931" s="27" t="s">
        <v>9</v>
      </c>
    </row>
    <row r="932" spans="1:9" x14ac:dyDescent="0.3">
      <c r="A932" s="26">
        <v>44979</v>
      </c>
      <c r="B932" s="27" t="s">
        <v>26</v>
      </c>
      <c r="C932" s="27" t="s">
        <v>93</v>
      </c>
      <c r="D932" s="27" t="s">
        <v>19</v>
      </c>
      <c r="E932" s="28">
        <v>163600</v>
      </c>
      <c r="F932" s="28">
        <v>170100</v>
      </c>
      <c r="G932" s="27" t="s">
        <v>17</v>
      </c>
      <c r="H932" s="27" t="s">
        <v>6546</v>
      </c>
      <c r="I932" s="27" t="s">
        <v>9</v>
      </c>
    </row>
    <row r="933" spans="1:9" x14ac:dyDescent="0.3">
      <c r="A933" s="26">
        <v>44979</v>
      </c>
      <c r="B933" s="27" t="s">
        <v>26</v>
      </c>
      <c r="C933" s="27" t="s">
        <v>6</v>
      </c>
      <c r="D933" s="27" t="s">
        <v>16</v>
      </c>
      <c r="E933" s="28">
        <v>63200</v>
      </c>
      <c r="F933" s="28">
        <v>76100</v>
      </c>
      <c r="G933" s="27" t="s">
        <v>11</v>
      </c>
      <c r="H933" s="27" t="s">
        <v>6659</v>
      </c>
      <c r="I933" s="27" t="s">
        <v>9</v>
      </c>
    </row>
    <row r="934" spans="1:9" x14ac:dyDescent="0.3">
      <c r="A934" s="26">
        <v>44980</v>
      </c>
      <c r="B934" s="27" t="s">
        <v>26</v>
      </c>
      <c r="C934" s="27" t="s">
        <v>10</v>
      </c>
      <c r="D934" s="27" t="s">
        <v>19</v>
      </c>
      <c r="E934" s="28">
        <v>11942</v>
      </c>
      <c r="F934" s="28">
        <v>119169</v>
      </c>
      <c r="G934" s="27" t="s">
        <v>11</v>
      </c>
      <c r="H934" s="27" t="s">
        <v>249</v>
      </c>
      <c r="I934" s="27" t="s">
        <v>13</v>
      </c>
    </row>
    <row r="935" spans="1:9" x14ac:dyDescent="0.3">
      <c r="A935" s="26">
        <v>44980</v>
      </c>
      <c r="B935" s="27" t="s">
        <v>26</v>
      </c>
      <c r="C935" s="27" t="s">
        <v>15</v>
      </c>
      <c r="D935" s="27" t="s">
        <v>19</v>
      </c>
      <c r="E935" s="28">
        <v>123400</v>
      </c>
      <c r="F935" s="28">
        <v>87468</v>
      </c>
      <c r="G935" s="27" t="s">
        <v>22</v>
      </c>
      <c r="H935" s="27" t="s">
        <v>693</v>
      </c>
      <c r="I935" s="27" t="s">
        <v>13</v>
      </c>
    </row>
    <row r="936" spans="1:9" x14ac:dyDescent="0.3">
      <c r="A936" s="26">
        <v>44980</v>
      </c>
      <c r="B936" s="27" t="s">
        <v>26</v>
      </c>
      <c r="C936" s="27" t="s">
        <v>14</v>
      </c>
      <c r="D936" s="27" t="s">
        <v>16</v>
      </c>
      <c r="E936" s="28">
        <v>60817</v>
      </c>
      <c r="F936" s="28">
        <v>78167</v>
      </c>
      <c r="G936" s="27" t="s">
        <v>17</v>
      </c>
      <c r="H936" s="27" t="s">
        <v>1058</v>
      </c>
      <c r="I936" s="27" t="s">
        <v>13</v>
      </c>
    </row>
    <row r="937" spans="1:9" x14ac:dyDescent="0.3">
      <c r="A937" s="26">
        <v>44980</v>
      </c>
      <c r="B937" s="27" t="s">
        <v>26</v>
      </c>
      <c r="C937" s="27" t="s">
        <v>18</v>
      </c>
      <c r="D937" s="27" t="s">
        <v>19</v>
      </c>
      <c r="E937" s="28">
        <v>103415</v>
      </c>
      <c r="F937" s="28">
        <v>57502</v>
      </c>
      <c r="G937" s="27" t="s">
        <v>17</v>
      </c>
      <c r="H937" s="27" t="s">
        <v>1514</v>
      </c>
      <c r="I937" s="27" t="s">
        <v>13</v>
      </c>
    </row>
    <row r="938" spans="1:9" x14ac:dyDescent="0.3">
      <c r="A938" s="26">
        <v>44980</v>
      </c>
      <c r="B938" s="27" t="s">
        <v>26</v>
      </c>
      <c r="C938" s="27" t="s">
        <v>10</v>
      </c>
      <c r="D938" s="27" t="s">
        <v>24</v>
      </c>
      <c r="E938" s="28">
        <v>106296</v>
      </c>
      <c r="F938" s="28">
        <v>163629</v>
      </c>
      <c r="G938" s="27" t="s">
        <v>22</v>
      </c>
      <c r="H938" s="27" t="s">
        <v>1534</v>
      </c>
      <c r="I938" s="27" t="s">
        <v>13</v>
      </c>
    </row>
    <row r="939" spans="1:9" x14ac:dyDescent="0.3">
      <c r="A939" s="26">
        <v>44980</v>
      </c>
      <c r="B939" s="27" t="s">
        <v>26</v>
      </c>
      <c r="C939" s="27" t="s">
        <v>15</v>
      </c>
      <c r="D939" s="27" t="s">
        <v>7</v>
      </c>
      <c r="E939" s="28">
        <v>83203</v>
      </c>
      <c r="F939" s="28">
        <v>12482</v>
      </c>
      <c r="G939" s="27" t="s">
        <v>11</v>
      </c>
      <c r="H939" s="27" t="s">
        <v>1839</v>
      </c>
      <c r="I939" s="27" t="s">
        <v>13</v>
      </c>
    </row>
    <row r="940" spans="1:9" x14ac:dyDescent="0.3">
      <c r="A940" s="26">
        <v>44980</v>
      </c>
      <c r="B940" s="27" t="s">
        <v>26</v>
      </c>
      <c r="C940" s="27" t="s">
        <v>14</v>
      </c>
      <c r="D940" s="27" t="s">
        <v>24</v>
      </c>
      <c r="E940" s="28">
        <v>15283</v>
      </c>
      <c r="F940" s="28">
        <v>107709</v>
      </c>
      <c r="G940" s="27" t="s">
        <v>22</v>
      </c>
      <c r="H940" s="27" t="s">
        <v>2393</v>
      </c>
      <c r="I940" s="27" t="s">
        <v>13</v>
      </c>
    </row>
    <row r="941" spans="1:9" x14ac:dyDescent="0.3">
      <c r="A941" s="26">
        <v>44980</v>
      </c>
      <c r="B941" s="27" t="s">
        <v>26</v>
      </c>
      <c r="C941" s="27" t="s">
        <v>18</v>
      </c>
      <c r="D941" s="27" t="s">
        <v>21</v>
      </c>
      <c r="E941" s="28">
        <v>37631</v>
      </c>
      <c r="F941" s="28">
        <v>146060</v>
      </c>
      <c r="G941" s="27" t="s">
        <v>17</v>
      </c>
      <c r="H941" s="27" t="s">
        <v>2473</v>
      </c>
      <c r="I941" s="27" t="s">
        <v>13</v>
      </c>
    </row>
    <row r="942" spans="1:9" x14ac:dyDescent="0.3">
      <c r="A942" s="26">
        <v>44980</v>
      </c>
      <c r="B942" s="27" t="s">
        <v>26</v>
      </c>
      <c r="C942" s="27" t="s">
        <v>10</v>
      </c>
      <c r="D942" s="27" t="s">
        <v>16</v>
      </c>
      <c r="E942" s="28">
        <v>96642</v>
      </c>
      <c r="F942" s="28">
        <v>33056</v>
      </c>
      <c r="G942" s="27" t="s">
        <v>17</v>
      </c>
      <c r="H942" s="27" t="s">
        <v>2794</v>
      </c>
      <c r="I942" s="27" t="s">
        <v>13</v>
      </c>
    </row>
    <row r="943" spans="1:9" x14ac:dyDescent="0.3">
      <c r="A943" s="26">
        <v>44980</v>
      </c>
      <c r="B943" s="27" t="s">
        <v>26</v>
      </c>
      <c r="C943" s="27" t="s">
        <v>20</v>
      </c>
      <c r="D943" s="27" t="s">
        <v>19</v>
      </c>
      <c r="E943" s="28">
        <v>72971</v>
      </c>
      <c r="F943" s="28">
        <v>21818</v>
      </c>
      <c r="G943" s="27" t="s">
        <v>22</v>
      </c>
      <c r="H943" s="27" t="s">
        <v>2989</v>
      </c>
      <c r="I943" s="27" t="s">
        <v>13</v>
      </c>
    </row>
    <row r="944" spans="1:9" x14ac:dyDescent="0.3">
      <c r="A944" s="26">
        <v>44980</v>
      </c>
      <c r="B944" s="27" t="s">
        <v>26</v>
      </c>
      <c r="C944" s="27" t="s">
        <v>18</v>
      </c>
      <c r="D944" s="27" t="s">
        <v>19</v>
      </c>
      <c r="E944" s="28">
        <v>38040</v>
      </c>
      <c r="F944" s="28">
        <v>20487</v>
      </c>
      <c r="G944" s="27" t="s">
        <v>8</v>
      </c>
      <c r="H944" s="27" t="s">
        <v>3098</v>
      </c>
      <c r="I944" s="27" t="s">
        <v>13</v>
      </c>
    </row>
    <row r="945" spans="1:9" x14ac:dyDescent="0.3">
      <c r="A945" s="26">
        <v>44980</v>
      </c>
      <c r="B945" s="27" t="s">
        <v>26</v>
      </c>
      <c r="C945" s="27" t="s">
        <v>10</v>
      </c>
      <c r="D945" s="27" t="s">
        <v>16</v>
      </c>
      <c r="E945" s="28">
        <v>89792</v>
      </c>
      <c r="F945" s="28">
        <v>40686</v>
      </c>
      <c r="G945" s="27" t="s">
        <v>8</v>
      </c>
      <c r="H945" s="27" t="s">
        <v>3282</v>
      </c>
      <c r="I945" s="27" t="s">
        <v>13</v>
      </c>
    </row>
    <row r="946" spans="1:9" x14ac:dyDescent="0.3">
      <c r="A946" s="26">
        <v>44980</v>
      </c>
      <c r="B946" s="27" t="s">
        <v>26</v>
      </c>
      <c r="C946" s="27" t="s">
        <v>6</v>
      </c>
      <c r="D946" s="27" t="s">
        <v>19</v>
      </c>
      <c r="E946" s="28">
        <v>217800</v>
      </c>
      <c r="F946" s="28">
        <v>183600</v>
      </c>
      <c r="G946" s="27" t="s">
        <v>11</v>
      </c>
      <c r="H946" s="27" t="s">
        <v>3630</v>
      </c>
      <c r="I946" s="27" t="s">
        <v>9</v>
      </c>
    </row>
    <row r="947" spans="1:9" x14ac:dyDescent="0.3">
      <c r="A947" s="26">
        <v>44980</v>
      </c>
      <c r="B947" s="27" t="s">
        <v>26</v>
      </c>
      <c r="C947" s="27" t="s">
        <v>6</v>
      </c>
      <c r="D947" s="27" t="s">
        <v>19</v>
      </c>
      <c r="E947" s="28">
        <v>43000</v>
      </c>
      <c r="F947" s="28">
        <v>34500</v>
      </c>
      <c r="G947" s="27" t="s">
        <v>11</v>
      </c>
      <c r="H947" s="27" t="s">
        <v>4074</v>
      </c>
      <c r="I947" s="27" t="s">
        <v>9</v>
      </c>
    </row>
    <row r="948" spans="1:9" x14ac:dyDescent="0.3">
      <c r="A948" s="26">
        <v>44980</v>
      </c>
      <c r="B948" s="27" t="s">
        <v>26</v>
      </c>
      <c r="C948" s="27" t="s">
        <v>6</v>
      </c>
      <c r="D948" s="27" t="s">
        <v>16</v>
      </c>
      <c r="E948" s="28">
        <v>114200</v>
      </c>
      <c r="F948" s="28">
        <v>155400</v>
      </c>
      <c r="G948" s="27" t="s">
        <v>11</v>
      </c>
      <c r="H948" s="27" t="s">
        <v>4440</v>
      </c>
      <c r="I948" s="27" t="s">
        <v>9</v>
      </c>
    </row>
    <row r="949" spans="1:9" x14ac:dyDescent="0.3">
      <c r="A949" s="26">
        <v>44980</v>
      </c>
      <c r="B949" s="27" t="s">
        <v>26</v>
      </c>
      <c r="C949" s="27" t="s">
        <v>93</v>
      </c>
      <c r="D949" s="27" t="s">
        <v>19</v>
      </c>
      <c r="E949" s="28">
        <v>137500</v>
      </c>
      <c r="F949" s="28">
        <v>169000</v>
      </c>
      <c r="G949" s="27" t="s">
        <v>11</v>
      </c>
      <c r="H949" s="27" t="s">
        <v>4897</v>
      </c>
      <c r="I949" s="27" t="s">
        <v>9</v>
      </c>
    </row>
    <row r="950" spans="1:9" x14ac:dyDescent="0.3">
      <c r="A950" s="26">
        <v>44980</v>
      </c>
      <c r="B950" s="27" t="s">
        <v>26</v>
      </c>
      <c r="C950" s="27" t="s">
        <v>6</v>
      </c>
      <c r="D950" s="27" t="s">
        <v>24</v>
      </c>
      <c r="E950" s="28">
        <v>177700</v>
      </c>
      <c r="F950" s="28">
        <v>198400</v>
      </c>
      <c r="G950" s="27" t="s">
        <v>11</v>
      </c>
      <c r="H950" s="27" t="s">
        <v>4917</v>
      </c>
      <c r="I950" s="27" t="s">
        <v>9</v>
      </c>
    </row>
    <row r="951" spans="1:9" x14ac:dyDescent="0.3">
      <c r="A951" s="26">
        <v>44980</v>
      </c>
      <c r="B951" s="27" t="s">
        <v>26</v>
      </c>
      <c r="C951" s="27" t="s">
        <v>6</v>
      </c>
      <c r="D951" s="27" t="s">
        <v>7</v>
      </c>
      <c r="E951" s="28">
        <v>84300</v>
      </c>
      <c r="F951" s="28">
        <v>104400</v>
      </c>
      <c r="G951" s="27" t="s">
        <v>22</v>
      </c>
      <c r="H951" s="27" t="s">
        <v>5222</v>
      </c>
      <c r="I951" s="27" t="s">
        <v>9</v>
      </c>
    </row>
    <row r="952" spans="1:9" x14ac:dyDescent="0.3">
      <c r="A952" s="26">
        <v>44980</v>
      </c>
      <c r="B952" s="27" t="s">
        <v>26</v>
      </c>
      <c r="C952" s="27" t="s">
        <v>6</v>
      </c>
      <c r="D952" s="27" t="s">
        <v>24</v>
      </c>
      <c r="E952" s="28">
        <v>98500</v>
      </c>
      <c r="F952" s="28">
        <v>80600</v>
      </c>
      <c r="G952" s="27" t="s">
        <v>11</v>
      </c>
      <c r="H952" s="27" t="s">
        <v>5778</v>
      </c>
      <c r="I952" s="27" t="s">
        <v>9</v>
      </c>
    </row>
    <row r="953" spans="1:9" x14ac:dyDescent="0.3">
      <c r="A953" s="26">
        <v>44980</v>
      </c>
      <c r="B953" s="27" t="s">
        <v>26</v>
      </c>
      <c r="C953" s="27" t="s">
        <v>93</v>
      </c>
      <c r="D953" s="27" t="s">
        <v>21</v>
      </c>
      <c r="E953" s="28">
        <v>84900</v>
      </c>
      <c r="F953" s="28">
        <v>64500</v>
      </c>
      <c r="G953" s="27" t="s">
        <v>17</v>
      </c>
      <c r="H953" s="27" t="s">
        <v>5858</v>
      </c>
      <c r="I953" s="27" t="s">
        <v>9</v>
      </c>
    </row>
    <row r="954" spans="1:9" x14ac:dyDescent="0.3">
      <c r="A954" s="26">
        <v>44980</v>
      </c>
      <c r="B954" s="27" t="s">
        <v>26</v>
      </c>
      <c r="C954" s="27" t="s">
        <v>6</v>
      </c>
      <c r="D954" s="27" t="s">
        <v>16</v>
      </c>
      <c r="E954" s="28">
        <v>102300</v>
      </c>
      <c r="F954" s="28">
        <v>137800</v>
      </c>
      <c r="G954" s="27" t="s">
        <v>11</v>
      </c>
      <c r="H954" s="27" t="s">
        <v>6179</v>
      </c>
      <c r="I954" s="27" t="s">
        <v>9</v>
      </c>
    </row>
    <row r="955" spans="1:9" x14ac:dyDescent="0.3">
      <c r="A955" s="26">
        <v>44980</v>
      </c>
      <c r="B955" s="27" t="s">
        <v>26</v>
      </c>
      <c r="C955" s="27" t="s">
        <v>6</v>
      </c>
      <c r="D955" s="27" t="s">
        <v>19</v>
      </c>
      <c r="E955" s="28">
        <v>88200</v>
      </c>
      <c r="F955" s="28">
        <v>82400</v>
      </c>
      <c r="G955" s="27" t="s">
        <v>11</v>
      </c>
      <c r="H955" s="27" t="s">
        <v>6374</v>
      </c>
      <c r="I955" s="27" t="s">
        <v>9</v>
      </c>
    </row>
    <row r="956" spans="1:9" x14ac:dyDescent="0.3">
      <c r="A956" s="26">
        <v>44980</v>
      </c>
      <c r="B956" s="27" t="s">
        <v>26</v>
      </c>
      <c r="C956" s="27" t="s">
        <v>93</v>
      </c>
      <c r="D956" s="27" t="s">
        <v>19</v>
      </c>
      <c r="E956" s="28">
        <v>156800</v>
      </c>
      <c r="F956" s="28">
        <v>207400</v>
      </c>
      <c r="G956" s="27" t="s">
        <v>11</v>
      </c>
      <c r="H956" s="27" t="s">
        <v>6483</v>
      </c>
      <c r="I956" s="27" t="s">
        <v>9</v>
      </c>
    </row>
    <row r="957" spans="1:9" x14ac:dyDescent="0.3">
      <c r="A957" s="26">
        <v>44980</v>
      </c>
      <c r="B957" s="27" t="s">
        <v>26</v>
      </c>
      <c r="C957" s="27" t="s">
        <v>93</v>
      </c>
      <c r="D957" s="27" t="s">
        <v>16</v>
      </c>
      <c r="E957" s="28">
        <v>87400</v>
      </c>
      <c r="F957" s="28">
        <v>108700</v>
      </c>
      <c r="G957" s="27" t="s">
        <v>22</v>
      </c>
      <c r="H957" s="27" t="s">
        <v>6667</v>
      </c>
      <c r="I957" s="27" t="s">
        <v>9</v>
      </c>
    </row>
    <row r="958" spans="1:9" x14ac:dyDescent="0.3">
      <c r="A958" s="26">
        <v>44981</v>
      </c>
      <c r="B958" s="27" t="s">
        <v>26</v>
      </c>
      <c r="C958" s="27" t="s">
        <v>18</v>
      </c>
      <c r="D958" s="27" t="s">
        <v>24</v>
      </c>
      <c r="E958" s="28">
        <v>119660</v>
      </c>
      <c r="F958" s="28">
        <v>82433</v>
      </c>
      <c r="G958" s="27" t="s">
        <v>17</v>
      </c>
      <c r="H958" s="27" t="s">
        <v>152</v>
      </c>
      <c r="I958" s="27" t="s">
        <v>13</v>
      </c>
    </row>
    <row r="959" spans="1:9" x14ac:dyDescent="0.3">
      <c r="A959" s="26">
        <v>44981</v>
      </c>
      <c r="B959" s="27" t="s">
        <v>26</v>
      </c>
      <c r="C959" s="27" t="s">
        <v>10</v>
      </c>
      <c r="D959" s="27" t="s">
        <v>19</v>
      </c>
      <c r="E959" s="28">
        <v>70943</v>
      </c>
      <c r="F959" s="28">
        <v>117109</v>
      </c>
      <c r="G959" s="27" t="s">
        <v>17</v>
      </c>
      <c r="H959" s="27" t="s">
        <v>294</v>
      </c>
      <c r="I959" s="27" t="s">
        <v>13</v>
      </c>
    </row>
    <row r="960" spans="1:9" x14ac:dyDescent="0.3">
      <c r="A960" s="26">
        <v>44981</v>
      </c>
      <c r="B960" s="27" t="s">
        <v>26</v>
      </c>
      <c r="C960" s="27" t="s">
        <v>20</v>
      </c>
      <c r="D960" s="27" t="s">
        <v>24</v>
      </c>
      <c r="E960" s="28">
        <v>98541</v>
      </c>
      <c r="F960" s="28">
        <v>155627</v>
      </c>
      <c r="G960" s="27" t="s">
        <v>17</v>
      </c>
      <c r="H960" s="27" t="s">
        <v>335</v>
      </c>
      <c r="I960" s="27" t="s">
        <v>13</v>
      </c>
    </row>
    <row r="961" spans="1:9" x14ac:dyDescent="0.3">
      <c r="A961" s="26">
        <v>44981</v>
      </c>
      <c r="B961" s="27" t="s">
        <v>26</v>
      </c>
      <c r="C961" s="27" t="s">
        <v>32</v>
      </c>
      <c r="D961" s="27" t="s">
        <v>24</v>
      </c>
      <c r="E961" s="28">
        <v>21808</v>
      </c>
      <c r="F961" s="28">
        <v>165108</v>
      </c>
      <c r="G961" s="27" t="s">
        <v>17</v>
      </c>
      <c r="H961" s="27" t="s">
        <v>725</v>
      </c>
      <c r="I961" s="27" t="s">
        <v>13</v>
      </c>
    </row>
    <row r="962" spans="1:9" x14ac:dyDescent="0.3">
      <c r="A962" s="26">
        <v>44981</v>
      </c>
      <c r="B962" s="27" t="s">
        <v>26</v>
      </c>
      <c r="C962" s="27" t="s">
        <v>15</v>
      </c>
      <c r="D962" s="27" t="s">
        <v>21</v>
      </c>
      <c r="E962" s="28">
        <v>39357</v>
      </c>
      <c r="F962" s="28">
        <v>118248</v>
      </c>
      <c r="G962" s="27" t="s">
        <v>17</v>
      </c>
      <c r="H962" s="27" t="s">
        <v>1123</v>
      </c>
      <c r="I962" s="27" t="s">
        <v>13</v>
      </c>
    </row>
    <row r="963" spans="1:9" x14ac:dyDescent="0.3">
      <c r="A963" s="26">
        <v>44981</v>
      </c>
      <c r="B963" s="27" t="s">
        <v>26</v>
      </c>
      <c r="C963" s="27" t="s">
        <v>15</v>
      </c>
      <c r="D963" s="27" t="s">
        <v>21</v>
      </c>
      <c r="E963" s="28">
        <v>110875</v>
      </c>
      <c r="F963" s="28">
        <v>141979</v>
      </c>
      <c r="G963" s="27" t="s">
        <v>22</v>
      </c>
      <c r="H963" s="27" t="s">
        <v>1463</v>
      </c>
      <c r="I963" s="27" t="s">
        <v>13</v>
      </c>
    </row>
    <row r="964" spans="1:9" x14ac:dyDescent="0.3">
      <c r="A964" s="26">
        <v>44981</v>
      </c>
      <c r="B964" s="27" t="s">
        <v>26</v>
      </c>
      <c r="C964" s="27" t="s">
        <v>32</v>
      </c>
      <c r="D964" s="27" t="s">
        <v>19</v>
      </c>
      <c r="E964" s="28">
        <v>117582</v>
      </c>
      <c r="F964" s="28">
        <v>58819</v>
      </c>
      <c r="G964" s="27" t="s">
        <v>11</v>
      </c>
      <c r="H964" s="27" t="s">
        <v>1576</v>
      </c>
      <c r="I964" s="27" t="s">
        <v>13</v>
      </c>
    </row>
    <row r="965" spans="1:9" x14ac:dyDescent="0.3">
      <c r="A965" s="26">
        <v>44981</v>
      </c>
      <c r="B965" s="27" t="s">
        <v>26</v>
      </c>
      <c r="C965" s="27" t="s">
        <v>20</v>
      </c>
      <c r="D965" s="27" t="s">
        <v>21</v>
      </c>
      <c r="E965" s="28">
        <v>76463</v>
      </c>
      <c r="F965" s="28">
        <v>103525</v>
      </c>
      <c r="G965" s="27" t="s">
        <v>8</v>
      </c>
      <c r="H965" s="27" t="s">
        <v>2106</v>
      </c>
      <c r="I965" s="27" t="s">
        <v>13</v>
      </c>
    </row>
    <row r="966" spans="1:9" x14ac:dyDescent="0.3">
      <c r="A966" s="26">
        <v>44981</v>
      </c>
      <c r="B966" s="27" t="s">
        <v>26</v>
      </c>
      <c r="C966" s="27" t="s">
        <v>18</v>
      </c>
      <c r="D966" s="27" t="s">
        <v>16</v>
      </c>
      <c r="E966" s="28">
        <v>64721</v>
      </c>
      <c r="F966" s="28">
        <v>94029</v>
      </c>
      <c r="G966" s="27" t="s">
        <v>22</v>
      </c>
      <c r="H966" s="27" t="s">
        <v>2320</v>
      </c>
      <c r="I966" s="27" t="s">
        <v>13</v>
      </c>
    </row>
    <row r="967" spans="1:9" x14ac:dyDescent="0.3">
      <c r="A967" s="26">
        <v>44981</v>
      </c>
      <c r="B967" s="27" t="s">
        <v>26</v>
      </c>
      <c r="C967" s="27" t="s">
        <v>20</v>
      </c>
      <c r="D967" s="27" t="s">
        <v>7</v>
      </c>
      <c r="E967" s="28">
        <v>125729</v>
      </c>
      <c r="F967" s="28">
        <v>23384</v>
      </c>
      <c r="G967" s="27" t="s">
        <v>8</v>
      </c>
      <c r="H967" s="27" t="s">
        <v>2728</v>
      </c>
      <c r="I967" s="27" t="s">
        <v>13</v>
      </c>
    </row>
    <row r="968" spans="1:9" x14ac:dyDescent="0.3">
      <c r="A968" s="26">
        <v>44981</v>
      </c>
      <c r="B968" s="27" t="s">
        <v>26</v>
      </c>
      <c r="C968" s="27" t="s">
        <v>15</v>
      </c>
      <c r="D968" s="27" t="s">
        <v>24</v>
      </c>
      <c r="E968" s="28">
        <v>46212</v>
      </c>
      <c r="F968" s="28">
        <v>78180</v>
      </c>
      <c r="G968" s="27" t="s">
        <v>8</v>
      </c>
      <c r="H968" s="27" t="s">
        <v>3032</v>
      </c>
      <c r="I968" s="27" t="s">
        <v>13</v>
      </c>
    </row>
    <row r="969" spans="1:9" x14ac:dyDescent="0.3">
      <c r="A969" s="26">
        <v>44981</v>
      </c>
      <c r="B969" s="27" t="s">
        <v>26</v>
      </c>
      <c r="C969" s="27" t="s">
        <v>20</v>
      </c>
      <c r="D969" s="27" t="s">
        <v>19</v>
      </c>
      <c r="E969" s="28">
        <v>79727</v>
      </c>
      <c r="F969" s="28">
        <v>27353</v>
      </c>
      <c r="G969" s="27" t="s">
        <v>8</v>
      </c>
      <c r="H969" s="27" t="s">
        <v>3112</v>
      </c>
      <c r="I969" s="27" t="s">
        <v>13</v>
      </c>
    </row>
    <row r="970" spans="1:9" x14ac:dyDescent="0.3">
      <c r="A970" s="26">
        <v>44981</v>
      </c>
      <c r="B970" s="27" t="s">
        <v>26</v>
      </c>
      <c r="C970" s="27" t="s">
        <v>20</v>
      </c>
      <c r="D970" s="27" t="s">
        <v>24</v>
      </c>
      <c r="E970" s="28">
        <v>144606</v>
      </c>
      <c r="F970" s="28">
        <v>102661</v>
      </c>
      <c r="G970" s="27" t="s">
        <v>22</v>
      </c>
      <c r="H970" s="27" t="s">
        <v>3284</v>
      </c>
      <c r="I970" s="27" t="s">
        <v>13</v>
      </c>
    </row>
    <row r="971" spans="1:9" x14ac:dyDescent="0.3">
      <c r="A971" s="26">
        <v>44981</v>
      </c>
      <c r="B971" s="27" t="s">
        <v>26</v>
      </c>
      <c r="C971" s="27" t="s">
        <v>6</v>
      </c>
      <c r="D971" s="27" t="s">
        <v>24</v>
      </c>
      <c r="E971" s="28">
        <v>65900</v>
      </c>
      <c r="F971" s="28">
        <v>54700</v>
      </c>
      <c r="G971" s="27" t="s">
        <v>22</v>
      </c>
      <c r="H971" s="27" t="s">
        <v>3533</v>
      </c>
      <c r="I971" s="27" t="s">
        <v>9</v>
      </c>
    </row>
    <row r="972" spans="1:9" x14ac:dyDescent="0.3">
      <c r="A972" s="26">
        <v>44981</v>
      </c>
      <c r="B972" s="27" t="s">
        <v>26</v>
      </c>
      <c r="C972" s="27" t="s">
        <v>6</v>
      </c>
      <c r="D972" s="27" t="s">
        <v>19</v>
      </c>
      <c r="E972" s="28">
        <v>100200</v>
      </c>
      <c r="F972" s="28">
        <v>116700</v>
      </c>
      <c r="G972" s="27" t="s">
        <v>11</v>
      </c>
      <c r="H972" s="27" t="s">
        <v>3675</v>
      </c>
      <c r="I972" s="27" t="s">
        <v>9</v>
      </c>
    </row>
    <row r="973" spans="1:9" x14ac:dyDescent="0.3">
      <c r="A973" s="26">
        <v>44981</v>
      </c>
      <c r="B973" s="27" t="s">
        <v>26</v>
      </c>
      <c r="C973" s="27" t="s">
        <v>6</v>
      </c>
      <c r="D973" s="27" t="s">
        <v>24</v>
      </c>
      <c r="E973" s="28">
        <v>123100</v>
      </c>
      <c r="F973" s="28">
        <v>149700</v>
      </c>
      <c r="G973" s="27" t="s">
        <v>17</v>
      </c>
      <c r="H973" s="27" t="s">
        <v>3716</v>
      </c>
      <c r="I973" s="27" t="s">
        <v>9</v>
      </c>
    </row>
    <row r="974" spans="1:9" x14ac:dyDescent="0.3">
      <c r="A974" s="26">
        <v>44981</v>
      </c>
      <c r="B974" s="27" t="s">
        <v>26</v>
      </c>
      <c r="C974" s="27" t="s">
        <v>93</v>
      </c>
      <c r="D974" s="27" t="s">
        <v>24</v>
      </c>
      <c r="E974" s="28">
        <v>89800</v>
      </c>
      <c r="F974" s="28">
        <v>57800</v>
      </c>
      <c r="G974" s="27" t="s">
        <v>11</v>
      </c>
      <c r="H974" s="27" t="s">
        <v>4106</v>
      </c>
      <c r="I974" s="27" t="s">
        <v>9</v>
      </c>
    </row>
    <row r="975" spans="1:9" x14ac:dyDescent="0.3">
      <c r="A975" s="26">
        <v>44981</v>
      </c>
      <c r="B975" s="27" t="s">
        <v>26</v>
      </c>
      <c r="C975" s="27" t="s">
        <v>93</v>
      </c>
      <c r="D975" s="27" t="s">
        <v>21</v>
      </c>
      <c r="E975" s="28">
        <v>67100</v>
      </c>
      <c r="F975" s="28">
        <v>72700</v>
      </c>
      <c r="G975" s="27" t="s">
        <v>22</v>
      </c>
      <c r="H975" s="27" t="s">
        <v>4506</v>
      </c>
      <c r="I975" s="27" t="s">
        <v>9</v>
      </c>
    </row>
    <row r="976" spans="1:9" x14ac:dyDescent="0.3">
      <c r="A976" s="26">
        <v>44981</v>
      </c>
      <c r="B976" s="27" t="s">
        <v>26</v>
      </c>
      <c r="C976" s="27" t="s">
        <v>6</v>
      </c>
      <c r="D976" s="27" t="s">
        <v>21</v>
      </c>
      <c r="E976" s="28">
        <v>186800</v>
      </c>
      <c r="F976" s="28">
        <v>183600</v>
      </c>
      <c r="G976" s="27" t="s">
        <v>11</v>
      </c>
      <c r="H976" s="27" t="s">
        <v>4846</v>
      </c>
      <c r="I976" s="27" t="s">
        <v>9</v>
      </c>
    </row>
    <row r="977" spans="1:9" x14ac:dyDescent="0.3">
      <c r="A977" s="26">
        <v>44981</v>
      </c>
      <c r="B977" s="27" t="s">
        <v>26</v>
      </c>
      <c r="C977" s="27" t="s">
        <v>6</v>
      </c>
      <c r="D977" s="27" t="s">
        <v>19</v>
      </c>
      <c r="E977" s="28">
        <v>165000</v>
      </c>
      <c r="F977" s="28">
        <v>147400</v>
      </c>
      <c r="G977" s="27" t="s">
        <v>22</v>
      </c>
      <c r="H977" s="27" t="s">
        <v>4959</v>
      </c>
      <c r="I977" s="27" t="s">
        <v>9</v>
      </c>
    </row>
    <row r="978" spans="1:9" x14ac:dyDescent="0.3">
      <c r="A978" s="26">
        <v>44981</v>
      </c>
      <c r="B978" s="27" t="s">
        <v>26</v>
      </c>
      <c r="C978" s="27" t="s">
        <v>6</v>
      </c>
      <c r="D978" s="27" t="s">
        <v>21</v>
      </c>
      <c r="E978" s="28">
        <v>153300</v>
      </c>
      <c r="F978" s="28">
        <v>170800</v>
      </c>
      <c r="G978" s="27" t="s">
        <v>22</v>
      </c>
      <c r="H978" s="27" t="s">
        <v>5490</v>
      </c>
      <c r="I978" s="27" t="s">
        <v>9</v>
      </c>
    </row>
    <row r="979" spans="1:9" x14ac:dyDescent="0.3">
      <c r="A979" s="26">
        <v>44981</v>
      </c>
      <c r="B979" s="27" t="s">
        <v>26</v>
      </c>
      <c r="C979" s="27" t="s">
        <v>93</v>
      </c>
      <c r="D979" s="27" t="s">
        <v>16</v>
      </c>
      <c r="E979" s="28">
        <v>109300</v>
      </c>
      <c r="F979" s="28">
        <v>113500</v>
      </c>
      <c r="G979" s="27" t="s">
        <v>11</v>
      </c>
      <c r="H979" s="27" t="s">
        <v>5705</v>
      </c>
      <c r="I979" s="27" t="s">
        <v>9</v>
      </c>
    </row>
    <row r="980" spans="1:9" x14ac:dyDescent="0.3">
      <c r="A980" s="26">
        <v>44981</v>
      </c>
      <c r="B980" s="27" t="s">
        <v>26</v>
      </c>
      <c r="C980" s="27" t="s">
        <v>6</v>
      </c>
      <c r="D980" s="27" t="s">
        <v>7</v>
      </c>
      <c r="E980" s="28">
        <v>143500</v>
      </c>
      <c r="F980" s="28">
        <v>130000</v>
      </c>
      <c r="G980" s="27" t="s">
        <v>11</v>
      </c>
      <c r="H980" s="27" t="s">
        <v>6113</v>
      </c>
      <c r="I980" s="27" t="s">
        <v>9</v>
      </c>
    </row>
    <row r="981" spans="1:9" x14ac:dyDescent="0.3">
      <c r="A981" s="26">
        <v>44981</v>
      </c>
      <c r="B981" s="27" t="s">
        <v>26</v>
      </c>
      <c r="C981" s="27" t="s">
        <v>93</v>
      </c>
      <c r="D981" s="27" t="s">
        <v>24</v>
      </c>
      <c r="E981" s="28">
        <v>180400</v>
      </c>
      <c r="F981" s="28">
        <v>142200</v>
      </c>
      <c r="G981" s="27" t="s">
        <v>22</v>
      </c>
      <c r="H981" s="27" t="s">
        <v>6417</v>
      </c>
      <c r="I981" s="27" t="s">
        <v>9</v>
      </c>
    </row>
    <row r="982" spans="1:9" x14ac:dyDescent="0.3">
      <c r="A982" s="26">
        <v>44981</v>
      </c>
      <c r="B982" s="27" t="s">
        <v>26</v>
      </c>
      <c r="C982" s="27" t="s">
        <v>6</v>
      </c>
      <c r="D982" s="27" t="s">
        <v>19</v>
      </c>
      <c r="E982" s="28">
        <v>83100</v>
      </c>
      <c r="F982" s="28">
        <v>78200</v>
      </c>
      <c r="G982" s="27" t="s">
        <v>17</v>
      </c>
      <c r="H982" s="27" t="s">
        <v>6497</v>
      </c>
      <c r="I982" s="27" t="s">
        <v>9</v>
      </c>
    </row>
    <row r="983" spans="1:9" x14ac:dyDescent="0.3">
      <c r="A983" s="26">
        <v>44981</v>
      </c>
      <c r="B983" s="27" t="s">
        <v>26</v>
      </c>
      <c r="C983" s="27" t="s">
        <v>6</v>
      </c>
      <c r="D983" s="27" t="s">
        <v>24</v>
      </c>
      <c r="E983" s="28">
        <v>118600</v>
      </c>
      <c r="F983" s="28">
        <v>87900</v>
      </c>
      <c r="G983" s="27" t="s">
        <v>22</v>
      </c>
      <c r="H983" s="27" t="s">
        <v>6669</v>
      </c>
      <c r="I983" s="27" t="s">
        <v>9</v>
      </c>
    </row>
    <row r="984" spans="1:9" x14ac:dyDescent="0.3">
      <c r="A984" s="26">
        <v>44982</v>
      </c>
      <c r="B984" s="27" t="s">
        <v>26</v>
      </c>
      <c r="C984" s="27" t="s">
        <v>15</v>
      </c>
      <c r="D984" s="27" t="s">
        <v>21</v>
      </c>
      <c r="E984" s="28">
        <v>72189</v>
      </c>
      <c r="F984" s="28">
        <v>113992</v>
      </c>
      <c r="G984" s="27" t="s">
        <v>22</v>
      </c>
      <c r="H984" s="27" t="s">
        <v>959</v>
      </c>
      <c r="I984" s="27" t="s">
        <v>13</v>
      </c>
    </row>
    <row r="985" spans="1:9" x14ac:dyDescent="0.3">
      <c r="A985" s="26">
        <v>44982</v>
      </c>
      <c r="B985" s="27" t="s">
        <v>26</v>
      </c>
      <c r="C985" s="27" t="s">
        <v>32</v>
      </c>
      <c r="D985" s="27" t="s">
        <v>21</v>
      </c>
      <c r="E985" s="28">
        <v>56883</v>
      </c>
      <c r="F985" s="28">
        <v>126022</v>
      </c>
      <c r="G985" s="27" t="s">
        <v>22</v>
      </c>
      <c r="H985" s="27" t="s">
        <v>2034</v>
      </c>
      <c r="I985" s="27" t="s">
        <v>13</v>
      </c>
    </row>
    <row r="986" spans="1:9" x14ac:dyDescent="0.3">
      <c r="A986" s="26">
        <v>44982</v>
      </c>
      <c r="B986" s="27" t="s">
        <v>26</v>
      </c>
      <c r="C986" s="27" t="s">
        <v>20</v>
      </c>
      <c r="D986" s="27" t="s">
        <v>7</v>
      </c>
      <c r="E986" s="28">
        <v>139442</v>
      </c>
      <c r="F986" s="28">
        <v>83103</v>
      </c>
      <c r="G986" s="27" t="s">
        <v>17</v>
      </c>
      <c r="H986" s="27" t="s">
        <v>3021</v>
      </c>
      <c r="I986" s="27" t="s">
        <v>13</v>
      </c>
    </row>
    <row r="987" spans="1:9" x14ac:dyDescent="0.3">
      <c r="A987" s="26">
        <v>44982</v>
      </c>
      <c r="B987" s="27" t="s">
        <v>26</v>
      </c>
      <c r="C987" s="27" t="s">
        <v>18</v>
      </c>
      <c r="D987" s="27" t="s">
        <v>21</v>
      </c>
      <c r="E987" s="28">
        <v>57542</v>
      </c>
      <c r="F987" s="28">
        <v>146095</v>
      </c>
      <c r="G987" s="27" t="s">
        <v>11</v>
      </c>
      <c r="H987" s="27" t="s">
        <v>3231</v>
      </c>
      <c r="I987" s="27" t="s">
        <v>13</v>
      </c>
    </row>
    <row r="988" spans="1:9" x14ac:dyDescent="0.3">
      <c r="A988" s="26">
        <v>44982</v>
      </c>
      <c r="B988" s="27" t="s">
        <v>26</v>
      </c>
      <c r="C988" s="27" t="s">
        <v>6</v>
      </c>
      <c r="D988" s="27" t="s">
        <v>21</v>
      </c>
      <c r="E988" s="28">
        <v>83100</v>
      </c>
      <c r="F988" s="28">
        <v>82600</v>
      </c>
      <c r="G988" s="27" t="s">
        <v>22</v>
      </c>
      <c r="H988" s="27" t="s">
        <v>4340</v>
      </c>
      <c r="I988" s="27" t="s">
        <v>9</v>
      </c>
    </row>
    <row r="989" spans="1:9" x14ac:dyDescent="0.3">
      <c r="A989" s="26">
        <v>44982</v>
      </c>
      <c r="B989" s="27" t="s">
        <v>26</v>
      </c>
      <c r="C989" s="27" t="s">
        <v>6</v>
      </c>
      <c r="D989" s="27" t="s">
        <v>21</v>
      </c>
      <c r="E989" s="28">
        <v>85200</v>
      </c>
      <c r="F989" s="28">
        <v>77000</v>
      </c>
      <c r="G989" s="27" t="s">
        <v>17</v>
      </c>
      <c r="H989" s="27" t="s">
        <v>5418</v>
      </c>
      <c r="I989" s="27" t="s">
        <v>9</v>
      </c>
    </row>
    <row r="990" spans="1:9" x14ac:dyDescent="0.3">
      <c r="A990" s="26">
        <v>44982</v>
      </c>
      <c r="B990" s="27" t="s">
        <v>26</v>
      </c>
      <c r="C990" s="27" t="s">
        <v>6</v>
      </c>
      <c r="D990" s="27" t="s">
        <v>7</v>
      </c>
      <c r="E990" s="28">
        <v>152600</v>
      </c>
      <c r="F990" s="28">
        <v>120300</v>
      </c>
      <c r="G990" s="27" t="s">
        <v>11</v>
      </c>
      <c r="H990" s="27" t="s">
        <v>6406</v>
      </c>
      <c r="I990" s="27" t="s">
        <v>9</v>
      </c>
    </row>
    <row r="991" spans="1:9" x14ac:dyDescent="0.3">
      <c r="A991" s="26">
        <v>44982</v>
      </c>
      <c r="B991" s="27" t="s">
        <v>26</v>
      </c>
      <c r="C991" s="27" t="s">
        <v>6</v>
      </c>
      <c r="D991" s="27" t="s">
        <v>21</v>
      </c>
      <c r="E991" s="28">
        <v>123000</v>
      </c>
      <c r="F991" s="28">
        <v>111100</v>
      </c>
      <c r="G991" s="27" t="s">
        <v>11</v>
      </c>
      <c r="H991" s="27" t="s">
        <v>6616</v>
      </c>
      <c r="I991" s="27" t="s">
        <v>9</v>
      </c>
    </row>
    <row r="992" spans="1:9" x14ac:dyDescent="0.3">
      <c r="A992" s="26">
        <v>44983</v>
      </c>
      <c r="B992" s="27" t="s">
        <v>26</v>
      </c>
      <c r="C992" s="27" t="s">
        <v>32</v>
      </c>
      <c r="D992" s="27" t="s">
        <v>24</v>
      </c>
      <c r="E992" s="28">
        <v>71807</v>
      </c>
      <c r="F992" s="28">
        <v>46461</v>
      </c>
      <c r="G992" s="27" t="s">
        <v>17</v>
      </c>
      <c r="H992" s="27" t="s">
        <v>653</v>
      </c>
      <c r="I992" s="27" t="s">
        <v>13</v>
      </c>
    </row>
    <row r="993" spans="1:9" x14ac:dyDescent="0.3">
      <c r="A993" s="26">
        <v>44983</v>
      </c>
      <c r="B993" s="27" t="s">
        <v>26</v>
      </c>
      <c r="C993" s="27" t="s">
        <v>18</v>
      </c>
      <c r="D993" s="27" t="s">
        <v>16</v>
      </c>
      <c r="E993" s="28">
        <v>72382</v>
      </c>
      <c r="F993" s="28">
        <v>60582</v>
      </c>
      <c r="G993" s="27" t="s">
        <v>8</v>
      </c>
      <c r="H993" s="27" t="s">
        <v>893</v>
      </c>
      <c r="I993" s="27" t="s">
        <v>13</v>
      </c>
    </row>
    <row r="994" spans="1:9" x14ac:dyDescent="0.3">
      <c r="A994" s="26">
        <v>44983</v>
      </c>
      <c r="B994" s="27" t="s">
        <v>26</v>
      </c>
      <c r="C994" s="27" t="s">
        <v>15</v>
      </c>
      <c r="D994" s="27" t="s">
        <v>24</v>
      </c>
      <c r="E994" s="28">
        <v>97460</v>
      </c>
      <c r="F994" s="28">
        <v>163424</v>
      </c>
      <c r="G994" s="27" t="s">
        <v>11</v>
      </c>
      <c r="H994" s="27" t="s">
        <v>974</v>
      </c>
      <c r="I994" s="27" t="s">
        <v>13</v>
      </c>
    </row>
    <row r="995" spans="1:9" x14ac:dyDescent="0.3">
      <c r="A995" s="26">
        <v>44983</v>
      </c>
      <c r="B995" s="27" t="s">
        <v>26</v>
      </c>
      <c r="C995" s="27" t="s">
        <v>10</v>
      </c>
      <c r="D995" s="27" t="s">
        <v>21</v>
      </c>
      <c r="E995" s="28">
        <v>69036</v>
      </c>
      <c r="F995" s="28">
        <v>124439</v>
      </c>
      <c r="G995" s="27" t="s">
        <v>11</v>
      </c>
      <c r="H995" s="27" t="s">
        <v>1819</v>
      </c>
      <c r="I995" s="27" t="s">
        <v>13</v>
      </c>
    </row>
    <row r="996" spans="1:9" x14ac:dyDescent="0.3">
      <c r="A996" s="26">
        <v>44983</v>
      </c>
      <c r="B996" s="27" t="s">
        <v>26</v>
      </c>
      <c r="C996" s="27" t="s">
        <v>18</v>
      </c>
      <c r="D996" s="27" t="s">
        <v>24</v>
      </c>
      <c r="E996" s="28">
        <v>28834</v>
      </c>
      <c r="F996" s="28">
        <v>142091</v>
      </c>
      <c r="G996" s="27" t="s">
        <v>22</v>
      </c>
      <c r="H996" s="27" t="s">
        <v>2635</v>
      </c>
      <c r="I996" s="27" t="s">
        <v>13</v>
      </c>
    </row>
    <row r="997" spans="1:9" x14ac:dyDescent="0.3">
      <c r="A997" s="26">
        <v>44983</v>
      </c>
      <c r="B997" s="27" t="s">
        <v>26</v>
      </c>
      <c r="C997" s="27" t="s">
        <v>14</v>
      </c>
      <c r="D997" s="27" t="s">
        <v>24</v>
      </c>
      <c r="E997" s="28">
        <v>21670</v>
      </c>
      <c r="F997" s="28">
        <v>53433</v>
      </c>
      <c r="G997" s="27" t="s">
        <v>8</v>
      </c>
      <c r="H997" s="27" t="s">
        <v>3365</v>
      </c>
      <c r="I997" s="27" t="s">
        <v>13</v>
      </c>
    </row>
    <row r="998" spans="1:9" x14ac:dyDescent="0.3">
      <c r="A998" s="26">
        <v>44983</v>
      </c>
      <c r="B998" s="27" t="s">
        <v>26</v>
      </c>
      <c r="C998" s="27" t="s">
        <v>6</v>
      </c>
      <c r="D998" s="27" t="s">
        <v>24</v>
      </c>
      <c r="E998" s="28">
        <v>118600</v>
      </c>
      <c r="F998" s="28">
        <v>132100</v>
      </c>
      <c r="G998" s="27" t="s">
        <v>22</v>
      </c>
      <c r="H998" s="27" t="s">
        <v>4034</v>
      </c>
      <c r="I998" s="27" t="s">
        <v>9</v>
      </c>
    </row>
    <row r="999" spans="1:9" x14ac:dyDescent="0.3">
      <c r="A999" s="26">
        <v>44983</v>
      </c>
      <c r="B999" s="27" t="s">
        <v>26</v>
      </c>
      <c r="C999" s="27" t="s">
        <v>6</v>
      </c>
      <c r="D999" s="27" t="s">
        <v>16</v>
      </c>
      <c r="E999" s="28">
        <v>72000</v>
      </c>
      <c r="F999" s="28">
        <v>62000</v>
      </c>
      <c r="G999" s="27" t="s">
        <v>22</v>
      </c>
      <c r="H999" s="27" t="s">
        <v>4274</v>
      </c>
      <c r="I999" s="27" t="s">
        <v>9</v>
      </c>
    </row>
    <row r="1000" spans="1:9" x14ac:dyDescent="0.3">
      <c r="A1000" s="26">
        <v>44983</v>
      </c>
      <c r="B1000" s="27" t="s">
        <v>26</v>
      </c>
      <c r="C1000" s="27" t="s">
        <v>6</v>
      </c>
      <c r="D1000" s="27" t="s">
        <v>24</v>
      </c>
      <c r="E1000" s="28">
        <v>92200</v>
      </c>
      <c r="F1000" s="28">
        <v>121200</v>
      </c>
      <c r="G1000" s="27" t="s">
        <v>22</v>
      </c>
      <c r="H1000" s="27" t="s">
        <v>4355</v>
      </c>
      <c r="I1000" s="27" t="s">
        <v>9</v>
      </c>
    </row>
    <row r="1001" spans="1:9" x14ac:dyDescent="0.3">
      <c r="A1001" s="26">
        <v>44983</v>
      </c>
      <c r="B1001" s="27" t="s">
        <v>26</v>
      </c>
      <c r="C1001" s="27" t="s">
        <v>6</v>
      </c>
      <c r="D1001" s="27" t="s">
        <v>21</v>
      </c>
      <c r="E1001" s="28">
        <v>94300</v>
      </c>
      <c r="F1001" s="28">
        <v>114200</v>
      </c>
      <c r="G1001" s="27" t="s">
        <v>11</v>
      </c>
      <c r="H1001" s="27" t="s">
        <v>5202</v>
      </c>
      <c r="I1001" s="27" t="s">
        <v>9</v>
      </c>
    </row>
    <row r="1002" spans="1:9" x14ac:dyDescent="0.3">
      <c r="A1002" s="26">
        <v>44983</v>
      </c>
      <c r="B1002" s="27" t="s">
        <v>26</v>
      </c>
      <c r="C1002" s="27" t="s">
        <v>93</v>
      </c>
      <c r="D1002" s="27" t="s">
        <v>24</v>
      </c>
      <c r="E1002" s="28">
        <v>166200</v>
      </c>
      <c r="F1002" s="28">
        <v>164800</v>
      </c>
      <c r="G1002" s="27" t="s">
        <v>11</v>
      </c>
      <c r="H1002" s="27" t="s">
        <v>6020</v>
      </c>
      <c r="I1002" s="27" t="s">
        <v>9</v>
      </c>
    </row>
    <row r="1003" spans="1:9" x14ac:dyDescent="0.3">
      <c r="A1003" s="26">
        <v>44983</v>
      </c>
      <c r="B1003" s="27" t="s">
        <v>26</v>
      </c>
      <c r="C1003" s="27" t="s">
        <v>93</v>
      </c>
      <c r="D1003" s="27" t="s">
        <v>24</v>
      </c>
      <c r="E1003" s="28">
        <v>248900</v>
      </c>
      <c r="F1003" s="28">
        <v>248600</v>
      </c>
      <c r="G1003" s="27" t="s">
        <v>22</v>
      </c>
      <c r="H1003" s="27" t="s">
        <v>6750</v>
      </c>
      <c r="I1003" s="27" t="s">
        <v>9</v>
      </c>
    </row>
    <row r="1004" spans="1:9" x14ac:dyDescent="0.3">
      <c r="A1004" s="26">
        <v>44984</v>
      </c>
      <c r="B1004" s="27" t="s">
        <v>26</v>
      </c>
      <c r="C1004" s="27" t="s">
        <v>20</v>
      </c>
      <c r="D1004" s="27" t="s">
        <v>16</v>
      </c>
      <c r="E1004" s="28">
        <v>132426</v>
      </c>
      <c r="F1004" s="28">
        <v>73770</v>
      </c>
      <c r="G1004" s="27" t="s">
        <v>8</v>
      </c>
      <c r="H1004" s="27" t="s">
        <v>1560</v>
      </c>
      <c r="I1004" s="27" t="s">
        <v>13</v>
      </c>
    </row>
    <row r="1005" spans="1:9" x14ac:dyDescent="0.3">
      <c r="A1005" s="26">
        <v>44984</v>
      </c>
      <c r="B1005" s="27" t="s">
        <v>26</v>
      </c>
      <c r="C1005" s="27" t="s">
        <v>15</v>
      </c>
      <c r="D1005" s="27" t="s">
        <v>7</v>
      </c>
      <c r="E1005" s="28">
        <v>106060</v>
      </c>
      <c r="F1005" s="28">
        <v>71673</v>
      </c>
      <c r="G1005" s="27" t="s">
        <v>11</v>
      </c>
      <c r="H1005" s="27" t="s">
        <v>1693</v>
      </c>
      <c r="I1005" s="27" t="s">
        <v>13</v>
      </c>
    </row>
    <row r="1006" spans="1:9" x14ac:dyDescent="0.3">
      <c r="A1006" s="26">
        <v>44984</v>
      </c>
      <c r="B1006" s="27" t="s">
        <v>26</v>
      </c>
      <c r="C1006" s="27" t="s">
        <v>18</v>
      </c>
      <c r="D1006" s="27" t="s">
        <v>16</v>
      </c>
      <c r="E1006" s="28">
        <v>104029</v>
      </c>
      <c r="F1006" s="28">
        <v>43833</v>
      </c>
      <c r="G1006" s="27" t="s">
        <v>11</v>
      </c>
      <c r="H1006" s="27" t="s">
        <v>1702</v>
      </c>
      <c r="I1006" s="27" t="s">
        <v>13</v>
      </c>
    </row>
    <row r="1007" spans="1:9" x14ac:dyDescent="0.3">
      <c r="A1007" s="26">
        <v>44984</v>
      </c>
      <c r="B1007" s="27" t="s">
        <v>26</v>
      </c>
      <c r="C1007" s="27" t="s">
        <v>20</v>
      </c>
      <c r="D1007" s="27" t="s">
        <v>16</v>
      </c>
      <c r="E1007" s="28">
        <v>120202</v>
      </c>
      <c r="F1007" s="28">
        <v>153085</v>
      </c>
      <c r="G1007" s="27" t="s">
        <v>8</v>
      </c>
      <c r="H1007" s="27" t="s">
        <v>1980</v>
      </c>
      <c r="I1007" s="27" t="s">
        <v>13</v>
      </c>
    </row>
    <row r="1008" spans="1:9" x14ac:dyDescent="0.3">
      <c r="A1008" s="26">
        <v>44984</v>
      </c>
      <c r="B1008" s="27" t="s">
        <v>26</v>
      </c>
      <c r="C1008" s="27" t="s">
        <v>14</v>
      </c>
      <c r="D1008" s="27" t="s">
        <v>7</v>
      </c>
      <c r="E1008" s="28">
        <v>36176</v>
      </c>
      <c r="F1008" s="28">
        <v>17725</v>
      </c>
      <c r="G1008" s="27" t="s">
        <v>8</v>
      </c>
      <c r="H1008" s="27" t="s">
        <v>2070</v>
      </c>
      <c r="I1008" s="27" t="s">
        <v>13</v>
      </c>
    </row>
    <row r="1009" spans="1:9" x14ac:dyDescent="0.3">
      <c r="A1009" s="26">
        <v>44984</v>
      </c>
      <c r="B1009" s="27" t="s">
        <v>26</v>
      </c>
      <c r="C1009" s="27" t="s">
        <v>10</v>
      </c>
      <c r="D1009" s="27" t="s">
        <v>21</v>
      </c>
      <c r="E1009" s="28">
        <v>138730</v>
      </c>
      <c r="F1009" s="28">
        <v>116354</v>
      </c>
      <c r="G1009" s="27" t="s">
        <v>11</v>
      </c>
      <c r="H1009" s="27" t="s">
        <v>2228</v>
      </c>
      <c r="I1009" s="27" t="s">
        <v>13</v>
      </c>
    </row>
    <row r="1010" spans="1:9" x14ac:dyDescent="0.3">
      <c r="A1010" s="26">
        <v>44984</v>
      </c>
      <c r="B1010" s="27" t="s">
        <v>26</v>
      </c>
      <c r="C1010" s="27" t="s">
        <v>18</v>
      </c>
      <c r="D1010" s="27" t="s">
        <v>19</v>
      </c>
      <c r="E1010" s="28">
        <v>11163</v>
      </c>
      <c r="F1010" s="28">
        <v>52482</v>
      </c>
      <c r="G1010" s="27" t="s">
        <v>8</v>
      </c>
      <c r="H1010" s="27" t="s">
        <v>2377</v>
      </c>
      <c r="I1010" s="27" t="s">
        <v>13</v>
      </c>
    </row>
    <row r="1011" spans="1:9" x14ac:dyDescent="0.3">
      <c r="A1011" s="26">
        <v>44984</v>
      </c>
      <c r="B1011" s="27" t="s">
        <v>26</v>
      </c>
      <c r="C1011" s="27" t="s">
        <v>10</v>
      </c>
      <c r="D1011" s="27" t="s">
        <v>16</v>
      </c>
      <c r="E1011" s="28">
        <v>104782</v>
      </c>
      <c r="F1011" s="28">
        <v>38472</v>
      </c>
      <c r="G1011" s="27" t="s">
        <v>17</v>
      </c>
      <c r="H1011" s="27" t="s">
        <v>3346</v>
      </c>
      <c r="I1011" s="27" t="s">
        <v>13</v>
      </c>
    </row>
    <row r="1012" spans="1:9" x14ac:dyDescent="0.3">
      <c r="A1012" s="26">
        <v>44984</v>
      </c>
      <c r="B1012" s="27" t="s">
        <v>26</v>
      </c>
      <c r="C1012" s="27" t="s">
        <v>32</v>
      </c>
      <c r="D1012" s="27" t="s">
        <v>16</v>
      </c>
      <c r="E1012" s="28">
        <v>121270</v>
      </c>
      <c r="F1012" s="28">
        <v>32361</v>
      </c>
      <c r="G1012" s="27" t="s">
        <v>17</v>
      </c>
      <c r="H1012" s="27" t="s">
        <v>3381</v>
      </c>
      <c r="I1012" s="27" t="s">
        <v>13</v>
      </c>
    </row>
    <row r="1013" spans="1:9" x14ac:dyDescent="0.3">
      <c r="A1013" s="26">
        <v>44984</v>
      </c>
      <c r="B1013" s="27" t="s">
        <v>26</v>
      </c>
      <c r="C1013" s="27" t="s">
        <v>93</v>
      </c>
      <c r="D1013" s="27" t="s">
        <v>16</v>
      </c>
      <c r="E1013" s="28">
        <v>92600</v>
      </c>
      <c r="F1013" s="28">
        <v>97000</v>
      </c>
      <c r="G1013" s="27" t="s">
        <v>11</v>
      </c>
      <c r="H1013" s="27" t="s">
        <v>4943</v>
      </c>
      <c r="I1013" s="27" t="s">
        <v>9</v>
      </c>
    </row>
    <row r="1014" spans="1:9" x14ac:dyDescent="0.3">
      <c r="A1014" s="26">
        <v>44984</v>
      </c>
      <c r="B1014" s="27" t="s">
        <v>26</v>
      </c>
      <c r="C1014" s="27" t="s">
        <v>93</v>
      </c>
      <c r="D1014" s="27" t="s">
        <v>7</v>
      </c>
      <c r="E1014" s="28">
        <v>96700</v>
      </c>
      <c r="F1014" s="28">
        <v>102800</v>
      </c>
      <c r="G1014" s="27" t="s">
        <v>11</v>
      </c>
      <c r="H1014" s="27" t="s">
        <v>5076</v>
      </c>
      <c r="I1014" s="27" t="s">
        <v>9</v>
      </c>
    </row>
    <row r="1015" spans="1:9" x14ac:dyDescent="0.3">
      <c r="A1015" s="26">
        <v>44984</v>
      </c>
      <c r="B1015" s="27" t="s">
        <v>26</v>
      </c>
      <c r="C1015" s="27" t="s">
        <v>6</v>
      </c>
      <c r="D1015" s="27" t="s">
        <v>16</v>
      </c>
      <c r="E1015" s="28">
        <v>105600</v>
      </c>
      <c r="F1015" s="28">
        <v>95400</v>
      </c>
      <c r="G1015" s="27" t="s">
        <v>22</v>
      </c>
      <c r="H1015" s="27" t="s">
        <v>5085</v>
      </c>
      <c r="I1015" s="27" t="s">
        <v>9</v>
      </c>
    </row>
    <row r="1016" spans="1:9" x14ac:dyDescent="0.3">
      <c r="A1016" s="26">
        <v>44984</v>
      </c>
      <c r="B1016" s="27" t="s">
        <v>26</v>
      </c>
      <c r="C1016" s="27" t="s">
        <v>6</v>
      </c>
      <c r="D1016" s="27" t="s">
        <v>16</v>
      </c>
      <c r="E1016" s="28">
        <v>124800</v>
      </c>
      <c r="F1016" s="28">
        <v>111200</v>
      </c>
      <c r="G1016" s="27" t="s">
        <v>11</v>
      </c>
      <c r="H1016" s="27" t="s">
        <v>5364</v>
      </c>
      <c r="I1016" s="27" t="s">
        <v>9</v>
      </c>
    </row>
    <row r="1017" spans="1:9" x14ac:dyDescent="0.3">
      <c r="A1017" s="26">
        <v>44984</v>
      </c>
      <c r="B1017" s="27" t="s">
        <v>26</v>
      </c>
      <c r="C1017" s="27" t="s">
        <v>6</v>
      </c>
      <c r="D1017" s="27" t="s">
        <v>7</v>
      </c>
      <c r="E1017" s="28">
        <v>162000</v>
      </c>
      <c r="F1017" s="28">
        <v>175300</v>
      </c>
      <c r="G1017" s="27" t="s">
        <v>17</v>
      </c>
      <c r="H1017" s="27" t="s">
        <v>5454</v>
      </c>
      <c r="I1017" s="27" t="s">
        <v>9</v>
      </c>
    </row>
    <row r="1018" spans="1:9" x14ac:dyDescent="0.3">
      <c r="A1018" s="26">
        <v>44984</v>
      </c>
      <c r="B1018" s="27" t="s">
        <v>26</v>
      </c>
      <c r="C1018" s="27" t="s">
        <v>6</v>
      </c>
      <c r="D1018" s="27" t="s">
        <v>21</v>
      </c>
      <c r="E1018" s="28">
        <v>122900</v>
      </c>
      <c r="F1018" s="28">
        <v>144700</v>
      </c>
      <c r="G1018" s="27" t="s">
        <v>11</v>
      </c>
      <c r="H1018" s="27" t="s">
        <v>5613</v>
      </c>
      <c r="I1018" s="27" t="s">
        <v>9</v>
      </c>
    </row>
    <row r="1019" spans="1:9" x14ac:dyDescent="0.3">
      <c r="A1019" s="26">
        <v>44984</v>
      </c>
      <c r="B1019" s="27" t="s">
        <v>26</v>
      </c>
      <c r="C1019" s="27" t="s">
        <v>6</v>
      </c>
      <c r="D1019" s="27" t="s">
        <v>19</v>
      </c>
      <c r="E1019" s="28">
        <v>63400</v>
      </c>
      <c r="F1019" s="28">
        <v>77800</v>
      </c>
      <c r="G1019" s="27" t="s">
        <v>17</v>
      </c>
      <c r="H1019" s="27" t="s">
        <v>5762</v>
      </c>
      <c r="I1019" s="27" t="s">
        <v>9</v>
      </c>
    </row>
    <row r="1020" spans="1:9" x14ac:dyDescent="0.3">
      <c r="A1020" s="26">
        <v>44984</v>
      </c>
      <c r="B1020" s="27" t="s">
        <v>26</v>
      </c>
      <c r="C1020" s="27" t="s">
        <v>6</v>
      </c>
      <c r="D1020" s="27" t="s">
        <v>16</v>
      </c>
      <c r="E1020" s="28">
        <v>65900</v>
      </c>
      <c r="F1020" s="28">
        <v>72100</v>
      </c>
      <c r="G1020" s="27" t="s">
        <v>22</v>
      </c>
      <c r="H1020" s="27" t="s">
        <v>6731</v>
      </c>
      <c r="I1020" s="27" t="s">
        <v>9</v>
      </c>
    </row>
    <row r="1021" spans="1:9" x14ac:dyDescent="0.3">
      <c r="A1021" s="26">
        <v>44984</v>
      </c>
      <c r="B1021" s="27" t="s">
        <v>26</v>
      </c>
      <c r="C1021" s="27" t="s">
        <v>93</v>
      </c>
      <c r="D1021" s="27" t="s">
        <v>16</v>
      </c>
      <c r="E1021" s="28">
        <v>124100</v>
      </c>
      <c r="F1021" s="28">
        <v>149000</v>
      </c>
      <c r="G1021" s="27" t="s">
        <v>11</v>
      </c>
      <c r="H1021" s="27" t="s">
        <v>6766</v>
      </c>
      <c r="I1021" s="27" t="s">
        <v>9</v>
      </c>
    </row>
    <row r="1022" spans="1:9" x14ac:dyDescent="0.3">
      <c r="A1022" s="26">
        <v>44985</v>
      </c>
      <c r="B1022" s="27" t="s">
        <v>26</v>
      </c>
      <c r="C1022" s="27" t="s">
        <v>20</v>
      </c>
      <c r="D1022" s="27" t="s">
        <v>7</v>
      </c>
      <c r="E1022" s="28">
        <v>105803</v>
      </c>
      <c r="F1022" s="28">
        <v>46284</v>
      </c>
      <c r="G1022" s="27" t="s">
        <v>17</v>
      </c>
      <c r="H1022" s="27" t="s">
        <v>652</v>
      </c>
      <c r="I1022" s="27" t="s">
        <v>13</v>
      </c>
    </row>
    <row r="1023" spans="1:9" x14ac:dyDescent="0.3">
      <c r="A1023" s="26">
        <v>44985</v>
      </c>
      <c r="B1023" s="27" t="s">
        <v>26</v>
      </c>
      <c r="C1023" s="27" t="s">
        <v>18</v>
      </c>
      <c r="D1023" s="27" t="s">
        <v>24</v>
      </c>
      <c r="E1023" s="28">
        <v>96765</v>
      </c>
      <c r="F1023" s="28">
        <v>131592</v>
      </c>
      <c r="G1023" s="27" t="s">
        <v>17</v>
      </c>
      <c r="H1023" s="27" t="s">
        <v>737</v>
      </c>
      <c r="I1023" s="27" t="s">
        <v>13</v>
      </c>
    </row>
    <row r="1024" spans="1:9" x14ac:dyDescent="0.3">
      <c r="A1024" s="26">
        <v>44985</v>
      </c>
      <c r="B1024" s="27" t="s">
        <v>26</v>
      </c>
      <c r="C1024" s="27" t="s">
        <v>18</v>
      </c>
      <c r="D1024" s="27" t="s">
        <v>16</v>
      </c>
      <c r="E1024" s="28">
        <v>30792</v>
      </c>
      <c r="F1024" s="28">
        <v>52404</v>
      </c>
      <c r="G1024" s="27" t="s">
        <v>17</v>
      </c>
      <c r="H1024" s="27" t="s">
        <v>1436</v>
      </c>
      <c r="I1024" s="27" t="s">
        <v>13</v>
      </c>
    </row>
    <row r="1025" spans="1:9" x14ac:dyDescent="0.3">
      <c r="A1025" s="26">
        <v>44985</v>
      </c>
      <c r="B1025" s="27" t="s">
        <v>26</v>
      </c>
      <c r="C1025" s="27" t="s">
        <v>20</v>
      </c>
      <c r="D1025" s="27" t="s">
        <v>21</v>
      </c>
      <c r="E1025" s="28">
        <v>46469</v>
      </c>
      <c r="F1025" s="28">
        <v>147087</v>
      </c>
      <c r="G1025" s="27" t="s">
        <v>17</v>
      </c>
      <c r="H1025" s="27" t="s">
        <v>1778</v>
      </c>
      <c r="I1025" s="27" t="s">
        <v>13</v>
      </c>
    </row>
    <row r="1026" spans="1:9" x14ac:dyDescent="0.3">
      <c r="A1026" s="26">
        <v>44985</v>
      </c>
      <c r="B1026" s="27" t="s">
        <v>26</v>
      </c>
      <c r="C1026" s="27" t="s">
        <v>10</v>
      </c>
      <c r="D1026" s="27" t="s">
        <v>16</v>
      </c>
      <c r="E1026" s="28">
        <v>101646</v>
      </c>
      <c r="F1026" s="28">
        <v>151360</v>
      </c>
      <c r="G1026" s="27" t="s">
        <v>8</v>
      </c>
      <c r="H1026" s="27" t="s">
        <v>2399</v>
      </c>
      <c r="I1026" s="27" t="s">
        <v>13</v>
      </c>
    </row>
    <row r="1027" spans="1:9" x14ac:dyDescent="0.3">
      <c r="A1027" s="26">
        <v>44985</v>
      </c>
      <c r="B1027" s="27" t="s">
        <v>26</v>
      </c>
      <c r="C1027" s="27" t="s">
        <v>32</v>
      </c>
      <c r="D1027" s="27" t="s">
        <v>7</v>
      </c>
      <c r="E1027" s="28">
        <v>26734</v>
      </c>
      <c r="F1027" s="28">
        <v>89152</v>
      </c>
      <c r="G1027" s="27" t="s">
        <v>11</v>
      </c>
      <c r="H1027" s="27" t="s">
        <v>2517</v>
      </c>
      <c r="I1027" s="27" t="s">
        <v>13</v>
      </c>
    </row>
    <row r="1028" spans="1:9" x14ac:dyDescent="0.3">
      <c r="A1028" s="26">
        <v>44985</v>
      </c>
      <c r="B1028" s="27" t="s">
        <v>26</v>
      </c>
      <c r="C1028" s="27" t="s">
        <v>14</v>
      </c>
      <c r="D1028" s="27" t="s">
        <v>21</v>
      </c>
      <c r="E1028" s="28">
        <v>103526</v>
      </c>
      <c r="F1028" s="28">
        <v>63572</v>
      </c>
      <c r="G1028" s="27" t="s">
        <v>22</v>
      </c>
      <c r="H1028" s="27" t="s">
        <v>2622</v>
      </c>
      <c r="I1028" s="27" t="s">
        <v>13</v>
      </c>
    </row>
    <row r="1029" spans="1:9" x14ac:dyDescent="0.3">
      <c r="A1029" s="26">
        <v>44985</v>
      </c>
      <c r="B1029" s="27" t="s">
        <v>26</v>
      </c>
      <c r="C1029" s="27" t="s">
        <v>6</v>
      </c>
      <c r="D1029" s="27" t="s">
        <v>7</v>
      </c>
      <c r="E1029" s="28">
        <v>144100</v>
      </c>
      <c r="F1029" s="28">
        <v>108400</v>
      </c>
      <c r="G1029" s="27" t="s">
        <v>22</v>
      </c>
      <c r="H1029" s="27" t="s">
        <v>4033</v>
      </c>
      <c r="I1029" s="27" t="s">
        <v>9</v>
      </c>
    </row>
    <row r="1030" spans="1:9" x14ac:dyDescent="0.3">
      <c r="A1030" s="26">
        <v>44985</v>
      </c>
      <c r="B1030" s="27" t="s">
        <v>26</v>
      </c>
      <c r="C1030" s="27" t="s">
        <v>6</v>
      </c>
      <c r="D1030" s="27" t="s">
        <v>24</v>
      </c>
      <c r="E1030" s="28">
        <v>219600</v>
      </c>
      <c r="F1030" s="28">
        <v>158200</v>
      </c>
      <c r="G1030" s="27" t="s">
        <v>11</v>
      </c>
      <c r="H1030" s="27" t="s">
        <v>4118</v>
      </c>
      <c r="I1030" s="27" t="s">
        <v>9</v>
      </c>
    </row>
    <row r="1031" spans="1:9" x14ac:dyDescent="0.3">
      <c r="A1031" s="26">
        <v>44985</v>
      </c>
      <c r="B1031" s="27" t="s">
        <v>26</v>
      </c>
      <c r="C1031" s="27" t="s">
        <v>6</v>
      </c>
      <c r="D1031" s="27" t="s">
        <v>16</v>
      </c>
      <c r="E1031" s="28">
        <v>110700</v>
      </c>
      <c r="F1031" s="28">
        <v>103500</v>
      </c>
      <c r="G1031" s="27" t="s">
        <v>22</v>
      </c>
      <c r="H1031" s="27" t="s">
        <v>4819</v>
      </c>
      <c r="I1031" s="27" t="s">
        <v>9</v>
      </c>
    </row>
    <row r="1032" spans="1:9" x14ac:dyDescent="0.3">
      <c r="A1032" s="26">
        <v>44985</v>
      </c>
      <c r="B1032" s="27" t="s">
        <v>26</v>
      </c>
      <c r="C1032" s="27" t="s">
        <v>93</v>
      </c>
      <c r="D1032" s="27" t="s">
        <v>21</v>
      </c>
      <c r="E1032" s="28">
        <v>69800</v>
      </c>
      <c r="F1032" s="28">
        <v>50800</v>
      </c>
      <c r="G1032" s="27" t="s">
        <v>22</v>
      </c>
      <c r="H1032" s="27" t="s">
        <v>5161</v>
      </c>
      <c r="I1032" s="27" t="s">
        <v>9</v>
      </c>
    </row>
    <row r="1033" spans="1:9" x14ac:dyDescent="0.3">
      <c r="A1033" s="26">
        <v>44985</v>
      </c>
      <c r="B1033" s="27" t="s">
        <v>26</v>
      </c>
      <c r="C1033" s="27" t="s">
        <v>6</v>
      </c>
      <c r="D1033" s="27" t="s">
        <v>16</v>
      </c>
      <c r="E1033" s="28">
        <v>165200</v>
      </c>
      <c r="F1033" s="28">
        <v>134100</v>
      </c>
      <c r="G1033" s="27" t="s">
        <v>17</v>
      </c>
      <c r="H1033" s="27" t="s">
        <v>5784</v>
      </c>
      <c r="I1033" s="27" t="s">
        <v>9</v>
      </c>
    </row>
    <row r="1034" spans="1:9" x14ac:dyDescent="0.3">
      <c r="A1034" s="26">
        <v>44985</v>
      </c>
      <c r="B1034" s="27" t="s">
        <v>26</v>
      </c>
      <c r="C1034" s="27" t="s">
        <v>6</v>
      </c>
      <c r="D1034" s="27" t="s">
        <v>7</v>
      </c>
      <c r="E1034" s="28">
        <v>37800</v>
      </c>
      <c r="F1034" s="28">
        <v>33700</v>
      </c>
      <c r="G1034" s="27" t="s">
        <v>22</v>
      </c>
      <c r="H1034" s="27" t="s">
        <v>5902</v>
      </c>
      <c r="I1034" s="27" t="s">
        <v>9</v>
      </c>
    </row>
    <row r="1035" spans="1:9" x14ac:dyDescent="0.3">
      <c r="A1035" s="26">
        <v>44985</v>
      </c>
      <c r="B1035" s="27" t="s">
        <v>26</v>
      </c>
      <c r="C1035" s="27" t="s">
        <v>93</v>
      </c>
      <c r="D1035" s="27" t="s">
        <v>21</v>
      </c>
      <c r="E1035" s="28">
        <v>112100</v>
      </c>
      <c r="F1035" s="28">
        <v>94600</v>
      </c>
      <c r="G1035" s="27" t="s">
        <v>11</v>
      </c>
      <c r="H1035" s="27" t="s">
        <v>6007</v>
      </c>
      <c r="I1035" s="27" t="s">
        <v>9</v>
      </c>
    </row>
    <row r="1036" spans="1:9" x14ac:dyDescent="0.3">
      <c r="A1036" s="26">
        <v>44986</v>
      </c>
      <c r="B1036" s="27" t="s">
        <v>117</v>
      </c>
      <c r="C1036" s="27" t="s">
        <v>20</v>
      </c>
      <c r="D1036" s="27" t="s">
        <v>7</v>
      </c>
      <c r="E1036" s="28">
        <v>53520</v>
      </c>
      <c r="F1036" s="28">
        <v>83919</v>
      </c>
      <c r="G1036" s="27" t="s">
        <v>22</v>
      </c>
      <c r="H1036" s="27" t="s">
        <v>182</v>
      </c>
      <c r="I1036" s="27" t="s">
        <v>13</v>
      </c>
    </row>
    <row r="1037" spans="1:9" x14ac:dyDescent="0.3">
      <c r="A1037" s="26">
        <v>44986</v>
      </c>
      <c r="B1037" s="27" t="s">
        <v>117</v>
      </c>
      <c r="C1037" s="27" t="s">
        <v>14</v>
      </c>
      <c r="D1037" s="27" t="s">
        <v>16</v>
      </c>
      <c r="E1037" s="28">
        <v>76193</v>
      </c>
      <c r="F1037" s="28">
        <v>62879</v>
      </c>
      <c r="G1037" s="27" t="s">
        <v>22</v>
      </c>
      <c r="H1037" s="27" t="s">
        <v>763</v>
      </c>
      <c r="I1037" s="27" t="s">
        <v>13</v>
      </c>
    </row>
    <row r="1038" spans="1:9" x14ac:dyDescent="0.3">
      <c r="A1038" s="26">
        <v>44986</v>
      </c>
      <c r="B1038" s="27" t="s">
        <v>117</v>
      </c>
      <c r="C1038" s="27" t="s">
        <v>10</v>
      </c>
      <c r="D1038" s="27" t="s">
        <v>21</v>
      </c>
      <c r="E1038" s="28">
        <v>84106</v>
      </c>
      <c r="F1038" s="28">
        <v>73231</v>
      </c>
      <c r="G1038" s="27" t="s">
        <v>17</v>
      </c>
      <c r="H1038" s="27" t="s">
        <v>1091</v>
      </c>
      <c r="I1038" s="27" t="s">
        <v>13</v>
      </c>
    </row>
    <row r="1039" spans="1:9" x14ac:dyDescent="0.3">
      <c r="A1039" s="26">
        <v>44986</v>
      </c>
      <c r="B1039" s="27" t="s">
        <v>117</v>
      </c>
      <c r="C1039" s="27" t="s">
        <v>20</v>
      </c>
      <c r="D1039" s="27" t="s">
        <v>7</v>
      </c>
      <c r="E1039" s="28">
        <v>52290</v>
      </c>
      <c r="F1039" s="28">
        <v>33875</v>
      </c>
      <c r="G1039" s="27" t="s">
        <v>8</v>
      </c>
      <c r="H1039" s="27" t="s">
        <v>1349</v>
      </c>
      <c r="I1039" s="27" t="s">
        <v>13</v>
      </c>
    </row>
    <row r="1040" spans="1:9" x14ac:dyDescent="0.3">
      <c r="A1040" s="26">
        <v>44986</v>
      </c>
      <c r="B1040" s="27" t="s">
        <v>117</v>
      </c>
      <c r="C1040" s="27" t="s">
        <v>32</v>
      </c>
      <c r="D1040" s="27" t="s">
        <v>21</v>
      </c>
      <c r="E1040" s="28">
        <v>23830</v>
      </c>
      <c r="F1040" s="28">
        <v>37735</v>
      </c>
      <c r="G1040" s="27" t="s">
        <v>17</v>
      </c>
      <c r="H1040" s="27" t="s">
        <v>1355</v>
      </c>
      <c r="I1040" s="27" t="s">
        <v>13</v>
      </c>
    </row>
    <row r="1041" spans="1:9" x14ac:dyDescent="0.3">
      <c r="A1041" s="26">
        <v>44986</v>
      </c>
      <c r="B1041" s="27" t="s">
        <v>117</v>
      </c>
      <c r="C1041" s="27" t="s">
        <v>20</v>
      </c>
      <c r="D1041" s="27" t="s">
        <v>7</v>
      </c>
      <c r="E1041" s="28">
        <v>41785</v>
      </c>
      <c r="F1041" s="28">
        <v>16649</v>
      </c>
      <c r="G1041" s="27" t="s">
        <v>22</v>
      </c>
      <c r="H1041" s="27" t="s">
        <v>2456</v>
      </c>
      <c r="I1041" s="27" t="s">
        <v>13</v>
      </c>
    </row>
    <row r="1042" spans="1:9" x14ac:dyDescent="0.3">
      <c r="A1042" s="26">
        <v>44986</v>
      </c>
      <c r="B1042" s="27" t="s">
        <v>117</v>
      </c>
      <c r="C1042" s="27" t="s">
        <v>18</v>
      </c>
      <c r="D1042" s="27" t="s">
        <v>16</v>
      </c>
      <c r="E1042" s="28">
        <v>105800</v>
      </c>
      <c r="F1042" s="28">
        <v>118083</v>
      </c>
      <c r="G1042" s="27" t="s">
        <v>17</v>
      </c>
      <c r="H1042" s="27" t="s">
        <v>2736</v>
      </c>
      <c r="I1042" s="27" t="s">
        <v>13</v>
      </c>
    </row>
    <row r="1043" spans="1:9" x14ac:dyDescent="0.3">
      <c r="A1043" s="26">
        <v>44986</v>
      </c>
      <c r="B1043" s="27" t="s">
        <v>117</v>
      </c>
      <c r="C1043" s="27" t="s">
        <v>15</v>
      </c>
      <c r="D1043" s="27" t="s">
        <v>19</v>
      </c>
      <c r="E1043" s="28">
        <v>29163</v>
      </c>
      <c r="F1043" s="28">
        <v>99836</v>
      </c>
      <c r="G1043" s="27" t="s">
        <v>8</v>
      </c>
      <c r="H1043" s="27" t="s">
        <v>3303</v>
      </c>
      <c r="I1043" s="27" t="s">
        <v>13</v>
      </c>
    </row>
    <row r="1044" spans="1:9" x14ac:dyDescent="0.3">
      <c r="A1044" s="26">
        <v>44986</v>
      </c>
      <c r="B1044" s="27" t="s">
        <v>117</v>
      </c>
      <c r="C1044" s="27" t="s">
        <v>6</v>
      </c>
      <c r="D1044" s="27" t="s">
        <v>7</v>
      </c>
      <c r="E1044" s="28">
        <v>100100</v>
      </c>
      <c r="F1044" s="28">
        <v>87400</v>
      </c>
      <c r="G1044" s="27" t="s">
        <v>11</v>
      </c>
      <c r="H1044" s="27" t="s">
        <v>3563</v>
      </c>
      <c r="I1044" s="27" t="s">
        <v>9</v>
      </c>
    </row>
    <row r="1045" spans="1:9" x14ac:dyDescent="0.3">
      <c r="A1045" s="26">
        <v>44986</v>
      </c>
      <c r="B1045" s="27" t="s">
        <v>117</v>
      </c>
      <c r="C1045" s="27" t="s">
        <v>6</v>
      </c>
      <c r="D1045" s="27" t="s">
        <v>16</v>
      </c>
      <c r="E1045" s="28">
        <v>123900</v>
      </c>
      <c r="F1045" s="28">
        <v>109200</v>
      </c>
      <c r="G1045" s="27" t="s">
        <v>11</v>
      </c>
      <c r="H1045" s="27" t="s">
        <v>4144</v>
      </c>
      <c r="I1045" s="27" t="s">
        <v>9</v>
      </c>
    </row>
    <row r="1046" spans="1:9" x14ac:dyDescent="0.3">
      <c r="A1046" s="26">
        <v>44986</v>
      </c>
      <c r="B1046" s="27" t="s">
        <v>117</v>
      </c>
      <c r="C1046" s="27" t="s">
        <v>6</v>
      </c>
      <c r="D1046" s="27" t="s">
        <v>21</v>
      </c>
      <c r="E1046" s="28">
        <v>65700</v>
      </c>
      <c r="F1046" s="28">
        <v>58300</v>
      </c>
      <c r="G1046" s="27" t="s">
        <v>11</v>
      </c>
      <c r="H1046" s="27" t="s">
        <v>4473</v>
      </c>
      <c r="I1046" s="27" t="s">
        <v>9</v>
      </c>
    </row>
    <row r="1047" spans="1:9" x14ac:dyDescent="0.3">
      <c r="A1047" s="26">
        <v>44986</v>
      </c>
      <c r="B1047" s="27" t="s">
        <v>117</v>
      </c>
      <c r="C1047" s="27" t="s">
        <v>6</v>
      </c>
      <c r="D1047" s="27" t="s">
        <v>7</v>
      </c>
      <c r="E1047" s="28">
        <v>164100</v>
      </c>
      <c r="F1047" s="28">
        <v>127100</v>
      </c>
      <c r="G1047" s="27" t="s">
        <v>11</v>
      </c>
      <c r="H1047" s="27" t="s">
        <v>4732</v>
      </c>
      <c r="I1047" s="27" t="s">
        <v>9</v>
      </c>
    </row>
    <row r="1048" spans="1:9" x14ac:dyDescent="0.3">
      <c r="A1048" s="26">
        <v>44986</v>
      </c>
      <c r="B1048" s="27" t="s">
        <v>117</v>
      </c>
      <c r="C1048" s="27" t="s">
        <v>6</v>
      </c>
      <c r="D1048" s="27" t="s">
        <v>21</v>
      </c>
      <c r="E1048" s="28">
        <v>63600</v>
      </c>
      <c r="F1048" s="28">
        <v>68100</v>
      </c>
      <c r="G1048" s="27" t="s">
        <v>11</v>
      </c>
      <c r="H1048" s="27" t="s">
        <v>4738</v>
      </c>
      <c r="I1048" s="27" t="s">
        <v>9</v>
      </c>
    </row>
    <row r="1049" spans="1:9" x14ac:dyDescent="0.3">
      <c r="A1049" s="26">
        <v>44986</v>
      </c>
      <c r="B1049" s="27" t="s">
        <v>117</v>
      </c>
      <c r="C1049" s="27" t="s">
        <v>93</v>
      </c>
      <c r="D1049" s="27" t="s">
        <v>7</v>
      </c>
      <c r="E1049" s="28">
        <v>221000</v>
      </c>
      <c r="F1049" s="28">
        <v>214800</v>
      </c>
      <c r="G1049" s="27" t="s">
        <v>17</v>
      </c>
      <c r="H1049" s="27" t="s">
        <v>5841</v>
      </c>
      <c r="I1049" s="27" t="s">
        <v>9</v>
      </c>
    </row>
    <row r="1050" spans="1:9" x14ac:dyDescent="0.3">
      <c r="A1050" s="26">
        <v>44986</v>
      </c>
      <c r="B1050" s="27" t="s">
        <v>117</v>
      </c>
      <c r="C1050" s="27" t="s">
        <v>6</v>
      </c>
      <c r="D1050" s="27" t="s">
        <v>16</v>
      </c>
      <c r="E1050" s="28">
        <v>86200</v>
      </c>
      <c r="F1050" s="28">
        <v>73500</v>
      </c>
      <c r="G1050" s="27" t="s">
        <v>11</v>
      </c>
      <c r="H1050" s="27" t="s">
        <v>6121</v>
      </c>
      <c r="I1050" s="27" t="s">
        <v>9</v>
      </c>
    </row>
    <row r="1051" spans="1:9" x14ac:dyDescent="0.3">
      <c r="A1051" s="26">
        <v>44986</v>
      </c>
      <c r="B1051" s="27" t="s">
        <v>117</v>
      </c>
      <c r="C1051" s="27" t="s">
        <v>6</v>
      </c>
      <c r="D1051" s="27" t="s">
        <v>19</v>
      </c>
      <c r="E1051" s="28">
        <v>139300</v>
      </c>
      <c r="F1051" s="28">
        <v>169700</v>
      </c>
      <c r="G1051" s="27" t="s">
        <v>11</v>
      </c>
      <c r="H1051" s="27" t="s">
        <v>6688</v>
      </c>
      <c r="I1051" s="27" t="s">
        <v>9</v>
      </c>
    </row>
    <row r="1052" spans="1:9" x14ac:dyDescent="0.3">
      <c r="A1052" s="26">
        <v>44987</v>
      </c>
      <c r="B1052" s="27" t="s">
        <v>117</v>
      </c>
      <c r="C1052" s="27" t="s">
        <v>10</v>
      </c>
      <c r="D1052" s="27" t="s">
        <v>24</v>
      </c>
      <c r="E1052" s="28">
        <v>124113</v>
      </c>
      <c r="F1052" s="28">
        <v>107754</v>
      </c>
      <c r="G1052" s="27" t="s">
        <v>17</v>
      </c>
      <c r="H1052" s="27" t="s">
        <v>177</v>
      </c>
      <c r="I1052" s="27" t="s">
        <v>13</v>
      </c>
    </row>
    <row r="1053" spans="1:9" x14ac:dyDescent="0.3">
      <c r="A1053" s="26">
        <v>44987</v>
      </c>
      <c r="B1053" s="27" t="s">
        <v>117</v>
      </c>
      <c r="C1053" s="27" t="s">
        <v>32</v>
      </c>
      <c r="D1053" s="27" t="s">
        <v>21</v>
      </c>
      <c r="E1053" s="28">
        <v>21736</v>
      </c>
      <c r="F1053" s="28">
        <v>53139</v>
      </c>
      <c r="G1053" s="27" t="s">
        <v>8</v>
      </c>
      <c r="H1053" s="27" t="s">
        <v>1103</v>
      </c>
      <c r="I1053" s="27" t="s">
        <v>13</v>
      </c>
    </row>
    <row r="1054" spans="1:9" x14ac:dyDescent="0.3">
      <c r="A1054" s="26">
        <v>44987</v>
      </c>
      <c r="B1054" s="27" t="s">
        <v>117</v>
      </c>
      <c r="C1054" s="27" t="s">
        <v>10</v>
      </c>
      <c r="D1054" s="27" t="s">
        <v>7</v>
      </c>
      <c r="E1054" s="28">
        <v>52147</v>
      </c>
      <c r="F1054" s="28">
        <v>125644</v>
      </c>
      <c r="G1054" s="27" t="s">
        <v>11</v>
      </c>
      <c r="H1054" s="27" t="s">
        <v>1269</v>
      </c>
      <c r="I1054" s="27" t="s">
        <v>13</v>
      </c>
    </row>
    <row r="1055" spans="1:9" x14ac:dyDescent="0.3">
      <c r="A1055" s="26">
        <v>44987</v>
      </c>
      <c r="B1055" s="27" t="s">
        <v>117</v>
      </c>
      <c r="C1055" s="27" t="s">
        <v>14</v>
      </c>
      <c r="D1055" s="27" t="s">
        <v>19</v>
      </c>
      <c r="E1055" s="28">
        <v>76119</v>
      </c>
      <c r="F1055" s="28">
        <v>66073</v>
      </c>
      <c r="G1055" s="27" t="s">
        <v>22</v>
      </c>
      <c r="H1055" s="27" t="s">
        <v>1598</v>
      </c>
      <c r="I1055" s="27" t="s">
        <v>13</v>
      </c>
    </row>
    <row r="1056" spans="1:9" x14ac:dyDescent="0.3">
      <c r="A1056" s="26">
        <v>44987</v>
      </c>
      <c r="B1056" s="27" t="s">
        <v>117</v>
      </c>
      <c r="C1056" s="27" t="s">
        <v>18</v>
      </c>
      <c r="D1056" s="27" t="s">
        <v>7</v>
      </c>
      <c r="E1056" s="28">
        <v>16129</v>
      </c>
      <c r="F1056" s="28">
        <v>113591</v>
      </c>
      <c r="G1056" s="27" t="s">
        <v>22</v>
      </c>
      <c r="H1056" s="27" t="s">
        <v>1699</v>
      </c>
      <c r="I1056" s="27" t="s">
        <v>13</v>
      </c>
    </row>
    <row r="1057" spans="1:9" x14ac:dyDescent="0.3">
      <c r="A1057" s="26">
        <v>44987</v>
      </c>
      <c r="B1057" s="27" t="s">
        <v>117</v>
      </c>
      <c r="C1057" s="27" t="s">
        <v>20</v>
      </c>
      <c r="D1057" s="27" t="s">
        <v>16</v>
      </c>
      <c r="E1057" s="28">
        <v>114752</v>
      </c>
      <c r="F1057" s="28">
        <v>62579</v>
      </c>
      <c r="G1057" s="27" t="s">
        <v>22</v>
      </c>
      <c r="H1057" s="27" t="s">
        <v>1837</v>
      </c>
      <c r="I1057" s="27" t="s">
        <v>13</v>
      </c>
    </row>
    <row r="1058" spans="1:9" x14ac:dyDescent="0.3">
      <c r="A1058" s="26">
        <v>44987</v>
      </c>
      <c r="B1058" s="27" t="s">
        <v>117</v>
      </c>
      <c r="C1058" s="27" t="s">
        <v>10</v>
      </c>
      <c r="D1058" s="27" t="s">
        <v>16</v>
      </c>
      <c r="E1058" s="28">
        <v>22929</v>
      </c>
      <c r="F1058" s="28">
        <v>35282</v>
      </c>
      <c r="G1058" s="27" t="s">
        <v>11</v>
      </c>
      <c r="H1058" s="27" t="s">
        <v>1884</v>
      </c>
      <c r="I1058" s="27" t="s">
        <v>13</v>
      </c>
    </row>
    <row r="1059" spans="1:9" x14ac:dyDescent="0.3">
      <c r="A1059" s="26">
        <v>44987</v>
      </c>
      <c r="B1059" s="27" t="s">
        <v>117</v>
      </c>
      <c r="C1059" s="27" t="s">
        <v>10</v>
      </c>
      <c r="D1059" s="27" t="s">
        <v>16</v>
      </c>
      <c r="E1059" s="28">
        <v>77100</v>
      </c>
      <c r="F1059" s="28">
        <v>27640</v>
      </c>
      <c r="G1059" s="27" t="s">
        <v>11</v>
      </c>
      <c r="H1059" s="27" t="s">
        <v>2148</v>
      </c>
      <c r="I1059" s="27" t="s">
        <v>13</v>
      </c>
    </row>
    <row r="1060" spans="1:9" x14ac:dyDescent="0.3">
      <c r="A1060" s="26">
        <v>44987</v>
      </c>
      <c r="B1060" s="27" t="s">
        <v>117</v>
      </c>
      <c r="C1060" s="27" t="s">
        <v>32</v>
      </c>
      <c r="D1060" s="27" t="s">
        <v>7</v>
      </c>
      <c r="E1060" s="28">
        <v>57929</v>
      </c>
      <c r="F1060" s="28">
        <v>168280</v>
      </c>
      <c r="G1060" s="27" t="s">
        <v>17</v>
      </c>
      <c r="H1060" s="27" t="s">
        <v>2152</v>
      </c>
      <c r="I1060" s="27" t="s">
        <v>13</v>
      </c>
    </row>
    <row r="1061" spans="1:9" x14ac:dyDescent="0.3">
      <c r="A1061" s="26">
        <v>44987</v>
      </c>
      <c r="B1061" s="27" t="s">
        <v>117</v>
      </c>
      <c r="C1061" s="27" t="s">
        <v>32</v>
      </c>
      <c r="D1061" s="27" t="s">
        <v>16</v>
      </c>
      <c r="E1061" s="28">
        <v>130129</v>
      </c>
      <c r="F1061" s="28">
        <v>123565</v>
      </c>
      <c r="G1061" s="27" t="s">
        <v>8</v>
      </c>
      <c r="H1061" s="27" t="s">
        <v>2374</v>
      </c>
      <c r="I1061" s="27" t="s">
        <v>13</v>
      </c>
    </row>
    <row r="1062" spans="1:9" x14ac:dyDescent="0.3">
      <c r="A1062" s="26">
        <v>44987</v>
      </c>
      <c r="B1062" s="27" t="s">
        <v>117</v>
      </c>
      <c r="C1062" s="27" t="s">
        <v>15</v>
      </c>
      <c r="D1062" s="27" t="s">
        <v>19</v>
      </c>
      <c r="E1062" s="28">
        <v>77127</v>
      </c>
      <c r="F1062" s="28">
        <v>42024</v>
      </c>
      <c r="G1062" s="27" t="s">
        <v>8</v>
      </c>
      <c r="H1062" s="27" t="s">
        <v>2933</v>
      </c>
      <c r="I1062" s="27" t="s">
        <v>13</v>
      </c>
    </row>
    <row r="1063" spans="1:9" x14ac:dyDescent="0.3">
      <c r="A1063" s="26">
        <v>44987</v>
      </c>
      <c r="B1063" s="27" t="s">
        <v>117</v>
      </c>
      <c r="C1063" s="27" t="s">
        <v>14</v>
      </c>
      <c r="D1063" s="27" t="s">
        <v>19</v>
      </c>
      <c r="E1063" s="28">
        <v>59145</v>
      </c>
      <c r="F1063" s="28">
        <v>73816</v>
      </c>
      <c r="G1063" s="27" t="s">
        <v>11</v>
      </c>
      <c r="H1063" s="27" t="s">
        <v>3215</v>
      </c>
      <c r="I1063" s="27" t="s">
        <v>13</v>
      </c>
    </row>
    <row r="1064" spans="1:9" x14ac:dyDescent="0.3">
      <c r="A1064" s="26">
        <v>44987</v>
      </c>
      <c r="B1064" s="27" t="s">
        <v>117</v>
      </c>
      <c r="C1064" s="27" t="s">
        <v>93</v>
      </c>
      <c r="D1064" s="27" t="s">
        <v>24</v>
      </c>
      <c r="E1064" s="28">
        <v>105100</v>
      </c>
      <c r="F1064" s="28">
        <v>96800</v>
      </c>
      <c r="G1064" s="27" t="s">
        <v>11</v>
      </c>
      <c r="H1064" s="27" t="s">
        <v>3558</v>
      </c>
      <c r="I1064" s="27" t="s">
        <v>9</v>
      </c>
    </row>
    <row r="1065" spans="1:9" x14ac:dyDescent="0.3">
      <c r="A1065" s="26">
        <v>44987</v>
      </c>
      <c r="B1065" s="27" t="s">
        <v>117</v>
      </c>
      <c r="C1065" s="27" t="s">
        <v>93</v>
      </c>
      <c r="D1065" s="27" t="s">
        <v>21</v>
      </c>
      <c r="E1065" s="28">
        <v>91300</v>
      </c>
      <c r="F1065" s="28">
        <v>98000</v>
      </c>
      <c r="G1065" s="27" t="s">
        <v>17</v>
      </c>
      <c r="H1065" s="27" t="s">
        <v>4486</v>
      </c>
      <c r="I1065" s="27" t="s">
        <v>9</v>
      </c>
    </row>
    <row r="1066" spans="1:9" x14ac:dyDescent="0.3">
      <c r="A1066" s="26">
        <v>44987</v>
      </c>
      <c r="B1066" s="27" t="s">
        <v>117</v>
      </c>
      <c r="C1066" s="27" t="s">
        <v>6</v>
      </c>
      <c r="D1066" s="27" t="s">
        <v>7</v>
      </c>
      <c r="E1066" s="28">
        <v>174700</v>
      </c>
      <c r="F1066" s="28">
        <v>208100</v>
      </c>
      <c r="G1066" s="27" t="s">
        <v>11</v>
      </c>
      <c r="H1066" s="27" t="s">
        <v>4652</v>
      </c>
      <c r="I1066" s="27" t="s">
        <v>9</v>
      </c>
    </row>
    <row r="1067" spans="1:9" x14ac:dyDescent="0.3">
      <c r="A1067" s="26">
        <v>44987</v>
      </c>
      <c r="B1067" s="27" t="s">
        <v>117</v>
      </c>
      <c r="C1067" s="27" t="s">
        <v>6</v>
      </c>
      <c r="D1067" s="27" t="s">
        <v>19</v>
      </c>
      <c r="E1067" s="28">
        <v>135600</v>
      </c>
      <c r="F1067" s="28">
        <v>122300</v>
      </c>
      <c r="G1067" s="27" t="s">
        <v>11</v>
      </c>
      <c r="H1067" s="27" t="s">
        <v>4981</v>
      </c>
      <c r="I1067" s="27" t="s">
        <v>9</v>
      </c>
    </row>
    <row r="1068" spans="1:9" x14ac:dyDescent="0.3">
      <c r="A1068" s="26">
        <v>44987</v>
      </c>
      <c r="B1068" s="27" t="s">
        <v>117</v>
      </c>
      <c r="C1068" s="27" t="s">
        <v>6</v>
      </c>
      <c r="D1068" s="27" t="s">
        <v>7</v>
      </c>
      <c r="E1068" s="28">
        <v>107200</v>
      </c>
      <c r="F1068" s="28">
        <v>113500</v>
      </c>
      <c r="G1068" s="27" t="s">
        <v>11</v>
      </c>
      <c r="H1068" s="27" t="s">
        <v>5082</v>
      </c>
      <c r="I1068" s="27" t="s">
        <v>9</v>
      </c>
    </row>
    <row r="1069" spans="1:9" x14ac:dyDescent="0.3">
      <c r="A1069" s="26">
        <v>44987</v>
      </c>
      <c r="B1069" s="27" t="s">
        <v>117</v>
      </c>
      <c r="C1069" s="27" t="s">
        <v>93</v>
      </c>
      <c r="D1069" s="27" t="s">
        <v>16</v>
      </c>
      <c r="E1069" s="28">
        <v>200900</v>
      </c>
      <c r="F1069" s="28">
        <v>203600</v>
      </c>
      <c r="G1069" s="27" t="s">
        <v>11</v>
      </c>
      <c r="H1069" s="27" t="s">
        <v>5220</v>
      </c>
      <c r="I1069" s="27" t="s">
        <v>9</v>
      </c>
    </row>
    <row r="1070" spans="1:9" x14ac:dyDescent="0.3">
      <c r="A1070" s="26">
        <v>44987</v>
      </c>
      <c r="B1070" s="27" t="s">
        <v>117</v>
      </c>
      <c r="C1070" s="27" t="s">
        <v>6</v>
      </c>
      <c r="D1070" s="27" t="s">
        <v>16</v>
      </c>
      <c r="E1070" s="28">
        <v>72200</v>
      </c>
      <c r="F1070" s="28">
        <v>60700</v>
      </c>
      <c r="G1070" s="27" t="s">
        <v>11</v>
      </c>
      <c r="H1070" s="27" t="s">
        <v>5268</v>
      </c>
      <c r="I1070" s="27" t="s">
        <v>9</v>
      </c>
    </row>
    <row r="1071" spans="1:9" x14ac:dyDescent="0.3">
      <c r="A1071" s="26">
        <v>44987</v>
      </c>
      <c r="B1071" s="27" t="s">
        <v>117</v>
      </c>
      <c r="C1071" s="27" t="s">
        <v>93</v>
      </c>
      <c r="D1071" s="27" t="s">
        <v>16</v>
      </c>
      <c r="E1071" s="28">
        <v>115400</v>
      </c>
      <c r="F1071" s="28">
        <v>123300</v>
      </c>
      <c r="G1071" s="27" t="s">
        <v>22</v>
      </c>
      <c r="H1071" s="27" t="s">
        <v>5533</v>
      </c>
      <c r="I1071" s="27" t="s">
        <v>9</v>
      </c>
    </row>
    <row r="1072" spans="1:9" x14ac:dyDescent="0.3">
      <c r="A1072" s="26">
        <v>44987</v>
      </c>
      <c r="B1072" s="27" t="s">
        <v>117</v>
      </c>
      <c r="C1072" s="27" t="s">
        <v>6</v>
      </c>
      <c r="D1072" s="27" t="s">
        <v>7</v>
      </c>
      <c r="E1072" s="28">
        <v>105000</v>
      </c>
      <c r="F1072" s="28">
        <v>115200</v>
      </c>
      <c r="G1072" s="27" t="s">
        <v>22</v>
      </c>
      <c r="H1072" s="27" t="s">
        <v>5537</v>
      </c>
      <c r="I1072" s="27" t="s">
        <v>9</v>
      </c>
    </row>
    <row r="1073" spans="1:9" x14ac:dyDescent="0.3">
      <c r="A1073" s="26">
        <v>44987</v>
      </c>
      <c r="B1073" s="27" t="s">
        <v>117</v>
      </c>
      <c r="C1073" s="27" t="s">
        <v>6</v>
      </c>
      <c r="D1073" s="27" t="s">
        <v>16</v>
      </c>
      <c r="E1073" s="28">
        <v>101600</v>
      </c>
      <c r="F1073" s="28">
        <v>104500</v>
      </c>
      <c r="G1073" s="27" t="s">
        <v>17</v>
      </c>
      <c r="H1073" s="27" t="s">
        <v>5759</v>
      </c>
      <c r="I1073" s="27" t="s">
        <v>9</v>
      </c>
    </row>
    <row r="1074" spans="1:9" x14ac:dyDescent="0.3">
      <c r="A1074" s="26">
        <v>44987</v>
      </c>
      <c r="B1074" s="27" t="s">
        <v>117</v>
      </c>
      <c r="C1074" s="27" t="s">
        <v>6</v>
      </c>
      <c r="D1074" s="27" t="s">
        <v>19</v>
      </c>
      <c r="E1074" s="28">
        <v>76900</v>
      </c>
      <c r="F1074" s="28">
        <v>67800</v>
      </c>
      <c r="G1074" s="27" t="s">
        <v>22</v>
      </c>
      <c r="H1074" s="27" t="s">
        <v>6318</v>
      </c>
      <c r="I1074" s="27" t="s">
        <v>9</v>
      </c>
    </row>
    <row r="1075" spans="1:9" x14ac:dyDescent="0.3">
      <c r="A1075" s="26">
        <v>44987</v>
      </c>
      <c r="B1075" s="27" t="s">
        <v>117</v>
      </c>
      <c r="C1075" s="27" t="s">
        <v>93</v>
      </c>
      <c r="D1075" s="27" t="s">
        <v>19</v>
      </c>
      <c r="E1075" s="28">
        <v>52100</v>
      </c>
      <c r="F1075" s="28">
        <v>49900</v>
      </c>
      <c r="G1075" s="27" t="s">
        <v>11</v>
      </c>
      <c r="H1075" s="27" t="s">
        <v>6600</v>
      </c>
      <c r="I1075" s="27" t="s">
        <v>9</v>
      </c>
    </row>
    <row r="1076" spans="1:9" x14ac:dyDescent="0.3">
      <c r="A1076" s="26">
        <v>44988</v>
      </c>
      <c r="B1076" s="27" t="s">
        <v>117</v>
      </c>
      <c r="C1076" s="27" t="s">
        <v>14</v>
      </c>
      <c r="D1076" s="27" t="s">
        <v>7</v>
      </c>
      <c r="E1076" s="28">
        <v>53335</v>
      </c>
      <c r="F1076" s="28">
        <v>88129</v>
      </c>
      <c r="G1076" s="27" t="s">
        <v>22</v>
      </c>
      <c r="H1076" s="27" t="s">
        <v>34</v>
      </c>
      <c r="I1076" s="27" t="s">
        <v>13</v>
      </c>
    </row>
    <row r="1077" spans="1:9" x14ac:dyDescent="0.3">
      <c r="A1077" s="26">
        <v>44988</v>
      </c>
      <c r="B1077" s="27" t="s">
        <v>117</v>
      </c>
      <c r="C1077" s="27" t="s">
        <v>15</v>
      </c>
      <c r="D1077" s="27" t="s">
        <v>19</v>
      </c>
      <c r="E1077" s="28">
        <v>56999</v>
      </c>
      <c r="F1077" s="28">
        <v>68928</v>
      </c>
      <c r="G1077" s="27" t="s">
        <v>8</v>
      </c>
      <c r="H1077" s="27" t="s">
        <v>196</v>
      </c>
      <c r="I1077" s="27" t="s">
        <v>13</v>
      </c>
    </row>
    <row r="1078" spans="1:9" x14ac:dyDescent="0.3">
      <c r="A1078" s="26">
        <v>44988</v>
      </c>
      <c r="B1078" s="27" t="s">
        <v>117</v>
      </c>
      <c r="C1078" s="27" t="s">
        <v>10</v>
      </c>
      <c r="D1078" s="27" t="s">
        <v>7</v>
      </c>
      <c r="E1078" s="28">
        <v>97298</v>
      </c>
      <c r="F1078" s="28">
        <v>80290</v>
      </c>
      <c r="G1078" s="27" t="s">
        <v>17</v>
      </c>
      <c r="H1078" s="27" t="s">
        <v>541</v>
      </c>
      <c r="I1078" s="27" t="s">
        <v>13</v>
      </c>
    </row>
    <row r="1079" spans="1:9" x14ac:dyDescent="0.3">
      <c r="A1079" s="26">
        <v>44988</v>
      </c>
      <c r="B1079" s="27" t="s">
        <v>117</v>
      </c>
      <c r="C1079" s="27" t="s">
        <v>32</v>
      </c>
      <c r="D1079" s="27" t="s">
        <v>19</v>
      </c>
      <c r="E1079" s="28">
        <v>10540</v>
      </c>
      <c r="F1079" s="28">
        <v>42688</v>
      </c>
      <c r="G1079" s="27" t="s">
        <v>17</v>
      </c>
      <c r="H1079" s="27" t="s">
        <v>814</v>
      </c>
      <c r="I1079" s="27" t="s">
        <v>13</v>
      </c>
    </row>
    <row r="1080" spans="1:9" x14ac:dyDescent="0.3">
      <c r="A1080" s="26">
        <v>44988</v>
      </c>
      <c r="B1080" s="27" t="s">
        <v>117</v>
      </c>
      <c r="C1080" s="27" t="s">
        <v>15</v>
      </c>
      <c r="D1080" s="27" t="s">
        <v>7</v>
      </c>
      <c r="E1080" s="28">
        <v>110420</v>
      </c>
      <c r="F1080" s="28">
        <v>53603</v>
      </c>
      <c r="G1080" s="27" t="s">
        <v>8</v>
      </c>
      <c r="H1080" s="27" t="s">
        <v>1478</v>
      </c>
      <c r="I1080" s="27" t="s">
        <v>13</v>
      </c>
    </row>
    <row r="1081" spans="1:9" x14ac:dyDescent="0.3">
      <c r="A1081" s="26">
        <v>44988</v>
      </c>
      <c r="B1081" s="27" t="s">
        <v>117</v>
      </c>
      <c r="C1081" s="27" t="s">
        <v>18</v>
      </c>
      <c r="D1081" s="27" t="s">
        <v>16</v>
      </c>
      <c r="E1081" s="28">
        <v>10944</v>
      </c>
      <c r="F1081" s="28">
        <v>68265</v>
      </c>
      <c r="G1081" s="27" t="s">
        <v>11</v>
      </c>
      <c r="H1081" s="27" t="s">
        <v>1897</v>
      </c>
      <c r="I1081" s="27" t="s">
        <v>13</v>
      </c>
    </row>
    <row r="1082" spans="1:9" x14ac:dyDescent="0.3">
      <c r="A1082" s="26">
        <v>44988</v>
      </c>
      <c r="B1082" s="27" t="s">
        <v>117</v>
      </c>
      <c r="C1082" s="27" t="s">
        <v>10</v>
      </c>
      <c r="D1082" s="27" t="s">
        <v>21</v>
      </c>
      <c r="E1082" s="28">
        <v>47238</v>
      </c>
      <c r="F1082" s="28">
        <v>117782</v>
      </c>
      <c r="G1082" s="27" t="s">
        <v>8</v>
      </c>
      <c r="H1082" s="27" t="s">
        <v>2693</v>
      </c>
      <c r="I1082" s="27" t="s">
        <v>13</v>
      </c>
    </row>
    <row r="1083" spans="1:9" x14ac:dyDescent="0.3">
      <c r="A1083" s="26">
        <v>44988</v>
      </c>
      <c r="B1083" s="27" t="s">
        <v>117</v>
      </c>
      <c r="C1083" s="27" t="s">
        <v>6</v>
      </c>
      <c r="D1083" s="27" t="s">
        <v>7</v>
      </c>
      <c r="E1083" s="28">
        <v>65600</v>
      </c>
      <c r="F1083" s="28">
        <v>72300</v>
      </c>
      <c r="G1083" s="27" t="s">
        <v>11</v>
      </c>
      <c r="H1083" s="27" t="s">
        <v>3464</v>
      </c>
      <c r="I1083" s="27" t="s">
        <v>9</v>
      </c>
    </row>
    <row r="1084" spans="1:9" x14ac:dyDescent="0.3">
      <c r="A1084" s="26">
        <v>44988</v>
      </c>
      <c r="B1084" s="27" t="s">
        <v>117</v>
      </c>
      <c r="C1084" s="27" t="s">
        <v>93</v>
      </c>
      <c r="D1084" s="27" t="s">
        <v>19</v>
      </c>
      <c r="E1084" s="28">
        <v>101100</v>
      </c>
      <c r="F1084" s="28">
        <v>74800</v>
      </c>
      <c r="G1084" s="27" t="s">
        <v>11</v>
      </c>
      <c r="H1084" s="27" t="s">
        <v>3577</v>
      </c>
      <c r="I1084" s="27" t="s">
        <v>9</v>
      </c>
    </row>
    <row r="1085" spans="1:9" x14ac:dyDescent="0.3">
      <c r="A1085" s="26">
        <v>44988</v>
      </c>
      <c r="B1085" s="27" t="s">
        <v>117</v>
      </c>
      <c r="C1085" s="27" t="s">
        <v>6</v>
      </c>
      <c r="D1085" s="27" t="s">
        <v>7</v>
      </c>
      <c r="E1085" s="28">
        <v>56700</v>
      </c>
      <c r="F1085" s="28">
        <v>67500</v>
      </c>
      <c r="G1085" s="27" t="s">
        <v>11</v>
      </c>
      <c r="H1085" s="27" t="s">
        <v>3922</v>
      </c>
      <c r="I1085" s="27" t="s">
        <v>9</v>
      </c>
    </row>
    <row r="1086" spans="1:9" x14ac:dyDescent="0.3">
      <c r="A1086" s="26">
        <v>44988</v>
      </c>
      <c r="B1086" s="27" t="s">
        <v>117</v>
      </c>
      <c r="C1086" s="27" t="s">
        <v>6</v>
      </c>
      <c r="D1086" s="27" t="s">
        <v>19</v>
      </c>
      <c r="E1086" s="28">
        <v>113000</v>
      </c>
      <c r="F1086" s="28">
        <v>115800</v>
      </c>
      <c r="G1086" s="27" t="s">
        <v>11</v>
      </c>
      <c r="H1086" s="27" t="s">
        <v>4195</v>
      </c>
      <c r="I1086" s="27" t="s">
        <v>9</v>
      </c>
    </row>
    <row r="1087" spans="1:9" x14ac:dyDescent="0.3">
      <c r="A1087" s="26">
        <v>44988</v>
      </c>
      <c r="B1087" s="27" t="s">
        <v>117</v>
      </c>
      <c r="C1087" s="27" t="s">
        <v>6</v>
      </c>
      <c r="D1087" s="27" t="s">
        <v>7</v>
      </c>
      <c r="E1087" s="28">
        <v>143500</v>
      </c>
      <c r="F1087" s="28">
        <v>151300</v>
      </c>
      <c r="G1087" s="27" t="s">
        <v>11</v>
      </c>
      <c r="H1087" s="27" t="s">
        <v>4861</v>
      </c>
      <c r="I1087" s="27" t="s">
        <v>9</v>
      </c>
    </row>
    <row r="1088" spans="1:9" x14ac:dyDescent="0.3">
      <c r="A1088" s="26">
        <v>44988</v>
      </c>
      <c r="B1088" s="27" t="s">
        <v>117</v>
      </c>
      <c r="C1088" s="27" t="s">
        <v>6</v>
      </c>
      <c r="D1088" s="27" t="s">
        <v>16</v>
      </c>
      <c r="E1088" s="28">
        <v>179900</v>
      </c>
      <c r="F1088" s="28">
        <v>146900</v>
      </c>
      <c r="G1088" s="27" t="s">
        <v>22</v>
      </c>
      <c r="H1088" s="27" t="s">
        <v>5281</v>
      </c>
      <c r="I1088" s="27" t="s">
        <v>9</v>
      </c>
    </row>
    <row r="1089" spans="1:9" x14ac:dyDescent="0.3">
      <c r="A1089" s="26">
        <v>44988</v>
      </c>
      <c r="B1089" s="27" t="s">
        <v>117</v>
      </c>
      <c r="C1089" s="27" t="s">
        <v>6</v>
      </c>
      <c r="D1089" s="27" t="s">
        <v>21</v>
      </c>
      <c r="E1089" s="28">
        <v>107600</v>
      </c>
      <c r="F1089" s="28">
        <v>103900</v>
      </c>
      <c r="G1089" s="27" t="s">
        <v>11</v>
      </c>
      <c r="H1089" s="27" t="s">
        <v>6078</v>
      </c>
      <c r="I1089" s="27" t="s">
        <v>9</v>
      </c>
    </row>
    <row r="1090" spans="1:9" x14ac:dyDescent="0.3">
      <c r="A1090" s="26">
        <v>44989</v>
      </c>
      <c r="B1090" s="27" t="s">
        <v>117</v>
      </c>
      <c r="C1090" s="27" t="s">
        <v>10</v>
      </c>
      <c r="D1090" s="27" t="s">
        <v>21</v>
      </c>
      <c r="E1090" s="28">
        <v>120803</v>
      </c>
      <c r="F1090" s="28">
        <v>82732</v>
      </c>
      <c r="G1090" s="27" t="s">
        <v>8</v>
      </c>
      <c r="H1090" s="27" t="s">
        <v>540</v>
      </c>
      <c r="I1090" s="27" t="s">
        <v>13</v>
      </c>
    </row>
    <row r="1091" spans="1:9" x14ac:dyDescent="0.3">
      <c r="A1091" s="26">
        <v>44989</v>
      </c>
      <c r="B1091" s="27" t="s">
        <v>117</v>
      </c>
      <c r="C1091" s="27" t="s">
        <v>20</v>
      </c>
      <c r="D1091" s="27" t="s">
        <v>16</v>
      </c>
      <c r="E1091" s="28">
        <v>144847</v>
      </c>
      <c r="F1091" s="28">
        <v>60600</v>
      </c>
      <c r="G1091" s="27" t="s">
        <v>17</v>
      </c>
      <c r="H1091" s="27" t="s">
        <v>651</v>
      </c>
      <c r="I1091" s="27" t="s">
        <v>13</v>
      </c>
    </row>
    <row r="1092" spans="1:9" x14ac:dyDescent="0.3">
      <c r="A1092" s="26">
        <v>44989</v>
      </c>
      <c r="B1092" s="27" t="s">
        <v>117</v>
      </c>
      <c r="C1092" s="27" t="s">
        <v>32</v>
      </c>
      <c r="D1092" s="27" t="s">
        <v>24</v>
      </c>
      <c r="E1092" s="28">
        <v>87008</v>
      </c>
      <c r="F1092" s="28">
        <v>41243</v>
      </c>
      <c r="G1092" s="27" t="s">
        <v>8</v>
      </c>
      <c r="H1092" s="27" t="s">
        <v>705</v>
      </c>
      <c r="I1092" s="27" t="s">
        <v>13</v>
      </c>
    </row>
    <row r="1093" spans="1:9" x14ac:dyDescent="0.3">
      <c r="A1093" s="26">
        <v>44989</v>
      </c>
      <c r="B1093" s="27" t="s">
        <v>117</v>
      </c>
      <c r="C1093" s="27" t="s">
        <v>18</v>
      </c>
      <c r="D1093" s="27" t="s">
        <v>7</v>
      </c>
      <c r="E1093" s="28">
        <v>29411</v>
      </c>
      <c r="F1093" s="28">
        <v>64731</v>
      </c>
      <c r="G1093" s="27" t="s">
        <v>22</v>
      </c>
      <c r="H1093" s="27" t="s">
        <v>1035</v>
      </c>
      <c r="I1093" s="27" t="s">
        <v>13</v>
      </c>
    </row>
    <row r="1094" spans="1:9" x14ac:dyDescent="0.3">
      <c r="A1094" s="26">
        <v>44989</v>
      </c>
      <c r="B1094" s="27" t="s">
        <v>117</v>
      </c>
      <c r="C1094" s="27" t="s">
        <v>20</v>
      </c>
      <c r="D1094" s="27" t="s">
        <v>24</v>
      </c>
      <c r="E1094" s="28">
        <v>87411</v>
      </c>
      <c r="F1094" s="28">
        <v>59528</v>
      </c>
      <c r="G1094" s="27" t="s">
        <v>22</v>
      </c>
      <c r="H1094" s="27" t="s">
        <v>2182</v>
      </c>
      <c r="I1094" s="27" t="s">
        <v>13</v>
      </c>
    </row>
    <row r="1095" spans="1:9" x14ac:dyDescent="0.3">
      <c r="A1095" s="26">
        <v>44989</v>
      </c>
      <c r="B1095" s="27" t="s">
        <v>117</v>
      </c>
      <c r="C1095" s="27" t="s">
        <v>15</v>
      </c>
      <c r="D1095" s="27" t="s">
        <v>16</v>
      </c>
      <c r="E1095" s="28">
        <v>115736</v>
      </c>
      <c r="F1095" s="28">
        <v>159920</v>
      </c>
      <c r="G1095" s="27" t="s">
        <v>22</v>
      </c>
      <c r="H1095" s="27" t="s">
        <v>2308</v>
      </c>
      <c r="I1095" s="27" t="s">
        <v>13</v>
      </c>
    </row>
    <row r="1096" spans="1:9" x14ac:dyDescent="0.3">
      <c r="A1096" s="26">
        <v>44989</v>
      </c>
      <c r="B1096" s="27" t="s">
        <v>117</v>
      </c>
      <c r="C1096" s="27" t="s">
        <v>10</v>
      </c>
      <c r="D1096" s="27" t="s">
        <v>19</v>
      </c>
      <c r="E1096" s="28">
        <v>135220</v>
      </c>
      <c r="F1096" s="28">
        <v>102577</v>
      </c>
      <c r="G1096" s="27" t="s">
        <v>17</v>
      </c>
      <c r="H1096" s="27" t="s">
        <v>2309</v>
      </c>
      <c r="I1096" s="27" t="s">
        <v>13</v>
      </c>
    </row>
    <row r="1097" spans="1:9" x14ac:dyDescent="0.3">
      <c r="A1097" s="26">
        <v>44989</v>
      </c>
      <c r="B1097" s="27" t="s">
        <v>117</v>
      </c>
      <c r="C1097" s="27" t="s">
        <v>18</v>
      </c>
      <c r="D1097" s="27" t="s">
        <v>24</v>
      </c>
      <c r="E1097" s="28">
        <v>37915</v>
      </c>
      <c r="F1097" s="28">
        <v>108779</v>
      </c>
      <c r="G1097" s="27" t="s">
        <v>17</v>
      </c>
      <c r="H1097" s="27" t="s">
        <v>2511</v>
      </c>
      <c r="I1097" s="27" t="s">
        <v>13</v>
      </c>
    </row>
    <row r="1098" spans="1:9" x14ac:dyDescent="0.3">
      <c r="A1098" s="26">
        <v>44989</v>
      </c>
      <c r="B1098" s="27" t="s">
        <v>117</v>
      </c>
      <c r="C1098" s="27" t="s">
        <v>18</v>
      </c>
      <c r="D1098" s="27" t="s">
        <v>21</v>
      </c>
      <c r="E1098" s="28">
        <v>13370</v>
      </c>
      <c r="F1098" s="28">
        <v>70063</v>
      </c>
      <c r="G1098" s="27" t="s">
        <v>11</v>
      </c>
      <c r="H1098" s="27" t="s">
        <v>2685</v>
      </c>
      <c r="I1098" s="27" t="s">
        <v>13</v>
      </c>
    </row>
    <row r="1099" spans="1:9" x14ac:dyDescent="0.3">
      <c r="A1099" s="26">
        <v>44989</v>
      </c>
      <c r="B1099" s="27" t="s">
        <v>117</v>
      </c>
      <c r="C1099" s="27" t="s">
        <v>14</v>
      </c>
      <c r="D1099" s="27" t="s">
        <v>19</v>
      </c>
      <c r="E1099" s="28">
        <v>147006</v>
      </c>
      <c r="F1099" s="28">
        <v>141360</v>
      </c>
      <c r="G1099" s="27" t="s">
        <v>8</v>
      </c>
      <c r="H1099" s="27" t="s">
        <v>2840</v>
      </c>
      <c r="I1099" s="27" t="s">
        <v>13</v>
      </c>
    </row>
    <row r="1100" spans="1:9" x14ac:dyDescent="0.3">
      <c r="A1100" s="26">
        <v>44989</v>
      </c>
      <c r="B1100" s="27" t="s">
        <v>117</v>
      </c>
      <c r="C1100" s="27" t="s">
        <v>15</v>
      </c>
      <c r="D1100" s="27" t="s">
        <v>24</v>
      </c>
      <c r="E1100" s="28">
        <v>74076</v>
      </c>
      <c r="F1100" s="28">
        <v>142056</v>
      </c>
      <c r="G1100" s="27" t="s">
        <v>11</v>
      </c>
      <c r="H1100" s="27" t="s">
        <v>3087</v>
      </c>
      <c r="I1100" s="27" t="s">
        <v>13</v>
      </c>
    </row>
    <row r="1101" spans="1:9" x14ac:dyDescent="0.3">
      <c r="A1101" s="26">
        <v>44989</v>
      </c>
      <c r="B1101" s="27" t="s">
        <v>117</v>
      </c>
      <c r="C1101" s="27" t="s">
        <v>6</v>
      </c>
      <c r="D1101" s="27" t="s">
        <v>21</v>
      </c>
      <c r="E1101" s="28">
        <v>74100</v>
      </c>
      <c r="F1101" s="28">
        <v>70300</v>
      </c>
      <c r="G1101" s="27" t="s">
        <v>22</v>
      </c>
      <c r="H1101" s="27" t="s">
        <v>3921</v>
      </c>
      <c r="I1101" s="27" t="s">
        <v>9</v>
      </c>
    </row>
    <row r="1102" spans="1:9" x14ac:dyDescent="0.3">
      <c r="A1102" s="26">
        <v>44989</v>
      </c>
      <c r="B1102" s="27" t="s">
        <v>117</v>
      </c>
      <c r="C1102" s="27" t="s">
        <v>6</v>
      </c>
      <c r="D1102" s="27" t="s">
        <v>16</v>
      </c>
      <c r="E1102" s="28">
        <v>156800</v>
      </c>
      <c r="F1102" s="28">
        <v>163800</v>
      </c>
      <c r="G1102" s="27" t="s">
        <v>17</v>
      </c>
      <c r="H1102" s="27" t="s">
        <v>4032</v>
      </c>
      <c r="I1102" s="27" t="s">
        <v>9</v>
      </c>
    </row>
    <row r="1103" spans="1:9" x14ac:dyDescent="0.3">
      <c r="A1103" s="26">
        <v>44989</v>
      </c>
      <c r="B1103" s="27" t="s">
        <v>117</v>
      </c>
      <c r="C1103" s="27" t="s">
        <v>6</v>
      </c>
      <c r="D1103" s="27" t="s">
        <v>24</v>
      </c>
      <c r="E1103" s="28">
        <v>101100</v>
      </c>
      <c r="F1103" s="28">
        <v>107300</v>
      </c>
      <c r="G1103" s="27" t="s">
        <v>17</v>
      </c>
      <c r="H1103" s="27" t="s">
        <v>4086</v>
      </c>
      <c r="I1103" s="27" t="s">
        <v>9</v>
      </c>
    </row>
    <row r="1104" spans="1:9" x14ac:dyDescent="0.3">
      <c r="A1104" s="26">
        <v>44989</v>
      </c>
      <c r="B1104" s="27" t="s">
        <v>117</v>
      </c>
      <c r="C1104" s="27" t="s">
        <v>6</v>
      </c>
      <c r="D1104" s="27" t="s">
        <v>7</v>
      </c>
      <c r="E1104" s="28">
        <v>155300</v>
      </c>
      <c r="F1104" s="28">
        <v>202000</v>
      </c>
      <c r="G1104" s="27" t="s">
        <v>17</v>
      </c>
      <c r="H1104" s="27" t="s">
        <v>4417</v>
      </c>
      <c r="I1104" s="27" t="s">
        <v>9</v>
      </c>
    </row>
    <row r="1105" spans="1:9" x14ac:dyDescent="0.3">
      <c r="A1105" s="26">
        <v>44989</v>
      </c>
      <c r="B1105" s="27" t="s">
        <v>117</v>
      </c>
      <c r="C1105" s="27" t="s">
        <v>6</v>
      </c>
      <c r="D1105" s="27" t="s">
        <v>24</v>
      </c>
      <c r="E1105" s="28">
        <v>160300</v>
      </c>
      <c r="F1105" s="28">
        <v>158900</v>
      </c>
      <c r="G1105" s="27" t="s">
        <v>22</v>
      </c>
      <c r="H1105" s="27" t="s">
        <v>5567</v>
      </c>
      <c r="I1105" s="27" t="s">
        <v>9</v>
      </c>
    </row>
    <row r="1106" spans="1:9" x14ac:dyDescent="0.3">
      <c r="A1106" s="26">
        <v>44989</v>
      </c>
      <c r="B1106" s="27" t="s">
        <v>117</v>
      </c>
      <c r="C1106" s="27" t="s">
        <v>93</v>
      </c>
      <c r="D1106" s="27" t="s">
        <v>16</v>
      </c>
      <c r="E1106" s="28">
        <v>98000</v>
      </c>
      <c r="F1106" s="28">
        <v>111800</v>
      </c>
      <c r="G1106" s="27" t="s">
        <v>22</v>
      </c>
      <c r="H1106" s="27" t="s">
        <v>5693</v>
      </c>
      <c r="I1106" s="27" t="s">
        <v>9</v>
      </c>
    </row>
    <row r="1107" spans="1:9" x14ac:dyDescent="0.3">
      <c r="A1107" s="26">
        <v>44989</v>
      </c>
      <c r="B1107" s="27" t="s">
        <v>117</v>
      </c>
      <c r="C1107" s="27" t="s">
        <v>6</v>
      </c>
      <c r="D1107" s="27" t="s">
        <v>19</v>
      </c>
      <c r="E1107" s="28">
        <v>71100</v>
      </c>
      <c r="F1107" s="28">
        <v>63600</v>
      </c>
      <c r="G1107" s="27" t="s">
        <v>22</v>
      </c>
      <c r="H1107" s="27" t="s">
        <v>5694</v>
      </c>
      <c r="I1107" s="27" t="s">
        <v>9</v>
      </c>
    </row>
    <row r="1108" spans="1:9" x14ac:dyDescent="0.3">
      <c r="A1108" s="26">
        <v>44989</v>
      </c>
      <c r="B1108" s="27" t="s">
        <v>117</v>
      </c>
      <c r="C1108" s="27" t="s">
        <v>6</v>
      </c>
      <c r="D1108" s="27" t="s">
        <v>24</v>
      </c>
      <c r="E1108" s="28">
        <v>169100</v>
      </c>
      <c r="F1108" s="28">
        <v>228700</v>
      </c>
      <c r="G1108" s="27" t="s">
        <v>11</v>
      </c>
      <c r="H1108" s="27" t="s">
        <v>5896</v>
      </c>
      <c r="I1108" s="27" t="s">
        <v>9</v>
      </c>
    </row>
    <row r="1109" spans="1:9" x14ac:dyDescent="0.3">
      <c r="A1109" s="26">
        <v>44989</v>
      </c>
      <c r="B1109" s="27" t="s">
        <v>117</v>
      </c>
      <c r="C1109" s="27" t="s">
        <v>6</v>
      </c>
      <c r="D1109" s="27" t="s">
        <v>21</v>
      </c>
      <c r="E1109" s="28">
        <v>123600</v>
      </c>
      <c r="F1109" s="28">
        <v>154300</v>
      </c>
      <c r="G1109" s="27" t="s">
        <v>11</v>
      </c>
      <c r="H1109" s="27" t="s">
        <v>6070</v>
      </c>
      <c r="I1109" s="27" t="s">
        <v>9</v>
      </c>
    </row>
    <row r="1110" spans="1:9" x14ac:dyDescent="0.3">
      <c r="A1110" s="26">
        <v>44989</v>
      </c>
      <c r="B1110" s="27" t="s">
        <v>117</v>
      </c>
      <c r="C1110" s="27" t="s">
        <v>93</v>
      </c>
      <c r="D1110" s="27" t="s">
        <v>19</v>
      </c>
      <c r="E1110" s="28">
        <v>80000</v>
      </c>
      <c r="F1110" s="28">
        <v>114600</v>
      </c>
      <c r="G1110" s="27" t="s">
        <v>22</v>
      </c>
      <c r="H1110" s="27" t="s">
        <v>6225</v>
      </c>
      <c r="I1110" s="27" t="s">
        <v>9</v>
      </c>
    </row>
    <row r="1111" spans="1:9" x14ac:dyDescent="0.3">
      <c r="A1111" s="26">
        <v>44989</v>
      </c>
      <c r="B1111" s="27" t="s">
        <v>117</v>
      </c>
      <c r="C1111" s="27" t="s">
        <v>6</v>
      </c>
      <c r="D1111" s="27" t="s">
        <v>24</v>
      </c>
      <c r="E1111" s="28">
        <v>98900</v>
      </c>
      <c r="F1111" s="28">
        <v>80800</v>
      </c>
      <c r="G1111" s="27" t="s">
        <v>22</v>
      </c>
      <c r="H1111" s="27" t="s">
        <v>6472</v>
      </c>
      <c r="I1111" s="27" t="s">
        <v>9</v>
      </c>
    </row>
    <row r="1112" spans="1:9" x14ac:dyDescent="0.3">
      <c r="A1112" s="26">
        <v>44990</v>
      </c>
      <c r="B1112" s="27" t="s">
        <v>117</v>
      </c>
      <c r="C1112" s="27" t="s">
        <v>32</v>
      </c>
      <c r="D1112" s="27" t="s">
        <v>19</v>
      </c>
      <c r="E1112" s="28">
        <v>41834</v>
      </c>
      <c r="F1112" s="28">
        <v>19691</v>
      </c>
      <c r="G1112" s="27" t="s">
        <v>11</v>
      </c>
      <c r="H1112" s="27" t="s">
        <v>304</v>
      </c>
      <c r="I1112" s="27" t="s">
        <v>13</v>
      </c>
    </row>
    <row r="1113" spans="1:9" x14ac:dyDescent="0.3">
      <c r="A1113" s="26">
        <v>44990</v>
      </c>
      <c r="B1113" s="27" t="s">
        <v>117</v>
      </c>
      <c r="C1113" s="27" t="s">
        <v>15</v>
      </c>
      <c r="D1113" s="27" t="s">
        <v>16</v>
      </c>
      <c r="E1113" s="28">
        <v>112978</v>
      </c>
      <c r="F1113" s="28">
        <v>156300</v>
      </c>
      <c r="G1113" s="27" t="s">
        <v>11</v>
      </c>
      <c r="H1113" s="27" t="s">
        <v>360</v>
      </c>
      <c r="I1113" s="27" t="s">
        <v>13</v>
      </c>
    </row>
    <row r="1114" spans="1:9" x14ac:dyDescent="0.3">
      <c r="A1114" s="26">
        <v>44990</v>
      </c>
      <c r="B1114" s="27" t="s">
        <v>117</v>
      </c>
      <c r="C1114" s="27" t="s">
        <v>14</v>
      </c>
      <c r="D1114" s="27" t="s">
        <v>7</v>
      </c>
      <c r="E1114" s="28">
        <v>92458</v>
      </c>
      <c r="F1114" s="28">
        <v>86716</v>
      </c>
      <c r="G1114" s="27" t="s">
        <v>17</v>
      </c>
      <c r="H1114" s="27" t="s">
        <v>437</v>
      </c>
      <c r="I1114" s="27" t="s">
        <v>13</v>
      </c>
    </row>
    <row r="1115" spans="1:9" x14ac:dyDescent="0.3">
      <c r="A1115" s="26">
        <v>44990</v>
      </c>
      <c r="B1115" s="27" t="s">
        <v>117</v>
      </c>
      <c r="C1115" s="27" t="s">
        <v>32</v>
      </c>
      <c r="D1115" s="27" t="s">
        <v>19</v>
      </c>
      <c r="E1115" s="28">
        <v>122695</v>
      </c>
      <c r="F1115" s="28">
        <v>57352</v>
      </c>
      <c r="G1115" s="27" t="s">
        <v>11</v>
      </c>
      <c r="H1115" s="27" t="s">
        <v>591</v>
      </c>
      <c r="I1115" s="27" t="s">
        <v>13</v>
      </c>
    </row>
    <row r="1116" spans="1:9" x14ac:dyDescent="0.3">
      <c r="A1116" s="26">
        <v>44990</v>
      </c>
      <c r="B1116" s="27" t="s">
        <v>117</v>
      </c>
      <c r="C1116" s="27" t="s">
        <v>15</v>
      </c>
      <c r="D1116" s="27" t="s">
        <v>21</v>
      </c>
      <c r="E1116" s="28">
        <v>115293</v>
      </c>
      <c r="F1116" s="28">
        <v>136328</v>
      </c>
      <c r="G1116" s="27" t="s">
        <v>22</v>
      </c>
      <c r="H1116" s="27" t="s">
        <v>996</v>
      </c>
      <c r="I1116" s="27" t="s">
        <v>13</v>
      </c>
    </row>
    <row r="1117" spans="1:9" x14ac:dyDescent="0.3">
      <c r="A1117" s="26">
        <v>44990</v>
      </c>
      <c r="B1117" s="27" t="s">
        <v>117</v>
      </c>
      <c r="C1117" s="27" t="s">
        <v>20</v>
      </c>
      <c r="D1117" s="27" t="s">
        <v>21</v>
      </c>
      <c r="E1117" s="28">
        <v>82901</v>
      </c>
      <c r="F1117" s="28">
        <v>134934</v>
      </c>
      <c r="G1117" s="27" t="s">
        <v>8</v>
      </c>
      <c r="H1117" s="27" t="s">
        <v>1072</v>
      </c>
      <c r="I1117" s="27" t="s">
        <v>13</v>
      </c>
    </row>
    <row r="1118" spans="1:9" x14ac:dyDescent="0.3">
      <c r="A1118" s="26">
        <v>44990</v>
      </c>
      <c r="B1118" s="27" t="s">
        <v>117</v>
      </c>
      <c r="C1118" s="27" t="s">
        <v>18</v>
      </c>
      <c r="D1118" s="27" t="s">
        <v>21</v>
      </c>
      <c r="E1118" s="28">
        <v>17042</v>
      </c>
      <c r="F1118" s="28">
        <v>118612</v>
      </c>
      <c r="G1118" s="27" t="s">
        <v>11</v>
      </c>
      <c r="H1118" s="27" t="s">
        <v>1239</v>
      </c>
      <c r="I1118" s="27" t="s">
        <v>13</v>
      </c>
    </row>
    <row r="1119" spans="1:9" x14ac:dyDescent="0.3">
      <c r="A1119" s="26">
        <v>44990</v>
      </c>
      <c r="B1119" s="27" t="s">
        <v>117</v>
      </c>
      <c r="C1119" s="27" t="s">
        <v>20</v>
      </c>
      <c r="D1119" s="27" t="s">
        <v>7</v>
      </c>
      <c r="E1119" s="28">
        <v>141448</v>
      </c>
      <c r="F1119" s="28">
        <v>163885</v>
      </c>
      <c r="G1119" s="27" t="s">
        <v>22</v>
      </c>
      <c r="H1119" s="27" t="s">
        <v>1667</v>
      </c>
      <c r="I1119" s="27" t="s">
        <v>13</v>
      </c>
    </row>
    <row r="1120" spans="1:9" x14ac:dyDescent="0.3">
      <c r="A1120" s="26">
        <v>44990</v>
      </c>
      <c r="B1120" s="27" t="s">
        <v>117</v>
      </c>
      <c r="C1120" s="27" t="s">
        <v>18</v>
      </c>
      <c r="D1120" s="27" t="s">
        <v>7</v>
      </c>
      <c r="E1120" s="28">
        <v>137660</v>
      </c>
      <c r="F1120" s="28">
        <v>140235</v>
      </c>
      <c r="G1120" s="27" t="s">
        <v>17</v>
      </c>
      <c r="H1120" s="27" t="s">
        <v>1792</v>
      </c>
      <c r="I1120" s="27" t="s">
        <v>13</v>
      </c>
    </row>
    <row r="1121" spans="1:9" x14ac:dyDescent="0.3">
      <c r="A1121" s="26">
        <v>44990</v>
      </c>
      <c r="B1121" s="27" t="s">
        <v>117</v>
      </c>
      <c r="C1121" s="27" t="s">
        <v>10</v>
      </c>
      <c r="D1121" s="27" t="s">
        <v>24</v>
      </c>
      <c r="E1121" s="28">
        <v>85489</v>
      </c>
      <c r="F1121" s="28">
        <v>124176</v>
      </c>
      <c r="G1121" s="27" t="s">
        <v>17</v>
      </c>
      <c r="H1121" s="27" t="s">
        <v>2641</v>
      </c>
      <c r="I1121" s="27" t="s">
        <v>13</v>
      </c>
    </row>
    <row r="1122" spans="1:9" x14ac:dyDescent="0.3">
      <c r="A1122" s="26">
        <v>44990</v>
      </c>
      <c r="B1122" s="27" t="s">
        <v>117</v>
      </c>
      <c r="C1122" s="27" t="s">
        <v>15</v>
      </c>
      <c r="D1122" s="27" t="s">
        <v>21</v>
      </c>
      <c r="E1122" s="28">
        <v>37217</v>
      </c>
      <c r="F1122" s="28">
        <v>39658</v>
      </c>
      <c r="G1122" s="27" t="s">
        <v>22</v>
      </c>
      <c r="H1122" s="27" t="s">
        <v>2956</v>
      </c>
      <c r="I1122" s="27" t="s">
        <v>13</v>
      </c>
    </row>
    <row r="1123" spans="1:9" x14ac:dyDescent="0.3">
      <c r="A1123" s="26">
        <v>44990</v>
      </c>
      <c r="B1123" s="27" t="s">
        <v>117</v>
      </c>
      <c r="C1123" s="27" t="s">
        <v>20</v>
      </c>
      <c r="D1123" s="27" t="s">
        <v>21</v>
      </c>
      <c r="E1123" s="28">
        <v>54084</v>
      </c>
      <c r="F1123" s="28">
        <v>115017</v>
      </c>
      <c r="G1123" s="27" t="s">
        <v>22</v>
      </c>
      <c r="H1123" s="27" t="s">
        <v>3240</v>
      </c>
      <c r="I1123" s="27" t="s">
        <v>13</v>
      </c>
    </row>
    <row r="1124" spans="1:9" x14ac:dyDescent="0.3">
      <c r="A1124" s="26">
        <v>44990</v>
      </c>
      <c r="B1124" s="27" t="s">
        <v>117</v>
      </c>
      <c r="C1124" s="27" t="s">
        <v>93</v>
      </c>
      <c r="D1124" s="27" t="s">
        <v>19</v>
      </c>
      <c r="E1124" s="28">
        <v>96400</v>
      </c>
      <c r="F1124" s="28">
        <v>97900</v>
      </c>
      <c r="G1124" s="27" t="s">
        <v>22</v>
      </c>
      <c r="H1124" s="27" t="s">
        <v>3685</v>
      </c>
      <c r="I1124" s="27" t="s">
        <v>9</v>
      </c>
    </row>
    <row r="1125" spans="1:9" x14ac:dyDescent="0.3">
      <c r="A1125" s="26">
        <v>44990</v>
      </c>
      <c r="B1125" s="27" t="s">
        <v>117</v>
      </c>
      <c r="C1125" s="27" t="s">
        <v>6</v>
      </c>
      <c r="D1125" s="27" t="s">
        <v>16</v>
      </c>
      <c r="E1125" s="28">
        <v>149900</v>
      </c>
      <c r="F1125" s="28">
        <v>135800</v>
      </c>
      <c r="G1125" s="27" t="s">
        <v>22</v>
      </c>
      <c r="H1125" s="27" t="s">
        <v>3741</v>
      </c>
      <c r="I1125" s="27" t="s">
        <v>9</v>
      </c>
    </row>
    <row r="1126" spans="1:9" x14ac:dyDescent="0.3">
      <c r="A1126" s="26">
        <v>44990</v>
      </c>
      <c r="B1126" s="27" t="s">
        <v>117</v>
      </c>
      <c r="C1126" s="27" t="s">
        <v>93</v>
      </c>
      <c r="D1126" s="27" t="s">
        <v>7</v>
      </c>
      <c r="E1126" s="28">
        <v>156900</v>
      </c>
      <c r="F1126" s="28">
        <v>178300</v>
      </c>
      <c r="G1126" s="27" t="s">
        <v>11</v>
      </c>
      <c r="H1126" s="27" t="s">
        <v>3818</v>
      </c>
      <c r="I1126" s="27" t="s">
        <v>9</v>
      </c>
    </row>
    <row r="1127" spans="1:9" x14ac:dyDescent="0.3">
      <c r="A1127" s="26">
        <v>44990</v>
      </c>
      <c r="B1127" s="27" t="s">
        <v>117</v>
      </c>
      <c r="C1127" s="27" t="s">
        <v>93</v>
      </c>
      <c r="D1127" s="27" t="s">
        <v>19</v>
      </c>
      <c r="E1127" s="28">
        <v>163800</v>
      </c>
      <c r="F1127" s="28">
        <v>143300</v>
      </c>
      <c r="G1127" s="27" t="s">
        <v>11</v>
      </c>
      <c r="H1127" s="27" t="s">
        <v>3972</v>
      </c>
      <c r="I1127" s="27" t="s">
        <v>9</v>
      </c>
    </row>
    <row r="1128" spans="1:9" x14ac:dyDescent="0.3">
      <c r="A1128" s="26">
        <v>44990</v>
      </c>
      <c r="B1128" s="27" t="s">
        <v>117</v>
      </c>
      <c r="C1128" s="27" t="s">
        <v>93</v>
      </c>
      <c r="D1128" s="27" t="s">
        <v>21</v>
      </c>
      <c r="E1128" s="28">
        <v>130400</v>
      </c>
      <c r="F1128" s="28">
        <v>136700</v>
      </c>
      <c r="G1128" s="27" t="s">
        <v>17</v>
      </c>
      <c r="H1128" s="27" t="s">
        <v>4377</v>
      </c>
      <c r="I1128" s="27" t="s">
        <v>9</v>
      </c>
    </row>
    <row r="1129" spans="1:9" x14ac:dyDescent="0.3">
      <c r="A1129" s="26">
        <v>44990</v>
      </c>
      <c r="B1129" s="27" t="s">
        <v>117</v>
      </c>
      <c r="C1129" s="27" t="s">
        <v>6</v>
      </c>
      <c r="D1129" s="27" t="s">
        <v>21</v>
      </c>
      <c r="E1129" s="28">
        <v>132100</v>
      </c>
      <c r="F1129" s="28">
        <v>157400</v>
      </c>
      <c r="G1129" s="27" t="s">
        <v>22</v>
      </c>
      <c r="H1129" s="27" t="s">
        <v>4454</v>
      </c>
      <c r="I1129" s="27" t="s">
        <v>9</v>
      </c>
    </row>
    <row r="1130" spans="1:9" x14ac:dyDescent="0.3">
      <c r="A1130" s="26">
        <v>44990</v>
      </c>
      <c r="B1130" s="27" t="s">
        <v>117</v>
      </c>
      <c r="C1130" s="27" t="s">
        <v>6</v>
      </c>
      <c r="D1130" s="27" t="s">
        <v>21</v>
      </c>
      <c r="E1130" s="28">
        <v>60000</v>
      </c>
      <c r="F1130" s="28">
        <v>60000</v>
      </c>
      <c r="G1130" s="27" t="s">
        <v>17</v>
      </c>
      <c r="H1130" s="27" t="s">
        <v>4622</v>
      </c>
      <c r="I1130" s="27" t="s">
        <v>9</v>
      </c>
    </row>
    <row r="1131" spans="1:9" x14ac:dyDescent="0.3">
      <c r="A1131" s="26">
        <v>44990</v>
      </c>
      <c r="B1131" s="27" t="s">
        <v>117</v>
      </c>
      <c r="C1131" s="27" t="s">
        <v>93</v>
      </c>
      <c r="D1131" s="27" t="s">
        <v>7</v>
      </c>
      <c r="E1131" s="28">
        <v>143400</v>
      </c>
      <c r="F1131" s="28">
        <v>123600</v>
      </c>
      <c r="G1131" s="27" t="s">
        <v>11</v>
      </c>
      <c r="H1131" s="27" t="s">
        <v>5050</v>
      </c>
      <c r="I1131" s="27" t="s">
        <v>9</v>
      </c>
    </row>
    <row r="1132" spans="1:9" x14ac:dyDescent="0.3">
      <c r="A1132" s="26">
        <v>44990</v>
      </c>
      <c r="B1132" s="27" t="s">
        <v>117</v>
      </c>
      <c r="C1132" s="27" t="s">
        <v>93</v>
      </c>
      <c r="D1132" s="27" t="s">
        <v>7</v>
      </c>
      <c r="E1132" s="28">
        <v>53500</v>
      </c>
      <c r="F1132" s="28">
        <v>50300</v>
      </c>
      <c r="G1132" s="27" t="s">
        <v>11</v>
      </c>
      <c r="H1132" s="27" t="s">
        <v>5175</v>
      </c>
      <c r="I1132" s="27" t="s">
        <v>9</v>
      </c>
    </row>
    <row r="1133" spans="1:9" x14ac:dyDescent="0.3">
      <c r="A1133" s="26">
        <v>44990</v>
      </c>
      <c r="B1133" s="27" t="s">
        <v>117</v>
      </c>
      <c r="C1133" s="27" t="s">
        <v>6</v>
      </c>
      <c r="D1133" s="27" t="s">
        <v>24</v>
      </c>
      <c r="E1133" s="28">
        <v>101500</v>
      </c>
      <c r="F1133" s="28">
        <v>127500</v>
      </c>
      <c r="G1133" s="27" t="s">
        <v>11</v>
      </c>
      <c r="H1133" s="27" t="s">
        <v>6026</v>
      </c>
      <c r="I1133" s="27" t="s">
        <v>9</v>
      </c>
    </row>
    <row r="1134" spans="1:9" x14ac:dyDescent="0.3">
      <c r="A1134" s="26">
        <v>44990</v>
      </c>
      <c r="B1134" s="27" t="s">
        <v>117</v>
      </c>
      <c r="C1134" s="27" t="s">
        <v>6</v>
      </c>
      <c r="D1134" s="27" t="s">
        <v>21</v>
      </c>
      <c r="E1134" s="28">
        <v>131100</v>
      </c>
      <c r="F1134" s="28">
        <v>131700</v>
      </c>
      <c r="G1134" s="27" t="s">
        <v>17</v>
      </c>
      <c r="H1134" s="27" t="s">
        <v>6341</v>
      </c>
      <c r="I1134" s="27" t="s">
        <v>9</v>
      </c>
    </row>
    <row r="1135" spans="1:9" x14ac:dyDescent="0.3">
      <c r="A1135" s="26">
        <v>44990</v>
      </c>
      <c r="B1135" s="27" t="s">
        <v>117</v>
      </c>
      <c r="C1135" s="27" t="s">
        <v>93</v>
      </c>
      <c r="D1135" s="27" t="s">
        <v>21</v>
      </c>
      <c r="E1135" s="28">
        <v>111400</v>
      </c>
      <c r="F1135" s="28">
        <v>102700</v>
      </c>
      <c r="G1135" s="27" t="s">
        <v>11</v>
      </c>
      <c r="H1135" s="27" t="s">
        <v>6625</v>
      </c>
      <c r="I1135" s="27" t="s">
        <v>9</v>
      </c>
    </row>
    <row r="1136" spans="1:9" x14ac:dyDescent="0.3">
      <c r="A1136" s="26">
        <v>44991</v>
      </c>
      <c r="B1136" s="27" t="s">
        <v>117</v>
      </c>
      <c r="C1136" s="27" t="s">
        <v>10</v>
      </c>
      <c r="D1136" s="27" t="s">
        <v>19</v>
      </c>
      <c r="E1136" s="28">
        <v>107476</v>
      </c>
      <c r="F1136" s="28">
        <v>99881</v>
      </c>
      <c r="G1136" s="27" t="s">
        <v>17</v>
      </c>
      <c r="H1136" s="27" t="s">
        <v>35</v>
      </c>
      <c r="I1136" s="27" t="s">
        <v>13</v>
      </c>
    </row>
    <row r="1137" spans="1:9" x14ac:dyDescent="0.3">
      <c r="A1137" s="26">
        <v>44991</v>
      </c>
      <c r="B1137" s="27" t="s">
        <v>117</v>
      </c>
      <c r="C1137" s="27" t="s">
        <v>10</v>
      </c>
      <c r="D1137" s="27" t="s">
        <v>16</v>
      </c>
      <c r="E1137" s="28">
        <v>12897</v>
      </c>
      <c r="F1137" s="28">
        <v>23430</v>
      </c>
      <c r="G1137" s="27" t="s">
        <v>17</v>
      </c>
      <c r="H1137" s="27" t="s">
        <v>232</v>
      </c>
      <c r="I1137" s="27" t="s">
        <v>13</v>
      </c>
    </row>
    <row r="1138" spans="1:9" x14ac:dyDescent="0.3">
      <c r="A1138" s="26">
        <v>44991</v>
      </c>
      <c r="B1138" s="27" t="s">
        <v>117</v>
      </c>
      <c r="C1138" s="27" t="s">
        <v>15</v>
      </c>
      <c r="D1138" s="27" t="s">
        <v>7</v>
      </c>
      <c r="E1138" s="28">
        <v>32873</v>
      </c>
      <c r="F1138" s="28">
        <v>134260</v>
      </c>
      <c r="G1138" s="27" t="s">
        <v>11</v>
      </c>
      <c r="H1138" s="27" t="s">
        <v>271</v>
      </c>
      <c r="I1138" s="27" t="s">
        <v>13</v>
      </c>
    </row>
    <row r="1139" spans="1:9" x14ac:dyDescent="0.3">
      <c r="A1139" s="26">
        <v>44991</v>
      </c>
      <c r="B1139" s="27" t="s">
        <v>117</v>
      </c>
      <c r="C1139" s="27" t="s">
        <v>32</v>
      </c>
      <c r="D1139" s="27" t="s">
        <v>21</v>
      </c>
      <c r="E1139" s="28">
        <v>139060</v>
      </c>
      <c r="F1139" s="28">
        <v>154658</v>
      </c>
      <c r="G1139" s="27" t="s">
        <v>17</v>
      </c>
      <c r="H1139" s="27" t="s">
        <v>1552</v>
      </c>
      <c r="I1139" s="27" t="s">
        <v>13</v>
      </c>
    </row>
    <row r="1140" spans="1:9" x14ac:dyDescent="0.3">
      <c r="A1140" s="26">
        <v>44991</v>
      </c>
      <c r="B1140" s="27" t="s">
        <v>117</v>
      </c>
      <c r="C1140" s="27" t="s">
        <v>20</v>
      </c>
      <c r="D1140" s="27" t="s">
        <v>19</v>
      </c>
      <c r="E1140" s="28">
        <v>31135</v>
      </c>
      <c r="F1140" s="28">
        <v>20220</v>
      </c>
      <c r="G1140" s="27" t="s">
        <v>11</v>
      </c>
      <c r="H1140" s="27" t="s">
        <v>1991</v>
      </c>
      <c r="I1140" s="27" t="s">
        <v>13</v>
      </c>
    </row>
    <row r="1141" spans="1:9" x14ac:dyDescent="0.3">
      <c r="A1141" s="26">
        <v>44991</v>
      </c>
      <c r="B1141" s="27" t="s">
        <v>117</v>
      </c>
      <c r="C1141" s="27" t="s">
        <v>20</v>
      </c>
      <c r="D1141" s="27" t="s">
        <v>21</v>
      </c>
      <c r="E1141" s="28">
        <v>81712</v>
      </c>
      <c r="F1141" s="28">
        <v>164249</v>
      </c>
      <c r="G1141" s="27" t="s">
        <v>22</v>
      </c>
      <c r="H1141" s="27" t="s">
        <v>2572</v>
      </c>
      <c r="I1141" s="27" t="s">
        <v>13</v>
      </c>
    </row>
    <row r="1142" spans="1:9" x14ac:dyDescent="0.3">
      <c r="A1142" s="26">
        <v>44991</v>
      </c>
      <c r="B1142" s="27" t="s">
        <v>117</v>
      </c>
      <c r="C1142" s="27" t="s">
        <v>32</v>
      </c>
      <c r="D1142" s="27" t="s">
        <v>21</v>
      </c>
      <c r="E1142" s="28">
        <v>122293</v>
      </c>
      <c r="F1142" s="28">
        <v>53306</v>
      </c>
      <c r="G1142" s="27" t="s">
        <v>11</v>
      </c>
      <c r="H1142" s="27" t="s">
        <v>2650</v>
      </c>
      <c r="I1142" s="27" t="s">
        <v>13</v>
      </c>
    </row>
    <row r="1143" spans="1:9" x14ac:dyDescent="0.3">
      <c r="A1143" s="26">
        <v>44991</v>
      </c>
      <c r="B1143" s="27" t="s">
        <v>117</v>
      </c>
      <c r="C1143" s="27" t="s">
        <v>6</v>
      </c>
      <c r="D1143" s="27" t="s">
        <v>19</v>
      </c>
      <c r="E1143" s="28">
        <v>76700</v>
      </c>
      <c r="F1143" s="28">
        <v>66500</v>
      </c>
      <c r="G1143" s="27" t="s">
        <v>11</v>
      </c>
      <c r="H1143" s="27" t="s">
        <v>3479</v>
      </c>
      <c r="I1143" s="27" t="s">
        <v>9</v>
      </c>
    </row>
    <row r="1144" spans="1:9" x14ac:dyDescent="0.3">
      <c r="A1144" s="26">
        <v>44991</v>
      </c>
      <c r="B1144" s="27" t="s">
        <v>117</v>
      </c>
      <c r="C1144" s="27" t="s">
        <v>6</v>
      </c>
      <c r="D1144" s="27" t="s">
        <v>16</v>
      </c>
      <c r="E1144" s="28">
        <v>70800</v>
      </c>
      <c r="F1144" s="28">
        <v>72500</v>
      </c>
      <c r="G1144" s="27" t="s">
        <v>11</v>
      </c>
      <c r="H1144" s="27" t="s">
        <v>3613</v>
      </c>
      <c r="I1144" s="27" t="s">
        <v>9</v>
      </c>
    </row>
    <row r="1145" spans="1:9" x14ac:dyDescent="0.3">
      <c r="A1145" s="26">
        <v>44991</v>
      </c>
      <c r="B1145" s="27" t="s">
        <v>117</v>
      </c>
      <c r="C1145" s="27" t="s">
        <v>93</v>
      </c>
      <c r="D1145" s="27" t="s">
        <v>7</v>
      </c>
      <c r="E1145" s="28">
        <v>75400</v>
      </c>
      <c r="F1145" s="28">
        <v>76100</v>
      </c>
      <c r="G1145" s="27" t="s">
        <v>22</v>
      </c>
      <c r="H1145" s="27" t="s">
        <v>3652</v>
      </c>
      <c r="I1145" s="27" t="s">
        <v>9</v>
      </c>
    </row>
    <row r="1146" spans="1:9" x14ac:dyDescent="0.3">
      <c r="A1146" s="26">
        <v>44991</v>
      </c>
      <c r="B1146" s="27" t="s">
        <v>117</v>
      </c>
      <c r="C1146" s="27" t="s">
        <v>93</v>
      </c>
      <c r="D1146" s="27" t="s">
        <v>21</v>
      </c>
      <c r="E1146" s="28">
        <v>112700</v>
      </c>
      <c r="F1146" s="28">
        <v>119800</v>
      </c>
      <c r="G1146" s="27" t="s">
        <v>22</v>
      </c>
      <c r="H1146" s="27" t="s">
        <v>4935</v>
      </c>
      <c r="I1146" s="27" t="s">
        <v>9</v>
      </c>
    </row>
    <row r="1147" spans="1:9" x14ac:dyDescent="0.3">
      <c r="A1147" s="26">
        <v>44991</v>
      </c>
      <c r="B1147" s="27" t="s">
        <v>117</v>
      </c>
      <c r="C1147" s="27" t="s">
        <v>6</v>
      </c>
      <c r="D1147" s="27" t="s">
        <v>19</v>
      </c>
      <c r="E1147" s="28">
        <v>214800</v>
      </c>
      <c r="F1147" s="28">
        <v>202800</v>
      </c>
      <c r="G1147" s="27" t="s">
        <v>11</v>
      </c>
      <c r="H1147" s="27" t="s">
        <v>5375</v>
      </c>
      <c r="I1147" s="27" t="s">
        <v>9</v>
      </c>
    </row>
    <row r="1148" spans="1:9" x14ac:dyDescent="0.3">
      <c r="A1148" s="26">
        <v>44991</v>
      </c>
      <c r="B1148" s="27" t="s">
        <v>117</v>
      </c>
      <c r="C1148" s="27" t="s">
        <v>6</v>
      </c>
      <c r="D1148" s="27" t="s">
        <v>21</v>
      </c>
      <c r="E1148" s="28">
        <v>91000</v>
      </c>
      <c r="F1148" s="28">
        <v>91200</v>
      </c>
      <c r="G1148" s="27" t="s">
        <v>11</v>
      </c>
      <c r="H1148" s="27" t="s">
        <v>5957</v>
      </c>
      <c r="I1148" s="27" t="s">
        <v>9</v>
      </c>
    </row>
    <row r="1149" spans="1:9" x14ac:dyDescent="0.3">
      <c r="A1149" s="26">
        <v>44991</v>
      </c>
      <c r="B1149" s="27" t="s">
        <v>117</v>
      </c>
      <c r="C1149" s="27" t="s">
        <v>6</v>
      </c>
      <c r="D1149" s="27" t="s">
        <v>21</v>
      </c>
      <c r="E1149" s="28">
        <v>94500</v>
      </c>
      <c r="F1149" s="28">
        <v>119400</v>
      </c>
      <c r="G1149" s="27" t="s">
        <v>11</v>
      </c>
      <c r="H1149" s="27" t="s">
        <v>6035</v>
      </c>
      <c r="I1149" s="27" t="s">
        <v>9</v>
      </c>
    </row>
    <row r="1150" spans="1:9" x14ac:dyDescent="0.3">
      <c r="A1150" s="26">
        <v>44992</v>
      </c>
      <c r="B1150" s="27" t="s">
        <v>117</v>
      </c>
      <c r="C1150" s="27" t="s">
        <v>15</v>
      </c>
      <c r="D1150" s="27" t="s">
        <v>16</v>
      </c>
      <c r="E1150" s="28">
        <v>130503</v>
      </c>
      <c r="F1150" s="28">
        <v>21823</v>
      </c>
      <c r="G1150" s="27" t="s">
        <v>11</v>
      </c>
      <c r="H1150" s="27" t="s">
        <v>36</v>
      </c>
      <c r="I1150" s="27" t="s">
        <v>13</v>
      </c>
    </row>
    <row r="1151" spans="1:9" x14ac:dyDescent="0.3">
      <c r="A1151" s="26">
        <v>44992</v>
      </c>
      <c r="B1151" s="27" t="s">
        <v>117</v>
      </c>
      <c r="C1151" s="27" t="s">
        <v>32</v>
      </c>
      <c r="D1151" s="27" t="s">
        <v>16</v>
      </c>
      <c r="E1151" s="28">
        <v>51522</v>
      </c>
      <c r="F1151" s="28">
        <v>43554</v>
      </c>
      <c r="G1151" s="27" t="s">
        <v>17</v>
      </c>
      <c r="H1151" s="27" t="s">
        <v>501</v>
      </c>
      <c r="I1151" s="27" t="s">
        <v>13</v>
      </c>
    </row>
    <row r="1152" spans="1:9" x14ac:dyDescent="0.3">
      <c r="A1152" s="26">
        <v>44992</v>
      </c>
      <c r="B1152" s="27" t="s">
        <v>117</v>
      </c>
      <c r="C1152" s="27" t="s">
        <v>14</v>
      </c>
      <c r="D1152" s="27" t="s">
        <v>7</v>
      </c>
      <c r="E1152" s="28">
        <v>145802</v>
      </c>
      <c r="F1152" s="28">
        <v>143347</v>
      </c>
      <c r="G1152" s="27" t="s">
        <v>17</v>
      </c>
      <c r="H1152" s="27" t="s">
        <v>1189</v>
      </c>
      <c r="I1152" s="27" t="s">
        <v>13</v>
      </c>
    </row>
    <row r="1153" spans="1:9" x14ac:dyDescent="0.3">
      <c r="A1153" s="26">
        <v>44992</v>
      </c>
      <c r="B1153" s="27" t="s">
        <v>117</v>
      </c>
      <c r="C1153" s="27" t="s">
        <v>10</v>
      </c>
      <c r="D1153" s="27" t="s">
        <v>21</v>
      </c>
      <c r="E1153" s="28">
        <v>104233</v>
      </c>
      <c r="F1153" s="28">
        <v>43981</v>
      </c>
      <c r="G1153" s="27" t="s">
        <v>11</v>
      </c>
      <c r="H1153" s="27" t="s">
        <v>1414</v>
      </c>
      <c r="I1153" s="27" t="s">
        <v>13</v>
      </c>
    </row>
    <row r="1154" spans="1:9" x14ac:dyDescent="0.3">
      <c r="A1154" s="26">
        <v>44992</v>
      </c>
      <c r="B1154" s="27" t="s">
        <v>117</v>
      </c>
      <c r="C1154" s="27" t="s">
        <v>20</v>
      </c>
      <c r="D1154" s="27" t="s">
        <v>19</v>
      </c>
      <c r="E1154" s="28">
        <v>45719</v>
      </c>
      <c r="F1154" s="28">
        <v>87973</v>
      </c>
      <c r="G1154" s="27" t="s">
        <v>8</v>
      </c>
      <c r="H1154" s="27" t="s">
        <v>1524</v>
      </c>
      <c r="I1154" s="27" t="s">
        <v>13</v>
      </c>
    </row>
    <row r="1155" spans="1:9" x14ac:dyDescent="0.3">
      <c r="A1155" s="26">
        <v>44992</v>
      </c>
      <c r="B1155" s="27" t="s">
        <v>117</v>
      </c>
      <c r="C1155" s="27" t="s">
        <v>14</v>
      </c>
      <c r="D1155" s="27" t="s">
        <v>24</v>
      </c>
      <c r="E1155" s="28">
        <v>41544</v>
      </c>
      <c r="F1155" s="28">
        <v>85252</v>
      </c>
      <c r="G1155" s="27" t="s">
        <v>11</v>
      </c>
      <c r="H1155" s="27" t="s">
        <v>2858</v>
      </c>
      <c r="I1155" s="27" t="s">
        <v>13</v>
      </c>
    </row>
    <row r="1156" spans="1:9" x14ac:dyDescent="0.3">
      <c r="A1156" s="26">
        <v>44992</v>
      </c>
      <c r="B1156" s="27" t="s">
        <v>117</v>
      </c>
      <c r="C1156" s="27" t="s">
        <v>6</v>
      </c>
      <c r="D1156" s="27" t="s">
        <v>16</v>
      </c>
      <c r="E1156" s="28">
        <v>105000</v>
      </c>
      <c r="F1156" s="28">
        <v>81200</v>
      </c>
      <c r="G1156" s="27" t="s">
        <v>17</v>
      </c>
      <c r="H1156" s="27" t="s">
        <v>3488</v>
      </c>
      <c r="I1156" s="27" t="s">
        <v>9</v>
      </c>
    </row>
    <row r="1157" spans="1:9" x14ac:dyDescent="0.3">
      <c r="A1157" s="26">
        <v>44992</v>
      </c>
      <c r="B1157" s="27" t="s">
        <v>117</v>
      </c>
      <c r="C1157" s="27" t="s">
        <v>6</v>
      </c>
      <c r="D1157" s="27" t="s">
        <v>16</v>
      </c>
      <c r="E1157" s="28">
        <v>240900</v>
      </c>
      <c r="F1157" s="28">
        <v>231600</v>
      </c>
      <c r="G1157" s="27" t="s">
        <v>11</v>
      </c>
      <c r="H1157" s="27" t="s">
        <v>3882</v>
      </c>
      <c r="I1157" s="27" t="s">
        <v>9</v>
      </c>
    </row>
    <row r="1158" spans="1:9" x14ac:dyDescent="0.3">
      <c r="A1158" s="26">
        <v>44992</v>
      </c>
      <c r="B1158" s="27" t="s">
        <v>117</v>
      </c>
      <c r="C1158" s="27" t="s">
        <v>93</v>
      </c>
      <c r="D1158" s="27" t="s">
        <v>7</v>
      </c>
      <c r="E1158" s="28">
        <v>146000</v>
      </c>
      <c r="F1158" s="28">
        <v>133300</v>
      </c>
      <c r="G1158" s="27" t="s">
        <v>11</v>
      </c>
      <c r="H1158" s="27" t="s">
        <v>4572</v>
      </c>
      <c r="I1158" s="27" t="s">
        <v>9</v>
      </c>
    </row>
    <row r="1159" spans="1:9" x14ac:dyDescent="0.3">
      <c r="A1159" s="26">
        <v>44992</v>
      </c>
      <c r="B1159" s="27" t="s">
        <v>117</v>
      </c>
      <c r="C1159" s="27" t="s">
        <v>93</v>
      </c>
      <c r="D1159" s="27" t="s">
        <v>21</v>
      </c>
      <c r="E1159" s="28">
        <v>106500</v>
      </c>
      <c r="F1159" s="28">
        <v>90600</v>
      </c>
      <c r="G1159" s="27" t="s">
        <v>22</v>
      </c>
      <c r="H1159" s="27" t="s">
        <v>4797</v>
      </c>
      <c r="I1159" s="27" t="s">
        <v>9</v>
      </c>
    </row>
    <row r="1160" spans="1:9" x14ac:dyDescent="0.3">
      <c r="A1160" s="26">
        <v>44992</v>
      </c>
      <c r="B1160" s="27" t="s">
        <v>117</v>
      </c>
      <c r="C1160" s="27" t="s">
        <v>93</v>
      </c>
      <c r="D1160" s="27" t="s">
        <v>19</v>
      </c>
      <c r="E1160" s="28">
        <v>112200</v>
      </c>
      <c r="F1160" s="28">
        <v>84100</v>
      </c>
      <c r="G1160" s="27" t="s">
        <v>17</v>
      </c>
      <c r="H1160" s="27" t="s">
        <v>4907</v>
      </c>
      <c r="I1160" s="27" t="s">
        <v>9</v>
      </c>
    </row>
    <row r="1161" spans="1:9" x14ac:dyDescent="0.3">
      <c r="A1161" s="26">
        <v>44992</v>
      </c>
      <c r="B1161" s="27" t="s">
        <v>117</v>
      </c>
      <c r="C1161" s="27" t="s">
        <v>6</v>
      </c>
      <c r="D1161" s="27" t="s">
        <v>24</v>
      </c>
      <c r="E1161" s="28">
        <v>89900</v>
      </c>
      <c r="F1161" s="28">
        <v>114300</v>
      </c>
      <c r="G1161" s="27" t="s">
        <v>11</v>
      </c>
      <c r="H1161" s="27" t="s">
        <v>6243</v>
      </c>
      <c r="I1161" s="27" t="s">
        <v>9</v>
      </c>
    </row>
    <row r="1162" spans="1:9" x14ac:dyDescent="0.3">
      <c r="A1162" s="26">
        <v>44993</v>
      </c>
      <c r="B1162" s="27" t="s">
        <v>117</v>
      </c>
      <c r="C1162" s="27" t="s">
        <v>20</v>
      </c>
      <c r="D1162" s="27" t="s">
        <v>19</v>
      </c>
      <c r="E1162" s="28">
        <v>121370</v>
      </c>
      <c r="F1162" s="28">
        <v>159137</v>
      </c>
      <c r="G1162" s="27" t="s">
        <v>17</v>
      </c>
      <c r="H1162" s="27" t="s">
        <v>292</v>
      </c>
      <c r="I1162" s="27" t="s">
        <v>13</v>
      </c>
    </row>
    <row r="1163" spans="1:9" x14ac:dyDescent="0.3">
      <c r="A1163" s="26">
        <v>44993</v>
      </c>
      <c r="B1163" s="27" t="s">
        <v>117</v>
      </c>
      <c r="C1163" s="27" t="s">
        <v>20</v>
      </c>
      <c r="D1163" s="27" t="s">
        <v>16</v>
      </c>
      <c r="E1163" s="28">
        <v>97771</v>
      </c>
      <c r="F1163" s="28">
        <v>81742</v>
      </c>
      <c r="G1163" s="27" t="s">
        <v>22</v>
      </c>
      <c r="H1163" s="27" t="s">
        <v>530</v>
      </c>
      <c r="I1163" s="27" t="s">
        <v>13</v>
      </c>
    </row>
    <row r="1164" spans="1:9" x14ac:dyDescent="0.3">
      <c r="A1164" s="26">
        <v>44993</v>
      </c>
      <c r="B1164" s="27" t="s">
        <v>117</v>
      </c>
      <c r="C1164" s="27" t="s">
        <v>15</v>
      </c>
      <c r="D1164" s="27" t="s">
        <v>16</v>
      </c>
      <c r="E1164" s="28">
        <v>112416</v>
      </c>
      <c r="F1164" s="28">
        <v>67899</v>
      </c>
      <c r="G1164" s="27" t="s">
        <v>22</v>
      </c>
      <c r="H1164" s="27" t="s">
        <v>607</v>
      </c>
      <c r="I1164" s="27" t="s">
        <v>13</v>
      </c>
    </row>
    <row r="1165" spans="1:9" x14ac:dyDescent="0.3">
      <c r="A1165" s="26">
        <v>44993</v>
      </c>
      <c r="B1165" s="27" t="s">
        <v>117</v>
      </c>
      <c r="C1165" s="27" t="s">
        <v>32</v>
      </c>
      <c r="D1165" s="27" t="s">
        <v>16</v>
      </c>
      <c r="E1165" s="28">
        <v>70681</v>
      </c>
      <c r="F1165" s="28">
        <v>73843</v>
      </c>
      <c r="G1165" s="27" t="s">
        <v>22</v>
      </c>
      <c r="H1165" s="27" t="s">
        <v>960</v>
      </c>
      <c r="I1165" s="27" t="s">
        <v>13</v>
      </c>
    </row>
    <row r="1166" spans="1:9" x14ac:dyDescent="0.3">
      <c r="A1166" s="26">
        <v>44993</v>
      </c>
      <c r="B1166" s="27" t="s">
        <v>117</v>
      </c>
      <c r="C1166" s="27" t="s">
        <v>32</v>
      </c>
      <c r="D1166" s="27" t="s">
        <v>7</v>
      </c>
      <c r="E1166" s="28">
        <v>78348</v>
      </c>
      <c r="F1166" s="28">
        <v>118031</v>
      </c>
      <c r="G1166" s="27" t="s">
        <v>22</v>
      </c>
      <c r="H1166" s="27" t="s">
        <v>1082</v>
      </c>
      <c r="I1166" s="27" t="s">
        <v>13</v>
      </c>
    </row>
    <row r="1167" spans="1:9" x14ac:dyDescent="0.3">
      <c r="A1167" s="26">
        <v>44993</v>
      </c>
      <c r="B1167" s="27" t="s">
        <v>117</v>
      </c>
      <c r="C1167" s="27" t="s">
        <v>32</v>
      </c>
      <c r="D1167" s="27" t="s">
        <v>24</v>
      </c>
      <c r="E1167" s="28">
        <v>30162</v>
      </c>
      <c r="F1167" s="28">
        <v>85911</v>
      </c>
      <c r="G1167" s="27" t="s">
        <v>22</v>
      </c>
      <c r="H1167" s="27" t="s">
        <v>1528</v>
      </c>
      <c r="I1167" s="27" t="s">
        <v>13</v>
      </c>
    </row>
    <row r="1168" spans="1:9" x14ac:dyDescent="0.3">
      <c r="A1168" s="26">
        <v>44993</v>
      </c>
      <c r="B1168" s="27" t="s">
        <v>117</v>
      </c>
      <c r="C1168" s="27" t="s">
        <v>18</v>
      </c>
      <c r="D1168" s="27" t="s">
        <v>19</v>
      </c>
      <c r="E1168" s="28">
        <v>143788</v>
      </c>
      <c r="F1168" s="28">
        <v>91840</v>
      </c>
      <c r="G1168" s="27" t="s">
        <v>11</v>
      </c>
      <c r="H1168" s="27" t="s">
        <v>2740</v>
      </c>
      <c r="I1168" s="27" t="s">
        <v>13</v>
      </c>
    </row>
    <row r="1169" spans="1:9" x14ac:dyDescent="0.3">
      <c r="A1169" s="26">
        <v>44993</v>
      </c>
      <c r="B1169" s="27" t="s">
        <v>117</v>
      </c>
      <c r="C1169" s="27" t="s">
        <v>18</v>
      </c>
      <c r="D1169" s="27" t="s">
        <v>7</v>
      </c>
      <c r="E1169" s="28">
        <v>145905</v>
      </c>
      <c r="F1169" s="28">
        <v>23963</v>
      </c>
      <c r="G1169" s="27" t="s">
        <v>11</v>
      </c>
      <c r="H1169" s="27" t="s">
        <v>2851</v>
      </c>
      <c r="I1169" s="27" t="s">
        <v>13</v>
      </c>
    </row>
    <row r="1170" spans="1:9" x14ac:dyDescent="0.3">
      <c r="A1170" s="26">
        <v>44993</v>
      </c>
      <c r="B1170" s="27" t="s">
        <v>117</v>
      </c>
      <c r="C1170" s="27" t="s">
        <v>18</v>
      </c>
      <c r="D1170" s="27" t="s">
        <v>21</v>
      </c>
      <c r="E1170" s="28">
        <v>131433</v>
      </c>
      <c r="F1170" s="28">
        <v>119212</v>
      </c>
      <c r="G1170" s="27" t="s">
        <v>22</v>
      </c>
      <c r="H1170" s="27" t="s">
        <v>2921</v>
      </c>
      <c r="I1170" s="27" t="s">
        <v>13</v>
      </c>
    </row>
    <row r="1171" spans="1:9" x14ac:dyDescent="0.3">
      <c r="A1171" s="26">
        <v>44993</v>
      </c>
      <c r="B1171" s="27" t="s">
        <v>117</v>
      </c>
      <c r="C1171" s="27" t="s">
        <v>93</v>
      </c>
      <c r="D1171" s="27" t="s">
        <v>19</v>
      </c>
      <c r="E1171" s="28">
        <v>157100</v>
      </c>
      <c r="F1171" s="28">
        <v>197400</v>
      </c>
      <c r="G1171" s="27" t="s">
        <v>11</v>
      </c>
      <c r="H1171" s="27" t="s">
        <v>3673</v>
      </c>
      <c r="I1171" s="27" t="s">
        <v>9</v>
      </c>
    </row>
    <row r="1172" spans="1:9" x14ac:dyDescent="0.3">
      <c r="A1172" s="26">
        <v>44993</v>
      </c>
      <c r="B1172" s="27" t="s">
        <v>117</v>
      </c>
      <c r="C1172" s="27" t="s">
        <v>6</v>
      </c>
      <c r="D1172" s="27" t="s">
        <v>16</v>
      </c>
      <c r="E1172" s="28">
        <v>192600</v>
      </c>
      <c r="F1172" s="28">
        <v>196300</v>
      </c>
      <c r="G1172" s="27" t="s">
        <v>11</v>
      </c>
      <c r="H1172" s="27" t="s">
        <v>3911</v>
      </c>
      <c r="I1172" s="27" t="s">
        <v>9</v>
      </c>
    </row>
    <row r="1173" spans="1:9" x14ac:dyDescent="0.3">
      <c r="A1173" s="26">
        <v>44993</v>
      </c>
      <c r="B1173" s="27" t="s">
        <v>117</v>
      </c>
      <c r="C1173" s="27" t="s">
        <v>6</v>
      </c>
      <c r="D1173" s="27" t="s">
        <v>16</v>
      </c>
      <c r="E1173" s="28">
        <v>127800</v>
      </c>
      <c r="F1173" s="28">
        <v>111800</v>
      </c>
      <c r="G1173" s="27" t="s">
        <v>11</v>
      </c>
      <c r="H1173" s="27" t="s">
        <v>3988</v>
      </c>
      <c r="I1173" s="27" t="s">
        <v>9</v>
      </c>
    </row>
    <row r="1174" spans="1:9" x14ac:dyDescent="0.3">
      <c r="A1174" s="26">
        <v>44993</v>
      </c>
      <c r="B1174" s="27" t="s">
        <v>117</v>
      </c>
      <c r="C1174" s="27" t="s">
        <v>6</v>
      </c>
      <c r="D1174" s="27" t="s">
        <v>16</v>
      </c>
      <c r="E1174" s="28">
        <v>172800</v>
      </c>
      <c r="F1174" s="28">
        <v>179200</v>
      </c>
      <c r="G1174" s="27" t="s">
        <v>17</v>
      </c>
      <c r="H1174" s="27" t="s">
        <v>4341</v>
      </c>
      <c r="I1174" s="27" t="s">
        <v>9</v>
      </c>
    </row>
    <row r="1175" spans="1:9" x14ac:dyDescent="0.3">
      <c r="A1175" s="26">
        <v>44993</v>
      </c>
      <c r="B1175" s="27" t="s">
        <v>117</v>
      </c>
      <c r="C1175" s="27" t="s">
        <v>6</v>
      </c>
      <c r="D1175" s="27" t="s">
        <v>7</v>
      </c>
      <c r="E1175" s="28">
        <v>93900</v>
      </c>
      <c r="F1175" s="28">
        <v>97600</v>
      </c>
      <c r="G1175" s="27" t="s">
        <v>11</v>
      </c>
      <c r="H1175" s="27" t="s">
        <v>4464</v>
      </c>
      <c r="I1175" s="27" t="s">
        <v>9</v>
      </c>
    </row>
    <row r="1176" spans="1:9" x14ac:dyDescent="0.3">
      <c r="A1176" s="26">
        <v>44993</v>
      </c>
      <c r="B1176" s="27" t="s">
        <v>117</v>
      </c>
      <c r="C1176" s="27" t="s">
        <v>6</v>
      </c>
      <c r="D1176" s="27" t="s">
        <v>24</v>
      </c>
      <c r="E1176" s="28">
        <v>84500</v>
      </c>
      <c r="F1176" s="28">
        <v>72600</v>
      </c>
      <c r="G1176" s="27" t="s">
        <v>11</v>
      </c>
      <c r="H1176" s="27" t="s">
        <v>4911</v>
      </c>
      <c r="I1176" s="27" t="s">
        <v>9</v>
      </c>
    </row>
    <row r="1177" spans="1:9" x14ac:dyDescent="0.3">
      <c r="A1177" s="26">
        <v>44993</v>
      </c>
      <c r="B1177" s="27" t="s">
        <v>117</v>
      </c>
      <c r="C1177" s="27" t="s">
        <v>6</v>
      </c>
      <c r="D1177" s="27" t="s">
        <v>19</v>
      </c>
      <c r="E1177" s="28">
        <v>71800</v>
      </c>
      <c r="F1177" s="28">
        <v>79100</v>
      </c>
      <c r="G1177" s="27" t="s">
        <v>17</v>
      </c>
      <c r="H1177" s="27" t="s">
        <v>6125</v>
      </c>
      <c r="I1177" s="27" t="s">
        <v>9</v>
      </c>
    </row>
    <row r="1178" spans="1:9" x14ac:dyDescent="0.3">
      <c r="A1178" s="26">
        <v>44993</v>
      </c>
      <c r="B1178" s="27" t="s">
        <v>117</v>
      </c>
      <c r="C1178" s="27" t="s">
        <v>6</v>
      </c>
      <c r="D1178" s="27" t="s">
        <v>7</v>
      </c>
      <c r="E1178" s="28">
        <v>53800</v>
      </c>
      <c r="F1178" s="28">
        <v>54800</v>
      </c>
      <c r="G1178" s="27" t="s">
        <v>11</v>
      </c>
      <c r="H1178" s="27" t="s">
        <v>6236</v>
      </c>
      <c r="I1178" s="27" t="s">
        <v>9</v>
      </c>
    </row>
    <row r="1179" spans="1:9" x14ac:dyDescent="0.3">
      <c r="A1179" s="26">
        <v>44993</v>
      </c>
      <c r="B1179" s="27" t="s">
        <v>117</v>
      </c>
      <c r="C1179" s="27" t="s">
        <v>6</v>
      </c>
      <c r="D1179" s="27" t="s">
        <v>21</v>
      </c>
      <c r="E1179" s="28">
        <v>102800</v>
      </c>
      <c r="F1179" s="28">
        <v>80900</v>
      </c>
      <c r="G1179" s="27" t="s">
        <v>17</v>
      </c>
      <c r="H1179" s="27" t="s">
        <v>6306</v>
      </c>
      <c r="I1179" s="27" t="s">
        <v>9</v>
      </c>
    </row>
    <row r="1180" spans="1:9" x14ac:dyDescent="0.3">
      <c r="A1180" s="26">
        <v>44994</v>
      </c>
      <c r="B1180" s="27" t="s">
        <v>117</v>
      </c>
      <c r="C1180" s="27" t="s">
        <v>32</v>
      </c>
      <c r="D1180" s="27" t="s">
        <v>19</v>
      </c>
      <c r="E1180" s="28">
        <v>94377</v>
      </c>
      <c r="F1180" s="28">
        <v>151877</v>
      </c>
      <c r="G1180" s="27" t="s">
        <v>11</v>
      </c>
      <c r="H1180" s="27" t="s">
        <v>139</v>
      </c>
      <c r="I1180" s="27" t="s">
        <v>13</v>
      </c>
    </row>
    <row r="1181" spans="1:9" x14ac:dyDescent="0.3">
      <c r="A1181" s="26">
        <v>44994</v>
      </c>
      <c r="B1181" s="27" t="s">
        <v>117</v>
      </c>
      <c r="C1181" s="27" t="s">
        <v>15</v>
      </c>
      <c r="D1181" s="27" t="s">
        <v>7</v>
      </c>
      <c r="E1181" s="28">
        <v>95395</v>
      </c>
      <c r="F1181" s="28">
        <v>141551</v>
      </c>
      <c r="G1181" s="27" t="s">
        <v>17</v>
      </c>
      <c r="H1181" s="27" t="s">
        <v>264</v>
      </c>
      <c r="I1181" s="27" t="s">
        <v>13</v>
      </c>
    </row>
    <row r="1182" spans="1:9" x14ac:dyDescent="0.3">
      <c r="A1182" s="26">
        <v>44994</v>
      </c>
      <c r="B1182" s="27" t="s">
        <v>117</v>
      </c>
      <c r="C1182" s="27" t="s">
        <v>10</v>
      </c>
      <c r="D1182" s="27" t="s">
        <v>7</v>
      </c>
      <c r="E1182" s="28">
        <v>58787</v>
      </c>
      <c r="F1182" s="28">
        <v>28861</v>
      </c>
      <c r="G1182" s="27" t="s">
        <v>8</v>
      </c>
      <c r="H1182" s="27" t="s">
        <v>287</v>
      </c>
      <c r="I1182" s="27" t="s">
        <v>13</v>
      </c>
    </row>
    <row r="1183" spans="1:9" x14ac:dyDescent="0.3">
      <c r="A1183" s="26">
        <v>44994</v>
      </c>
      <c r="B1183" s="27" t="s">
        <v>117</v>
      </c>
      <c r="C1183" s="27" t="s">
        <v>10</v>
      </c>
      <c r="D1183" s="27" t="s">
        <v>7</v>
      </c>
      <c r="E1183" s="28">
        <v>113661</v>
      </c>
      <c r="F1183" s="28">
        <v>21196</v>
      </c>
      <c r="G1183" s="27" t="s">
        <v>22</v>
      </c>
      <c r="H1183" s="27" t="s">
        <v>340</v>
      </c>
      <c r="I1183" s="27" t="s">
        <v>13</v>
      </c>
    </row>
    <row r="1184" spans="1:9" x14ac:dyDescent="0.3">
      <c r="A1184" s="26">
        <v>44994</v>
      </c>
      <c r="B1184" s="27" t="s">
        <v>117</v>
      </c>
      <c r="C1184" s="27" t="s">
        <v>18</v>
      </c>
      <c r="D1184" s="27" t="s">
        <v>21</v>
      </c>
      <c r="E1184" s="28">
        <v>148504</v>
      </c>
      <c r="F1184" s="28">
        <v>101760</v>
      </c>
      <c r="G1184" s="27" t="s">
        <v>11</v>
      </c>
      <c r="H1184" s="27" t="s">
        <v>1483</v>
      </c>
      <c r="I1184" s="27" t="s">
        <v>13</v>
      </c>
    </row>
    <row r="1185" spans="1:9" x14ac:dyDescent="0.3">
      <c r="A1185" s="26">
        <v>44994</v>
      </c>
      <c r="B1185" s="27" t="s">
        <v>117</v>
      </c>
      <c r="C1185" s="27" t="s">
        <v>15</v>
      </c>
      <c r="D1185" s="27" t="s">
        <v>16</v>
      </c>
      <c r="E1185" s="28">
        <v>145531</v>
      </c>
      <c r="F1185" s="28">
        <v>29879</v>
      </c>
      <c r="G1185" s="27" t="s">
        <v>22</v>
      </c>
      <c r="H1185" s="27" t="s">
        <v>1604</v>
      </c>
      <c r="I1185" s="27" t="s">
        <v>13</v>
      </c>
    </row>
    <row r="1186" spans="1:9" x14ac:dyDescent="0.3">
      <c r="A1186" s="26">
        <v>44994</v>
      </c>
      <c r="B1186" s="27" t="s">
        <v>117</v>
      </c>
      <c r="C1186" s="27" t="s">
        <v>20</v>
      </c>
      <c r="D1186" s="27" t="s">
        <v>7</v>
      </c>
      <c r="E1186" s="28">
        <v>56787</v>
      </c>
      <c r="F1186" s="28">
        <v>134821</v>
      </c>
      <c r="G1186" s="27" t="s">
        <v>8</v>
      </c>
      <c r="H1186" s="27" t="s">
        <v>1989</v>
      </c>
      <c r="I1186" s="27" t="s">
        <v>13</v>
      </c>
    </row>
    <row r="1187" spans="1:9" x14ac:dyDescent="0.3">
      <c r="A1187" s="26">
        <v>44994</v>
      </c>
      <c r="B1187" s="27" t="s">
        <v>117</v>
      </c>
      <c r="C1187" s="27" t="s">
        <v>32</v>
      </c>
      <c r="D1187" s="27" t="s">
        <v>19</v>
      </c>
      <c r="E1187" s="28">
        <v>89671</v>
      </c>
      <c r="F1187" s="28">
        <v>17686</v>
      </c>
      <c r="G1187" s="27" t="s">
        <v>8</v>
      </c>
      <c r="H1187" s="27" t="s">
        <v>2153</v>
      </c>
      <c r="I1187" s="27" t="s">
        <v>13</v>
      </c>
    </row>
    <row r="1188" spans="1:9" x14ac:dyDescent="0.3">
      <c r="A1188" s="26">
        <v>44994</v>
      </c>
      <c r="B1188" s="27" t="s">
        <v>117</v>
      </c>
      <c r="C1188" s="27" t="s">
        <v>20</v>
      </c>
      <c r="D1188" s="27" t="s">
        <v>7</v>
      </c>
      <c r="E1188" s="28">
        <v>62947</v>
      </c>
      <c r="F1188" s="28">
        <v>98123</v>
      </c>
      <c r="G1188" s="27" t="s">
        <v>11</v>
      </c>
      <c r="H1188" s="27" t="s">
        <v>2343</v>
      </c>
      <c r="I1188" s="27" t="s">
        <v>13</v>
      </c>
    </row>
    <row r="1189" spans="1:9" x14ac:dyDescent="0.3">
      <c r="A1189" s="26">
        <v>44994</v>
      </c>
      <c r="B1189" s="27" t="s">
        <v>117</v>
      </c>
      <c r="C1189" s="27" t="s">
        <v>32</v>
      </c>
      <c r="D1189" s="27" t="s">
        <v>16</v>
      </c>
      <c r="E1189" s="28">
        <v>31750</v>
      </c>
      <c r="F1189" s="28">
        <v>119294</v>
      </c>
      <c r="G1189" s="27" t="s">
        <v>22</v>
      </c>
      <c r="H1189" s="27" t="s">
        <v>2412</v>
      </c>
      <c r="I1189" s="27" t="s">
        <v>13</v>
      </c>
    </row>
    <row r="1190" spans="1:9" x14ac:dyDescent="0.3">
      <c r="A1190" s="26">
        <v>44994</v>
      </c>
      <c r="B1190" s="27" t="s">
        <v>117</v>
      </c>
      <c r="C1190" s="27" t="s">
        <v>18</v>
      </c>
      <c r="D1190" s="27" t="s">
        <v>7</v>
      </c>
      <c r="E1190" s="28">
        <v>149245</v>
      </c>
      <c r="F1190" s="28">
        <v>48852</v>
      </c>
      <c r="G1190" s="27" t="s">
        <v>22</v>
      </c>
      <c r="H1190" s="27" t="s">
        <v>2476</v>
      </c>
      <c r="I1190" s="27" t="s">
        <v>13</v>
      </c>
    </row>
    <row r="1191" spans="1:9" x14ac:dyDescent="0.3">
      <c r="A1191" s="26">
        <v>44994</v>
      </c>
      <c r="B1191" s="27" t="s">
        <v>117</v>
      </c>
      <c r="C1191" s="27" t="s">
        <v>14</v>
      </c>
      <c r="D1191" s="27" t="s">
        <v>7</v>
      </c>
      <c r="E1191" s="28">
        <v>139348</v>
      </c>
      <c r="F1191" s="28">
        <v>84505</v>
      </c>
      <c r="G1191" s="27" t="s">
        <v>11</v>
      </c>
      <c r="H1191" s="27" t="s">
        <v>2646</v>
      </c>
      <c r="I1191" s="27" t="s">
        <v>13</v>
      </c>
    </row>
    <row r="1192" spans="1:9" x14ac:dyDescent="0.3">
      <c r="A1192" s="26">
        <v>44994</v>
      </c>
      <c r="B1192" s="27" t="s">
        <v>117</v>
      </c>
      <c r="C1192" s="27" t="s">
        <v>32</v>
      </c>
      <c r="D1192" s="27" t="s">
        <v>21</v>
      </c>
      <c r="E1192" s="28">
        <v>147655</v>
      </c>
      <c r="F1192" s="28">
        <v>83538</v>
      </c>
      <c r="G1192" s="27" t="s">
        <v>11</v>
      </c>
      <c r="H1192" s="27" t="s">
        <v>2863</v>
      </c>
      <c r="I1192" s="27" t="s">
        <v>13</v>
      </c>
    </row>
    <row r="1193" spans="1:9" x14ac:dyDescent="0.3">
      <c r="A1193" s="26">
        <v>44994</v>
      </c>
      <c r="B1193" s="27" t="s">
        <v>117</v>
      </c>
      <c r="C1193" s="27" t="s">
        <v>10</v>
      </c>
      <c r="D1193" s="27" t="s">
        <v>19</v>
      </c>
      <c r="E1193" s="28">
        <v>33892</v>
      </c>
      <c r="F1193" s="28">
        <v>62621</v>
      </c>
      <c r="G1193" s="27" t="s">
        <v>17</v>
      </c>
      <c r="H1193" s="27" t="s">
        <v>3061</v>
      </c>
      <c r="I1193" s="27" t="s">
        <v>13</v>
      </c>
    </row>
    <row r="1194" spans="1:9" x14ac:dyDescent="0.3">
      <c r="A1194" s="26">
        <v>44994</v>
      </c>
      <c r="B1194" s="27" t="s">
        <v>117</v>
      </c>
      <c r="C1194" s="27" t="s">
        <v>6</v>
      </c>
      <c r="D1194" s="27" t="s">
        <v>19</v>
      </c>
      <c r="E1194" s="28">
        <v>247100</v>
      </c>
      <c r="F1194" s="28">
        <v>316100</v>
      </c>
      <c r="G1194" s="27" t="s">
        <v>11</v>
      </c>
      <c r="H1194" s="27" t="s">
        <v>3520</v>
      </c>
      <c r="I1194" s="27" t="s">
        <v>9</v>
      </c>
    </row>
    <row r="1195" spans="1:9" x14ac:dyDescent="0.3">
      <c r="A1195" s="26">
        <v>44994</v>
      </c>
      <c r="B1195" s="27" t="s">
        <v>117</v>
      </c>
      <c r="C1195" s="27" t="s">
        <v>6</v>
      </c>
      <c r="D1195" s="27" t="s">
        <v>7</v>
      </c>
      <c r="E1195" s="28">
        <v>127600</v>
      </c>
      <c r="F1195" s="28">
        <v>120800</v>
      </c>
      <c r="G1195" s="27" t="s">
        <v>11</v>
      </c>
      <c r="H1195" s="27" t="s">
        <v>3645</v>
      </c>
      <c r="I1195" s="27" t="s">
        <v>9</v>
      </c>
    </row>
    <row r="1196" spans="1:9" x14ac:dyDescent="0.3">
      <c r="A1196" s="26">
        <v>44994</v>
      </c>
      <c r="B1196" s="27" t="s">
        <v>117</v>
      </c>
      <c r="C1196" s="27" t="s">
        <v>6</v>
      </c>
      <c r="D1196" s="27" t="s">
        <v>7</v>
      </c>
      <c r="E1196" s="28">
        <v>92400</v>
      </c>
      <c r="F1196" s="28">
        <v>102100</v>
      </c>
      <c r="G1196" s="27" t="s">
        <v>17</v>
      </c>
      <c r="H1196" s="27" t="s">
        <v>3668</v>
      </c>
      <c r="I1196" s="27" t="s">
        <v>9</v>
      </c>
    </row>
    <row r="1197" spans="1:9" x14ac:dyDescent="0.3">
      <c r="A1197" s="26">
        <v>44994</v>
      </c>
      <c r="B1197" s="27" t="s">
        <v>117</v>
      </c>
      <c r="C1197" s="27" t="s">
        <v>6</v>
      </c>
      <c r="D1197" s="27" t="s">
        <v>7</v>
      </c>
      <c r="E1197" s="28">
        <v>74000</v>
      </c>
      <c r="F1197" s="28">
        <v>44400</v>
      </c>
      <c r="G1197" s="27" t="s">
        <v>11</v>
      </c>
      <c r="H1197" s="27" t="s">
        <v>3721</v>
      </c>
      <c r="I1197" s="27" t="s">
        <v>9</v>
      </c>
    </row>
    <row r="1198" spans="1:9" x14ac:dyDescent="0.3">
      <c r="A1198" s="26">
        <v>44994</v>
      </c>
      <c r="B1198" s="27" t="s">
        <v>117</v>
      </c>
      <c r="C1198" s="27" t="s">
        <v>6</v>
      </c>
      <c r="D1198" s="27" t="s">
        <v>21</v>
      </c>
      <c r="E1198" s="28">
        <v>58100</v>
      </c>
      <c r="F1198" s="28">
        <v>47500</v>
      </c>
      <c r="G1198" s="27" t="s">
        <v>22</v>
      </c>
      <c r="H1198" s="27" t="s">
        <v>4866</v>
      </c>
      <c r="I1198" s="27" t="s">
        <v>9</v>
      </c>
    </row>
    <row r="1199" spans="1:9" x14ac:dyDescent="0.3">
      <c r="A1199" s="26">
        <v>44994</v>
      </c>
      <c r="B1199" s="27" t="s">
        <v>117</v>
      </c>
      <c r="C1199" s="27" t="s">
        <v>6</v>
      </c>
      <c r="D1199" s="27" t="s">
        <v>16</v>
      </c>
      <c r="E1199" s="28">
        <v>106000</v>
      </c>
      <c r="F1199" s="28">
        <v>119200</v>
      </c>
      <c r="G1199" s="27" t="s">
        <v>11</v>
      </c>
      <c r="H1199" s="27" t="s">
        <v>4987</v>
      </c>
      <c r="I1199" s="27" t="s">
        <v>9</v>
      </c>
    </row>
    <row r="1200" spans="1:9" x14ac:dyDescent="0.3">
      <c r="A1200" s="26">
        <v>44994</v>
      </c>
      <c r="B1200" s="27" t="s">
        <v>117</v>
      </c>
      <c r="C1200" s="27" t="s">
        <v>93</v>
      </c>
      <c r="D1200" s="27" t="s">
        <v>7</v>
      </c>
      <c r="E1200" s="28">
        <v>103100</v>
      </c>
      <c r="F1200" s="28">
        <v>118000</v>
      </c>
      <c r="G1200" s="27" t="s">
        <v>11</v>
      </c>
      <c r="H1200" s="27" t="s">
        <v>5373</v>
      </c>
      <c r="I1200" s="27" t="s">
        <v>9</v>
      </c>
    </row>
    <row r="1201" spans="1:9" x14ac:dyDescent="0.3">
      <c r="A1201" s="26">
        <v>44994</v>
      </c>
      <c r="B1201" s="27" t="s">
        <v>117</v>
      </c>
      <c r="C1201" s="27" t="s">
        <v>6</v>
      </c>
      <c r="D1201" s="27" t="s">
        <v>19</v>
      </c>
      <c r="E1201" s="28">
        <v>146300</v>
      </c>
      <c r="F1201" s="28">
        <v>184000</v>
      </c>
      <c r="G1201" s="27" t="s">
        <v>22</v>
      </c>
      <c r="H1201" s="27" t="s">
        <v>5538</v>
      </c>
      <c r="I1201" s="27" t="s">
        <v>9</v>
      </c>
    </row>
    <row r="1202" spans="1:9" x14ac:dyDescent="0.3">
      <c r="A1202" s="26">
        <v>44994</v>
      </c>
      <c r="B1202" s="27" t="s">
        <v>117</v>
      </c>
      <c r="C1202" s="27" t="s">
        <v>6</v>
      </c>
      <c r="D1202" s="27" t="s">
        <v>7</v>
      </c>
      <c r="E1202" s="28">
        <v>198500</v>
      </c>
      <c r="F1202" s="28">
        <v>217400</v>
      </c>
      <c r="G1202" s="27" t="s">
        <v>17</v>
      </c>
      <c r="H1202" s="27" t="s">
        <v>5728</v>
      </c>
      <c r="I1202" s="27" t="s">
        <v>9</v>
      </c>
    </row>
    <row r="1203" spans="1:9" x14ac:dyDescent="0.3">
      <c r="A1203" s="26">
        <v>44994</v>
      </c>
      <c r="B1203" s="27" t="s">
        <v>117</v>
      </c>
      <c r="C1203" s="27" t="s">
        <v>93</v>
      </c>
      <c r="D1203" s="27" t="s">
        <v>16</v>
      </c>
      <c r="E1203" s="28">
        <v>99900</v>
      </c>
      <c r="F1203" s="28">
        <v>96000</v>
      </c>
      <c r="G1203" s="27" t="s">
        <v>17</v>
      </c>
      <c r="H1203" s="27" t="s">
        <v>5797</v>
      </c>
      <c r="I1203" s="27" t="s">
        <v>9</v>
      </c>
    </row>
    <row r="1204" spans="1:9" x14ac:dyDescent="0.3">
      <c r="A1204" s="26">
        <v>44994</v>
      </c>
      <c r="B1204" s="27" t="s">
        <v>117</v>
      </c>
      <c r="C1204" s="27" t="s">
        <v>93</v>
      </c>
      <c r="D1204" s="27" t="s">
        <v>7</v>
      </c>
      <c r="E1204" s="28">
        <v>117400</v>
      </c>
      <c r="F1204" s="28">
        <v>120800</v>
      </c>
      <c r="G1204" s="27" t="s">
        <v>11</v>
      </c>
      <c r="H1204" s="27" t="s">
        <v>5861</v>
      </c>
      <c r="I1204" s="27" t="s">
        <v>9</v>
      </c>
    </row>
    <row r="1205" spans="1:9" x14ac:dyDescent="0.3">
      <c r="A1205" s="26">
        <v>44994</v>
      </c>
      <c r="B1205" s="27" t="s">
        <v>117</v>
      </c>
      <c r="C1205" s="27" t="s">
        <v>93</v>
      </c>
      <c r="D1205" s="27" t="s">
        <v>7</v>
      </c>
      <c r="E1205" s="28">
        <v>128100</v>
      </c>
      <c r="F1205" s="28">
        <v>148300</v>
      </c>
      <c r="G1205" s="27" t="s">
        <v>11</v>
      </c>
      <c r="H1205" s="27" t="s">
        <v>6031</v>
      </c>
      <c r="I1205" s="27" t="s">
        <v>9</v>
      </c>
    </row>
    <row r="1206" spans="1:9" x14ac:dyDescent="0.3">
      <c r="A1206" s="26">
        <v>44994</v>
      </c>
      <c r="B1206" s="27" t="s">
        <v>117</v>
      </c>
      <c r="C1206" s="27" t="s">
        <v>6</v>
      </c>
      <c r="D1206" s="27" t="s">
        <v>21</v>
      </c>
      <c r="E1206" s="28">
        <v>105300</v>
      </c>
      <c r="F1206" s="28">
        <v>86900</v>
      </c>
      <c r="G1206" s="27" t="s">
        <v>22</v>
      </c>
      <c r="H1206" s="27" t="s">
        <v>6248</v>
      </c>
      <c r="I1206" s="27" t="s">
        <v>9</v>
      </c>
    </row>
    <row r="1207" spans="1:9" x14ac:dyDescent="0.3">
      <c r="A1207" s="26">
        <v>44994</v>
      </c>
      <c r="B1207" s="27" t="s">
        <v>117</v>
      </c>
      <c r="C1207" s="27" t="s">
        <v>6</v>
      </c>
      <c r="D1207" s="27" t="s">
        <v>19</v>
      </c>
      <c r="E1207" s="28">
        <v>260400</v>
      </c>
      <c r="F1207" s="28">
        <v>246000</v>
      </c>
      <c r="G1207" s="27" t="s">
        <v>11</v>
      </c>
      <c r="H1207" s="27" t="s">
        <v>6446</v>
      </c>
      <c r="I1207" s="27" t="s">
        <v>9</v>
      </c>
    </row>
    <row r="1208" spans="1:9" x14ac:dyDescent="0.3">
      <c r="A1208" s="26">
        <v>44995</v>
      </c>
      <c r="B1208" s="27" t="s">
        <v>117</v>
      </c>
      <c r="C1208" s="27" t="s">
        <v>20</v>
      </c>
      <c r="D1208" s="27" t="s">
        <v>16</v>
      </c>
      <c r="E1208" s="28">
        <v>118788</v>
      </c>
      <c r="F1208" s="28">
        <v>124756</v>
      </c>
      <c r="G1208" s="27" t="s">
        <v>8</v>
      </c>
      <c r="H1208" s="27" t="s">
        <v>1286</v>
      </c>
      <c r="I1208" s="27" t="s">
        <v>13</v>
      </c>
    </row>
    <row r="1209" spans="1:9" x14ac:dyDescent="0.3">
      <c r="A1209" s="26">
        <v>44995</v>
      </c>
      <c r="B1209" s="27" t="s">
        <v>117</v>
      </c>
      <c r="C1209" s="27" t="s">
        <v>32</v>
      </c>
      <c r="D1209" s="27" t="s">
        <v>7</v>
      </c>
      <c r="E1209" s="28">
        <v>64639</v>
      </c>
      <c r="F1209" s="28">
        <v>152928</v>
      </c>
      <c r="G1209" s="27" t="s">
        <v>11</v>
      </c>
      <c r="H1209" s="27" t="s">
        <v>1701</v>
      </c>
      <c r="I1209" s="27" t="s">
        <v>13</v>
      </c>
    </row>
    <row r="1210" spans="1:9" x14ac:dyDescent="0.3">
      <c r="A1210" s="26">
        <v>44995</v>
      </c>
      <c r="B1210" s="27" t="s">
        <v>117</v>
      </c>
      <c r="C1210" s="27" t="s">
        <v>14</v>
      </c>
      <c r="D1210" s="27" t="s">
        <v>19</v>
      </c>
      <c r="E1210" s="28">
        <v>120217</v>
      </c>
      <c r="F1210" s="28">
        <v>17132</v>
      </c>
      <c r="G1210" s="27" t="s">
        <v>22</v>
      </c>
      <c r="H1210" s="27" t="s">
        <v>2416</v>
      </c>
      <c r="I1210" s="27" t="s">
        <v>13</v>
      </c>
    </row>
    <row r="1211" spans="1:9" x14ac:dyDescent="0.3">
      <c r="A1211" s="26">
        <v>44995</v>
      </c>
      <c r="B1211" s="27" t="s">
        <v>117</v>
      </c>
      <c r="C1211" s="27" t="s">
        <v>14</v>
      </c>
      <c r="D1211" s="27" t="s">
        <v>16</v>
      </c>
      <c r="E1211" s="28">
        <v>140351</v>
      </c>
      <c r="F1211" s="28">
        <v>138179</v>
      </c>
      <c r="G1211" s="27" t="s">
        <v>17</v>
      </c>
      <c r="H1211" s="27" t="s">
        <v>2505</v>
      </c>
      <c r="I1211" s="27" t="s">
        <v>13</v>
      </c>
    </row>
    <row r="1212" spans="1:9" x14ac:dyDescent="0.3">
      <c r="A1212" s="26">
        <v>44995</v>
      </c>
      <c r="B1212" s="27" t="s">
        <v>117</v>
      </c>
      <c r="C1212" s="27" t="s">
        <v>32</v>
      </c>
      <c r="D1212" s="27" t="s">
        <v>19</v>
      </c>
      <c r="E1212" s="28">
        <v>105564</v>
      </c>
      <c r="F1212" s="28">
        <v>29144</v>
      </c>
      <c r="G1212" s="27" t="s">
        <v>22</v>
      </c>
      <c r="H1212" s="27" t="s">
        <v>2526</v>
      </c>
      <c r="I1212" s="27" t="s">
        <v>13</v>
      </c>
    </row>
    <row r="1213" spans="1:9" x14ac:dyDescent="0.3">
      <c r="A1213" s="26">
        <v>44995</v>
      </c>
      <c r="B1213" s="27" t="s">
        <v>117</v>
      </c>
      <c r="C1213" s="27" t="s">
        <v>20</v>
      </c>
      <c r="D1213" s="27" t="s">
        <v>19</v>
      </c>
      <c r="E1213" s="28">
        <v>40897</v>
      </c>
      <c r="F1213" s="28">
        <v>100884</v>
      </c>
      <c r="G1213" s="27" t="s">
        <v>17</v>
      </c>
      <c r="H1213" s="27" t="s">
        <v>2757</v>
      </c>
      <c r="I1213" s="27" t="s">
        <v>13</v>
      </c>
    </row>
    <row r="1214" spans="1:9" x14ac:dyDescent="0.3">
      <c r="A1214" s="26">
        <v>44995</v>
      </c>
      <c r="B1214" s="27" t="s">
        <v>117</v>
      </c>
      <c r="C1214" s="27" t="s">
        <v>14</v>
      </c>
      <c r="D1214" s="27" t="s">
        <v>16</v>
      </c>
      <c r="E1214" s="28">
        <v>111221</v>
      </c>
      <c r="F1214" s="28">
        <v>101455</v>
      </c>
      <c r="G1214" s="27" t="s">
        <v>22</v>
      </c>
      <c r="H1214" s="27" t="s">
        <v>3185</v>
      </c>
      <c r="I1214" s="27" t="s">
        <v>13</v>
      </c>
    </row>
    <row r="1215" spans="1:9" x14ac:dyDescent="0.3">
      <c r="A1215" s="26">
        <v>44995</v>
      </c>
      <c r="B1215" s="27" t="s">
        <v>117</v>
      </c>
      <c r="C1215" s="27" t="s">
        <v>6</v>
      </c>
      <c r="D1215" s="27" t="s">
        <v>16</v>
      </c>
      <c r="E1215" s="28">
        <v>129000</v>
      </c>
      <c r="F1215" s="28">
        <v>142900</v>
      </c>
      <c r="G1215" s="27" t="s">
        <v>11</v>
      </c>
      <c r="H1215" s="27" t="s">
        <v>4669</v>
      </c>
      <c r="I1215" s="27" t="s">
        <v>9</v>
      </c>
    </row>
    <row r="1216" spans="1:9" x14ac:dyDescent="0.3">
      <c r="A1216" s="26">
        <v>44995</v>
      </c>
      <c r="B1216" s="27" t="s">
        <v>117</v>
      </c>
      <c r="C1216" s="27" t="s">
        <v>6</v>
      </c>
      <c r="D1216" s="27" t="s">
        <v>7</v>
      </c>
      <c r="E1216" s="28">
        <v>199500</v>
      </c>
      <c r="F1216" s="28">
        <v>268300</v>
      </c>
      <c r="G1216" s="27" t="s">
        <v>17</v>
      </c>
      <c r="H1216" s="27" t="s">
        <v>5084</v>
      </c>
      <c r="I1216" s="27" t="s">
        <v>9</v>
      </c>
    </row>
    <row r="1217" spans="1:9" x14ac:dyDescent="0.3">
      <c r="A1217" s="26">
        <v>44995</v>
      </c>
      <c r="B1217" s="27" t="s">
        <v>117</v>
      </c>
      <c r="C1217" s="27" t="s">
        <v>6</v>
      </c>
      <c r="D1217" s="27" t="s">
        <v>19</v>
      </c>
      <c r="E1217" s="28">
        <v>131700</v>
      </c>
      <c r="F1217" s="28">
        <v>146800</v>
      </c>
      <c r="G1217" s="27" t="s">
        <v>11</v>
      </c>
      <c r="H1217" s="27" t="s">
        <v>5801</v>
      </c>
      <c r="I1217" s="27" t="s">
        <v>9</v>
      </c>
    </row>
    <row r="1218" spans="1:9" x14ac:dyDescent="0.3">
      <c r="A1218" s="26">
        <v>44995</v>
      </c>
      <c r="B1218" s="27" t="s">
        <v>117</v>
      </c>
      <c r="C1218" s="27" t="s">
        <v>93</v>
      </c>
      <c r="D1218" s="27" t="s">
        <v>16</v>
      </c>
      <c r="E1218" s="28">
        <v>150400</v>
      </c>
      <c r="F1218" s="28">
        <v>159500</v>
      </c>
      <c r="G1218" s="27" t="s">
        <v>17</v>
      </c>
      <c r="H1218" s="27" t="s">
        <v>5890</v>
      </c>
      <c r="I1218" s="27" t="s">
        <v>9</v>
      </c>
    </row>
    <row r="1219" spans="1:9" x14ac:dyDescent="0.3">
      <c r="A1219" s="26">
        <v>44995</v>
      </c>
      <c r="B1219" s="27" t="s">
        <v>117</v>
      </c>
      <c r="C1219" s="27" t="s">
        <v>93</v>
      </c>
      <c r="D1219" s="27" t="s">
        <v>19</v>
      </c>
      <c r="E1219" s="28">
        <v>84400</v>
      </c>
      <c r="F1219" s="28">
        <v>97300</v>
      </c>
      <c r="G1219" s="27" t="s">
        <v>17</v>
      </c>
      <c r="H1219" s="27" t="s">
        <v>5911</v>
      </c>
      <c r="I1219" s="27" t="s">
        <v>9</v>
      </c>
    </row>
    <row r="1220" spans="1:9" x14ac:dyDescent="0.3">
      <c r="A1220" s="26">
        <v>44995</v>
      </c>
      <c r="B1220" s="27" t="s">
        <v>117</v>
      </c>
      <c r="C1220" s="27" t="s">
        <v>93</v>
      </c>
      <c r="D1220" s="27" t="s">
        <v>19</v>
      </c>
      <c r="E1220" s="28">
        <v>82100</v>
      </c>
      <c r="F1220" s="28">
        <v>80100</v>
      </c>
      <c r="G1220" s="27" t="s">
        <v>11</v>
      </c>
      <c r="H1220" s="27" t="s">
        <v>6142</v>
      </c>
      <c r="I1220" s="27" t="s">
        <v>9</v>
      </c>
    </row>
    <row r="1221" spans="1:9" x14ac:dyDescent="0.3">
      <c r="A1221" s="26">
        <v>44995</v>
      </c>
      <c r="B1221" s="27" t="s">
        <v>117</v>
      </c>
      <c r="C1221" s="27" t="s">
        <v>93</v>
      </c>
      <c r="D1221" s="27" t="s">
        <v>16</v>
      </c>
      <c r="E1221" s="28">
        <v>172800</v>
      </c>
      <c r="F1221" s="28">
        <v>168800</v>
      </c>
      <c r="G1221" s="27" t="s">
        <v>11</v>
      </c>
      <c r="H1221" s="27" t="s">
        <v>6570</v>
      </c>
      <c r="I1221" s="27" t="s">
        <v>9</v>
      </c>
    </row>
    <row r="1222" spans="1:9" x14ac:dyDescent="0.3">
      <c r="A1222" s="26">
        <v>44996</v>
      </c>
      <c r="B1222" s="27" t="s">
        <v>117</v>
      </c>
      <c r="C1222" s="27" t="s">
        <v>18</v>
      </c>
      <c r="D1222" s="27" t="s">
        <v>16</v>
      </c>
      <c r="E1222" s="28">
        <v>57323</v>
      </c>
      <c r="F1222" s="28">
        <v>161646</v>
      </c>
      <c r="G1222" s="27" t="s">
        <v>17</v>
      </c>
      <c r="H1222" s="27" t="s">
        <v>343</v>
      </c>
      <c r="I1222" s="27" t="s">
        <v>13</v>
      </c>
    </row>
    <row r="1223" spans="1:9" x14ac:dyDescent="0.3">
      <c r="A1223" s="26">
        <v>44996</v>
      </c>
      <c r="B1223" s="27" t="s">
        <v>117</v>
      </c>
      <c r="C1223" s="27" t="s">
        <v>10</v>
      </c>
      <c r="D1223" s="27" t="s">
        <v>21</v>
      </c>
      <c r="E1223" s="28">
        <v>69660</v>
      </c>
      <c r="F1223" s="28">
        <v>104663</v>
      </c>
      <c r="G1223" s="27" t="s">
        <v>22</v>
      </c>
      <c r="H1223" s="27" t="s">
        <v>399</v>
      </c>
      <c r="I1223" s="27" t="s">
        <v>13</v>
      </c>
    </row>
    <row r="1224" spans="1:9" x14ac:dyDescent="0.3">
      <c r="A1224" s="26">
        <v>44996</v>
      </c>
      <c r="B1224" s="27" t="s">
        <v>117</v>
      </c>
      <c r="C1224" s="27" t="s">
        <v>32</v>
      </c>
      <c r="D1224" s="27" t="s">
        <v>7</v>
      </c>
      <c r="E1224" s="28">
        <v>25246</v>
      </c>
      <c r="F1224" s="28">
        <v>36701</v>
      </c>
      <c r="G1224" s="27" t="s">
        <v>17</v>
      </c>
      <c r="H1224" s="27" t="s">
        <v>691</v>
      </c>
      <c r="I1224" s="27" t="s">
        <v>13</v>
      </c>
    </row>
    <row r="1225" spans="1:9" x14ac:dyDescent="0.3">
      <c r="A1225" s="26">
        <v>44996</v>
      </c>
      <c r="B1225" s="27" t="s">
        <v>117</v>
      </c>
      <c r="C1225" s="27" t="s">
        <v>18</v>
      </c>
      <c r="D1225" s="27" t="s">
        <v>7</v>
      </c>
      <c r="E1225" s="28">
        <v>52271</v>
      </c>
      <c r="F1225" s="28">
        <v>35217</v>
      </c>
      <c r="G1225" s="27" t="s">
        <v>8</v>
      </c>
      <c r="H1225" s="27" t="s">
        <v>1470</v>
      </c>
      <c r="I1225" s="27" t="s">
        <v>13</v>
      </c>
    </row>
    <row r="1226" spans="1:9" x14ac:dyDescent="0.3">
      <c r="A1226" s="26">
        <v>44996</v>
      </c>
      <c r="B1226" s="27" t="s">
        <v>117</v>
      </c>
      <c r="C1226" s="27" t="s">
        <v>32</v>
      </c>
      <c r="D1226" s="27" t="s">
        <v>24</v>
      </c>
      <c r="E1226" s="28">
        <v>62739</v>
      </c>
      <c r="F1226" s="28">
        <v>96781</v>
      </c>
      <c r="G1226" s="27" t="s">
        <v>8</v>
      </c>
      <c r="H1226" s="27" t="s">
        <v>1577</v>
      </c>
      <c r="I1226" s="27" t="s">
        <v>13</v>
      </c>
    </row>
    <row r="1227" spans="1:9" x14ac:dyDescent="0.3">
      <c r="A1227" s="26">
        <v>44996</v>
      </c>
      <c r="B1227" s="27" t="s">
        <v>117</v>
      </c>
      <c r="C1227" s="27" t="s">
        <v>32</v>
      </c>
      <c r="D1227" s="27" t="s">
        <v>24</v>
      </c>
      <c r="E1227" s="28">
        <v>133754</v>
      </c>
      <c r="F1227" s="28">
        <v>66036</v>
      </c>
      <c r="G1227" s="27" t="s">
        <v>17</v>
      </c>
      <c r="H1227" s="27" t="s">
        <v>1786</v>
      </c>
      <c r="I1227" s="27" t="s">
        <v>13</v>
      </c>
    </row>
    <row r="1228" spans="1:9" x14ac:dyDescent="0.3">
      <c r="A1228" s="26">
        <v>44996</v>
      </c>
      <c r="B1228" s="27" t="s">
        <v>117</v>
      </c>
      <c r="C1228" s="27" t="s">
        <v>32</v>
      </c>
      <c r="D1228" s="27" t="s">
        <v>24</v>
      </c>
      <c r="E1228" s="28">
        <v>28736</v>
      </c>
      <c r="F1228" s="28">
        <v>108793</v>
      </c>
      <c r="G1228" s="27" t="s">
        <v>22</v>
      </c>
      <c r="H1228" s="27" t="s">
        <v>2463</v>
      </c>
      <c r="I1228" s="27" t="s">
        <v>13</v>
      </c>
    </row>
    <row r="1229" spans="1:9" x14ac:dyDescent="0.3">
      <c r="A1229" s="26">
        <v>44996</v>
      </c>
      <c r="B1229" s="27" t="s">
        <v>117</v>
      </c>
      <c r="C1229" s="27" t="s">
        <v>20</v>
      </c>
      <c r="D1229" s="27" t="s">
        <v>24</v>
      </c>
      <c r="E1229" s="28">
        <v>78391</v>
      </c>
      <c r="F1229" s="28">
        <v>10407</v>
      </c>
      <c r="G1229" s="27" t="s">
        <v>17</v>
      </c>
      <c r="H1229" s="27" t="s">
        <v>2625</v>
      </c>
      <c r="I1229" s="27" t="s">
        <v>13</v>
      </c>
    </row>
    <row r="1230" spans="1:9" x14ac:dyDescent="0.3">
      <c r="A1230" s="26">
        <v>44996</v>
      </c>
      <c r="B1230" s="27" t="s">
        <v>117</v>
      </c>
      <c r="C1230" s="27" t="s">
        <v>14</v>
      </c>
      <c r="D1230" s="27" t="s">
        <v>7</v>
      </c>
      <c r="E1230" s="28">
        <v>31533</v>
      </c>
      <c r="F1230" s="28">
        <v>73583</v>
      </c>
      <c r="G1230" s="27" t="s">
        <v>11</v>
      </c>
      <c r="H1230" s="27" t="s">
        <v>2839</v>
      </c>
      <c r="I1230" s="27" t="s">
        <v>13</v>
      </c>
    </row>
    <row r="1231" spans="1:9" x14ac:dyDescent="0.3">
      <c r="A1231" s="26">
        <v>44996</v>
      </c>
      <c r="B1231" s="27" t="s">
        <v>117</v>
      </c>
      <c r="C1231" s="27" t="s">
        <v>18</v>
      </c>
      <c r="D1231" s="27" t="s">
        <v>24</v>
      </c>
      <c r="E1231" s="28">
        <v>26712</v>
      </c>
      <c r="F1231" s="28">
        <v>13835</v>
      </c>
      <c r="G1231" s="27" t="s">
        <v>8</v>
      </c>
      <c r="H1231" s="27" t="s">
        <v>2882</v>
      </c>
      <c r="I1231" s="27" t="s">
        <v>13</v>
      </c>
    </row>
    <row r="1232" spans="1:9" x14ac:dyDescent="0.3">
      <c r="A1232" s="26">
        <v>44996</v>
      </c>
      <c r="B1232" s="27" t="s">
        <v>117</v>
      </c>
      <c r="C1232" s="27" t="s">
        <v>14</v>
      </c>
      <c r="D1232" s="27" t="s">
        <v>21</v>
      </c>
      <c r="E1232" s="28">
        <v>114673</v>
      </c>
      <c r="F1232" s="28">
        <v>24549</v>
      </c>
      <c r="G1232" s="27" t="s">
        <v>8</v>
      </c>
      <c r="H1232" s="27" t="s">
        <v>3018</v>
      </c>
      <c r="I1232" s="27" t="s">
        <v>13</v>
      </c>
    </row>
    <row r="1233" spans="1:9" x14ac:dyDescent="0.3">
      <c r="A1233" s="26">
        <v>44996</v>
      </c>
      <c r="B1233" s="27" t="s">
        <v>117</v>
      </c>
      <c r="C1233" s="27" t="s">
        <v>6</v>
      </c>
      <c r="D1233" s="27" t="s">
        <v>16</v>
      </c>
      <c r="E1233" s="28">
        <v>170800</v>
      </c>
      <c r="F1233" s="28">
        <v>153100</v>
      </c>
      <c r="G1233" s="27" t="s">
        <v>22</v>
      </c>
      <c r="H1233" s="27" t="s">
        <v>3724</v>
      </c>
      <c r="I1233" s="27" t="s">
        <v>9</v>
      </c>
    </row>
    <row r="1234" spans="1:9" x14ac:dyDescent="0.3">
      <c r="A1234" s="26">
        <v>44996</v>
      </c>
      <c r="B1234" s="27" t="s">
        <v>117</v>
      </c>
      <c r="C1234" s="27" t="s">
        <v>93</v>
      </c>
      <c r="D1234" s="27" t="s">
        <v>21</v>
      </c>
      <c r="E1234" s="28">
        <v>158700</v>
      </c>
      <c r="F1234" s="28">
        <v>174700</v>
      </c>
      <c r="G1234" s="27" t="s">
        <v>11</v>
      </c>
      <c r="H1234" s="27" t="s">
        <v>3780</v>
      </c>
      <c r="I1234" s="27" t="s">
        <v>9</v>
      </c>
    </row>
    <row r="1235" spans="1:9" x14ac:dyDescent="0.3">
      <c r="A1235" s="26">
        <v>44996</v>
      </c>
      <c r="B1235" s="27" t="s">
        <v>117</v>
      </c>
      <c r="C1235" s="27" t="s">
        <v>6</v>
      </c>
      <c r="D1235" s="27" t="s">
        <v>7</v>
      </c>
      <c r="E1235" s="28">
        <v>77400</v>
      </c>
      <c r="F1235" s="28">
        <v>93200</v>
      </c>
      <c r="G1235" s="27" t="s">
        <v>22</v>
      </c>
      <c r="H1235" s="27" t="s">
        <v>4072</v>
      </c>
      <c r="I1235" s="27" t="s">
        <v>9</v>
      </c>
    </row>
    <row r="1236" spans="1:9" x14ac:dyDescent="0.3">
      <c r="A1236" s="26">
        <v>44996</v>
      </c>
      <c r="B1236" s="27" t="s">
        <v>117</v>
      </c>
      <c r="C1236" s="27" t="s">
        <v>6</v>
      </c>
      <c r="D1236" s="27" t="s">
        <v>7</v>
      </c>
      <c r="E1236" s="28">
        <v>157300</v>
      </c>
      <c r="F1236" s="28">
        <v>120500</v>
      </c>
      <c r="G1236" s="27" t="s">
        <v>22</v>
      </c>
      <c r="H1236" s="27" t="s">
        <v>4853</v>
      </c>
      <c r="I1236" s="27" t="s">
        <v>9</v>
      </c>
    </row>
    <row r="1237" spans="1:9" x14ac:dyDescent="0.3">
      <c r="A1237" s="26">
        <v>44996</v>
      </c>
      <c r="B1237" s="27" t="s">
        <v>117</v>
      </c>
      <c r="C1237" s="27" t="s">
        <v>6</v>
      </c>
      <c r="D1237" s="27" t="s">
        <v>24</v>
      </c>
      <c r="E1237" s="28">
        <v>86100</v>
      </c>
      <c r="F1237" s="28">
        <v>97000</v>
      </c>
      <c r="G1237" s="27" t="s">
        <v>11</v>
      </c>
      <c r="H1237" s="27" t="s">
        <v>4960</v>
      </c>
      <c r="I1237" s="27" t="s">
        <v>9</v>
      </c>
    </row>
    <row r="1238" spans="1:9" x14ac:dyDescent="0.3">
      <c r="A1238" s="26">
        <v>44996</v>
      </c>
      <c r="B1238" s="27" t="s">
        <v>117</v>
      </c>
      <c r="C1238" s="27" t="s">
        <v>93</v>
      </c>
      <c r="D1238" s="27" t="s">
        <v>24</v>
      </c>
      <c r="E1238" s="28">
        <v>59900</v>
      </c>
      <c r="F1238" s="28">
        <v>59000</v>
      </c>
      <c r="G1238" s="27" t="s">
        <v>11</v>
      </c>
      <c r="H1238" s="27" t="s">
        <v>5169</v>
      </c>
      <c r="I1238" s="27" t="s">
        <v>9</v>
      </c>
    </row>
    <row r="1239" spans="1:9" x14ac:dyDescent="0.3">
      <c r="A1239" s="26">
        <v>44996</v>
      </c>
      <c r="B1239" s="27" t="s">
        <v>117</v>
      </c>
      <c r="C1239" s="27" t="s">
        <v>93</v>
      </c>
      <c r="D1239" s="27" t="s">
        <v>24</v>
      </c>
      <c r="E1239" s="28">
        <v>118500</v>
      </c>
      <c r="F1239" s="28">
        <v>120800</v>
      </c>
      <c r="G1239" s="27" t="s">
        <v>11</v>
      </c>
      <c r="H1239" s="27" t="s">
        <v>5848</v>
      </c>
      <c r="I1239" s="27" t="s">
        <v>9</v>
      </c>
    </row>
    <row r="1240" spans="1:9" x14ac:dyDescent="0.3">
      <c r="A1240" s="26">
        <v>44996</v>
      </c>
      <c r="B1240" s="27" t="s">
        <v>117</v>
      </c>
      <c r="C1240" s="27" t="s">
        <v>6</v>
      </c>
      <c r="D1240" s="27" t="s">
        <v>24</v>
      </c>
      <c r="E1240" s="28">
        <v>175600</v>
      </c>
      <c r="F1240" s="28">
        <v>183900</v>
      </c>
      <c r="G1240" s="27" t="s">
        <v>22</v>
      </c>
      <c r="H1240" s="27" t="s">
        <v>6010</v>
      </c>
      <c r="I1240" s="27" t="s">
        <v>9</v>
      </c>
    </row>
    <row r="1241" spans="1:9" x14ac:dyDescent="0.3">
      <c r="A1241" s="26">
        <v>44996</v>
      </c>
      <c r="B1241" s="27" t="s">
        <v>117</v>
      </c>
      <c r="C1241" s="27" t="s">
        <v>93</v>
      </c>
      <c r="D1241" s="27" t="s">
        <v>7</v>
      </c>
      <c r="E1241" s="28">
        <v>172000</v>
      </c>
      <c r="F1241" s="28">
        <v>180100</v>
      </c>
      <c r="G1241" s="27" t="s">
        <v>11</v>
      </c>
      <c r="H1241" s="27" t="s">
        <v>6224</v>
      </c>
      <c r="I1241" s="27" t="s">
        <v>9</v>
      </c>
    </row>
    <row r="1242" spans="1:9" x14ac:dyDescent="0.3">
      <c r="A1242" s="26">
        <v>44996</v>
      </c>
      <c r="B1242" s="27" t="s">
        <v>117</v>
      </c>
      <c r="C1242" s="27" t="s">
        <v>93</v>
      </c>
      <c r="D1242" s="27" t="s">
        <v>24</v>
      </c>
      <c r="E1242" s="28">
        <v>79000</v>
      </c>
      <c r="F1242" s="28">
        <v>85200</v>
      </c>
      <c r="G1242" s="27" t="s">
        <v>11</v>
      </c>
      <c r="H1242" s="27" t="s">
        <v>6267</v>
      </c>
      <c r="I1242" s="27" t="s">
        <v>9</v>
      </c>
    </row>
    <row r="1243" spans="1:9" x14ac:dyDescent="0.3">
      <c r="A1243" s="26">
        <v>44996</v>
      </c>
      <c r="B1243" s="27" t="s">
        <v>117</v>
      </c>
      <c r="C1243" s="27" t="s">
        <v>6</v>
      </c>
      <c r="D1243" s="27" t="s">
        <v>21</v>
      </c>
      <c r="E1243" s="28">
        <v>103900</v>
      </c>
      <c r="F1243" s="28">
        <v>96400</v>
      </c>
      <c r="G1243" s="27" t="s">
        <v>17</v>
      </c>
      <c r="H1243" s="27" t="s">
        <v>6403</v>
      </c>
      <c r="I1243" s="27" t="s">
        <v>9</v>
      </c>
    </row>
    <row r="1244" spans="1:9" x14ac:dyDescent="0.3">
      <c r="A1244" s="26">
        <v>44997</v>
      </c>
      <c r="B1244" s="27" t="s">
        <v>117</v>
      </c>
      <c r="C1244" s="27" t="s">
        <v>15</v>
      </c>
      <c r="D1244" s="27" t="s">
        <v>21</v>
      </c>
      <c r="E1244" s="28">
        <v>125381</v>
      </c>
      <c r="F1244" s="28">
        <v>84598</v>
      </c>
      <c r="G1244" s="27" t="s">
        <v>11</v>
      </c>
      <c r="H1244" s="27" t="s">
        <v>133</v>
      </c>
      <c r="I1244" s="27" t="s">
        <v>13</v>
      </c>
    </row>
    <row r="1245" spans="1:9" x14ac:dyDescent="0.3">
      <c r="A1245" s="26">
        <v>44997</v>
      </c>
      <c r="B1245" s="27" t="s">
        <v>117</v>
      </c>
      <c r="C1245" s="27" t="s">
        <v>18</v>
      </c>
      <c r="D1245" s="27" t="s">
        <v>24</v>
      </c>
      <c r="E1245" s="28">
        <v>22167</v>
      </c>
      <c r="F1245" s="28">
        <v>72811</v>
      </c>
      <c r="G1245" s="27" t="s">
        <v>8</v>
      </c>
      <c r="H1245" s="27" t="s">
        <v>553</v>
      </c>
      <c r="I1245" s="27" t="s">
        <v>13</v>
      </c>
    </row>
    <row r="1246" spans="1:9" x14ac:dyDescent="0.3">
      <c r="A1246" s="26">
        <v>44997</v>
      </c>
      <c r="B1246" s="27" t="s">
        <v>117</v>
      </c>
      <c r="C1246" s="27" t="s">
        <v>32</v>
      </c>
      <c r="D1246" s="27" t="s">
        <v>21</v>
      </c>
      <c r="E1246" s="28">
        <v>105983</v>
      </c>
      <c r="F1246" s="28">
        <v>90518</v>
      </c>
      <c r="G1246" s="27" t="s">
        <v>8</v>
      </c>
      <c r="H1246" s="27" t="s">
        <v>558</v>
      </c>
      <c r="I1246" s="27" t="s">
        <v>13</v>
      </c>
    </row>
    <row r="1247" spans="1:9" x14ac:dyDescent="0.3">
      <c r="A1247" s="26">
        <v>44997</v>
      </c>
      <c r="B1247" s="27" t="s">
        <v>117</v>
      </c>
      <c r="C1247" s="27" t="s">
        <v>32</v>
      </c>
      <c r="D1247" s="27" t="s">
        <v>16</v>
      </c>
      <c r="E1247" s="28">
        <v>144006</v>
      </c>
      <c r="F1247" s="28">
        <v>140221</v>
      </c>
      <c r="G1247" s="27" t="s">
        <v>8</v>
      </c>
      <c r="H1247" s="27" t="s">
        <v>623</v>
      </c>
      <c r="I1247" s="27" t="s">
        <v>13</v>
      </c>
    </row>
    <row r="1248" spans="1:9" x14ac:dyDescent="0.3">
      <c r="A1248" s="26">
        <v>44997</v>
      </c>
      <c r="B1248" s="27" t="s">
        <v>117</v>
      </c>
      <c r="C1248" s="27" t="s">
        <v>14</v>
      </c>
      <c r="D1248" s="27" t="s">
        <v>21</v>
      </c>
      <c r="E1248" s="28">
        <v>139716</v>
      </c>
      <c r="F1248" s="28">
        <v>26852</v>
      </c>
      <c r="G1248" s="27" t="s">
        <v>22</v>
      </c>
      <c r="H1248" s="27" t="s">
        <v>1877</v>
      </c>
      <c r="I1248" s="27" t="s">
        <v>13</v>
      </c>
    </row>
    <row r="1249" spans="1:9" x14ac:dyDescent="0.3">
      <c r="A1249" s="26">
        <v>44997</v>
      </c>
      <c r="B1249" s="27" t="s">
        <v>117</v>
      </c>
      <c r="C1249" s="27" t="s">
        <v>14</v>
      </c>
      <c r="D1249" s="27" t="s">
        <v>24</v>
      </c>
      <c r="E1249" s="28">
        <v>21841</v>
      </c>
      <c r="F1249" s="28">
        <v>52504</v>
      </c>
      <c r="G1249" s="27" t="s">
        <v>17</v>
      </c>
      <c r="H1249" s="27" t="s">
        <v>2229</v>
      </c>
      <c r="I1249" s="27" t="s">
        <v>13</v>
      </c>
    </row>
    <row r="1250" spans="1:9" x14ac:dyDescent="0.3">
      <c r="A1250" s="26">
        <v>44997</v>
      </c>
      <c r="B1250" s="27" t="s">
        <v>117</v>
      </c>
      <c r="C1250" s="27" t="s">
        <v>18</v>
      </c>
      <c r="D1250" s="27" t="s">
        <v>24</v>
      </c>
      <c r="E1250" s="28">
        <v>57664</v>
      </c>
      <c r="F1250" s="28">
        <v>17232</v>
      </c>
      <c r="G1250" s="27" t="s">
        <v>8</v>
      </c>
      <c r="H1250" s="27" t="s">
        <v>3247</v>
      </c>
      <c r="I1250" s="27" t="s">
        <v>13</v>
      </c>
    </row>
    <row r="1251" spans="1:9" x14ac:dyDescent="0.3">
      <c r="A1251" s="26">
        <v>44997</v>
      </c>
      <c r="B1251" s="27" t="s">
        <v>117</v>
      </c>
      <c r="C1251" s="27" t="s">
        <v>6</v>
      </c>
      <c r="D1251" s="27" t="s">
        <v>21</v>
      </c>
      <c r="E1251" s="28">
        <v>97300</v>
      </c>
      <c r="F1251" s="28">
        <v>102800</v>
      </c>
      <c r="G1251" s="27" t="s">
        <v>22</v>
      </c>
      <c r="H1251" s="27" t="s">
        <v>3514</v>
      </c>
      <c r="I1251" s="27" t="s">
        <v>9</v>
      </c>
    </row>
    <row r="1252" spans="1:9" x14ac:dyDescent="0.3">
      <c r="A1252" s="26">
        <v>44997</v>
      </c>
      <c r="B1252" s="27" t="s">
        <v>117</v>
      </c>
      <c r="C1252" s="27" t="s">
        <v>6</v>
      </c>
      <c r="D1252" s="27" t="s">
        <v>24</v>
      </c>
      <c r="E1252" s="28">
        <v>177400</v>
      </c>
      <c r="F1252" s="28">
        <v>184900</v>
      </c>
      <c r="G1252" s="27" t="s">
        <v>17</v>
      </c>
      <c r="H1252" s="27" t="s">
        <v>3934</v>
      </c>
      <c r="I1252" s="27" t="s">
        <v>9</v>
      </c>
    </row>
    <row r="1253" spans="1:9" x14ac:dyDescent="0.3">
      <c r="A1253" s="26">
        <v>44997</v>
      </c>
      <c r="B1253" s="27" t="s">
        <v>117</v>
      </c>
      <c r="C1253" s="27" t="s">
        <v>93</v>
      </c>
      <c r="D1253" s="27" t="s">
        <v>21</v>
      </c>
      <c r="E1253" s="28">
        <v>146900</v>
      </c>
      <c r="F1253" s="28">
        <v>144400</v>
      </c>
      <c r="G1253" s="27" t="s">
        <v>17</v>
      </c>
      <c r="H1253" s="27" t="s">
        <v>3939</v>
      </c>
      <c r="I1253" s="27" t="s">
        <v>9</v>
      </c>
    </row>
    <row r="1254" spans="1:9" x14ac:dyDescent="0.3">
      <c r="A1254" s="26">
        <v>44997</v>
      </c>
      <c r="B1254" s="27" t="s">
        <v>117</v>
      </c>
      <c r="C1254" s="27" t="s">
        <v>93</v>
      </c>
      <c r="D1254" s="27" t="s">
        <v>16</v>
      </c>
      <c r="E1254" s="28">
        <v>93700</v>
      </c>
      <c r="F1254" s="28">
        <v>112100</v>
      </c>
      <c r="G1254" s="27" t="s">
        <v>17</v>
      </c>
      <c r="H1254" s="27" t="s">
        <v>4004</v>
      </c>
      <c r="I1254" s="27" t="s">
        <v>9</v>
      </c>
    </row>
    <row r="1255" spans="1:9" x14ac:dyDescent="0.3">
      <c r="A1255" s="26">
        <v>44997</v>
      </c>
      <c r="B1255" s="27" t="s">
        <v>117</v>
      </c>
      <c r="C1255" s="27" t="s">
        <v>6</v>
      </c>
      <c r="D1255" s="27" t="s">
        <v>21</v>
      </c>
      <c r="E1255" s="28">
        <v>118900</v>
      </c>
      <c r="F1255" s="28">
        <v>101000</v>
      </c>
      <c r="G1255" s="27" t="s">
        <v>11</v>
      </c>
      <c r="H1255" s="27" t="s">
        <v>5261</v>
      </c>
      <c r="I1255" s="27" t="s">
        <v>9</v>
      </c>
    </row>
    <row r="1256" spans="1:9" x14ac:dyDescent="0.3">
      <c r="A1256" s="26">
        <v>44997</v>
      </c>
      <c r="B1256" s="27" t="s">
        <v>117</v>
      </c>
      <c r="C1256" s="27" t="s">
        <v>6</v>
      </c>
      <c r="D1256" s="27" t="s">
        <v>24</v>
      </c>
      <c r="E1256" s="28">
        <v>36800</v>
      </c>
      <c r="F1256" s="28">
        <v>28300</v>
      </c>
      <c r="G1256" s="27" t="s">
        <v>11</v>
      </c>
      <c r="H1256" s="27" t="s">
        <v>5614</v>
      </c>
      <c r="I1256" s="27" t="s">
        <v>9</v>
      </c>
    </row>
    <row r="1257" spans="1:9" x14ac:dyDescent="0.3">
      <c r="A1257" s="26">
        <v>44997</v>
      </c>
      <c r="B1257" s="27" t="s">
        <v>117</v>
      </c>
      <c r="C1257" s="27" t="s">
        <v>93</v>
      </c>
      <c r="D1257" s="27" t="s">
        <v>24</v>
      </c>
      <c r="E1257" s="28">
        <v>65500</v>
      </c>
      <c r="F1257" s="28">
        <v>77200</v>
      </c>
      <c r="G1257" s="27" t="s">
        <v>11</v>
      </c>
      <c r="H1257" s="27" t="s">
        <v>6632</v>
      </c>
      <c r="I1257" s="27" t="s">
        <v>9</v>
      </c>
    </row>
    <row r="1258" spans="1:9" x14ac:dyDescent="0.3">
      <c r="A1258" s="26">
        <v>44998</v>
      </c>
      <c r="B1258" s="27" t="s">
        <v>117</v>
      </c>
      <c r="C1258" s="27" t="s">
        <v>18</v>
      </c>
      <c r="D1258" s="27" t="s">
        <v>16</v>
      </c>
      <c r="E1258" s="28">
        <v>10894</v>
      </c>
      <c r="F1258" s="28">
        <v>27651</v>
      </c>
      <c r="G1258" s="27" t="s">
        <v>11</v>
      </c>
      <c r="H1258" s="27" t="s">
        <v>180</v>
      </c>
      <c r="I1258" s="27" t="s">
        <v>13</v>
      </c>
    </row>
    <row r="1259" spans="1:9" x14ac:dyDescent="0.3">
      <c r="A1259" s="26">
        <v>44998</v>
      </c>
      <c r="B1259" s="27" t="s">
        <v>117</v>
      </c>
      <c r="C1259" s="27" t="s">
        <v>10</v>
      </c>
      <c r="D1259" s="27" t="s">
        <v>16</v>
      </c>
      <c r="E1259" s="28">
        <v>34701</v>
      </c>
      <c r="F1259" s="28">
        <v>106711</v>
      </c>
      <c r="G1259" s="27" t="s">
        <v>22</v>
      </c>
      <c r="H1259" s="27" t="s">
        <v>191</v>
      </c>
      <c r="I1259" s="27" t="s">
        <v>13</v>
      </c>
    </row>
    <row r="1260" spans="1:9" x14ac:dyDescent="0.3">
      <c r="A1260" s="26">
        <v>44998</v>
      </c>
      <c r="B1260" s="27" t="s">
        <v>117</v>
      </c>
      <c r="C1260" s="27" t="s">
        <v>20</v>
      </c>
      <c r="D1260" s="27" t="s">
        <v>24</v>
      </c>
      <c r="E1260" s="28">
        <v>48907</v>
      </c>
      <c r="F1260" s="28">
        <v>89818</v>
      </c>
      <c r="G1260" s="27" t="s">
        <v>8</v>
      </c>
      <c r="H1260" s="27" t="s">
        <v>739</v>
      </c>
      <c r="I1260" s="27" t="s">
        <v>13</v>
      </c>
    </row>
    <row r="1261" spans="1:9" x14ac:dyDescent="0.3">
      <c r="A1261" s="26">
        <v>44998</v>
      </c>
      <c r="B1261" s="27" t="s">
        <v>117</v>
      </c>
      <c r="C1261" s="27" t="s">
        <v>10</v>
      </c>
      <c r="D1261" s="27" t="s">
        <v>16</v>
      </c>
      <c r="E1261" s="28">
        <v>10941</v>
      </c>
      <c r="F1261" s="28">
        <v>95431</v>
      </c>
      <c r="G1261" s="27" t="s">
        <v>11</v>
      </c>
      <c r="H1261" s="27" t="s">
        <v>999</v>
      </c>
      <c r="I1261" s="27" t="s">
        <v>13</v>
      </c>
    </row>
    <row r="1262" spans="1:9" x14ac:dyDescent="0.3">
      <c r="A1262" s="26">
        <v>44998</v>
      </c>
      <c r="B1262" s="27" t="s">
        <v>117</v>
      </c>
      <c r="C1262" s="27" t="s">
        <v>32</v>
      </c>
      <c r="D1262" s="27" t="s">
        <v>19</v>
      </c>
      <c r="E1262" s="28">
        <v>141713</v>
      </c>
      <c r="F1262" s="28">
        <v>144337</v>
      </c>
      <c r="G1262" s="27" t="s">
        <v>22</v>
      </c>
      <c r="H1262" s="27" t="s">
        <v>1159</v>
      </c>
      <c r="I1262" s="27" t="s">
        <v>13</v>
      </c>
    </row>
    <row r="1263" spans="1:9" x14ac:dyDescent="0.3">
      <c r="A1263" s="26">
        <v>44998</v>
      </c>
      <c r="B1263" s="27" t="s">
        <v>117</v>
      </c>
      <c r="C1263" s="27" t="s">
        <v>20</v>
      </c>
      <c r="D1263" s="27" t="s">
        <v>21</v>
      </c>
      <c r="E1263" s="28">
        <v>50459</v>
      </c>
      <c r="F1263" s="28">
        <v>137174</v>
      </c>
      <c r="G1263" s="27" t="s">
        <v>11</v>
      </c>
      <c r="H1263" s="27" t="s">
        <v>1183</v>
      </c>
      <c r="I1263" s="27" t="s">
        <v>13</v>
      </c>
    </row>
    <row r="1264" spans="1:9" x14ac:dyDescent="0.3">
      <c r="A1264" s="26">
        <v>44998</v>
      </c>
      <c r="B1264" s="27" t="s">
        <v>117</v>
      </c>
      <c r="C1264" s="27" t="s">
        <v>18</v>
      </c>
      <c r="D1264" s="27" t="s">
        <v>16</v>
      </c>
      <c r="E1264" s="28">
        <v>15235</v>
      </c>
      <c r="F1264" s="28">
        <v>152525</v>
      </c>
      <c r="G1264" s="27" t="s">
        <v>22</v>
      </c>
      <c r="H1264" s="27" t="s">
        <v>1422</v>
      </c>
      <c r="I1264" s="27" t="s">
        <v>13</v>
      </c>
    </row>
    <row r="1265" spans="1:9" x14ac:dyDescent="0.3">
      <c r="A1265" s="26">
        <v>44998</v>
      </c>
      <c r="B1265" s="27" t="s">
        <v>117</v>
      </c>
      <c r="C1265" s="27" t="s">
        <v>20</v>
      </c>
      <c r="D1265" s="27" t="s">
        <v>24</v>
      </c>
      <c r="E1265" s="28">
        <v>35282</v>
      </c>
      <c r="F1265" s="28">
        <v>139867</v>
      </c>
      <c r="G1265" s="27" t="s">
        <v>17</v>
      </c>
      <c r="H1265" s="27" t="s">
        <v>1755</v>
      </c>
      <c r="I1265" s="27" t="s">
        <v>13</v>
      </c>
    </row>
    <row r="1266" spans="1:9" x14ac:dyDescent="0.3">
      <c r="A1266" s="26">
        <v>44998</v>
      </c>
      <c r="B1266" s="27" t="s">
        <v>117</v>
      </c>
      <c r="C1266" s="27" t="s">
        <v>10</v>
      </c>
      <c r="D1266" s="27" t="s">
        <v>21</v>
      </c>
      <c r="E1266" s="28">
        <v>89902</v>
      </c>
      <c r="F1266" s="28">
        <v>79978</v>
      </c>
      <c r="G1266" s="27" t="s">
        <v>11</v>
      </c>
      <c r="H1266" s="27" t="s">
        <v>2467</v>
      </c>
      <c r="I1266" s="27" t="s">
        <v>13</v>
      </c>
    </row>
    <row r="1267" spans="1:9" x14ac:dyDescent="0.3">
      <c r="A1267" s="26">
        <v>44998</v>
      </c>
      <c r="B1267" s="27" t="s">
        <v>117</v>
      </c>
      <c r="C1267" s="27" t="s">
        <v>14</v>
      </c>
      <c r="D1267" s="27" t="s">
        <v>16</v>
      </c>
      <c r="E1267" s="28">
        <v>138526</v>
      </c>
      <c r="F1267" s="28">
        <v>142759</v>
      </c>
      <c r="G1267" s="27" t="s">
        <v>17</v>
      </c>
      <c r="H1267" s="27" t="s">
        <v>2513</v>
      </c>
      <c r="I1267" s="27" t="s">
        <v>13</v>
      </c>
    </row>
    <row r="1268" spans="1:9" x14ac:dyDescent="0.3">
      <c r="A1268" s="26">
        <v>44998</v>
      </c>
      <c r="B1268" s="27" t="s">
        <v>117</v>
      </c>
      <c r="C1268" s="27" t="s">
        <v>32</v>
      </c>
      <c r="D1268" s="27" t="s">
        <v>21</v>
      </c>
      <c r="E1268" s="28">
        <v>61901</v>
      </c>
      <c r="F1268" s="28">
        <v>34457</v>
      </c>
      <c r="G1268" s="27" t="s">
        <v>17</v>
      </c>
      <c r="H1268" s="27" t="s">
        <v>3139</v>
      </c>
      <c r="I1268" s="27" t="s">
        <v>13</v>
      </c>
    </row>
    <row r="1269" spans="1:9" x14ac:dyDescent="0.3">
      <c r="A1269" s="26">
        <v>44998</v>
      </c>
      <c r="B1269" s="27" t="s">
        <v>117</v>
      </c>
      <c r="C1269" s="27" t="s">
        <v>20</v>
      </c>
      <c r="D1269" s="27" t="s">
        <v>19</v>
      </c>
      <c r="E1269" s="28">
        <v>58429</v>
      </c>
      <c r="F1269" s="28">
        <v>64436</v>
      </c>
      <c r="G1269" s="27" t="s">
        <v>11</v>
      </c>
      <c r="H1269" s="27" t="s">
        <v>3167</v>
      </c>
      <c r="I1269" s="27" t="s">
        <v>13</v>
      </c>
    </row>
    <row r="1270" spans="1:9" x14ac:dyDescent="0.3">
      <c r="A1270" s="26">
        <v>44998</v>
      </c>
      <c r="B1270" s="27" t="s">
        <v>117</v>
      </c>
      <c r="C1270" s="27" t="s">
        <v>6</v>
      </c>
      <c r="D1270" s="27" t="s">
        <v>16</v>
      </c>
      <c r="E1270" s="28">
        <v>169100</v>
      </c>
      <c r="F1270" s="28">
        <v>235900</v>
      </c>
      <c r="G1270" s="27" t="s">
        <v>11</v>
      </c>
      <c r="H1270" s="27" t="s">
        <v>3561</v>
      </c>
      <c r="I1270" s="27" t="s">
        <v>9</v>
      </c>
    </row>
    <row r="1271" spans="1:9" x14ac:dyDescent="0.3">
      <c r="A1271" s="26">
        <v>44998</v>
      </c>
      <c r="B1271" s="27" t="s">
        <v>117</v>
      </c>
      <c r="C1271" s="27" t="s">
        <v>6</v>
      </c>
      <c r="D1271" s="27" t="s">
        <v>16</v>
      </c>
      <c r="E1271" s="28">
        <v>213500</v>
      </c>
      <c r="F1271" s="28">
        <v>268100</v>
      </c>
      <c r="G1271" s="27" t="s">
        <v>11</v>
      </c>
      <c r="H1271" s="27" t="s">
        <v>3572</v>
      </c>
      <c r="I1271" s="27" t="s">
        <v>9</v>
      </c>
    </row>
    <row r="1272" spans="1:9" x14ac:dyDescent="0.3">
      <c r="A1272" s="26">
        <v>44998</v>
      </c>
      <c r="B1272" s="27" t="s">
        <v>117</v>
      </c>
      <c r="C1272" s="27" t="s">
        <v>6</v>
      </c>
      <c r="D1272" s="27" t="s">
        <v>24</v>
      </c>
      <c r="E1272" s="28">
        <v>178800</v>
      </c>
      <c r="F1272" s="28">
        <v>197600</v>
      </c>
      <c r="G1272" s="27" t="s">
        <v>11</v>
      </c>
      <c r="H1272" s="27" t="s">
        <v>4120</v>
      </c>
      <c r="I1272" s="27" t="s">
        <v>9</v>
      </c>
    </row>
    <row r="1273" spans="1:9" x14ac:dyDescent="0.3">
      <c r="A1273" s="26">
        <v>44998</v>
      </c>
      <c r="B1273" s="27" t="s">
        <v>117</v>
      </c>
      <c r="C1273" s="27" t="s">
        <v>93</v>
      </c>
      <c r="D1273" s="27" t="s">
        <v>16</v>
      </c>
      <c r="E1273" s="28">
        <v>140200</v>
      </c>
      <c r="F1273" s="28">
        <v>133700</v>
      </c>
      <c r="G1273" s="27" t="s">
        <v>17</v>
      </c>
      <c r="H1273" s="27" t="s">
        <v>4380</v>
      </c>
      <c r="I1273" s="27" t="s">
        <v>9</v>
      </c>
    </row>
    <row r="1274" spans="1:9" x14ac:dyDescent="0.3">
      <c r="A1274" s="26">
        <v>44998</v>
      </c>
      <c r="B1274" s="27" t="s">
        <v>117</v>
      </c>
      <c r="C1274" s="27" t="s">
        <v>93</v>
      </c>
      <c r="D1274" s="27" t="s">
        <v>19</v>
      </c>
      <c r="E1274" s="28">
        <v>177400</v>
      </c>
      <c r="F1274" s="28">
        <v>226500</v>
      </c>
      <c r="G1274" s="27" t="s">
        <v>17</v>
      </c>
      <c r="H1274" s="27" t="s">
        <v>4542</v>
      </c>
      <c r="I1274" s="27" t="s">
        <v>9</v>
      </c>
    </row>
    <row r="1275" spans="1:9" x14ac:dyDescent="0.3">
      <c r="A1275" s="26">
        <v>44998</v>
      </c>
      <c r="B1275" s="27" t="s">
        <v>117</v>
      </c>
      <c r="C1275" s="27" t="s">
        <v>93</v>
      </c>
      <c r="D1275" s="27" t="s">
        <v>21</v>
      </c>
      <c r="E1275" s="28">
        <v>76300</v>
      </c>
      <c r="F1275" s="28">
        <v>70100</v>
      </c>
      <c r="G1275" s="27" t="s">
        <v>17</v>
      </c>
      <c r="H1275" s="27" t="s">
        <v>4566</v>
      </c>
      <c r="I1275" s="27" t="s">
        <v>9</v>
      </c>
    </row>
    <row r="1276" spans="1:9" x14ac:dyDescent="0.3">
      <c r="A1276" s="26">
        <v>44998</v>
      </c>
      <c r="B1276" s="27" t="s">
        <v>117</v>
      </c>
      <c r="C1276" s="27" t="s">
        <v>6</v>
      </c>
      <c r="D1276" s="27" t="s">
        <v>16</v>
      </c>
      <c r="E1276" s="28">
        <v>223200</v>
      </c>
      <c r="F1276" s="28">
        <v>192500</v>
      </c>
      <c r="G1276" s="27" t="s">
        <v>22</v>
      </c>
      <c r="H1276" s="27" t="s">
        <v>4805</v>
      </c>
      <c r="I1276" s="27" t="s">
        <v>9</v>
      </c>
    </row>
    <row r="1277" spans="1:9" x14ac:dyDescent="0.3">
      <c r="A1277" s="26">
        <v>44998</v>
      </c>
      <c r="B1277" s="27" t="s">
        <v>117</v>
      </c>
      <c r="C1277" s="27" t="s">
        <v>93</v>
      </c>
      <c r="D1277" s="27" t="s">
        <v>24</v>
      </c>
      <c r="E1277" s="28">
        <v>149700</v>
      </c>
      <c r="F1277" s="28">
        <v>135800</v>
      </c>
      <c r="G1277" s="27" t="s">
        <v>11</v>
      </c>
      <c r="H1277" s="27" t="s">
        <v>5138</v>
      </c>
      <c r="I1277" s="27" t="s">
        <v>9</v>
      </c>
    </row>
    <row r="1278" spans="1:9" x14ac:dyDescent="0.3">
      <c r="A1278" s="26">
        <v>44998</v>
      </c>
      <c r="B1278" s="27" t="s">
        <v>117</v>
      </c>
      <c r="C1278" s="27" t="s">
        <v>6</v>
      </c>
      <c r="D1278" s="27" t="s">
        <v>21</v>
      </c>
      <c r="E1278" s="28">
        <v>124300</v>
      </c>
      <c r="F1278" s="28">
        <v>125000</v>
      </c>
      <c r="G1278" s="27" t="s">
        <v>11</v>
      </c>
      <c r="H1278" s="27" t="s">
        <v>5852</v>
      </c>
      <c r="I1278" s="27" t="s">
        <v>9</v>
      </c>
    </row>
    <row r="1279" spans="1:9" x14ac:dyDescent="0.3">
      <c r="A1279" s="26">
        <v>44998</v>
      </c>
      <c r="B1279" s="27" t="s">
        <v>117</v>
      </c>
      <c r="C1279" s="27" t="s">
        <v>6</v>
      </c>
      <c r="D1279" s="27" t="s">
        <v>16</v>
      </c>
      <c r="E1279" s="28">
        <v>217100</v>
      </c>
      <c r="F1279" s="28">
        <v>190800</v>
      </c>
      <c r="G1279" s="27" t="s">
        <v>22</v>
      </c>
      <c r="H1279" s="27" t="s">
        <v>5898</v>
      </c>
      <c r="I1279" s="27" t="s">
        <v>9</v>
      </c>
    </row>
    <row r="1280" spans="1:9" x14ac:dyDescent="0.3">
      <c r="A1280" s="26">
        <v>44998</v>
      </c>
      <c r="B1280" s="27" t="s">
        <v>117</v>
      </c>
      <c r="C1280" s="27" t="s">
        <v>6</v>
      </c>
      <c r="D1280" s="27" t="s">
        <v>21</v>
      </c>
      <c r="E1280" s="28">
        <v>316500</v>
      </c>
      <c r="F1280" s="28">
        <v>313900</v>
      </c>
      <c r="G1280" s="27" t="s">
        <v>11</v>
      </c>
      <c r="H1280" s="27" t="s">
        <v>6524</v>
      </c>
      <c r="I1280" s="27" t="s">
        <v>9</v>
      </c>
    </row>
    <row r="1281" spans="1:9" x14ac:dyDescent="0.3">
      <c r="A1281" s="26">
        <v>44998</v>
      </c>
      <c r="B1281" s="27" t="s">
        <v>117</v>
      </c>
      <c r="C1281" s="27" t="s">
        <v>93</v>
      </c>
      <c r="D1281" s="27" t="s">
        <v>19</v>
      </c>
      <c r="E1281" s="28">
        <v>81400</v>
      </c>
      <c r="F1281" s="28">
        <v>93200</v>
      </c>
      <c r="G1281" s="27" t="s">
        <v>11</v>
      </c>
      <c r="H1281" s="27" t="s">
        <v>6552</v>
      </c>
      <c r="I1281" s="27" t="s">
        <v>9</v>
      </c>
    </row>
    <row r="1282" spans="1:9" x14ac:dyDescent="0.3">
      <c r="A1282" s="26">
        <v>44999</v>
      </c>
      <c r="B1282" s="27" t="s">
        <v>117</v>
      </c>
      <c r="C1282" s="27" t="s">
        <v>32</v>
      </c>
      <c r="D1282" s="27" t="s">
        <v>24</v>
      </c>
      <c r="E1282" s="28">
        <v>63750</v>
      </c>
      <c r="F1282" s="28">
        <v>32790</v>
      </c>
      <c r="G1282" s="27" t="s">
        <v>8</v>
      </c>
      <c r="H1282" s="27" t="s">
        <v>1207</v>
      </c>
      <c r="I1282" s="27" t="s">
        <v>13</v>
      </c>
    </row>
    <row r="1283" spans="1:9" x14ac:dyDescent="0.3">
      <c r="A1283" s="26">
        <v>44999</v>
      </c>
      <c r="B1283" s="27" t="s">
        <v>117</v>
      </c>
      <c r="C1283" s="27" t="s">
        <v>15</v>
      </c>
      <c r="D1283" s="27" t="s">
        <v>7</v>
      </c>
      <c r="E1283" s="28">
        <v>140568</v>
      </c>
      <c r="F1283" s="28">
        <v>73823</v>
      </c>
      <c r="G1283" s="27" t="s">
        <v>11</v>
      </c>
      <c r="H1283" s="27" t="s">
        <v>1289</v>
      </c>
      <c r="I1283" s="27" t="s">
        <v>13</v>
      </c>
    </row>
    <row r="1284" spans="1:9" x14ac:dyDescent="0.3">
      <c r="A1284" s="26">
        <v>44999</v>
      </c>
      <c r="B1284" s="27" t="s">
        <v>117</v>
      </c>
      <c r="C1284" s="27" t="s">
        <v>32</v>
      </c>
      <c r="D1284" s="27" t="s">
        <v>19</v>
      </c>
      <c r="E1284" s="28">
        <v>44125</v>
      </c>
      <c r="F1284" s="28">
        <v>107572</v>
      </c>
      <c r="G1284" s="27" t="s">
        <v>8</v>
      </c>
      <c r="H1284" s="27" t="s">
        <v>1293</v>
      </c>
      <c r="I1284" s="27" t="s">
        <v>13</v>
      </c>
    </row>
    <row r="1285" spans="1:9" x14ac:dyDescent="0.3">
      <c r="A1285" s="26">
        <v>44999</v>
      </c>
      <c r="B1285" s="27" t="s">
        <v>117</v>
      </c>
      <c r="C1285" s="27" t="s">
        <v>15</v>
      </c>
      <c r="D1285" s="27" t="s">
        <v>24</v>
      </c>
      <c r="E1285" s="28">
        <v>93943</v>
      </c>
      <c r="F1285" s="28">
        <v>54541</v>
      </c>
      <c r="G1285" s="27" t="s">
        <v>8</v>
      </c>
      <c r="H1285" s="27" t="s">
        <v>2015</v>
      </c>
      <c r="I1285" s="27" t="s">
        <v>13</v>
      </c>
    </row>
    <row r="1286" spans="1:9" x14ac:dyDescent="0.3">
      <c r="A1286" s="26">
        <v>44999</v>
      </c>
      <c r="B1286" s="27" t="s">
        <v>117</v>
      </c>
      <c r="C1286" s="27" t="s">
        <v>10</v>
      </c>
      <c r="D1286" s="27" t="s">
        <v>19</v>
      </c>
      <c r="E1286" s="28">
        <v>106485</v>
      </c>
      <c r="F1286" s="28">
        <v>110014</v>
      </c>
      <c r="G1286" s="27" t="s">
        <v>8</v>
      </c>
      <c r="H1286" s="27" t="s">
        <v>2167</v>
      </c>
      <c r="I1286" s="27" t="s">
        <v>13</v>
      </c>
    </row>
    <row r="1287" spans="1:9" x14ac:dyDescent="0.3">
      <c r="A1287" s="26">
        <v>44999</v>
      </c>
      <c r="B1287" s="27" t="s">
        <v>117</v>
      </c>
      <c r="C1287" s="27" t="s">
        <v>18</v>
      </c>
      <c r="D1287" s="27" t="s">
        <v>24</v>
      </c>
      <c r="E1287" s="28">
        <v>104499</v>
      </c>
      <c r="F1287" s="28">
        <v>82774</v>
      </c>
      <c r="G1287" s="27" t="s">
        <v>22</v>
      </c>
      <c r="H1287" s="27" t="s">
        <v>2238</v>
      </c>
      <c r="I1287" s="27" t="s">
        <v>13</v>
      </c>
    </row>
    <row r="1288" spans="1:9" x14ac:dyDescent="0.3">
      <c r="A1288" s="26">
        <v>44999</v>
      </c>
      <c r="B1288" s="27" t="s">
        <v>117</v>
      </c>
      <c r="C1288" s="27" t="s">
        <v>10</v>
      </c>
      <c r="D1288" s="27" t="s">
        <v>16</v>
      </c>
      <c r="E1288" s="28">
        <v>127724</v>
      </c>
      <c r="F1288" s="28">
        <v>122503</v>
      </c>
      <c r="G1288" s="27" t="s">
        <v>22</v>
      </c>
      <c r="H1288" s="27" t="s">
        <v>2346</v>
      </c>
      <c r="I1288" s="27" t="s">
        <v>13</v>
      </c>
    </row>
    <row r="1289" spans="1:9" x14ac:dyDescent="0.3">
      <c r="A1289" s="26">
        <v>44999</v>
      </c>
      <c r="B1289" s="27" t="s">
        <v>117</v>
      </c>
      <c r="C1289" s="27" t="s">
        <v>15</v>
      </c>
      <c r="D1289" s="27" t="s">
        <v>16</v>
      </c>
      <c r="E1289" s="28">
        <v>72508</v>
      </c>
      <c r="F1289" s="28">
        <v>40006</v>
      </c>
      <c r="G1289" s="27" t="s">
        <v>11</v>
      </c>
      <c r="H1289" s="27" t="s">
        <v>2621</v>
      </c>
      <c r="I1289" s="27" t="s">
        <v>13</v>
      </c>
    </row>
    <row r="1290" spans="1:9" x14ac:dyDescent="0.3">
      <c r="A1290" s="26">
        <v>44999</v>
      </c>
      <c r="B1290" s="27" t="s">
        <v>117</v>
      </c>
      <c r="C1290" s="27" t="s">
        <v>20</v>
      </c>
      <c r="D1290" s="27" t="s">
        <v>19</v>
      </c>
      <c r="E1290" s="28">
        <v>50039</v>
      </c>
      <c r="F1290" s="28">
        <v>38421</v>
      </c>
      <c r="G1290" s="27" t="s">
        <v>11</v>
      </c>
      <c r="H1290" s="27" t="s">
        <v>3024</v>
      </c>
      <c r="I1290" s="27" t="s">
        <v>13</v>
      </c>
    </row>
    <row r="1291" spans="1:9" x14ac:dyDescent="0.3">
      <c r="A1291" s="26">
        <v>44999</v>
      </c>
      <c r="B1291" s="27" t="s">
        <v>117</v>
      </c>
      <c r="C1291" s="27" t="s">
        <v>32</v>
      </c>
      <c r="D1291" s="27" t="s">
        <v>21</v>
      </c>
      <c r="E1291" s="28">
        <v>118659</v>
      </c>
      <c r="F1291" s="28">
        <v>32972</v>
      </c>
      <c r="G1291" s="27" t="s">
        <v>17</v>
      </c>
      <c r="H1291" s="27" t="s">
        <v>3152</v>
      </c>
      <c r="I1291" s="27" t="s">
        <v>13</v>
      </c>
    </row>
    <row r="1292" spans="1:9" x14ac:dyDescent="0.3">
      <c r="A1292" s="26">
        <v>44999</v>
      </c>
      <c r="B1292" s="27" t="s">
        <v>117</v>
      </c>
      <c r="C1292" s="27" t="s">
        <v>10</v>
      </c>
      <c r="D1292" s="27" t="s">
        <v>7</v>
      </c>
      <c r="E1292" s="28">
        <v>26849</v>
      </c>
      <c r="F1292" s="28">
        <v>138569</v>
      </c>
      <c r="G1292" s="27" t="s">
        <v>8</v>
      </c>
      <c r="H1292" s="27" t="s">
        <v>3196</v>
      </c>
      <c r="I1292" s="27" t="s">
        <v>13</v>
      </c>
    </row>
    <row r="1293" spans="1:9" x14ac:dyDescent="0.3">
      <c r="A1293" s="26">
        <v>44999</v>
      </c>
      <c r="B1293" s="27" t="s">
        <v>117</v>
      </c>
      <c r="C1293" s="27" t="s">
        <v>93</v>
      </c>
      <c r="D1293" s="27" t="s">
        <v>24</v>
      </c>
      <c r="E1293" s="28">
        <v>51000</v>
      </c>
      <c r="F1293" s="28">
        <v>53600</v>
      </c>
      <c r="G1293" s="27" t="s">
        <v>11</v>
      </c>
      <c r="H1293" s="27" t="s">
        <v>4590</v>
      </c>
      <c r="I1293" s="27" t="s">
        <v>9</v>
      </c>
    </row>
    <row r="1294" spans="1:9" x14ac:dyDescent="0.3">
      <c r="A1294" s="26">
        <v>44999</v>
      </c>
      <c r="B1294" s="27" t="s">
        <v>117</v>
      </c>
      <c r="C1294" s="27" t="s">
        <v>93</v>
      </c>
      <c r="D1294" s="27" t="s">
        <v>7</v>
      </c>
      <c r="E1294" s="28">
        <v>42200</v>
      </c>
      <c r="F1294" s="28">
        <v>33500</v>
      </c>
      <c r="G1294" s="27" t="s">
        <v>22</v>
      </c>
      <c r="H1294" s="27" t="s">
        <v>4672</v>
      </c>
      <c r="I1294" s="27" t="s">
        <v>9</v>
      </c>
    </row>
    <row r="1295" spans="1:9" x14ac:dyDescent="0.3">
      <c r="A1295" s="26">
        <v>44999</v>
      </c>
      <c r="B1295" s="27" t="s">
        <v>117</v>
      </c>
      <c r="C1295" s="27" t="s">
        <v>6</v>
      </c>
      <c r="D1295" s="27" t="s">
        <v>19</v>
      </c>
      <c r="E1295" s="28">
        <v>174700</v>
      </c>
      <c r="F1295" s="28">
        <v>172400</v>
      </c>
      <c r="G1295" s="27" t="s">
        <v>22</v>
      </c>
      <c r="H1295" s="27" t="s">
        <v>4676</v>
      </c>
      <c r="I1295" s="27" t="s">
        <v>9</v>
      </c>
    </row>
    <row r="1296" spans="1:9" x14ac:dyDescent="0.3">
      <c r="A1296" s="26">
        <v>44999</v>
      </c>
      <c r="B1296" s="27" t="s">
        <v>117</v>
      </c>
      <c r="C1296" s="27" t="s">
        <v>93</v>
      </c>
      <c r="D1296" s="27" t="s">
        <v>24</v>
      </c>
      <c r="E1296" s="28">
        <v>76600</v>
      </c>
      <c r="F1296" s="28">
        <v>81300</v>
      </c>
      <c r="G1296" s="27" t="s">
        <v>17</v>
      </c>
      <c r="H1296" s="27" t="s">
        <v>5399</v>
      </c>
      <c r="I1296" s="27" t="s">
        <v>9</v>
      </c>
    </row>
    <row r="1297" spans="1:9" x14ac:dyDescent="0.3">
      <c r="A1297" s="26">
        <v>44999</v>
      </c>
      <c r="B1297" s="27" t="s">
        <v>117</v>
      </c>
      <c r="C1297" s="27" t="s">
        <v>93</v>
      </c>
      <c r="D1297" s="27" t="s">
        <v>19</v>
      </c>
      <c r="E1297" s="28">
        <v>300800</v>
      </c>
      <c r="F1297" s="28">
        <v>411300</v>
      </c>
      <c r="G1297" s="27" t="s">
        <v>22</v>
      </c>
      <c r="H1297" s="27" t="s">
        <v>5552</v>
      </c>
      <c r="I1297" s="27" t="s">
        <v>9</v>
      </c>
    </row>
    <row r="1298" spans="1:9" x14ac:dyDescent="0.3">
      <c r="A1298" s="26">
        <v>44999</v>
      </c>
      <c r="B1298" s="27" t="s">
        <v>117</v>
      </c>
      <c r="C1298" s="27" t="s">
        <v>6</v>
      </c>
      <c r="D1298" s="27" t="s">
        <v>24</v>
      </c>
      <c r="E1298" s="28">
        <v>176000</v>
      </c>
      <c r="F1298" s="28">
        <v>127700</v>
      </c>
      <c r="G1298" s="27" t="s">
        <v>22</v>
      </c>
      <c r="H1298" s="27" t="s">
        <v>5623</v>
      </c>
      <c r="I1298" s="27" t="s">
        <v>9</v>
      </c>
    </row>
    <row r="1299" spans="1:9" x14ac:dyDescent="0.3">
      <c r="A1299" s="26">
        <v>44999</v>
      </c>
      <c r="B1299" s="27" t="s">
        <v>117</v>
      </c>
      <c r="C1299" s="27" t="s">
        <v>93</v>
      </c>
      <c r="D1299" s="27" t="s">
        <v>16</v>
      </c>
      <c r="E1299" s="28">
        <v>279000</v>
      </c>
      <c r="F1299" s="28">
        <v>272700</v>
      </c>
      <c r="G1299" s="27" t="s">
        <v>11</v>
      </c>
      <c r="H1299" s="27" t="s">
        <v>5731</v>
      </c>
      <c r="I1299" s="27" t="s">
        <v>9</v>
      </c>
    </row>
    <row r="1300" spans="1:9" x14ac:dyDescent="0.3">
      <c r="A1300" s="26">
        <v>44999</v>
      </c>
      <c r="B1300" s="27" t="s">
        <v>117</v>
      </c>
      <c r="C1300" s="27" t="s">
        <v>6</v>
      </c>
      <c r="D1300" s="27" t="s">
        <v>16</v>
      </c>
      <c r="E1300" s="28">
        <v>126900</v>
      </c>
      <c r="F1300" s="28">
        <v>132700</v>
      </c>
      <c r="G1300" s="27" t="s">
        <v>11</v>
      </c>
      <c r="H1300" s="27" t="s">
        <v>6006</v>
      </c>
      <c r="I1300" s="27" t="s">
        <v>9</v>
      </c>
    </row>
    <row r="1301" spans="1:9" x14ac:dyDescent="0.3">
      <c r="A1301" s="26">
        <v>44999</v>
      </c>
      <c r="B1301" s="27" t="s">
        <v>117</v>
      </c>
      <c r="C1301" s="27" t="s">
        <v>6</v>
      </c>
      <c r="D1301" s="27" t="s">
        <v>19</v>
      </c>
      <c r="E1301" s="28">
        <v>98500</v>
      </c>
      <c r="F1301" s="28">
        <v>115400</v>
      </c>
      <c r="G1301" s="27" t="s">
        <v>11</v>
      </c>
      <c r="H1301" s="27" t="s">
        <v>6409</v>
      </c>
      <c r="I1301" s="27" t="s">
        <v>9</v>
      </c>
    </row>
    <row r="1302" spans="1:9" x14ac:dyDescent="0.3">
      <c r="A1302" s="26">
        <v>44999</v>
      </c>
      <c r="B1302" s="27" t="s">
        <v>117</v>
      </c>
      <c r="C1302" s="27" t="s">
        <v>6</v>
      </c>
      <c r="D1302" s="27" t="s">
        <v>21</v>
      </c>
      <c r="E1302" s="28">
        <v>133500</v>
      </c>
      <c r="F1302" s="28">
        <v>167200</v>
      </c>
      <c r="G1302" s="27" t="s">
        <v>17</v>
      </c>
      <c r="H1302" s="27" t="s">
        <v>6537</v>
      </c>
      <c r="I1302" s="27" t="s">
        <v>9</v>
      </c>
    </row>
    <row r="1303" spans="1:9" x14ac:dyDescent="0.3">
      <c r="A1303" s="26">
        <v>44999</v>
      </c>
      <c r="B1303" s="27" t="s">
        <v>117</v>
      </c>
      <c r="C1303" s="27" t="s">
        <v>93</v>
      </c>
      <c r="D1303" s="27" t="s">
        <v>7</v>
      </c>
      <c r="E1303" s="28">
        <v>103100</v>
      </c>
      <c r="F1303" s="28">
        <v>108800</v>
      </c>
      <c r="G1303" s="27" t="s">
        <v>11</v>
      </c>
      <c r="H1303" s="27" t="s">
        <v>6581</v>
      </c>
      <c r="I1303" s="27" t="s">
        <v>9</v>
      </c>
    </row>
    <row r="1304" spans="1:9" x14ac:dyDescent="0.3">
      <c r="A1304" s="26">
        <v>45000</v>
      </c>
      <c r="B1304" s="27" t="s">
        <v>117</v>
      </c>
      <c r="C1304" s="27" t="s">
        <v>20</v>
      </c>
      <c r="D1304" s="27" t="s">
        <v>24</v>
      </c>
      <c r="E1304" s="28">
        <v>108373</v>
      </c>
      <c r="F1304" s="28">
        <v>33363</v>
      </c>
      <c r="G1304" s="27" t="s">
        <v>8</v>
      </c>
      <c r="H1304" s="27" t="s">
        <v>308</v>
      </c>
      <c r="I1304" s="27" t="s">
        <v>13</v>
      </c>
    </row>
    <row r="1305" spans="1:9" x14ac:dyDescent="0.3">
      <c r="A1305" s="26">
        <v>45000</v>
      </c>
      <c r="B1305" s="27" t="s">
        <v>117</v>
      </c>
      <c r="C1305" s="27" t="s">
        <v>14</v>
      </c>
      <c r="D1305" s="27" t="s">
        <v>19</v>
      </c>
      <c r="E1305" s="28">
        <v>147532</v>
      </c>
      <c r="F1305" s="28">
        <v>98420</v>
      </c>
      <c r="G1305" s="27" t="s">
        <v>11</v>
      </c>
      <c r="H1305" s="27" t="s">
        <v>1261</v>
      </c>
      <c r="I1305" s="27" t="s">
        <v>13</v>
      </c>
    </row>
    <row r="1306" spans="1:9" x14ac:dyDescent="0.3">
      <c r="A1306" s="26">
        <v>45000</v>
      </c>
      <c r="B1306" s="27" t="s">
        <v>117</v>
      </c>
      <c r="C1306" s="27" t="s">
        <v>18</v>
      </c>
      <c r="D1306" s="27" t="s">
        <v>24</v>
      </c>
      <c r="E1306" s="28">
        <v>27986</v>
      </c>
      <c r="F1306" s="28">
        <v>106172</v>
      </c>
      <c r="G1306" s="27" t="s">
        <v>11</v>
      </c>
      <c r="H1306" s="27" t="s">
        <v>1523</v>
      </c>
      <c r="I1306" s="27" t="s">
        <v>13</v>
      </c>
    </row>
    <row r="1307" spans="1:9" x14ac:dyDescent="0.3">
      <c r="A1307" s="26">
        <v>45000</v>
      </c>
      <c r="B1307" s="27" t="s">
        <v>117</v>
      </c>
      <c r="C1307" s="27" t="s">
        <v>10</v>
      </c>
      <c r="D1307" s="27" t="s">
        <v>7</v>
      </c>
      <c r="E1307" s="28">
        <v>132887</v>
      </c>
      <c r="F1307" s="28">
        <v>134366</v>
      </c>
      <c r="G1307" s="27" t="s">
        <v>11</v>
      </c>
      <c r="H1307" s="27" t="s">
        <v>1733</v>
      </c>
      <c r="I1307" s="27" t="s">
        <v>13</v>
      </c>
    </row>
    <row r="1308" spans="1:9" x14ac:dyDescent="0.3">
      <c r="A1308" s="26">
        <v>45000</v>
      </c>
      <c r="B1308" s="27" t="s">
        <v>117</v>
      </c>
      <c r="C1308" s="27" t="s">
        <v>18</v>
      </c>
      <c r="D1308" s="27" t="s">
        <v>21</v>
      </c>
      <c r="E1308" s="28">
        <v>73505</v>
      </c>
      <c r="F1308" s="28">
        <v>152999</v>
      </c>
      <c r="G1308" s="27" t="s">
        <v>11</v>
      </c>
      <c r="H1308" s="27" t="s">
        <v>1867</v>
      </c>
      <c r="I1308" s="27" t="s">
        <v>13</v>
      </c>
    </row>
    <row r="1309" spans="1:9" x14ac:dyDescent="0.3">
      <c r="A1309" s="26">
        <v>45000</v>
      </c>
      <c r="B1309" s="27" t="s">
        <v>117</v>
      </c>
      <c r="C1309" s="27" t="s">
        <v>10</v>
      </c>
      <c r="D1309" s="27" t="s">
        <v>7</v>
      </c>
      <c r="E1309" s="28">
        <v>90359</v>
      </c>
      <c r="F1309" s="28">
        <v>94686</v>
      </c>
      <c r="G1309" s="27" t="s">
        <v>17</v>
      </c>
      <c r="H1309" s="27" t="s">
        <v>1930</v>
      </c>
      <c r="I1309" s="27" t="s">
        <v>13</v>
      </c>
    </row>
    <row r="1310" spans="1:9" x14ac:dyDescent="0.3">
      <c r="A1310" s="26">
        <v>45000</v>
      </c>
      <c r="B1310" s="27" t="s">
        <v>117</v>
      </c>
      <c r="C1310" s="27" t="s">
        <v>15</v>
      </c>
      <c r="D1310" s="27" t="s">
        <v>7</v>
      </c>
      <c r="E1310" s="28">
        <v>135194</v>
      </c>
      <c r="F1310" s="28">
        <v>134407</v>
      </c>
      <c r="G1310" s="27" t="s">
        <v>17</v>
      </c>
      <c r="H1310" s="27" t="s">
        <v>2221</v>
      </c>
      <c r="I1310" s="27" t="s">
        <v>13</v>
      </c>
    </row>
    <row r="1311" spans="1:9" x14ac:dyDescent="0.3">
      <c r="A1311" s="26">
        <v>45000</v>
      </c>
      <c r="B1311" s="27" t="s">
        <v>117</v>
      </c>
      <c r="C1311" s="27" t="s">
        <v>10</v>
      </c>
      <c r="D1311" s="27" t="s">
        <v>7</v>
      </c>
      <c r="E1311" s="28">
        <v>87064</v>
      </c>
      <c r="F1311" s="28">
        <v>97607</v>
      </c>
      <c r="G1311" s="27" t="s">
        <v>11</v>
      </c>
      <c r="H1311" s="27" t="s">
        <v>2676</v>
      </c>
      <c r="I1311" s="27" t="s">
        <v>13</v>
      </c>
    </row>
    <row r="1312" spans="1:9" x14ac:dyDescent="0.3">
      <c r="A1312" s="26">
        <v>45000</v>
      </c>
      <c r="B1312" s="27" t="s">
        <v>117</v>
      </c>
      <c r="C1312" s="27" t="s">
        <v>14</v>
      </c>
      <c r="D1312" s="27" t="s">
        <v>19</v>
      </c>
      <c r="E1312" s="28">
        <v>101168</v>
      </c>
      <c r="F1312" s="28">
        <v>87688</v>
      </c>
      <c r="G1312" s="27" t="s">
        <v>17</v>
      </c>
      <c r="H1312" s="27" t="s">
        <v>3364</v>
      </c>
      <c r="I1312" s="27" t="s">
        <v>13</v>
      </c>
    </row>
    <row r="1313" spans="1:9" x14ac:dyDescent="0.3">
      <c r="A1313" s="26">
        <v>45000</v>
      </c>
      <c r="B1313" s="27" t="s">
        <v>117</v>
      </c>
      <c r="C1313" s="27" t="s">
        <v>93</v>
      </c>
      <c r="D1313" s="27" t="s">
        <v>24</v>
      </c>
      <c r="E1313" s="28">
        <v>294600</v>
      </c>
      <c r="F1313" s="28">
        <v>306400</v>
      </c>
      <c r="G1313" s="27" t="s">
        <v>11</v>
      </c>
      <c r="H1313" s="27" t="s">
        <v>3689</v>
      </c>
      <c r="I1313" s="27" t="s">
        <v>9</v>
      </c>
    </row>
    <row r="1314" spans="1:9" x14ac:dyDescent="0.3">
      <c r="A1314" s="26">
        <v>45000</v>
      </c>
      <c r="B1314" s="27" t="s">
        <v>117</v>
      </c>
      <c r="C1314" s="27" t="s">
        <v>6</v>
      </c>
      <c r="D1314" s="27" t="s">
        <v>19</v>
      </c>
      <c r="E1314" s="28">
        <v>155300</v>
      </c>
      <c r="F1314" s="28">
        <v>150100</v>
      </c>
      <c r="G1314" s="27" t="s">
        <v>22</v>
      </c>
      <c r="H1314" s="27" t="s">
        <v>4644</v>
      </c>
      <c r="I1314" s="27" t="s">
        <v>9</v>
      </c>
    </row>
    <row r="1315" spans="1:9" x14ac:dyDescent="0.3">
      <c r="A1315" s="26">
        <v>45000</v>
      </c>
      <c r="B1315" s="27" t="s">
        <v>117</v>
      </c>
      <c r="C1315" s="27" t="s">
        <v>6</v>
      </c>
      <c r="D1315" s="27" t="s">
        <v>24</v>
      </c>
      <c r="E1315" s="28">
        <v>79800</v>
      </c>
      <c r="F1315" s="28">
        <v>62800</v>
      </c>
      <c r="G1315" s="27" t="s">
        <v>11</v>
      </c>
      <c r="H1315" s="27" t="s">
        <v>4906</v>
      </c>
      <c r="I1315" s="27" t="s">
        <v>9</v>
      </c>
    </row>
    <row r="1316" spans="1:9" x14ac:dyDescent="0.3">
      <c r="A1316" s="26">
        <v>45000</v>
      </c>
      <c r="B1316" s="27" t="s">
        <v>117</v>
      </c>
      <c r="C1316" s="27" t="s">
        <v>6</v>
      </c>
      <c r="D1316" s="27" t="s">
        <v>7</v>
      </c>
      <c r="E1316" s="28">
        <v>163700</v>
      </c>
      <c r="F1316" s="28">
        <v>206300</v>
      </c>
      <c r="G1316" s="27" t="s">
        <v>11</v>
      </c>
      <c r="H1316" s="27" t="s">
        <v>5116</v>
      </c>
      <c r="I1316" s="27" t="s">
        <v>9</v>
      </c>
    </row>
    <row r="1317" spans="1:9" x14ac:dyDescent="0.3">
      <c r="A1317" s="26">
        <v>45000</v>
      </c>
      <c r="B1317" s="27" t="s">
        <v>117</v>
      </c>
      <c r="C1317" s="27" t="s">
        <v>93</v>
      </c>
      <c r="D1317" s="27" t="s">
        <v>21</v>
      </c>
      <c r="E1317" s="28">
        <v>129800</v>
      </c>
      <c r="F1317" s="28">
        <v>148200</v>
      </c>
      <c r="G1317" s="27" t="s">
        <v>22</v>
      </c>
      <c r="H1317" s="27" t="s">
        <v>5251</v>
      </c>
      <c r="I1317" s="27" t="s">
        <v>9</v>
      </c>
    </row>
    <row r="1318" spans="1:9" x14ac:dyDescent="0.3">
      <c r="A1318" s="26">
        <v>45000</v>
      </c>
      <c r="B1318" s="27" t="s">
        <v>117</v>
      </c>
      <c r="C1318" s="27" t="s">
        <v>93</v>
      </c>
      <c r="D1318" s="27" t="s">
        <v>7</v>
      </c>
      <c r="E1318" s="28">
        <v>185600</v>
      </c>
      <c r="F1318" s="28">
        <v>180900</v>
      </c>
      <c r="G1318" s="27" t="s">
        <v>22</v>
      </c>
      <c r="H1318" s="27" t="s">
        <v>5314</v>
      </c>
      <c r="I1318" s="27" t="s">
        <v>9</v>
      </c>
    </row>
    <row r="1319" spans="1:9" x14ac:dyDescent="0.3">
      <c r="A1319" s="26">
        <v>45000</v>
      </c>
      <c r="B1319" s="27" t="s">
        <v>117</v>
      </c>
      <c r="C1319" s="27" t="s">
        <v>6</v>
      </c>
      <c r="D1319" s="27" t="s">
        <v>7</v>
      </c>
      <c r="E1319" s="28">
        <v>55700</v>
      </c>
      <c r="F1319" s="28">
        <v>53000</v>
      </c>
      <c r="G1319" s="27" t="s">
        <v>17</v>
      </c>
      <c r="H1319" s="27" t="s">
        <v>5606</v>
      </c>
      <c r="I1319" s="27" t="s">
        <v>9</v>
      </c>
    </row>
    <row r="1320" spans="1:9" x14ac:dyDescent="0.3">
      <c r="A1320" s="26">
        <v>45000</v>
      </c>
      <c r="B1320" s="27" t="s">
        <v>117</v>
      </c>
      <c r="C1320" s="27" t="s">
        <v>6</v>
      </c>
      <c r="D1320" s="27" t="s">
        <v>7</v>
      </c>
      <c r="E1320" s="28">
        <v>137900</v>
      </c>
      <c r="F1320" s="28">
        <v>147000</v>
      </c>
      <c r="G1320" s="27" t="s">
        <v>11</v>
      </c>
      <c r="H1320" s="27" t="s">
        <v>6061</v>
      </c>
      <c r="I1320" s="27" t="s">
        <v>9</v>
      </c>
    </row>
    <row r="1321" spans="1:9" x14ac:dyDescent="0.3">
      <c r="A1321" s="26">
        <v>45000</v>
      </c>
      <c r="B1321" s="27" t="s">
        <v>117</v>
      </c>
      <c r="C1321" s="27" t="s">
        <v>93</v>
      </c>
      <c r="D1321" s="27" t="s">
        <v>19</v>
      </c>
      <c r="E1321" s="28">
        <v>93000</v>
      </c>
      <c r="F1321" s="28">
        <v>107700</v>
      </c>
      <c r="G1321" s="27" t="s">
        <v>11</v>
      </c>
      <c r="H1321" s="27" t="s">
        <v>6749</v>
      </c>
      <c r="I1321" s="27" t="s">
        <v>9</v>
      </c>
    </row>
    <row r="1322" spans="1:9" x14ac:dyDescent="0.3">
      <c r="A1322" s="26">
        <v>45001</v>
      </c>
      <c r="B1322" s="27" t="s">
        <v>117</v>
      </c>
      <c r="C1322" s="27" t="s">
        <v>15</v>
      </c>
      <c r="D1322" s="27" t="s">
        <v>16</v>
      </c>
      <c r="E1322" s="28">
        <v>144560</v>
      </c>
      <c r="F1322" s="28">
        <v>67544</v>
      </c>
      <c r="G1322" s="27" t="s">
        <v>11</v>
      </c>
      <c r="H1322" s="27" t="s">
        <v>37</v>
      </c>
      <c r="I1322" s="27" t="s">
        <v>13</v>
      </c>
    </row>
    <row r="1323" spans="1:9" x14ac:dyDescent="0.3">
      <c r="A1323" s="26">
        <v>45001</v>
      </c>
      <c r="B1323" s="27" t="s">
        <v>117</v>
      </c>
      <c r="C1323" s="27" t="s">
        <v>32</v>
      </c>
      <c r="D1323" s="27" t="s">
        <v>21</v>
      </c>
      <c r="E1323" s="28">
        <v>78625</v>
      </c>
      <c r="F1323" s="28">
        <v>136538</v>
      </c>
      <c r="G1323" s="27" t="s">
        <v>8</v>
      </c>
      <c r="H1323" s="27" t="s">
        <v>418</v>
      </c>
      <c r="I1323" s="27" t="s">
        <v>13</v>
      </c>
    </row>
    <row r="1324" spans="1:9" x14ac:dyDescent="0.3">
      <c r="A1324" s="26">
        <v>45001</v>
      </c>
      <c r="B1324" s="27" t="s">
        <v>117</v>
      </c>
      <c r="C1324" s="27" t="s">
        <v>15</v>
      </c>
      <c r="D1324" s="27" t="s">
        <v>19</v>
      </c>
      <c r="E1324" s="28">
        <v>141324</v>
      </c>
      <c r="F1324" s="28">
        <v>149685</v>
      </c>
      <c r="G1324" s="27" t="s">
        <v>11</v>
      </c>
      <c r="H1324" s="27" t="s">
        <v>425</v>
      </c>
      <c r="I1324" s="27" t="s">
        <v>13</v>
      </c>
    </row>
    <row r="1325" spans="1:9" x14ac:dyDescent="0.3">
      <c r="A1325" s="26">
        <v>45001</v>
      </c>
      <c r="B1325" s="27" t="s">
        <v>117</v>
      </c>
      <c r="C1325" s="27" t="s">
        <v>32</v>
      </c>
      <c r="D1325" s="27" t="s">
        <v>24</v>
      </c>
      <c r="E1325" s="28">
        <v>50865</v>
      </c>
      <c r="F1325" s="28">
        <v>103457</v>
      </c>
      <c r="G1325" s="27" t="s">
        <v>22</v>
      </c>
      <c r="H1325" s="27" t="s">
        <v>461</v>
      </c>
      <c r="I1325" s="27" t="s">
        <v>13</v>
      </c>
    </row>
    <row r="1326" spans="1:9" x14ac:dyDescent="0.3">
      <c r="A1326" s="26">
        <v>45001</v>
      </c>
      <c r="B1326" s="27" t="s">
        <v>117</v>
      </c>
      <c r="C1326" s="27" t="s">
        <v>10</v>
      </c>
      <c r="D1326" s="27" t="s">
        <v>7</v>
      </c>
      <c r="E1326" s="28">
        <v>82239</v>
      </c>
      <c r="F1326" s="28">
        <v>25280</v>
      </c>
      <c r="G1326" s="27" t="s">
        <v>11</v>
      </c>
      <c r="H1326" s="27" t="s">
        <v>582</v>
      </c>
      <c r="I1326" s="27" t="s">
        <v>13</v>
      </c>
    </row>
    <row r="1327" spans="1:9" x14ac:dyDescent="0.3">
      <c r="A1327" s="26">
        <v>45001</v>
      </c>
      <c r="B1327" s="27" t="s">
        <v>117</v>
      </c>
      <c r="C1327" s="27" t="s">
        <v>18</v>
      </c>
      <c r="D1327" s="27" t="s">
        <v>7</v>
      </c>
      <c r="E1327" s="28">
        <v>13460</v>
      </c>
      <c r="F1327" s="28">
        <v>127932</v>
      </c>
      <c r="G1327" s="27" t="s">
        <v>8</v>
      </c>
      <c r="H1327" s="27" t="s">
        <v>671</v>
      </c>
      <c r="I1327" s="27" t="s">
        <v>13</v>
      </c>
    </row>
    <row r="1328" spans="1:9" x14ac:dyDescent="0.3">
      <c r="A1328" s="26">
        <v>45001</v>
      </c>
      <c r="B1328" s="27" t="s">
        <v>117</v>
      </c>
      <c r="C1328" s="27" t="s">
        <v>15</v>
      </c>
      <c r="D1328" s="27" t="s">
        <v>24</v>
      </c>
      <c r="E1328" s="28">
        <v>53101</v>
      </c>
      <c r="F1328" s="28">
        <v>97130</v>
      </c>
      <c r="G1328" s="27" t="s">
        <v>17</v>
      </c>
      <c r="H1328" s="27" t="s">
        <v>1317</v>
      </c>
      <c r="I1328" s="27" t="s">
        <v>13</v>
      </c>
    </row>
    <row r="1329" spans="1:9" x14ac:dyDescent="0.3">
      <c r="A1329" s="26">
        <v>45001</v>
      </c>
      <c r="B1329" s="27" t="s">
        <v>117</v>
      </c>
      <c r="C1329" s="27" t="s">
        <v>14</v>
      </c>
      <c r="D1329" s="27" t="s">
        <v>24</v>
      </c>
      <c r="E1329" s="28">
        <v>17586</v>
      </c>
      <c r="F1329" s="28">
        <v>52452</v>
      </c>
      <c r="G1329" s="27" t="s">
        <v>8</v>
      </c>
      <c r="H1329" s="27" t="s">
        <v>2086</v>
      </c>
      <c r="I1329" s="27" t="s">
        <v>13</v>
      </c>
    </row>
    <row r="1330" spans="1:9" x14ac:dyDescent="0.3">
      <c r="A1330" s="26">
        <v>45001</v>
      </c>
      <c r="B1330" s="27" t="s">
        <v>117</v>
      </c>
      <c r="C1330" s="27" t="s">
        <v>15</v>
      </c>
      <c r="D1330" s="27" t="s">
        <v>24</v>
      </c>
      <c r="E1330" s="28">
        <v>135815</v>
      </c>
      <c r="F1330" s="28">
        <v>98864</v>
      </c>
      <c r="G1330" s="27" t="s">
        <v>8</v>
      </c>
      <c r="H1330" s="27" t="s">
        <v>2406</v>
      </c>
      <c r="I1330" s="27" t="s">
        <v>13</v>
      </c>
    </row>
    <row r="1331" spans="1:9" x14ac:dyDescent="0.3">
      <c r="A1331" s="26">
        <v>45001</v>
      </c>
      <c r="B1331" s="27" t="s">
        <v>117</v>
      </c>
      <c r="C1331" s="27" t="s">
        <v>14</v>
      </c>
      <c r="D1331" s="27" t="s">
        <v>24</v>
      </c>
      <c r="E1331" s="28">
        <v>19545</v>
      </c>
      <c r="F1331" s="28">
        <v>71823</v>
      </c>
      <c r="G1331" s="27" t="s">
        <v>17</v>
      </c>
      <c r="H1331" s="27" t="s">
        <v>2435</v>
      </c>
      <c r="I1331" s="27" t="s">
        <v>13</v>
      </c>
    </row>
    <row r="1332" spans="1:9" x14ac:dyDescent="0.3">
      <c r="A1332" s="26">
        <v>45001</v>
      </c>
      <c r="B1332" s="27" t="s">
        <v>117</v>
      </c>
      <c r="C1332" s="27" t="s">
        <v>14</v>
      </c>
      <c r="D1332" s="27" t="s">
        <v>16</v>
      </c>
      <c r="E1332" s="28">
        <v>35972</v>
      </c>
      <c r="F1332" s="28">
        <v>150076</v>
      </c>
      <c r="G1332" s="27" t="s">
        <v>22</v>
      </c>
      <c r="H1332" s="27" t="s">
        <v>2672</v>
      </c>
      <c r="I1332" s="27" t="s">
        <v>13</v>
      </c>
    </row>
    <row r="1333" spans="1:9" x14ac:dyDescent="0.3">
      <c r="A1333" s="26">
        <v>45001</v>
      </c>
      <c r="B1333" s="27" t="s">
        <v>117</v>
      </c>
      <c r="C1333" s="27" t="s">
        <v>14</v>
      </c>
      <c r="D1333" s="27" t="s">
        <v>16</v>
      </c>
      <c r="E1333" s="28">
        <v>123638</v>
      </c>
      <c r="F1333" s="28">
        <v>62920</v>
      </c>
      <c r="G1333" s="27" t="s">
        <v>8</v>
      </c>
      <c r="H1333" s="27" t="s">
        <v>3348</v>
      </c>
      <c r="I1333" s="27" t="s">
        <v>13</v>
      </c>
    </row>
    <row r="1334" spans="1:9" x14ac:dyDescent="0.3">
      <c r="A1334" s="26">
        <v>45001</v>
      </c>
      <c r="B1334" s="27" t="s">
        <v>117</v>
      </c>
      <c r="C1334" s="27" t="s">
        <v>6</v>
      </c>
      <c r="D1334" s="27" t="s">
        <v>16</v>
      </c>
      <c r="E1334" s="28">
        <v>74200</v>
      </c>
      <c r="F1334" s="28">
        <v>83900</v>
      </c>
      <c r="G1334" s="27" t="s">
        <v>22</v>
      </c>
      <c r="H1334" s="27" t="s">
        <v>3474</v>
      </c>
      <c r="I1334" s="27" t="s">
        <v>9</v>
      </c>
    </row>
    <row r="1335" spans="1:9" x14ac:dyDescent="0.3">
      <c r="A1335" s="26">
        <v>45001</v>
      </c>
      <c r="B1335" s="27" t="s">
        <v>117</v>
      </c>
      <c r="C1335" s="27" t="s">
        <v>93</v>
      </c>
      <c r="D1335" s="27" t="s">
        <v>21</v>
      </c>
      <c r="E1335" s="28">
        <v>314800</v>
      </c>
      <c r="F1335" s="28">
        <v>211400</v>
      </c>
      <c r="G1335" s="27" t="s">
        <v>22</v>
      </c>
      <c r="H1335" s="27" t="s">
        <v>3799</v>
      </c>
      <c r="I1335" s="27" t="s">
        <v>9</v>
      </c>
    </row>
    <row r="1336" spans="1:9" x14ac:dyDescent="0.3">
      <c r="A1336" s="26">
        <v>45001</v>
      </c>
      <c r="B1336" s="27" t="s">
        <v>117</v>
      </c>
      <c r="C1336" s="27" t="s">
        <v>93</v>
      </c>
      <c r="D1336" s="27" t="s">
        <v>19</v>
      </c>
      <c r="E1336" s="28">
        <v>52500</v>
      </c>
      <c r="F1336" s="28">
        <v>55600</v>
      </c>
      <c r="G1336" s="27" t="s">
        <v>11</v>
      </c>
      <c r="H1336" s="27" t="s">
        <v>3806</v>
      </c>
      <c r="I1336" s="27" t="s">
        <v>9</v>
      </c>
    </row>
    <row r="1337" spans="1:9" x14ac:dyDescent="0.3">
      <c r="A1337" s="26">
        <v>45001</v>
      </c>
      <c r="B1337" s="27" t="s">
        <v>117</v>
      </c>
      <c r="C1337" s="27" t="s">
        <v>6</v>
      </c>
      <c r="D1337" s="27" t="s">
        <v>24</v>
      </c>
      <c r="E1337" s="28">
        <v>89100</v>
      </c>
      <c r="F1337" s="28">
        <v>103500</v>
      </c>
      <c r="G1337" s="27" t="s">
        <v>17</v>
      </c>
      <c r="H1337" s="27" t="s">
        <v>3842</v>
      </c>
      <c r="I1337" s="27" t="s">
        <v>9</v>
      </c>
    </row>
    <row r="1338" spans="1:9" x14ac:dyDescent="0.3">
      <c r="A1338" s="26">
        <v>45001</v>
      </c>
      <c r="B1338" s="27" t="s">
        <v>117</v>
      </c>
      <c r="C1338" s="27" t="s">
        <v>6</v>
      </c>
      <c r="D1338" s="27" t="s">
        <v>7</v>
      </c>
      <c r="E1338" s="28">
        <v>106100</v>
      </c>
      <c r="F1338" s="28">
        <v>112400</v>
      </c>
      <c r="G1338" s="27" t="s">
        <v>11</v>
      </c>
      <c r="H1338" s="27" t="s">
        <v>3963</v>
      </c>
      <c r="I1338" s="27" t="s">
        <v>9</v>
      </c>
    </row>
    <row r="1339" spans="1:9" x14ac:dyDescent="0.3">
      <c r="A1339" s="26">
        <v>45001</v>
      </c>
      <c r="B1339" s="27" t="s">
        <v>117</v>
      </c>
      <c r="C1339" s="27" t="s">
        <v>93</v>
      </c>
      <c r="D1339" s="27" t="s">
        <v>7</v>
      </c>
      <c r="E1339" s="28">
        <v>111900</v>
      </c>
      <c r="F1339" s="28">
        <v>113800</v>
      </c>
      <c r="G1339" s="27" t="s">
        <v>22</v>
      </c>
      <c r="H1339" s="27" t="s">
        <v>4052</v>
      </c>
      <c r="I1339" s="27" t="s">
        <v>9</v>
      </c>
    </row>
    <row r="1340" spans="1:9" x14ac:dyDescent="0.3">
      <c r="A1340" s="26">
        <v>45001</v>
      </c>
      <c r="B1340" s="27" t="s">
        <v>117</v>
      </c>
      <c r="C1340" s="27" t="s">
        <v>6</v>
      </c>
      <c r="D1340" s="27" t="s">
        <v>24</v>
      </c>
      <c r="E1340" s="28">
        <v>112200</v>
      </c>
      <c r="F1340" s="28">
        <v>110400</v>
      </c>
      <c r="G1340" s="27" t="s">
        <v>22</v>
      </c>
      <c r="H1340" s="27" t="s">
        <v>4700</v>
      </c>
      <c r="I1340" s="27" t="s">
        <v>9</v>
      </c>
    </row>
    <row r="1341" spans="1:9" x14ac:dyDescent="0.3">
      <c r="A1341" s="26">
        <v>45001</v>
      </c>
      <c r="B1341" s="27" t="s">
        <v>117</v>
      </c>
      <c r="C1341" s="27" t="s">
        <v>6</v>
      </c>
      <c r="D1341" s="27" t="s">
        <v>24</v>
      </c>
      <c r="E1341" s="28">
        <v>84300</v>
      </c>
      <c r="F1341" s="28">
        <v>125300</v>
      </c>
      <c r="G1341" s="27" t="s">
        <v>11</v>
      </c>
      <c r="H1341" s="27" t="s">
        <v>5470</v>
      </c>
      <c r="I1341" s="27" t="s">
        <v>9</v>
      </c>
    </row>
    <row r="1342" spans="1:9" x14ac:dyDescent="0.3">
      <c r="A1342" s="26">
        <v>45001</v>
      </c>
      <c r="B1342" s="27" t="s">
        <v>117</v>
      </c>
      <c r="C1342" s="27" t="s">
        <v>6</v>
      </c>
      <c r="D1342" s="27" t="s">
        <v>24</v>
      </c>
      <c r="E1342" s="28">
        <v>105400</v>
      </c>
      <c r="F1342" s="28">
        <v>101600</v>
      </c>
      <c r="G1342" s="27" t="s">
        <v>11</v>
      </c>
      <c r="H1342" s="27" t="s">
        <v>5791</v>
      </c>
      <c r="I1342" s="27" t="s">
        <v>9</v>
      </c>
    </row>
    <row r="1343" spans="1:9" x14ac:dyDescent="0.3">
      <c r="A1343" s="26">
        <v>45001</v>
      </c>
      <c r="B1343" s="27" t="s">
        <v>117</v>
      </c>
      <c r="C1343" s="27" t="s">
        <v>6</v>
      </c>
      <c r="D1343" s="27" t="s">
        <v>24</v>
      </c>
      <c r="E1343" s="28">
        <v>72500</v>
      </c>
      <c r="F1343" s="28">
        <v>83400</v>
      </c>
      <c r="G1343" s="27" t="s">
        <v>22</v>
      </c>
      <c r="H1343" s="27" t="s">
        <v>5820</v>
      </c>
      <c r="I1343" s="27" t="s">
        <v>9</v>
      </c>
    </row>
    <row r="1344" spans="1:9" x14ac:dyDescent="0.3">
      <c r="A1344" s="26">
        <v>45001</v>
      </c>
      <c r="B1344" s="27" t="s">
        <v>117</v>
      </c>
      <c r="C1344" s="27" t="s">
        <v>93</v>
      </c>
      <c r="D1344" s="27" t="s">
        <v>16</v>
      </c>
      <c r="E1344" s="28">
        <v>69000</v>
      </c>
      <c r="F1344" s="28">
        <v>81200</v>
      </c>
      <c r="G1344" s="27" t="s">
        <v>11</v>
      </c>
      <c r="H1344" s="27" t="s">
        <v>6057</v>
      </c>
      <c r="I1344" s="27" t="s">
        <v>9</v>
      </c>
    </row>
    <row r="1345" spans="1:9" x14ac:dyDescent="0.3">
      <c r="A1345" s="26">
        <v>45001</v>
      </c>
      <c r="B1345" s="27" t="s">
        <v>117</v>
      </c>
      <c r="C1345" s="27" t="s">
        <v>6</v>
      </c>
      <c r="D1345" s="27" t="s">
        <v>16</v>
      </c>
      <c r="E1345" s="28">
        <v>180700</v>
      </c>
      <c r="F1345" s="28">
        <v>126600</v>
      </c>
      <c r="G1345" s="27" t="s">
        <v>11</v>
      </c>
      <c r="H1345" s="27" t="s">
        <v>6733</v>
      </c>
      <c r="I1345" s="27" t="s">
        <v>9</v>
      </c>
    </row>
    <row r="1346" spans="1:9" x14ac:dyDescent="0.3">
      <c r="A1346" s="26">
        <v>45002</v>
      </c>
      <c r="B1346" s="27" t="s">
        <v>117</v>
      </c>
      <c r="C1346" s="27" t="s">
        <v>20</v>
      </c>
      <c r="D1346" s="27" t="s">
        <v>24</v>
      </c>
      <c r="E1346" s="28">
        <v>75603</v>
      </c>
      <c r="F1346" s="28">
        <v>73056</v>
      </c>
      <c r="G1346" s="27" t="s">
        <v>11</v>
      </c>
      <c r="H1346" s="27" t="s">
        <v>38</v>
      </c>
      <c r="I1346" s="27" t="s">
        <v>13</v>
      </c>
    </row>
    <row r="1347" spans="1:9" x14ac:dyDescent="0.3">
      <c r="A1347" s="26">
        <v>45002</v>
      </c>
      <c r="B1347" s="27" t="s">
        <v>117</v>
      </c>
      <c r="C1347" s="27" t="s">
        <v>10</v>
      </c>
      <c r="D1347" s="27" t="s">
        <v>7</v>
      </c>
      <c r="E1347" s="28">
        <v>54653</v>
      </c>
      <c r="F1347" s="28">
        <v>89573</v>
      </c>
      <c r="G1347" s="27" t="s">
        <v>8</v>
      </c>
      <c r="H1347" s="27" t="s">
        <v>286</v>
      </c>
      <c r="I1347" s="27" t="s">
        <v>13</v>
      </c>
    </row>
    <row r="1348" spans="1:9" x14ac:dyDescent="0.3">
      <c r="A1348" s="26">
        <v>45002</v>
      </c>
      <c r="B1348" s="27" t="s">
        <v>117</v>
      </c>
      <c r="C1348" s="27" t="s">
        <v>15</v>
      </c>
      <c r="D1348" s="27" t="s">
        <v>24</v>
      </c>
      <c r="E1348" s="28">
        <v>145224</v>
      </c>
      <c r="F1348" s="28">
        <v>115873</v>
      </c>
      <c r="G1348" s="27" t="s">
        <v>17</v>
      </c>
      <c r="H1348" s="27" t="s">
        <v>314</v>
      </c>
      <c r="I1348" s="27" t="s">
        <v>13</v>
      </c>
    </row>
    <row r="1349" spans="1:9" x14ac:dyDescent="0.3">
      <c r="A1349" s="26">
        <v>45002</v>
      </c>
      <c r="B1349" s="27" t="s">
        <v>117</v>
      </c>
      <c r="C1349" s="27" t="s">
        <v>15</v>
      </c>
      <c r="D1349" s="27" t="s">
        <v>19</v>
      </c>
      <c r="E1349" s="28">
        <v>78797</v>
      </c>
      <c r="F1349" s="28">
        <v>45674</v>
      </c>
      <c r="G1349" s="27" t="s">
        <v>17</v>
      </c>
      <c r="H1349" s="27" t="s">
        <v>355</v>
      </c>
      <c r="I1349" s="27" t="s">
        <v>13</v>
      </c>
    </row>
    <row r="1350" spans="1:9" x14ac:dyDescent="0.3">
      <c r="A1350" s="26">
        <v>45002</v>
      </c>
      <c r="B1350" s="27" t="s">
        <v>117</v>
      </c>
      <c r="C1350" s="27" t="s">
        <v>15</v>
      </c>
      <c r="D1350" s="27" t="s">
        <v>16</v>
      </c>
      <c r="E1350" s="28">
        <v>18431</v>
      </c>
      <c r="F1350" s="28">
        <v>46593</v>
      </c>
      <c r="G1350" s="27" t="s">
        <v>17</v>
      </c>
      <c r="H1350" s="27" t="s">
        <v>1594</v>
      </c>
      <c r="I1350" s="27" t="s">
        <v>13</v>
      </c>
    </row>
    <row r="1351" spans="1:9" x14ac:dyDescent="0.3">
      <c r="A1351" s="26">
        <v>45002</v>
      </c>
      <c r="B1351" s="27" t="s">
        <v>117</v>
      </c>
      <c r="C1351" s="27" t="s">
        <v>10</v>
      </c>
      <c r="D1351" s="27" t="s">
        <v>7</v>
      </c>
      <c r="E1351" s="28">
        <v>145274</v>
      </c>
      <c r="F1351" s="28">
        <v>17861</v>
      </c>
      <c r="G1351" s="27" t="s">
        <v>17</v>
      </c>
      <c r="H1351" s="27" t="s">
        <v>1796</v>
      </c>
      <c r="I1351" s="27" t="s">
        <v>13</v>
      </c>
    </row>
    <row r="1352" spans="1:9" x14ac:dyDescent="0.3">
      <c r="A1352" s="26">
        <v>45002</v>
      </c>
      <c r="B1352" s="27" t="s">
        <v>117</v>
      </c>
      <c r="C1352" s="27" t="s">
        <v>32</v>
      </c>
      <c r="D1352" s="27" t="s">
        <v>7</v>
      </c>
      <c r="E1352" s="28">
        <v>136630</v>
      </c>
      <c r="F1352" s="28">
        <v>150120</v>
      </c>
      <c r="G1352" s="27" t="s">
        <v>22</v>
      </c>
      <c r="H1352" s="27" t="s">
        <v>2185</v>
      </c>
      <c r="I1352" s="27" t="s">
        <v>13</v>
      </c>
    </row>
    <row r="1353" spans="1:9" x14ac:dyDescent="0.3">
      <c r="A1353" s="26">
        <v>45002</v>
      </c>
      <c r="B1353" s="27" t="s">
        <v>117</v>
      </c>
      <c r="C1353" s="27" t="s">
        <v>15</v>
      </c>
      <c r="D1353" s="27" t="s">
        <v>16</v>
      </c>
      <c r="E1353" s="28">
        <v>60806</v>
      </c>
      <c r="F1353" s="28">
        <v>8579</v>
      </c>
      <c r="G1353" s="27" t="s">
        <v>11</v>
      </c>
      <c r="H1353" s="27" t="s">
        <v>3226</v>
      </c>
      <c r="I1353" s="27" t="s">
        <v>13</v>
      </c>
    </row>
    <row r="1354" spans="1:9" x14ac:dyDescent="0.3">
      <c r="A1354" s="26">
        <v>45002</v>
      </c>
      <c r="B1354" s="27" t="s">
        <v>117</v>
      </c>
      <c r="C1354" s="27" t="s">
        <v>14</v>
      </c>
      <c r="D1354" s="27" t="s">
        <v>21</v>
      </c>
      <c r="E1354" s="28">
        <v>66058</v>
      </c>
      <c r="F1354" s="28">
        <v>116521</v>
      </c>
      <c r="G1354" s="27" t="s">
        <v>22</v>
      </c>
      <c r="H1354" s="27" t="s">
        <v>3426</v>
      </c>
      <c r="I1354" s="27" t="s">
        <v>13</v>
      </c>
    </row>
    <row r="1355" spans="1:9" x14ac:dyDescent="0.3">
      <c r="A1355" s="26">
        <v>45002</v>
      </c>
      <c r="B1355" s="27" t="s">
        <v>117</v>
      </c>
      <c r="C1355" s="27" t="s">
        <v>6</v>
      </c>
      <c r="D1355" s="27" t="s">
        <v>24</v>
      </c>
      <c r="E1355" s="28">
        <v>112100</v>
      </c>
      <c r="F1355" s="28">
        <v>119200</v>
      </c>
      <c r="G1355" s="27" t="s">
        <v>22</v>
      </c>
      <c r="H1355" s="27" t="s">
        <v>3443</v>
      </c>
      <c r="I1355" s="27" t="s">
        <v>9</v>
      </c>
    </row>
    <row r="1356" spans="1:9" x14ac:dyDescent="0.3">
      <c r="A1356" s="26">
        <v>45002</v>
      </c>
      <c r="B1356" s="27" t="s">
        <v>117</v>
      </c>
      <c r="C1356" s="27" t="s">
        <v>93</v>
      </c>
      <c r="D1356" s="27" t="s">
        <v>7</v>
      </c>
      <c r="E1356" s="28">
        <v>133100</v>
      </c>
      <c r="F1356" s="28">
        <v>130800</v>
      </c>
      <c r="G1356" s="27" t="s">
        <v>11</v>
      </c>
      <c r="H1356" s="27" t="s">
        <v>3667</v>
      </c>
      <c r="I1356" s="27" t="s">
        <v>9</v>
      </c>
    </row>
    <row r="1357" spans="1:9" x14ac:dyDescent="0.3">
      <c r="A1357" s="26">
        <v>45002</v>
      </c>
      <c r="B1357" s="27" t="s">
        <v>117</v>
      </c>
      <c r="C1357" s="27" t="s">
        <v>93</v>
      </c>
      <c r="D1357" s="27" t="s">
        <v>24</v>
      </c>
      <c r="E1357" s="28">
        <v>101800</v>
      </c>
      <c r="F1357" s="28">
        <v>135500</v>
      </c>
      <c r="G1357" s="27" t="s">
        <v>11</v>
      </c>
      <c r="H1357" s="27" t="s">
        <v>3695</v>
      </c>
      <c r="I1357" s="27" t="s">
        <v>9</v>
      </c>
    </row>
    <row r="1358" spans="1:9" x14ac:dyDescent="0.3">
      <c r="A1358" s="26">
        <v>45002</v>
      </c>
      <c r="B1358" s="27" t="s">
        <v>117</v>
      </c>
      <c r="C1358" s="27" t="s">
        <v>93</v>
      </c>
      <c r="D1358" s="27" t="s">
        <v>19</v>
      </c>
      <c r="E1358" s="28">
        <v>158200</v>
      </c>
      <c r="F1358" s="28">
        <v>157100</v>
      </c>
      <c r="G1358" s="27" t="s">
        <v>11</v>
      </c>
      <c r="H1358" s="27" t="s">
        <v>3736</v>
      </c>
      <c r="I1358" s="27" t="s">
        <v>9</v>
      </c>
    </row>
    <row r="1359" spans="1:9" x14ac:dyDescent="0.3">
      <c r="A1359" s="26">
        <v>45002</v>
      </c>
      <c r="B1359" s="27" t="s">
        <v>117</v>
      </c>
      <c r="C1359" s="27" t="s">
        <v>93</v>
      </c>
      <c r="D1359" s="27" t="s">
        <v>16</v>
      </c>
      <c r="E1359" s="28">
        <v>113100</v>
      </c>
      <c r="F1359" s="28">
        <v>100900</v>
      </c>
      <c r="G1359" s="27" t="s">
        <v>17</v>
      </c>
      <c r="H1359" s="27" t="s">
        <v>4977</v>
      </c>
      <c r="I1359" s="27" t="s">
        <v>9</v>
      </c>
    </row>
    <row r="1360" spans="1:9" x14ac:dyDescent="0.3">
      <c r="A1360" s="26">
        <v>45002</v>
      </c>
      <c r="B1360" s="27" t="s">
        <v>117</v>
      </c>
      <c r="C1360" s="27" t="s">
        <v>6</v>
      </c>
      <c r="D1360" s="27" t="s">
        <v>7</v>
      </c>
      <c r="E1360" s="28">
        <v>80700</v>
      </c>
      <c r="F1360" s="28">
        <v>93200</v>
      </c>
      <c r="G1360" s="27" t="s">
        <v>11</v>
      </c>
      <c r="H1360" s="27" t="s">
        <v>5179</v>
      </c>
      <c r="I1360" s="27" t="s">
        <v>9</v>
      </c>
    </row>
    <row r="1361" spans="1:9" x14ac:dyDescent="0.3">
      <c r="A1361" s="26">
        <v>45002</v>
      </c>
      <c r="B1361" s="27" t="s">
        <v>117</v>
      </c>
      <c r="C1361" s="27" t="s">
        <v>93</v>
      </c>
      <c r="D1361" s="27" t="s">
        <v>7</v>
      </c>
      <c r="E1361" s="28">
        <v>145100</v>
      </c>
      <c r="F1361" s="28">
        <v>153500</v>
      </c>
      <c r="G1361" s="27" t="s">
        <v>17</v>
      </c>
      <c r="H1361" s="27" t="s">
        <v>5570</v>
      </c>
      <c r="I1361" s="27" t="s">
        <v>9</v>
      </c>
    </row>
    <row r="1362" spans="1:9" x14ac:dyDescent="0.3">
      <c r="A1362" s="26">
        <v>45002</v>
      </c>
      <c r="B1362" s="27" t="s">
        <v>117</v>
      </c>
      <c r="C1362" s="27" t="s">
        <v>93</v>
      </c>
      <c r="D1362" s="27" t="s">
        <v>16</v>
      </c>
      <c r="E1362" s="28">
        <v>109300</v>
      </c>
      <c r="F1362" s="28">
        <v>111300</v>
      </c>
      <c r="G1362" s="27" t="s">
        <v>22</v>
      </c>
      <c r="H1362" s="27" t="s">
        <v>6611</v>
      </c>
      <c r="I1362" s="27" t="s">
        <v>9</v>
      </c>
    </row>
    <row r="1363" spans="1:9" x14ac:dyDescent="0.3">
      <c r="A1363" s="26">
        <v>45002</v>
      </c>
      <c r="B1363" s="27" t="s">
        <v>117</v>
      </c>
      <c r="C1363" s="27" t="s">
        <v>93</v>
      </c>
      <c r="D1363" s="27" t="s">
        <v>21</v>
      </c>
      <c r="E1363" s="28">
        <v>67200</v>
      </c>
      <c r="F1363" s="28">
        <v>84400</v>
      </c>
      <c r="G1363" s="27" t="s">
        <v>11</v>
      </c>
      <c r="H1363" s="27" t="s">
        <v>6811</v>
      </c>
      <c r="I1363" s="27" t="s">
        <v>9</v>
      </c>
    </row>
    <row r="1364" spans="1:9" x14ac:dyDescent="0.3">
      <c r="A1364" s="26">
        <v>45003</v>
      </c>
      <c r="B1364" s="27" t="s">
        <v>117</v>
      </c>
      <c r="C1364" s="27" t="s">
        <v>18</v>
      </c>
      <c r="D1364" s="27" t="s">
        <v>7</v>
      </c>
      <c r="E1364" s="28">
        <v>124140</v>
      </c>
      <c r="F1364" s="28">
        <v>28186</v>
      </c>
      <c r="G1364" s="27" t="s">
        <v>17</v>
      </c>
      <c r="H1364" s="27" t="s">
        <v>438</v>
      </c>
      <c r="I1364" s="27" t="s">
        <v>13</v>
      </c>
    </row>
    <row r="1365" spans="1:9" x14ac:dyDescent="0.3">
      <c r="A1365" s="26">
        <v>45003</v>
      </c>
      <c r="B1365" s="27" t="s">
        <v>117</v>
      </c>
      <c r="C1365" s="27" t="s">
        <v>20</v>
      </c>
      <c r="D1365" s="27" t="s">
        <v>24</v>
      </c>
      <c r="E1365" s="28">
        <v>66536</v>
      </c>
      <c r="F1365" s="28">
        <v>111789</v>
      </c>
      <c r="G1365" s="27" t="s">
        <v>17</v>
      </c>
      <c r="H1365" s="27" t="s">
        <v>480</v>
      </c>
      <c r="I1365" s="27" t="s">
        <v>13</v>
      </c>
    </row>
    <row r="1366" spans="1:9" x14ac:dyDescent="0.3">
      <c r="A1366" s="26">
        <v>45003</v>
      </c>
      <c r="B1366" s="27" t="s">
        <v>117</v>
      </c>
      <c r="C1366" s="27" t="s">
        <v>32</v>
      </c>
      <c r="D1366" s="27" t="s">
        <v>16</v>
      </c>
      <c r="E1366" s="28">
        <v>106516</v>
      </c>
      <c r="F1366" s="28">
        <v>147491</v>
      </c>
      <c r="G1366" s="27" t="s">
        <v>17</v>
      </c>
      <c r="H1366" s="27" t="s">
        <v>1210</v>
      </c>
      <c r="I1366" s="27" t="s">
        <v>13</v>
      </c>
    </row>
    <row r="1367" spans="1:9" x14ac:dyDescent="0.3">
      <c r="A1367" s="26">
        <v>45003</v>
      </c>
      <c r="B1367" s="27" t="s">
        <v>117</v>
      </c>
      <c r="C1367" s="27" t="s">
        <v>14</v>
      </c>
      <c r="D1367" s="27" t="s">
        <v>24</v>
      </c>
      <c r="E1367" s="28">
        <v>25586</v>
      </c>
      <c r="F1367" s="28">
        <v>158334</v>
      </c>
      <c r="G1367" s="27" t="s">
        <v>22</v>
      </c>
      <c r="H1367" s="27" t="s">
        <v>1255</v>
      </c>
      <c r="I1367" s="27" t="s">
        <v>13</v>
      </c>
    </row>
    <row r="1368" spans="1:9" x14ac:dyDescent="0.3">
      <c r="A1368" s="26">
        <v>45003</v>
      </c>
      <c r="B1368" s="27" t="s">
        <v>117</v>
      </c>
      <c r="C1368" s="27" t="s">
        <v>18</v>
      </c>
      <c r="D1368" s="27" t="s">
        <v>16</v>
      </c>
      <c r="E1368" s="28">
        <v>84632</v>
      </c>
      <c r="F1368" s="28">
        <v>36493</v>
      </c>
      <c r="G1368" s="27" t="s">
        <v>17</v>
      </c>
      <c r="H1368" s="27" t="s">
        <v>2326</v>
      </c>
      <c r="I1368" s="27" t="s">
        <v>13</v>
      </c>
    </row>
    <row r="1369" spans="1:9" x14ac:dyDescent="0.3">
      <c r="A1369" s="26">
        <v>45003</v>
      </c>
      <c r="B1369" s="27" t="s">
        <v>117</v>
      </c>
      <c r="C1369" s="27" t="s">
        <v>18</v>
      </c>
      <c r="D1369" s="27" t="s">
        <v>21</v>
      </c>
      <c r="E1369" s="28">
        <v>110198</v>
      </c>
      <c r="F1369" s="28">
        <v>102217</v>
      </c>
      <c r="G1369" s="27" t="s">
        <v>11</v>
      </c>
      <c r="H1369" s="27" t="s">
        <v>3312</v>
      </c>
      <c r="I1369" s="27" t="s">
        <v>13</v>
      </c>
    </row>
    <row r="1370" spans="1:9" x14ac:dyDescent="0.3">
      <c r="A1370" s="26">
        <v>45003</v>
      </c>
      <c r="B1370" s="27" t="s">
        <v>117</v>
      </c>
      <c r="C1370" s="27" t="s">
        <v>6</v>
      </c>
      <c r="D1370" s="27" t="s">
        <v>7</v>
      </c>
      <c r="E1370" s="28">
        <v>87100</v>
      </c>
      <c r="F1370" s="28">
        <v>94000</v>
      </c>
      <c r="G1370" s="27" t="s">
        <v>11</v>
      </c>
      <c r="H1370" s="27" t="s">
        <v>3819</v>
      </c>
      <c r="I1370" s="27" t="s">
        <v>9</v>
      </c>
    </row>
    <row r="1371" spans="1:9" x14ac:dyDescent="0.3">
      <c r="A1371" s="26">
        <v>45003</v>
      </c>
      <c r="B1371" s="27" t="s">
        <v>117</v>
      </c>
      <c r="C1371" s="27" t="s">
        <v>6</v>
      </c>
      <c r="D1371" s="27" t="s">
        <v>24</v>
      </c>
      <c r="E1371" s="28">
        <v>106600</v>
      </c>
      <c r="F1371" s="28">
        <v>70500</v>
      </c>
      <c r="G1371" s="27" t="s">
        <v>11</v>
      </c>
      <c r="H1371" s="27" t="s">
        <v>3861</v>
      </c>
      <c r="I1371" s="27" t="s">
        <v>9</v>
      </c>
    </row>
    <row r="1372" spans="1:9" x14ac:dyDescent="0.3">
      <c r="A1372" s="26">
        <v>45003</v>
      </c>
      <c r="B1372" s="27" t="s">
        <v>117</v>
      </c>
      <c r="C1372" s="27" t="s">
        <v>6</v>
      </c>
      <c r="D1372" s="27" t="s">
        <v>16</v>
      </c>
      <c r="E1372" s="28">
        <v>90200</v>
      </c>
      <c r="F1372" s="28">
        <v>80200</v>
      </c>
      <c r="G1372" s="27" t="s">
        <v>22</v>
      </c>
      <c r="H1372" s="27" t="s">
        <v>4593</v>
      </c>
      <c r="I1372" s="27" t="s">
        <v>9</v>
      </c>
    </row>
    <row r="1373" spans="1:9" x14ac:dyDescent="0.3">
      <c r="A1373" s="26">
        <v>45003</v>
      </c>
      <c r="B1373" s="27" t="s">
        <v>117</v>
      </c>
      <c r="C1373" s="27" t="s">
        <v>93</v>
      </c>
      <c r="D1373" s="27" t="s">
        <v>24</v>
      </c>
      <c r="E1373" s="28">
        <v>135600</v>
      </c>
      <c r="F1373" s="28">
        <v>128200</v>
      </c>
      <c r="G1373" s="27" t="s">
        <v>22</v>
      </c>
      <c r="H1373" s="27" t="s">
        <v>4638</v>
      </c>
      <c r="I1373" s="27" t="s">
        <v>9</v>
      </c>
    </row>
    <row r="1374" spans="1:9" x14ac:dyDescent="0.3">
      <c r="A1374" s="26">
        <v>45003</v>
      </c>
      <c r="B1374" s="27" t="s">
        <v>117</v>
      </c>
      <c r="C1374" s="27" t="s">
        <v>93</v>
      </c>
      <c r="D1374" s="27" t="s">
        <v>16</v>
      </c>
      <c r="E1374" s="28">
        <v>93200</v>
      </c>
      <c r="F1374" s="28">
        <v>111600</v>
      </c>
      <c r="G1374" s="27" t="s">
        <v>17</v>
      </c>
      <c r="H1374" s="27" t="s">
        <v>5711</v>
      </c>
      <c r="I1374" s="27" t="s">
        <v>9</v>
      </c>
    </row>
    <row r="1375" spans="1:9" x14ac:dyDescent="0.3">
      <c r="A1375" s="26">
        <v>45003</v>
      </c>
      <c r="B1375" s="27" t="s">
        <v>117</v>
      </c>
      <c r="C1375" s="27" t="s">
        <v>6</v>
      </c>
      <c r="D1375" s="27" t="s">
        <v>21</v>
      </c>
      <c r="E1375" s="28">
        <v>50100</v>
      </c>
      <c r="F1375" s="28">
        <v>54700</v>
      </c>
      <c r="G1375" s="27" t="s">
        <v>22</v>
      </c>
      <c r="H1375" s="27" t="s">
        <v>6697</v>
      </c>
      <c r="I1375" s="27" t="s">
        <v>9</v>
      </c>
    </row>
    <row r="1376" spans="1:9" x14ac:dyDescent="0.3">
      <c r="A1376" s="26">
        <v>45004</v>
      </c>
      <c r="B1376" s="27" t="s">
        <v>117</v>
      </c>
      <c r="C1376" s="27" t="s">
        <v>15</v>
      </c>
      <c r="D1376" s="27" t="s">
        <v>19</v>
      </c>
      <c r="E1376" s="28">
        <v>70791</v>
      </c>
      <c r="F1376" s="28">
        <v>130960</v>
      </c>
      <c r="G1376" s="27" t="s">
        <v>8</v>
      </c>
      <c r="H1376" s="27" t="s">
        <v>1473</v>
      </c>
      <c r="I1376" s="27" t="s">
        <v>13</v>
      </c>
    </row>
    <row r="1377" spans="1:9" x14ac:dyDescent="0.3">
      <c r="A1377" s="26">
        <v>45004</v>
      </c>
      <c r="B1377" s="27" t="s">
        <v>117</v>
      </c>
      <c r="C1377" s="27" t="s">
        <v>15</v>
      </c>
      <c r="D1377" s="27" t="s">
        <v>7</v>
      </c>
      <c r="E1377" s="28">
        <v>58070</v>
      </c>
      <c r="F1377" s="28">
        <v>37791</v>
      </c>
      <c r="G1377" s="27" t="s">
        <v>8</v>
      </c>
      <c r="H1377" s="27" t="s">
        <v>1556</v>
      </c>
      <c r="I1377" s="27" t="s">
        <v>13</v>
      </c>
    </row>
    <row r="1378" spans="1:9" x14ac:dyDescent="0.3">
      <c r="A1378" s="26">
        <v>45004</v>
      </c>
      <c r="B1378" s="27" t="s">
        <v>117</v>
      </c>
      <c r="C1378" s="27" t="s">
        <v>20</v>
      </c>
      <c r="D1378" s="27" t="s">
        <v>21</v>
      </c>
      <c r="E1378" s="28">
        <v>84343</v>
      </c>
      <c r="F1378" s="28">
        <v>128837</v>
      </c>
      <c r="G1378" s="27" t="s">
        <v>11</v>
      </c>
      <c r="H1378" s="27" t="s">
        <v>2429</v>
      </c>
      <c r="I1378" s="27" t="s">
        <v>13</v>
      </c>
    </row>
    <row r="1379" spans="1:9" x14ac:dyDescent="0.3">
      <c r="A1379" s="26">
        <v>45004</v>
      </c>
      <c r="B1379" s="27" t="s">
        <v>117</v>
      </c>
      <c r="C1379" s="27" t="s">
        <v>6</v>
      </c>
      <c r="D1379" s="27" t="s">
        <v>19</v>
      </c>
      <c r="E1379" s="28">
        <v>148900</v>
      </c>
      <c r="F1379" s="28">
        <v>133300</v>
      </c>
      <c r="G1379" s="27" t="s">
        <v>11</v>
      </c>
      <c r="H1379" s="27" t="s">
        <v>4856</v>
      </c>
      <c r="I1379" s="27" t="s">
        <v>9</v>
      </c>
    </row>
    <row r="1380" spans="1:9" x14ac:dyDescent="0.3">
      <c r="A1380" s="26">
        <v>45004</v>
      </c>
      <c r="B1380" s="27" t="s">
        <v>117</v>
      </c>
      <c r="C1380" s="27" t="s">
        <v>93</v>
      </c>
      <c r="D1380" s="27" t="s">
        <v>7</v>
      </c>
      <c r="E1380" s="28">
        <v>41500</v>
      </c>
      <c r="F1380" s="28">
        <v>42500</v>
      </c>
      <c r="G1380" s="27" t="s">
        <v>17</v>
      </c>
      <c r="H1380" s="27" t="s">
        <v>4939</v>
      </c>
      <c r="I1380" s="27" t="s">
        <v>9</v>
      </c>
    </row>
    <row r="1381" spans="1:9" x14ac:dyDescent="0.3">
      <c r="A1381" s="26">
        <v>45004</v>
      </c>
      <c r="B1381" s="27" t="s">
        <v>117</v>
      </c>
      <c r="C1381" s="27" t="s">
        <v>6</v>
      </c>
      <c r="D1381" s="27" t="s">
        <v>21</v>
      </c>
      <c r="E1381" s="28">
        <v>125500</v>
      </c>
      <c r="F1381" s="28">
        <v>111200</v>
      </c>
      <c r="G1381" s="27" t="s">
        <v>22</v>
      </c>
      <c r="H1381" s="27" t="s">
        <v>5814</v>
      </c>
      <c r="I1381" s="27" t="s">
        <v>9</v>
      </c>
    </row>
    <row r="1382" spans="1:9" x14ac:dyDescent="0.3">
      <c r="A1382" s="26">
        <v>45005</v>
      </c>
      <c r="B1382" s="27" t="s">
        <v>117</v>
      </c>
      <c r="C1382" s="27" t="s">
        <v>18</v>
      </c>
      <c r="D1382" s="27" t="s">
        <v>19</v>
      </c>
      <c r="E1382" s="28">
        <v>101182</v>
      </c>
      <c r="F1382" s="28">
        <v>75644</v>
      </c>
      <c r="G1382" s="27" t="s">
        <v>22</v>
      </c>
      <c r="H1382" s="27" t="s">
        <v>566</v>
      </c>
      <c r="I1382" s="27" t="s">
        <v>13</v>
      </c>
    </row>
    <row r="1383" spans="1:9" x14ac:dyDescent="0.3">
      <c r="A1383" s="26">
        <v>45005</v>
      </c>
      <c r="B1383" s="27" t="s">
        <v>117</v>
      </c>
      <c r="C1383" s="27" t="s">
        <v>20</v>
      </c>
      <c r="D1383" s="27" t="s">
        <v>21</v>
      </c>
      <c r="E1383" s="28">
        <v>113030</v>
      </c>
      <c r="F1383" s="28">
        <v>30871</v>
      </c>
      <c r="G1383" s="27" t="s">
        <v>22</v>
      </c>
      <c r="H1383" s="27" t="s">
        <v>815</v>
      </c>
      <c r="I1383" s="27" t="s">
        <v>13</v>
      </c>
    </row>
    <row r="1384" spans="1:9" x14ac:dyDescent="0.3">
      <c r="A1384" s="26">
        <v>45005</v>
      </c>
      <c r="B1384" s="27" t="s">
        <v>117</v>
      </c>
      <c r="C1384" s="27" t="s">
        <v>15</v>
      </c>
      <c r="D1384" s="27" t="s">
        <v>16</v>
      </c>
      <c r="E1384" s="28">
        <v>36798</v>
      </c>
      <c r="F1384" s="28">
        <v>39106</v>
      </c>
      <c r="G1384" s="27" t="s">
        <v>11</v>
      </c>
      <c r="H1384" s="27" t="s">
        <v>1493</v>
      </c>
      <c r="I1384" s="27" t="s">
        <v>13</v>
      </c>
    </row>
    <row r="1385" spans="1:9" x14ac:dyDescent="0.3">
      <c r="A1385" s="26">
        <v>45005</v>
      </c>
      <c r="B1385" s="27" t="s">
        <v>117</v>
      </c>
      <c r="C1385" s="27" t="s">
        <v>14</v>
      </c>
      <c r="D1385" s="27" t="s">
        <v>19</v>
      </c>
      <c r="E1385" s="28">
        <v>110243</v>
      </c>
      <c r="F1385" s="28">
        <v>28946</v>
      </c>
      <c r="G1385" s="27" t="s">
        <v>11</v>
      </c>
      <c r="H1385" s="27" t="s">
        <v>2008</v>
      </c>
      <c r="I1385" s="27" t="s">
        <v>13</v>
      </c>
    </row>
    <row r="1386" spans="1:9" x14ac:dyDescent="0.3">
      <c r="A1386" s="26">
        <v>45005</v>
      </c>
      <c r="B1386" s="27" t="s">
        <v>117</v>
      </c>
      <c r="C1386" s="27" t="s">
        <v>20</v>
      </c>
      <c r="D1386" s="27" t="s">
        <v>24</v>
      </c>
      <c r="E1386" s="28">
        <v>52245</v>
      </c>
      <c r="F1386" s="28">
        <v>89845</v>
      </c>
      <c r="G1386" s="27" t="s">
        <v>8</v>
      </c>
      <c r="H1386" s="27" t="s">
        <v>2132</v>
      </c>
      <c r="I1386" s="27" t="s">
        <v>13</v>
      </c>
    </row>
    <row r="1387" spans="1:9" x14ac:dyDescent="0.3">
      <c r="A1387" s="26">
        <v>45005</v>
      </c>
      <c r="B1387" s="27" t="s">
        <v>117</v>
      </c>
      <c r="C1387" s="27" t="s">
        <v>15</v>
      </c>
      <c r="D1387" s="27" t="s">
        <v>21</v>
      </c>
      <c r="E1387" s="28">
        <v>133865</v>
      </c>
      <c r="F1387" s="28">
        <v>42186</v>
      </c>
      <c r="G1387" s="27" t="s">
        <v>17</v>
      </c>
      <c r="H1387" s="27" t="s">
        <v>2240</v>
      </c>
      <c r="I1387" s="27" t="s">
        <v>13</v>
      </c>
    </row>
    <row r="1388" spans="1:9" x14ac:dyDescent="0.3">
      <c r="A1388" s="26">
        <v>45005</v>
      </c>
      <c r="B1388" s="27" t="s">
        <v>117</v>
      </c>
      <c r="C1388" s="27" t="s">
        <v>20</v>
      </c>
      <c r="D1388" s="27" t="s">
        <v>7</v>
      </c>
      <c r="E1388" s="28">
        <v>80074</v>
      </c>
      <c r="F1388" s="28">
        <v>54023</v>
      </c>
      <c r="G1388" s="27" t="s">
        <v>17</v>
      </c>
      <c r="H1388" s="27" t="s">
        <v>2644</v>
      </c>
      <c r="I1388" s="27" t="s">
        <v>13</v>
      </c>
    </row>
    <row r="1389" spans="1:9" x14ac:dyDescent="0.3">
      <c r="A1389" s="26">
        <v>45005</v>
      </c>
      <c r="B1389" s="27" t="s">
        <v>117</v>
      </c>
      <c r="C1389" s="27" t="s">
        <v>6</v>
      </c>
      <c r="D1389" s="27" t="s">
        <v>19</v>
      </c>
      <c r="E1389" s="28">
        <v>124800</v>
      </c>
      <c r="F1389" s="28">
        <v>142500</v>
      </c>
      <c r="G1389" s="27" t="s">
        <v>11</v>
      </c>
      <c r="H1389" s="27" t="s">
        <v>3947</v>
      </c>
      <c r="I1389" s="27" t="s">
        <v>9</v>
      </c>
    </row>
    <row r="1390" spans="1:9" x14ac:dyDescent="0.3">
      <c r="A1390" s="26">
        <v>45005</v>
      </c>
      <c r="B1390" s="27" t="s">
        <v>117</v>
      </c>
      <c r="C1390" s="27" t="s">
        <v>93</v>
      </c>
      <c r="D1390" s="27" t="s">
        <v>21</v>
      </c>
      <c r="E1390" s="28">
        <v>118900</v>
      </c>
      <c r="F1390" s="28">
        <v>99300</v>
      </c>
      <c r="G1390" s="27" t="s">
        <v>22</v>
      </c>
      <c r="H1390" s="27" t="s">
        <v>4196</v>
      </c>
      <c r="I1390" s="27" t="s">
        <v>9</v>
      </c>
    </row>
    <row r="1391" spans="1:9" x14ac:dyDescent="0.3">
      <c r="A1391" s="26">
        <v>45005</v>
      </c>
      <c r="B1391" s="27" t="s">
        <v>117</v>
      </c>
      <c r="C1391" s="27" t="s">
        <v>6</v>
      </c>
      <c r="D1391" s="27" t="s">
        <v>16</v>
      </c>
      <c r="E1391" s="28">
        <v>134000</v>
      </c>
      <c r="F1391" s="28">
        <v>163300</v>
      </c>
      <c r="G1391" s="27" t="s">
        <v>11</v>
      </c>
      <c r="H1391" s="27" t="s">
        <v>4876</v>
      </c>
      <c r="I1391" s="27" t="s">
        <v>9</v>
      </c>
    </row>
    <row r="1392" spans="1:9" x14ac:dyDescent="0.3">
      <c r="A1392" s="26">
        <v>45005</v>
      </c>
      <c r="B1392" s="27" t="s">
        <v>117</v>
      </c>
      <c r="C1392" s="27" t="s">
        <v>93</v>
      </c>
      <c r="D1392" s="27" t="s">
        <v>19</v>
      </c>
      <c r="E1392" s="28">
        <v>182800</v>
      </c>
      <c r="F1392" s="28">
        <v>206400</v>
      </c>
      <c r="G1392" s="27" t="s">
        <v>17</v>
      </c>
      <c r="H1392" s="27" t="s">
        <v>5392</v>
      </c>
      <c r="I1392" s="27" t="s">
        <v>9</v>
      </c>
    </row>
    <row r="1393" spans="1:9" x14ac:dyDescent="0.3">
      <c r="A1393" s="26">
        <v>45005</v>
      </c>
      <c r="B1393" s="27" t="s">
        <v>117</v>
      </c>
      <c r="C1393" s="27" t="s">
        <v>6</v>
      </c>
      <c r="D1393" s="27" t="s">
        <v>24</v>
      </c>
      <c r="E1393" s="28">
        <v>126800</v>
      </c>
      <c r="F1393" s="28">
        <v>140500</v>
      </c>
      <c r="G1393" s="27" t="s">
        <v>11</v>
      </c>
      <c r="H1393" s="27" t="s">
        <v>5516</v>
      </c>
      <c r="I1393" s="27" t="s">
        <v>9</v>
      </c>
    </row>
    <row r="1394" spans="1:9" x14ac:dyDescent="0.3">
      <c r="A1394" s="26">
        <v>45005</v>
      </c>
      <c r="B1394" s="27" t="s">
        <v>117</v>
      </c>
      <c r="C1394" s="27" t="s">
        <v>93</v>
      </c>
      <c r="D1394" s="27" t="s">
        <v>21</v>
      </c>
      <c r="E1394" s="28">
        <v>123300</v>
      </c>
      <c r="F1394" s="28">
        <v>139300</v>
      </c>
      <c r="G1394" s="27" t="s">
        <v>22</v>
      </c>
      <c r="H1394" s="27" t="s">
        <v>5625</v>
      </c>
      <c r="I1394" s="27" t="s">
        <v>9</v>
      </c>
    </row>
    <row r="1395" spans="1:9" x14ac:dyDescent="0.3">
      <c r="A1395" s="26">
        <v>45005</v>
      </c>
      <c r="B1395" s="27" t="s">
        <v>117</v>
      </c>
      <c r="C1395" s="27" t="s">
        <v>93</v>
      </c>
      <c r="D1395" s="27" t="s">
        <v>7</v>
      </c>
      <c r="E1395" s="28">
        <v>285500</v>
      </c>
      <c r="F1395" s="28">
        <v>267400</v>
      </c>
      <c r="G1395" s="27" t="s">
        <v>17</v>
      </c>
      <c r="H1395" s="27" t="s">
        <v>6029</v>
      </c>
      <c r="I1395" s="27" t="s">
        <v>9</v>
      </c>
    </row>
    <row r="1396" spans="1:9" x14ac:dyDescent="0.3">
      <c r="A1396" s="26">
        <v>45006</v>
      </c>
      <c r="B1396" s="27" t="s">
        <v>117</v>
      </c>
      <c r="C1396" s="27" t="s">
        <v>18</v>
      </c>
      <c r="D1396" s="27" t="s">
        <v>19</v>
      </c>
      <c r="E1396" s="28">
        <v>13588</v>
      </c>
      <c r="F1396" s="28">
        <v>145084</v>
      </c>
      <c r="G1396" s="27" t="s">
        <v>17</v>
      </c>
      <c r="H1396" s="27" t="s">
        <v>1037</v>
      </c>
      <c r="I1396" s="27" t="s">
        <v>13</v>
      </c>
    </row>
    <row r="1397" spans="1:9" x14ac:dyDescent="0.3">
      <c r="A1397" s="26">
        <v>45006</v>
      </c>
      <c r="B1397" s="27" t="s">
        <v>117</v>
      </c>
      <c r="C1397" s="27" t="s">
        <v>15</v>
      </c>
      <c r="D1397" s="27" t="s">
        <v>19</v>
      </c>
      <c r="E1397" s="28">
        <v>139913</v>
      </c>
      <c r="F1397" s="28">
        <v>71699</v>
      </c>
      <c r="G1397" s="27" t="s">
        <v>11</v>
      </c>
      <c r="H1397" s="27" t="s">
        <v>1337</v>
      </c>
      <c r="I1397" s="27" t="s">
        <v>13</v>
      </c>
    </row>
    <row r="1398" spans="1:9" x14ac:dyDescent="0.3">
      <c r="A1398" s="26">
        <v>45006</v>
      </c>
      <c r="B1398" s="27" t="s">
        <v>117</v>
      </c>
      <c r="C1398" s="27" t="s">
        <v>18</v>
      </c>
      <c r="D1398" s="27" t="s">
        <v>24</v>
      </c>
      <c r="E1398" s="28">
        <v>56963</v>
      </c>
      <c r="F1398" s="28">
        <v>124689</v>
      </c>
      <c r="G1398" s="27" t="s">
        <v>8</v>
      </c>
      <c r="H1398" s="27" t="s">
        <v>1511</v>
      </c>
      <c r="I1398" s="27" t="s">
        <v>13</v>
      </c>
    </row>
    <row r="1399" spans="1:9" x14ac:dyDescent="0.3">
      <c r="A1399" s="26">
        <v>45006</v>
      </c>
      <c r="B1399" s="27" t="s">
        <v>117</v>
      </c>
      <c r="C1399" s="27" t="s">
        <v>20</v>
      </c>
      <c r="D1399" s="27" t="s">
        <v>21</v>
      </c>
      <c r="E1399" s="28">
        <v>103884</v>
      </c>
      <c r="F1399" s="28">
        <v>65805</v>
      </c>
      <c r="G1399" s="27" t="s">
        <v>22</v>
      </c>
      <c r="H1399" s="27" t="s">
        <v>1818</v>
      </c>
      <c r="I1399" s="27" t="s">
        <v>13</v>
      </c>
    </row>
    <row r="1400" spans="1:9" x14ac:dyDescent="0.3">
      <c r="A1400" s="26">
        <v>45006</v>
      </c>
      <c r="B1400" s="27" t="s">
        <v>117</v>
      </c>
      <c r="C1400" s="27" t="s">
        <v>15</v>
      </c>
      <c r="D1400" s="27" t="s">
        <v>19</v>
      </c>
      <c r="E1400" s="28">
        <v>142191</v>
      </c>
      <c r="F1400" s="28">
        <v>94179</v>
      </c>
      <c r="G1400" s="27" t="s">
        <v>8</v>
      </c>
      <c r="H1400" s="27" t="s">
        <v>2005</v>
      </c>
      <c r="I1400" s="27" t="s">
        <v>13</v>
      </c>
    </row>
    <row r="1401" spans="1:9" x14ac:dyDescent="0.3">
      <c r="A1401" s="26">
        <v>45006</v>
      </c>
      <c r="B1401" s="27" t="s">
        <v>117</v>
      </c>
      <c r="C1401" s="27" t="s">
        <v>15</v>
      </c>
      <c r="D1401" s="27" t="s">
        <v>7</v>
      </c>
      <c r="E1401" s="28">
        <v>25964</v>
      </c>
      <c r="F1401" s="28">
        <v>54970</v>
      </c>
      <c r="G1401" s="27" t="s">
        <v>22</v>
      </c>
      <c r="H1401" s="27" t="s">
        <v>2140</v>
      </c>
      <c r="I1401" s="27" t="s">
        <v>13</v>
      </c>
    </row>
    <row r="1402" spans="1:9" x14ac:dyDescent="0.3">
      <c r="A1402" s="26">
        <v>45006</v>
      </c>
      <c r="B1402" s="27" t="s">
        <v>117</v>
      </c>
      <c r="C1402" s="27" t="s">
        <v>32</v>
      </c>
      <c r="D1402" s="27" t="s">
        <v>7</v>
      </c>
      <c r="E1402" s="28">
        <v>17080</v>
      </c>
      <c r="F1402" s="28">
        <v>145779</v>
      </c>
      <c r="G1402" s="27" t="s">
        <v>22</v>
      </c>
      <c r="H1402" s="27" t="s">
        <v>2365</v>
      </c>
      <c r="I1402" s="27" t="s">
        <v>13</v>
      </c>
    </row>
    <row r="1403" spans="1:9" x14ac:dyDescent="0.3">
      <c r="A1403" s="26">
        <v>45006</v>
      </c>
      <c r="B1403" s="27" t="s">
        <v>117</v>
      </c>
      <c r="C1403" s="27" t="s">
        <v>10</v>
      </c>
      <c r="D1403" s="27" t="s">
        <v>24</v>
      </c>
      <c r="E1403" s="28">
        <v>62254</v>
      </c>
      <c r="F1403" s="28">
        <v>121036</v>
      </c>
      <c r="G1403" s="27" t="s">
        <v>17</v>
      </c>
      <c r="H1403" s="27" t="s">
        <v>2453</v>
      </c>
      <c r="I1403" s="27" t="s">
        <v>13</v>
      </c>
    </row>
    <row r="1404" spans="1:9" x14ac:dyDescent="0.3">
      <c r="A1404" s="26">
        <v>45006</v>
      </c>
      <c r="B1404" s="27" t="s">
        <v>117</v>
      </c>
      <c r="C1404" s="27" t="s">
        <v>20</v>
      </c>
      <c r="D1404" s="27" t="s">
        <v>7</v>
      </c>
      <c r="E1404" s="28">
        <v>26005</v>
      </c>
      <c r="F1404" s="28">
        <v>43786</v>
      </c>
      <c r="G1404" s="27" t="s">
        <v>11</v>
      </c>
      <c r="H1404" s="27" t="s">
        <v>2767</v>
      </c>
      <c r="I1404" s="27" t="s">
        <v>13</v>
      </c>
    </row>
    <row r="1405" spans="1:9" x14ac:dyDescent="0.3">
      <c r="A1405" s="26">
        <v>45006</v>
      </c>
      <c r="B1405" s="27" t="s">
        <v>117</v>
      </c>
      <c r="C1405" s="27" t="s">
        <v>14</v>
      </c>
      <c r="D1405" s="27" t="s">
        <v>7</v>
      </c>
      <c r="E1405" s="28">
        <v>66847</v>
      </c>
      <c r="F1405" s="28">
        <v>33656</v>
      </c>
      <c r="G1405" s="27" t="s">
        <v>22</v>
      </c>
      <c r="H1405" s="27" t="s">
        <v>2842</v>
      </c>
      <c r="I1405" s="27" t="s">
        <v>13</v>
      </c>
    </row>
    <row r="1406" spans="1:9" x14ac:dyDescent="0.3">
      <c r="A1406" s="26">
        <v>45006</v>
      </c>
      <c r="B1406" s="27" t="s">
        <v>117</v>
      </c>
      <c r="C1406" s="27" t="s">
        <v>14</v>
      </c>
      <c r="D1406" s="27" t="s">
        <v>24</v>
      </c>
      <c r="E1406" s="28">
        <v>50887</v>
      </c>
      <c r="F1406" s="28">
        <v>161570</v>
      </c>
      <c r="G1406" s="27" t="s">
        <v>22</v>
      </c>
      <c r="H1406" s="27" t="s">
        <v>3405</v>
      </c>
      <c r="I1406" s="27" t="s">
        <v>13</v>
      </c>
    </row>
    <row r="1407" spans="1:9" x14ac:dyDescent="0.3">
      <c r="A1407" s="26">
        <v>45006</v>
      </c>
      <c r="B1407" s="27" t="s">
        <v>117</v>
      </c>
      <c r="C1407" s="27" t="s">
        <v>93</v>
      </c>
      <c r="D1407" s="27" t="s">
        <v>19</v>
      </c>
      <c r="E1407" s="28">
        <v>69900</v>
      </c>
      <c r="F1407" s="28">
        <v>85800</v>
      </c>
      <c r="G1407" s="27" t="s">
        <v>22</v>
      </c>
      <c r="H1407" s="27" t="s">
        <v>4419</v>
      </c>
      <c r="I1407" s="27" t="s">
        <v>9</v>
      </c>
    </row>
    <row r="1408" spans="1:9" x14ac:dyDescent="0.3">
      <c r="A1408" s="26">
        <v>45006</v>
      </c>
      <c r="B1408" s="27" t="s">
        <v>117</v>
      </c>
      <c r="C1408" s="27" t="s">
        <v>6</v>
      </c>
      <c r="D1408" s="27" t="s">
        <v>19</v>
      </c>
      <c r="E1408" s="28">
        <v>149300</v>
      </c>
      <c r="F1408" s="28">
        <v>173500</v>
      </c>
      <c r="G1408" s="27" t="s">
        <v>11</v>
      </c>
      <c r="H1408" s="27" t="s">
        <v>4720</v>
      </c>
      <c r="I1408" s="27" t="s">
        <v>9</v>
      </c>
    </row>
    <row r="1409" spans="1:9" x14ac:dyDescent="0.3">
      <c r="A1409" s="26">
        <v>45006</v>
      </c>
      <c r="B1409" s="27" t="s">
        <v>117</v>
      </c>
      <c r="C1409" s="27" t="s">
        <v>6</v>
      </c>
      <c r="D1409" s="27" t="s">
        <v>24</v>
      </c>
      <c r="E1409" s="28">
        <v>144500</v>
      </c>
      <c r="F1409" s="28">
        <v>129600</v>
      </c>
      <c r="G1409" s="27" t="s">
        <v>22</v>
      </c>
      <c r="H1409" s="27" t="s">
        <v>4894</v>
      </c>
      <c r="I1409" s="27" t="s">
        <v>9</v>
      </c>
    </row>
    <row r="1410" spans="1:9" x14ac:dyDescent="0.3">
      <c r="A1410" s="26">
        <v>45006</v>
      </c>
      <c r="B1410" s="27" t="s">
        <v>117</v>
      </c>
      <c r="C1410" s="27" t="s">
        <v>6</v>
      </c>
      <c r="D1410" s="27" t="s">
        <v>21</v>
      </c>
      <c r="E1410" s="28">
        <v>139000</v>
      </c>
      <c r="F1410" s="28">
        <v>139900</v>
      </c>
      <c r="G1410" s="27" t="s">
        <v>11</v>
      </c>
      <c r="H1410" s="27" t="s">
        <v>5201</v>
      </c>
      <c r="I1410" s="27" t="s">
        <v>9</v>
      </c>
    </row>
    <row r="1411" spans="1:9" x14ac:dyDescent="0.3">
      <c r="A1411" s="26">
        <v>45006</v>
      </c>
      <c r="B1411" s="27" t="s">
        <v>117</v>
      </c>
      <c r="C1411" s="27" t="s">
        <v>93</v>
      </c>
      <c r="D1411" s="27" t="s">
        <v>19</v>
      </c>
      <c r="E1411" s="28">
        <v>108900</v>
      </c>
      <c r="F1411" s="28">
        <v>139600</v>
      </c>
      <c r="G1411" s="27" t="s">
        <v>22</v>
      </c>
      <c r="H1411" s="27" t="s">
        <v>5389</v>
      </c>
      <c r="I1411" s="27" t="s">
        <v>9</v>
      </c>
    </row>
    <row r="1412" spans="1:9" x14ac:dyDescent="0.3">
      <c r="A1412" s="26">
        <v>45006</v>
      </c>
      <c r="B1412" s="27" t="s">
        <v>117</v>
      </c>
      <c r="C1412" s="27" t="s">
        <v>6</v>
      </c>
      <c r="D1412" s="27" t="s">
        <v>7</v>
      </c>
      <c r="E1412" s="28">
        <v>95300</v>
      </c>
      <c r="F1412" s="28">
        <v>88600</v>
      </c>
      <c r="G1412" s="27" t="s">
        <v>17</v>
      </c>
      <c r="H1412" s="27" t="s">
        <v>5524</v>
      </c>
      <c r="I1412" s="27" t="s">
        <v>9</v>
      </c>
    </row>
    <row r="1413" spans="1:9" x14ac:dyDescent="0.3">
      <c r="A1413" s="26">
        <v>45006</v>
      </c>
      <c r="B1413" s="27" t="s">
        <v>117</v>
      </c>
      <c r="C1413" s="27" t="s">
        <v>6</v>
      </c>
      <c r="D1413" s="27" t="s">
        <v>7</v>
      </c>
      <c r="E1413" s="28">
        <v>72600</v>
      </c>
      <c r="F1413" s="28">
        <v>77300</v>
      </c>
      <c r="G1413" s="27" t="s">
        <v>22</v>
      </c>
      <c r="H1413" s="27" t="s">
        <v>5750</v>
      </c>
      <c r="I1413" s="27" t="s">
        <v>9</v>
      </c>
    </row>
    <row r="1414" spans="1:9" x14ac:dyDescent="0.3">
      <c r="A1414" s="26">
        <v>45006</v>
      </c>
      <c r="B1414" s="27" t="s">
        <v>117</v>
      </c>
      <c r="C1414" s="27" t="s">
        <v>6</v>
      </c>
      <c r="D1414" s="27" t="s">
        <v>24</v>
      </c>
      <c r="E1414" s="28">
        <v>88100</v>
      </c>
      <c r="F1414" s="28">
        <v>78500</v>
      </c>
      <c r="G1414" s="27" t="s">
        <v>11</v>
      </c>
      <c r="H1414" s="27" t="s">
        <v>5838</v>
      </c>
      <c r="I1414" s="27" t="s">
        <v>9</v>
      </c>
    </row>
    <row r="1415" spans="1:9" x14ac:dyDescent="0.3">
      <c r="A1415" s="26">
        <v>45006</v>
      </c>
      <c r="B1415" s="27" t="s">
        <v>117</v>
      </c>
      <c r="C1415" s="27" t="s">
        <v>6</v>
      </c>
      <c r="D1415" s="27" t="s">
        <v>7</v>
      </c>
      <c r="E1415" s="28">
        <v>52300</v>
      </c>
      <c r="F1415" s="28">
        <v>48400</v>
      </c>
      <c r="G1415" s="27" t="s">
        <v>17</v>
      </c>
      <c r="H1415" s="27" t="s">
        <v>6152</v>
      </c>
      <c r="I1415" s="27" t="s">
        <v>9</v>
      </c>
    </row>
    <row r="1416" spans="1:9" x14ac:dyDescent="0.3">
      <c r="A1416" s="26">
        <v>45006</v>
      </c>
      <c r="B1416" s="27" t="s">
        <v>117</v>
      </c>
      <c r="C1416" s="27" t="s">
        <v>93</v>
      </c>
      <c r="D1416" s="27" t="s">
        <v>7</v>
      </c>
      <c r="E1416" s="28">
        <v>338200</v>
      </c>
      <c r="F1416" s="28">
        <v>263100</v>
      </c>
      <c r="G1416" s="27" t="s">
        <v>11</v>
      </c>
      <c r="H1416" s="27" t="s">
        <v>6227</v>
      </c>
      <c r="I1416" s="27" t="s">
        <v>9</v>
      </c>
    </row>
    <row r="1417" spans="1:9" x14ac:dyDescent="0.3">
      <c r="A1417" s="26">
        <v>45006</v>
      </c>
      <c r="B1417" s="27" t="s">
        <v>117</v>
      </c>
      <c r="C1417" s="27" t="s">
        <v>6</v>
      </c>
      <c r="D1417" s="27" t="s">
        <v>24</v>
      </c>
      <c r="E1417" s="28">
        <v>54800</v>
      </c>
      <c r="F1417" s="28">
        <v>56500</v>
      </c>
      <c r="G1417" s="27" t="s">
        <v>11</v>
      </c>
      <c r="H1417" s="27" t="s">
        <v>6790</v>
      </c>
      <c r="I1417" s="27" t="s">
        <v>9</v>
      </c>
    </row>
    <row r="1418" spans="1:9" x14ac:dyDescent="0.3">
      <c r="A1418" s="26">
        <v>45007</v>
      </c>
      <c r="B1418" s="27" t="s">
        <v>117</v>
      </c>
      <c r="C1418" s="27" t="s">
        <v>18</v>
      </c>
      <c r="D1418" s="27" t="s">
        <v>19</v>
      </c>
      <c r="E1418" s="28">
        <v>35736</v>
      </c>
      <c r="F1418" s="28">
        <v>101177</v>
      </c>
      <c r="G1418" s="27" t="s">
        <v>22</v>
      </c>
      <c r="H1418" s="27" t="s">
        <v>1490</v>
      </c>
      <c r="I1418" s="27" t="s">
        <v>13</v>
      </c>
    </row>
    <row r="1419" spans="1:9" x14ac:dyDescent="0.3">
      <c r="A1419" s="26">
        <v>45007</v>
      </c>
      <c r="B1419" s="27" t="s">
        <v>117</v>
      </c>
      <c r="C1419" s="27" t="s">
        <v>15</v>
      </c>
      <c r="D1419" s="27" t="s">
        <v>24</v>
      </c>
      <c r="E1419" s="28">
        <v>53015</v>
      </c>
      <c r="F1419" s="28">
        <v>141427</v>
      </c>
      <c r="G1419" s="27" t="s">
        <v>22</v>
      </c>
      <c r="H1419" s="27" t="s">
        <v>1829</v>
      </c>
      <c r="I1419" s="27" t="s">
        <v>13</v>
      </c>
    </row>
    <row r="1420" spans="1:9" x14ac:dyDescent="0.3">
      <c r="A1420" s="26">
        <v>45007</v>
      </c>
      <c r="B1420" s="27" t="s">
        <v>117</v>
      </c>
      <c r="C1420" s="27" t="s">
        <v>14</v>
      </c>
      <c r="D1420" s="27" t="s">
        <v>24</v>
      </c>
      <c r="E1420" s="28">
        <v>109819</v>
      </c>
      <c r="F1420" s="28">
        <v>48439</v>
      </c>
      <c r="G1420" s="27" t="s">
        <v>11</v>
      </c>
      <c r="H1420" s="27" t="s">
        <v>2139</v>
      </c>
      <c r="I1420" s="27" t="s">
        <v>13</v>
      </c>
    </row>
    <row r="1421" spans="1:9" x14ac:dyDescent="0.3">
      <c r="A1421" s="26">
        <v>45007</v>
      </c>
      <c r="B1421" s="27" t="s">
        <v>117</v>
      </c>
      <c r="C1421" s="27" t="s">
        <v>15</v>
      </c>
      <c r="D1421" s="27" t="s">
        <v>7</v>
      </c>
      <c r="E1421" s="28">
        <v>19437</v>
      </c>
      <c r="F1421" s="28">
        <v>36981</v>
      </c>
      <c r="G1421" s="27" t="s">
        <v>11</v>
      </c>
      <c r="H1421" s="27" t="s">
        <v>2444</v>
      </c>
      <c r="I1421" s="27" t="s">
        <v>13</v>
      </c>
    </row>
    <row r="1422" spans="1:9" x14ac:dyDescent="0.3">
      <c r="A1422" s="26">
        <v>45007</v>
      </c>
      <c r="B1422" s="27" t="s">
        <v>117</v>
      </c>
      <c r="C1422" s="27" t="s">
        <v>10</v>
      </c>
      <c r="D1422" s="27" t="s">
        <v>21</v>
      </c>
      <c r="E1422" s="28">
        <v>118161</v>
      </c>
      <c r="F1422" s="28">
        <v>132272</v>
      </c>
      <c r="G1422" s="27" t="s">
        <v>8</v>
      </c>
      <c r="H1422" s="27" t="s">
        <v>2846</v>
      </c>
      <c r="I1422" s="27" t="s">
        <v>13</v>
      </c>
    </row>
    <row r="1423" spans="1:9" x14ac:dyDescent="0.3">
      <c r="A1423" s="26">
        <v>45007</v>
      </c>
      <c r="B1423" s="27" t="s">
        <v>117</v>
      </c>
      <c r="C1423" s="27" t="s">
        <v>6</v>
      </c>
      <c r="D1423" s="27" t="s">
        <v>19</v>
      </c>
      <c r="E1423" s="28">
        <v>158000</v>
      </c>
      <c r="F1423" s="28">
        <v>117000</v>
      </c>
      <c r="G1423" s="27" t="s">
        <v>17</v>
      </c>
      <c r="H1423" s="27" t="s">
        <v>4873</v>
      </c>
      <c r="I1423" s="27" t="s">
        <v>9</v>
      </c>
    </row>
    <row r="1424" spans="1:9" x14ac:dyDescent="0.3">
      <c r="A1424" s="26">
        <v>45007</v>
      </c>
      <c r="B1424" s="27" t="s">
        <v>117</v>
      </c>
      <c r="C1424" s="27" t="s">
        <v>93</v>
      </c>
      <c r="D1424" s="27" t="s">
        <v>24</v>
      </c>
      <c r="E1424" s="28">
        <v>110400</v>
      </c>
      <c r="F1424" s="28">
        <v>112700</v>
      </c>
      <c r="G1424" s="27" t="s">
        <v>11</v>
      </c>
      <c r="H1424" s="27" t="s">
        <v>5212</v>
      </c>
      <c r="I1424" s="27" t="s">
        <v>9</v>
      </c>
    </row>
    <row r="1425" spans="1:9" x14ac:dyDescent="0.3">
      <c r="A1425" s="26">
        <v>45007</v>
      </c>
      <c r="B1425" s="27" t="s">
        <v>117</v>
      </c>
      <c r="C1425" s="27" t="s">
        <v>93</v>
      </c>
      <c r="D1425" s="27" t="s">
        <v>24</v>
      </c>
      <c r="E1425" s="28">
        <v>107500</v>
      </c>
      <c r="F1425" s="28">
        <v>104900</v>
      </c>
      <c r="G1425" s="27" t="s">
        <v>17</v>
      </c>
      <c r="H1425" s="27" t="s">
        <v>5523</v>
      </c>
      <c r="I1425" s="27" t="s">
        <v>9</v>
      </c>
    </row>
    <row r="1426" spans="1:9" x14ac:dyDescent="0.3">
      <c r="A1426" s="26">
        <v>45007</v>
      </c>
      <c r="B1426" s="27" t="s">
        <v>117</v>
      </c>
      <c r="C1426" s="27" t="s">
        <v>6</v>
      </c>
      <c r="D1426" s="27" t="s">
        <v>7</v>
      </c>
      <c r="E1426" s="28">
        <v>210300</v>
      </c>
      <c r="F1426" s="28">
        <v>257500</v>
      </c>
      <c r="G1426" s="27" t="s">
        <v>11</v>
      </c>
      <c r="H1426" s="27" t="s">
        <v>5829</v>
      </c>
      <c r="I1426" s="27" t="s">
        <v>9</v>
      </c>
    </row>
    <row r="1427" spans="1:9" x14ac:dyDescent="0.3">
      <c r="A1427" s="26">
        <v>45007</v>
      </c>
      <c r="B1427" s="27" t="s">
        <v>117</v>
      </c>
      <c r="C1427" s="27" t="s">
        <v>93</v>
      </c>
      <c r="D1427" s="27" t="s">
        <v>21</v>
      </c>
      <c r="E1427" s="28">
        <v>80600</v>
      </c>
      <c r="F1427" s="28">
        <v>85500</v>
      </c>
      <c r="G1427" s="27" t="s">
        <v>11</v>
      </c>
      <c r="H1427" s="27" t="s">
        <v>6231</v>
      </c>
      <c r="I1427" s="27" t="s">
        <v>9</v>
      </c>
    </row>
    <row r="1428" spans="1:9" x14ac:dyDescent="0.3">
      <c r="A1428" s="26">
        <v>45008</v>
      </c>
      <c r="B1428" s="27" t="s">
        <v>117</v>
      </c>
      <c r="C1428" s="27" t="s">
        <v>18</v>
      </c>
      <c r="D1428" s="27" t="s">
        <v>19</v>
      </c>
      <c r="E1428" s="28">
        <v>93779</v>
      </c>
      <c r="F1428" s="28">
        <v>111988</v>
      </c>
      <c r="G1428" s="27" t="s">
        <v>17</v>
      </c>
      <c r="H1428" s="27" t="s">
        <v>318</v>
      </c>
      <c r="I1428" s="27" t="s">
        <v>13</v>
      </c>
    </row>
    <row r="1429" spans="1:9" x14ac:dyDescent="0.3">
      <c r="A1429" s="26">
        <v>45008</v>
      </c>
      <c r="B1429" s="27" t="s">
        <v>117</v>
      </c>
      <c r="C1429" s="27" t="s">
        <v>18</v>
      </c>
      <c r="D1429" s="27" t="s">
        <v>16</v>
      </c>
      <c r="E1429" s="28">
        <v>74307</v>
      </c>
      <c r="F1429" s="28">
        <v>91074</v>
      </c>
      <c r="G1429" s="27" t="s">
        <v>11</v>
      </c>
      <c r="H1429" s="27" t="s">
        <v>2126</v>
      </c>
      <c r="I1429" s="27" t="s">
        <v>13</v>
      </c>
    </row>
    <row r="1430" spans="1:9" x14ac:dyDescent="0.3">
      <c r="A1430" s="26">
        <v>45008</v>
      </c>
      <c r="B1430" s="27" t="s">
        <v>117</v>
      </c>
      <c r="C1430" s="27" t="s">
        <v>10</v>
      </c>
      <c r="D1430" s="27" t="s">
        <v>19</v>
      </c>
      <c r="E1430" s="28">
        <v>74364</v>
      </c>
      <c r="F1430" s="28">
        <v>143204</v>
      </c>
      <c r="G1430" s="27" t="s">
        <v>8</v>
      </c>
      <c r="H1430" s="27" t="s">
        <v>2134</v>
      </c>
      <c r="I1430" s="27" t="s">
        <v>13</v>
      </c>
    </row>
    <row r="1431" spans="1:9" x14ac:dyDescent="0.3">
      <c r="A1431" s="26">
        <v>45008</v>
      </c>
      <c r="B1431" s="27" t="s">
        <v>117</v>
      </c>
      <c r="C1431" s="27" t="s">
        <v>6</v>
      </c>
      <c r="D1431" s="27" t="s">
        <v>19</v>
      </c>
      <c r="E1431" s="28">
        <v>62700</v>
      </c>
      <c r="F1431" s="28">
        <v>63200</v>
      </c>
      <c r="G1431" s="27" t="s">
        <v>22</v>
      </c>
      <c r="H1431" s="27" t="s">
        <v>3699</v>
      </c>
      <c r="I1431" s="27" t="s">
        <v>9</v>
      </c>
    </row>
    <row r="1432" spans="1:9" x14ac:dyDescent="0.3">
      <c r="A1432" s="26">
        <v>45008</v>
      </c>
      <c r="B1432" s="27" t="s">
        <v>117</v>
      </c>
      <c r="C1432" s="27" t="s">
        <v>6</v>
      </c>
      <c r="D1432" s="27" t="s">
        <v>16</v>
      </c>
      <c r="E1432" s="28">
        <v>126200</v>
      </c>
      <c r="F1432" s="28">
        <v>119400</v>
      </c>
      <c r="G1432" s="27" t="s">
        <v>22</v>
      </c>
      <c r="H1432" s="27" t="s">
        <v>5510</v>
      </c>
      <c r="I1432" s="27" t="s">
        <v>9</v>
      </c>
    </row>
    <row r="1433" spans="1:9" x14ac:dyDescent="0.3">
      <c r="A1433" s="26">
        <v>45008</v>
      </c>
      <c r="B1433" s="27" t="s">
        <v>117</v>
      </c>
      <c r="C1433" s="27" t="s">
        <v>6</v>
      </c>
      <c r="D1433" s="27" t="s">
        <v>19</v>
      </c>
      <c r="E1433" s="28">
        <v>90800</v>
      </c>
      <c r="F1433" s="28">
        <v>127100</v>
      </c>
      <c r="G1433" s="27" t="s">
        <v>17</v>
      </c>
      <c r="H1433" s="27" t="s">
        <v>5518</v>
      </c>
      <c r="I1433" s="27" t="s">
        <v>9</v>
      </c>
    </row>
    <row r="1434" spans="1:9" x14ac:dyDescent="0.3">
      <c r="A1434" s="26">
        <v>45009</v>
      </c>
      <c r="B1434" s="27" t="s">
        <v>117</v>
      </c>
      <c r="C1434" s="27" t="s">
        <v>15</v>
      </c>
      <c r="D1434" s="27" t="s">
        <v>24</v>
      </c>
      <c r="E1434" s="28">
        <v>129932</v>
      </c>
      <c r="F1434" s="28">
        <v>134833</v>
      </c>
      <c r="G1434" s="27" t="s">
        <v>22</v>
      </c>
      <c r="H1434" s="27" t="s">
        <v>1655</v>
      </c>
      <c r="I1434" s="27" t="s">
        <v>13</v>
      </c>
    </row>
    <row r="1435" spans="1:9" x14ac:dyDescent="0.3">
      <c r="A1435" s="26">
        <v>45009</v>
      </c>
      <c r="B1435" s="27" t="s">
        <v>117</v>
      </c>
      <c r="C1435" s="27" t="s">
        <v>20</v>
      </c>
      <c r="D1435" s="27" t="s">
        <v>7</v>
      </c>
      <c r="E1435" s="28">
        <v>44495</v>
      </c>
      <c r="F1435" s="28">
        <v>166882</v>
      </c>
      <c r="G1435" s="27" t="s">
        <v>8</v>
      </c>
      <c r="H1435" s="27" t="s">
        <v>1671</v>
      </c>
      <c r="I1435" s="27" t="s">
        <v>13</v>
      </c>
    </row>
    <row r="1436" spans="1:9" x14ac:dyDescent="0.3">
      <c r="A1436" s="26">
        <v>45009</v>
      </c>
      <c r="B1436" s="27" t="s">
        <v>117</v>
      </c>
      <c r="C1436" s="27" t="s">
        <v>10</v>
      </c>
      <c r="D1436" s="27" t="s">
        <v>16</v>
      </c>
      <c r="E1436" s="28">
        <v>144649</v>
      </c>
      <c r="F1436" s="28">
        <v>110172</v>
      </c>
      <c r="G1436" s="27" t="s">
        <v>22</v>
      </c>
      <c r="H1436" s="27" t="s">
        <v>2114</v>
      </c>
      <c r="I1436" s="27" t="s">
        <v>13</v>
      </c>
    </row>
    <row r="1437" spans="1:9" x14ac:dyDescent="0.3">
      <c r="A1437" s="26">
        <v>45009</v>
      </c>
      <c r="B1437" s="27" t="s">
        <v>117</v>
      </c>
      <c r="C1437" s="27" t="s">
        <v>20</v>
      </c>
      <c r="D1437" s="27" t="s">
        <v>16</v>
      </c>
      <c r="E1437" s="28">
        <v>112594</v>
      </c>
      <c r="F1437" s="28">
        <v>112722</v>
      </c>
      <c r="G1437" s="27" t="s">
        <v>11</v>
      </c>
      <c r="H1437" s="27" t="s">
        <v>2246</v>
      </c>
      <c r="I1437" s="27" t="s">
        <v>13</v>
      </c>
    </row>
    <row r="1438" spans="1:9" x14ac:dyDescent="0.3">
      <c r="A1438" s="26">
        <v>45009</v>
      </c>
      <c r="B1438" s="27" t="s">
        <v>117</v>
      </c>
      <c r="C1438" s="27" t="s">
        <v>18</v>
      </c>
      <c r="D1438" s="27" t="s">
        <v>24</v>
      </c>
      <c r="E1438" s="28">
        <v>11302</v>
      </c>
      <c r="F1438" s="28">
        <v>111183</v>
      </c>
      <c r="G1438" s="27" t="s">
        <v>11</v>
      </c>
      <c r="H1438" s="27" t="s">
        <v>3102</v>
      </c>
      <c r="I1438" s="27" t="s">
        <v>13</v>
      </c>
    </row>
    <row r="1439" spans="1:9" x14ac:dyDescent="0.3">
      <c r="A1439" s="26">
        <v>45009</v>
      </c>
      <c r="B1439" s="27" t="s">
        <v>117</v>
      </c>
      <c r="C1439" s="27" t="s">
        <v>14</v>
      </c>
      <c r="D1439" s="27" t="s">
        <v>16</v>
      </c>
      <c r="E1439" s="28">
        <v>61522</v>
      </c>
      <c r="F1439" s="28">
        <v>112169</v>
      </c>
      <c r="G1439" s="27" t="s">
        <v>22</v>
      </c>
      <c r="H1439" s="27" t="s">
        <v>3141</v>
      </c>
      <c r="I1439" s="27" t="s">
        <v>13</v>
      </c>
    </row>
    <row r="1440" spans="1:9" x14ac:dyDescent="0.3">
      <c r="A1440" s="26">
        <v>45009</v>
      </c>
      <c r="B1440" s="27" t="s">
        <v>117</v>
      </c>
      <c r="C1440" s="27" t="s">
        <v>6</v>
      </c>
      <c r="D1440" s="27" t="s">
        <v>24</v>
      </c>
      <c r="E1440" s="28">
        <v>118700</v>
      </c>
      <c r="F1440" s="28">
        <v>101900</v>
      </c>
      <c r="G1440" s="27" t="s">
        <v>11</v>
      </c>
      <c r="H1440" s="27" t="s">
        <v>5038</v>
      </c>
      <c r="I1440" s="27" t="s">
        <v>9</v>
      </c>
    </row>
    <row r="1441" spans="1:9" x14ac:dyDescent="0.3">
      <c r="A1441" s="26">
        <v>45009</v>
      </c>
      <c r="B1441" s="27" t="s">
        <v>117</v>
      </c>
      <c r="C1441" s="27" t="s">
        <v>6</v>
      </c>
      <c r="D1441" s="27" t="s">
        <v>7</v>
      </c>
      <c r="E1441" s="28">
        <v>242500</v>
      </c>
      <c r="F1441" s="28">
        <v>239500</v>
      </c>
      <c r="G1441" s="27" t="s">
        <v>11</v>
      </c>
      <c r="H1441" s="27" t="s">
        <v>5054</v>
      </c>
      <c r="I1441" s="27" t="s">
        <v>9</v>
      </c>
    </row>
    <row r="1442" spans="1:9" x14ac:dyDescent="0.3">
      <c r="A1442" s="26">
        <v>45009</v>
      </c>
      <c r="B1442" s="27" t="s">
        <v>117</v>
      </c>
      <c r="C1442" s="27" t="s">
        <v>6</v>
      </c>
      <c r="D1442" s="27" t="s">
        <v>16</v>
      </c>
      <c r="E1442" s="28">
        <v>142900</v>
      </c>
      <c r="F1442" s="28">
        <v>149300</v>
      </c>
      <c r="G1442" s="27" t="s">
        <v>11</v>
      </c>
      <c r="H1442" s="27" t="s">
        <v>5498</v>
      </c>
      <c r="I1442" s="27" t="s">
        <v>9</v>
      </c>
    </row>
    <row r="1443" spans="1:9" x14ac:dyDescent="0.3">
      <c r="A1443" s="26">
        <v>45009</v>
      </c>
      <c r="B1443" s="27" t="s">
        <v>117</v>
      </c>
      <c r="C1443" s="27" t="s">
        <v>93</v>
      </c>
      <c r="D1443" s="27" t="s">
        <v>16</v>
      </c>
      <c r="E1443" s="28">
        <v>158700</v>
      </c>
      <c r="F1443" s="28">
        <v>176700</v>
      </c>
      <c r="G1443" s="27" t="s">
        <v>11</v>
      </c>
      <c r="H1443" s="27" t="s">
        <v>5631</v>
      </c>
      <c r="I1443" s="27" t="s">
        <v>9</v>
      </c>
    </row>
    <row r="1444" spans="1:9" x14ac:dyDescent="0.3">
      <c r="A1444" s="26">
        <v>45009</v>
      </c>
      <c r="B1444" s="27" t="s">
        <v>117</v>
      </c>
      <c r="C1444" s="27" t="s">
        <v>93</v>
      </c>
      <c r="D1444" s="27" t="s">
        <v>24</v>
      </c>
      <c r="E1444" s="28">
        <v>94600</v>
      </c>
      <c r="F1444" s="28">
        <v>85400</v>
      </c>
      <c r="G1444" s="27" t="s">
        <v>11</v>
      </c>
      <c r="H1444" s="27" t="s">
        <v>6487</v>
      </c>
      <c r="I1444" s="27" t="s">
        <v>9</v>
      </c>
    </row>
    <row r="1445" spans="1:9" x14ac:dyDescent="0.3">
      <c r="A1445" s="26">
        <v>45009</v>
      </c>
      <c r="B1445" s="27" t="s">
        <v>117</v>
      </c>
      <c r="C1445" s="27" t="s">
        <v>6</v>
      </c>
      <c r="D1445" s="27" t="s">
        <v>16</v>
      </c>
      <c r="E1445" s="28">
        <v>135900</v>
      </c>
      <c r="F1445" s="28">
        <v>182100</v>
      </c>
      <c r="G1445" s="27" t="s">
        <v>22</v>
      </c>
      <c r="H1445" s="27" t="s">
        <v>6526</v>
      </c>
      <c r="I1445" s="27" t="s">
        <v>9</v>
      </c>
    </row>
    <row r="1446" spans="1:9" x14ac:dyDescent="0.3">
      <c r="A1446" s="26">
        <v>45010</v>
      </c>
      <c r="B1446" s="27" t="s">
        <v>117</v>
      </c>
      <c r="C1446" s="27" t="s">
        <v>15</v>
      </c>
      <c r="D1446" s="27" t="s">
        <v>7</v>
      </c>
      <c r="E1446" s="28">
        <v>140053</v>
      </c>
      <c r="F1446" s="28">
        <v>30840</v>
      </c>
      <c r="G1446" s="27" t="s">
        <v>8</v>
      </c>
      <c r="H1446" s="27" t="s">
        <v>374</v>
      </c>
      <c r="I1446" s="27" t="s">
        <v>13</v>
      </c>
    </row>
    <row r="1447" spans="1:9" x14ac:dyDescent="0.3">
      <c r="A1447" s="26">
        <v>45010</v>
      </c>
      <c r="B1447" s="27" t="s">
        <v>117</v>
      </c>
      <c r="C1447" s="27" t="s">
        <v>15</v>
      </c>
      <c r="D1447" s="27" t="s">
        <v>24</v>
      </c>
      <c r="E1447" s="28">
        <v>118050</v>
      </c>
      <c r="F1447" s="28">
        <v>130809</v>
      </c>
      <c r="G1447" s="27" t="s">
        <v>11</v>
      </c>
      <c r="H1447" s="27" t="s">
        <v>408</v>
      </c>
      <c r="I1447" s="27" t="s">
        <v>13</v>
      </c>
    </row>
    <row r="1448" spans="1:9" x14ac:dyDescent="0.3">
      <c r="A1448" s="26">
        <v>45010</v>
      </c>
      <c r="B1448" s="27" t="s">
        <v>117</v>
      </c>
      <c r="C1448" s="27" t="s">
        <v>15</v>
      </c>
      <c r="D1448" s="27" t="s">
        <v>21</v>
      </c>
      <c r="E1448" s="28">
        <v>53664</v>
      </c>
      <c r="F1448" s="28">
        <v>165505</v>
      </c>
      <c r="G1448" s="27" t="s">
        <v>8</v>
      </c>
      <c r="H1448" s="27" t="s">
        <v>471</v>
      </c>
      <c r="I1448" s="27" t="s">
        <v>13</v>
      </c>
    </row>
    <row r="1449" spans="1:9" x14ac:dyDescent="0.3">
      <c r="A1449" s="26">
        <v>45010</v>
      </c>
      <c r="B1449" s="27" t="s">
        <v>117</v>
      </c>
      <c r="C1449" s="27" t="s">
        <v>20</v>
      </c>
      <c r="D1449" s="27" t="s">
        <v>19</v>
      </c>
      <c r="E1449" s="28">
        <v>132418</v>
      </c>
      <c r="F1449" s="28">
        <v>95645</v>
      </c>
      <c r="G1449" s="27" t="s">
        <v>11</v>
      </c>
      <c r="H1449" s="27" t="s">
        <v>622</v>
      </c>
      <c r="I1449" s="27" t="s">
        <v>13</v>
      </c>
    </row>
    <row r="1450" spans="1:9" x14ac:dyDescent="0.3">
      <c r="A1450" s="26">
        <v>45010</v>
      </c>
      <c r="B1450" s="27" t="s">
        <v>117</v>
      </c>
      <c r="C1450" s="27" t="s">
        <v>14</v>
      </c>
      <c r="D1450" s="27" t="s">
        <v>7</v>
      </c>
      <c r="E1450" s="28">
        <v>133529</v>
      </c>
      <c r="F1450" s="28">
        <v>156051</v>
      </c>
      <c r="G1450" s="27" t="s">
        <v>22</v>
      </c>
      <c r="H1450" s="27" t="s">
        <v>861</v>
      </c>
      <c r="I1450" s="27" t="s">
        <v>13</v>
      </c>
    </row>
    <row r="1451" spans="1:9" x14ac:dyDescent="0.3">
      <c r="A1451" s="26">
        <v>45010</v>
      </c>
      <c r="B1451" s="27" t="s">
        <v>117</v>
      </c>
      <c r="C1451" s="27" t="s">
        <v>20</v>
      </c>
      <c r="D1451" s="27" t="s">
        <v>16</v>
      </c>
      <c r="E1451" s="28">
        <v>124288</v>
      </c>
      <c r="F1451" s="28">
        <v>34980</v>
      </c>
      <c r="G1451" s="27" t="s">
        <v>11</v>
      </c>
      <c r="H1451" s="27" t="s">
        <v>1648</v>
      </c>
      <c r="I1451" s="27" t="s">
        <v>13</v>
      </c>
    </row>
    <row r="1452" spans="1:9" x14ac:dyDescent="0.3">
      <c r="A1452" s="26">
        <v>45010</v>
      </c>
      <c r="B1452" s="27" t="s">
        <v>117</v>
      </c>
      <c r="C1452" s="27" t="s">
        <v>32</v>
      </c>
      <c r="D1452" s="27" t="s">
        <v>21</v>
      </c>
      <c r="E1452" s="28">
        <v>89532</v>
      </c>
      <c r="F1452" s="28">
        <v>24362</v>
      </c>
      <c r="G1452" s="27" t="s">
        <v>8</v>
      </c>
      <c r="H1452" s="27" t="s">
        <v>1782</v>
      </c>
      <c r="I1452" s="27" t="s">
        <v>13</v>
      </c>
    </row>
    <row r="1453" spans="1:9" x14ac:dyDescent="0.3">
      <c r="A1453" s="26">
        <v>45010</v>
      </c>
      <c r="B1453" s="27" t="s">
        <v>117</v>
      </c>
      <c r="C1453" s="27" t="s">
        <v>20</v>
      </c>
      <c r="D1453" s="27" t="s">
        <v>19</v>
      </c>
      <c r="E1453" s="28">
        <v>31275</v>
      </c>
      <c r="F1453" s="28">
        <v>78590</v>
      </c>
      <c r="G1453" s="27" t="s">
        <v>17</v>
      </c>
      <c r="H1453" s="27" t="s">
        <v>2017</v>
      </c>
      <c r="I1453" s="27" t="s">
        <v>13</v>
      </c>
    </row>
    <row r="1454" spans="1:9" x14ac:dyDescent="0.3">
      <c r="A1454" s="26">
        <v>45010</v>
      </c>
      <c r="B1454" s="27" t="s">
        <v>117</v>
      </c>
      <c r="C1454" s="27" t="s">
        <v>32</v>
      </c>
      <c r="D1454" s="27" t="s">
        <v>21</v>
      </c>
      <c r="E1454" s="28">
        <v>56698</v>
      </c>
      <c r="F1454" s="28">
        <v>91949</v>
      </c>
      <c r="G1454" s="27" t="s">
        <v>8</v>
      </c>
      <c r="H1454" s="27" t="s">
        <v>2249</v>
      </c>
      <c r="I1454" s="27" t="s">
        <v>13</v>
      </c>
    </row>
    <row r="1455" spans="1:9" x14ac:dyDescent="0.3">
      <c r="A1455" s="26">
        <v>45010</v>
      </c>
      <c r="B1455" s="27" t="s">
        <v>117</v>
      </c>
      <c r="C1455" s="27" t="s">
        <v>18</v>
      </c>
      <c r="D1455" s="27" t="s">
        <v>19</v>
      </c>
      <c r="E1455" s="28">
        <v>140836</v>
      </c>
      <c r="F1455" s="28">
        <v>41618</v>
      </c>
      <c r="G1455" s="27" t="s">
        <v>17</v>
      </c>
      <c r="H1455" s="27" t="s">
        <v>2696</v>
      </c>
      <c r="I1455" s="27" t="s">
        <v>13</v>
      </c>
    </row>
    <row r="1456" spans="1:9" x14ac:dyDescent="0.3">
      <c r="A1456" s="26">
        <v>45010</v>
      </c>
      <c r="B1456" s="27" t="s">
        <v>117</v>
      </c>
      <c r="C1456" s="27" t="s">
        <v>20</v>
      </c>
      <c r="D1456" s="27" t="s">
        <v>7</v>
      </c>
      <c r="E1456" s="28">
        <v>74739</v>
      </c>
      <c r="F1456" s="28">
        <v>97256</v>
      </c>
      <c r="G1456" s="27" t="s">
        <v>11</v>
      </c>
      <c r="H1456" s="27" t="s">
        <v>2702</v>
      </c>
      <c r="I1456" s="27" t="s">
        <v>13</v>
      </c>
    </row>
    <row r="1457" spans="1:9" x14ac:dyDescent="0.3">
      <c r="A1457" s="26">
        <v>45010</v>
      </c>
      <c r="B1457" s="27" t="s">
        <v>117</v>
      </c>
      <c r="C1457" s="27" t="s">
        <v>6</v>
      </c>
      <c r="D1457" s="27" t="s">
        <v>7</v>
      </c>
      <c r="E1457" s="28">
        <v>113600</v>
      </c>
      <c r="F1457" s="28">
        <v>112900</v>
      </c>
      <c r="G1457" s="27" t="s">
        <v>11</v>
      </c>
      <c r="H1457" s="27" t="s">
        <v>3755</v>
      </c>
      <c r="I1457" s="27" t="s">
        <v>9</v>
      </c>
    </row>
    <row r="1458" spans="1:9" x14ac:dyDescent="0.3">
      <c r="A1458" s="26">
        <v>45010</v>
      </c>
      <c r="B1458" s="27" t="s">
        <v>117</v>
      </c>
      <c r="C1458" s="27" t="s">
        <v>93</v>
      </c>
      <c r="D1458" s="27" t="s">
        <v>24</v>
      </c>
      <c r="E1458" s="28">
        <v>85000</v>
      </c>
      <c r="F1458" s="28">
        <v>74700</v>
      </c>
      <c r="G1458" s="27" t="s">
        <v>11</v>
      </c>
      <c r="H1458" s="27" t="s">
        <v>3789</v>
      </c>
      <c r="I1458" s="27" t="s">
        <v>9</v>
      </c>
    </row>
    <row r="1459" spans="1:9" x14ac:dyDescent="0.3">
      <c r="A1459" s="26">
        <v>45010</v>
      </c>
      <c r="B1459" s="27" t="s">
        <v>117</v>
      </c>
      <c r="C1459" s="27" t="s">
        <v>93</v>
      </c>
      <c r="D1459" s="27" t="s">
        <v>21</v>
      </c>
      <c r="E1459" s="28">
        <v>191500</v>
      </c>
      <c r="F1459" s="28">
        <v>207400</v>
      </c>
      <c r="G1459" s="27" t="s">
        <v>11</v>
      </c>
      <c r="H1459" s="27" t="s">
        <v>3852</v>
      </c>
      <c r="I1459" s="27" t="s">
        <v>9</v>
      </c>
    </row>
    <row r="1460" spans="1:9" x14ac:dyDescent="0.3">
      <c r="A1460" s="26">
        <v>45010</v>
      </c>
      <c r="B1460" s="27" t="s">
        <v>117</v>
      </c>
      <c r="C1460" s="27" t="s">
        <v>93</v>
      </c>
      <c r="D1460" s="27" t="s">
        <v>19</v>
      </c>
      <c r="E1460" s="28">
        <v>99600</v>
      </c>
      <c r="F1460" s="28">
        <v>94000</v>
      </c>
      <c r="G1460" s="27" t="s">
        <v>22</v>
      </c>
      <c r="H1460" s="27" t="s">
        <v>4003</v>
      </c>
      <c r="I1460" s="27" t="s">
        <v>9</v>
      </c>
    </row>
    <row r="1461" spans="1:9" x14ac:dyDescent="0.3">
      <c r="A1461" s="26">
        <v>45010</v>
      </c>
      <c r="B1461" s="27" t="s">
        <v>117</v>
      </c>
      <c r="C1461" s="27" t="s">
        <v>6</v>
      </c>
      <c r="D1461" s="27" t="s">
        <v>7</v>
      </c>
      <c r="E1461" s="28">
        <v>78400</v>
      </c>
      <c r="F1461" s="28">
        <v>95300</v>
      </c>
      <c r="G1461" s="27" t="s">
        <v>17</v>
      </c>
      <c r="H1461" s="27" t="s">
        <v>4242</v>
      </c>
      <c r="I1461" s="27" t="s">
        <v>9</v>
      </c>
    </row>
    <row r="1462" spans="1:9" x14ac:dyDescent="0.3">
      <c r="A1462" s="26">
        <v>45010</v>
      </c>
      <c r="B1462" s="27" t="s">
        <v>117</v>
      </c>
      <c r="C1462" s="27" t="s">
        <v>93</v>
      </c>
      <c r="D1462" s="27" t="s">
        <v>16</v>
      </c>
      <c r="E1462" s="28">
        <v>134200</v>
      </c>
      <c r="F1462" s="28">
        <v>168700</v>
      </c>
      <c r="G1462" s="27" t="s">
        <v>17</v>
      </c>
      <c r="H1462" s="27" t="s">
        <v>5031</v>
      </c>
      <c r="I1462" s="27" t="s">
        <v>9</v>
      </c>
    </row>
    <row r="1463" spans="1:9" x14ac:dyDescent="0.3">
      <c r="A1463" s="26">
        <v>45010</v>
      </c>
      <c r="B1463" s="27" t="s">
        <v>117</v>
      </c>
      <c r="C1463" s="27" t="s">
        <v>6</v>
      </c>
      <c r="D1463" s="27" t="s">
        <v>21</v>
      </c>
      <c r="E1463" s="28">
        <v>196500</v>
      </c>
      <c r="F1463" s="28">
        <v>183300</v>
      </c>
      <c r="G1463" s="27" t="s">
        <v>22</v>
      </c>
      <c r="H1463" s="27" t="s">
        <v>5165</v>
      </c>
      <c r="I1463" s="27" t="s">
        <v>9</v>
      </c>
    </row>
    <row r="1464" spans="1:9" x14ac:dyDescent="0.3">
      <c r="A1464" s="26">
        <v>45010</v>
      </c>
      <c r="B1464" s="27" t="s">
        <v>117</v>
      </c>
      <c r="C1464" s="27" t="s">
        <v>6</v>
      </c>
      <c r="D1464" s="27" t="s">
        <v>19</v>
      </c>
      <c r="E1464" s="28">
        <v>73500</v>
      </c>
      <c r="F1464" s="28">
        <v>109700</v>
      </c>
      <c r="G1464" s="27" t="s">
        <v>11</v>
      </c>
      <c r="H1464" s="27" t="s">
        <v>5401</v>
      </c>
      <c r="I1464" s="27" t="s">
        <v>9</v>
      </c>
    </row>
    <row r="1465" spans="1:9" x14ac:dyDescent="0.3">
      <c r="A1465" s="26">
        <v>45010</v>
      </c>
      <c r="B1465" s="27" t="s">
        <v>117</v>
      </c>
      <c r="C1465" s="27" t="s">
        <v>93</v>
      </c>
      <c r="D1465" s="27" t="s">
        <v>21</v>
      </c>
      <c r="E1465" s="28">
        <v>99200</v>
      </c>
      <c r="F1465" s="28">
        <v>109400</v>
      </c>
      <c r="G1465" s="27" t="s">
        <v>22</v>
      </c>
      <c r="H1465" s="27" t="s">
        <v>5634</v>
      </c>
      <c r="I1465" s="27" t="s">
        <v>9</v>
      </c>
    </row>
    <row r="1466" spans="1:9" x14ac:dyDescent="0.3">
      <c r="A1466" s="26">
        <v>45010</v>
      </c>
      <c r="B1466" s="27" t="s">
        <v>117</v>
      </c>
      <c r="C1466" s="27" t="s">
        <v>6</v>
      </c>
      <c r="D1466" s="27" t="s">
        <v>19</v>
      </c>
      <c r="E1466" s="28">
        <v>192000</v>
      </c>
      <c r="F1466" s="28">
        <v>138700</v>
      </c>
      <c r="G1466" s="27" t="s">
        <v>11</v>
      </c>
      <c r="H1466" s="27" t="s">
        <v>6081</v>
      </c>
      <c r="I1466" s="27" t="s">
        <v>9</v>
      </c>
    </row>
    <row r="1467" spans="1:9" x14ac:dyDescent="0.3">
      <c r="A1467" s="26">
        <v>45010</v>
      </c>
      <c r="B1467" s="27" t="s">
        <v>117</v>
      </c>
      <c r="C1467" s="27" t="s">
        <v>93</v>
      </c>
      <c r="D1467" s="27" t="s">
        <v>7</v>
      </c>
      <c r="E1467" s="28">
        <v>112000</v>
      </c>
      <c r="F1467" s="28">
        <v>104500</v>
      </c>
      <c r="G1467" s="27" t="s">
        <v>11</v>
      </c>
      <c r="H1467" s="27" t="s">
        <v>6087</v>
      </c>
      <c r="I1467" s="27" t="s">
        <v>9</v>
      </c>
    </row>
    <row r="1468" spans="1:9" x14ac:dyDescent="0.3">
      <c r="A1468" s="26">
        <v>45011</v>
      </c>
      <c r="B1468" s="27" t="s">
        <v>117</v>
      </c>
      <c r="C1468" s="27" t="s">
        <v>10</v>
      </c>
      <c r="D1468" s="27" t="s">
        <v>24</v>
      </c>
      <c r="E1468" s="28">
        <v>59698</v>
      </c>
      <c r="F1468" s="28">
        <v>46419</v>
      </c>
      <c r="G1468" s="27" t="s">
        <v>11</v>
      </c>
      <c r="H1468" s="27" t="s">
        <v>243</v>
      </c>
      <c r="I1468" s="27" t="s">
        <v>13</v>
      </c>
    </row>
    <row r="1469" spans="1:9" x14ac:dyDescent="0.3">
      <c r="A1469" s="26">
        <v>45011</v>
      </c>
      <c r="B1469" s="27" t="s">
        <v>117</v>
      </c>
      <c r="C1469" s="27" t="s">
        <v>18</v>
      </c>
      <c r="D1469" s="27" t="s">
        <v>19</v>
      </c>
      <c r="E1469" s="28">
        <v>120633</v>
      </c>
      <c r="F1469" s="28">
        <v>69486</v>
      </c>
      <c r="G1469" s="27" t="s">
        <v>8</v>
      </c>
      <c r="H1469" s="27" t="s">
        <v>356</v>
      </c>
      <c r="I1469" s="27" t="s">
        <v>13</v>
      </c>
    </row>
    <row r="1470" spans="1:9" x14ac:dyDescent="0.3">
      <c r="A1470" s="26">
        <v>45011</v>
      </c>
      <c r="B1470" s="27" t="s">
        <v>117</v>
      </c>
      <c r="C1470" s="27" t="s">
        <v>18</v>
      </c>
      <c r="D1470" s="27" t="s">
        <v>19</v>
      </c>
      <c r="E1470" s="28">
        <v>101931</v>
      </c>
      <c r="F1470" s="28">
        <v>71791</v>
      </c>
      <c r="G1470" s="27" t="s">
        <v>8</v>
      </c>
      <c r="H1470" s="27" t="s">
        <v>362</v>
      </c>
      <c r="I1470" s="27" t="s">
        <v>13</v>
      </c>
    </row>
    <row r="1471" spans="1:9" x14ac:dyDescent="0.3">
      <c r="A1471" s="26">
        <v>45011</v>
      </c>
      <c r="B1471" s="27" t="s">
        <v>117</v>
      </c>
      <c r="C1471" s="27" t="s">
        <v>14</v>
      </c>
      <c r="D1471" s="27" t="s">
        <v>24</v>
      </c>
      <c r="E1471" s="28">
        <v>45985</v>
      </c>
      <c r="F1471" s="28">
        <v>58730</v>
      </c>
      <c r="G1471" s="27" t="s">
        <v>11</v>
      </c>
      <c r="H1471" s="27" t="s">
        <v>415</v>
      </c>
      <c r="I1471" s="27" t="s">
        <v>13</v>
      </c>
    </row>
    <row r="1472" spans="1:9" x14ac:dyDescent="0.3">
      <c r="A1472" s="26">
        <v>45011</v>
      </c>
      <c r="B1472" s="27" t="s">
        <v>117</v>
      </c>
      <c r="C1472" s="27" t="s">
        <v>15</v>
      </c>
      <c r="D1472" s="27" t="s">
        <v>16</v>
      </c>
      <c r="E1472" s="28">
        <v>17176</v>
      </c>
      <c r="F1472" s="28">
        <v>14179</v>
      </c>
      <c r="G1472" s="27" t="s">
        <v>8</v>
      </c>
      <c r="H1472" s="27" t="s">
        <v>2217</v>
      </c>
      <c r="I1472" s="27" t="s">
        <v>13</v>
      </c>
    </row>
    <row r="1473" spans="1:9" x14ac:dyDescent="0.3">
      <c r="A1473" s="26">
        <v>45011</v>
      </c>
      <c r="B1473" s="27" t="s">
        <v>117</v>
      </c>
      <c r="C1473" s="27" t="s">
        <v>32</v>
      </c>
      <c r="D1473" s="27" t="s">
        <v>7</v>
      </c>
      <c r="E1473" s="28">
        <v>80256</v>
      </c>
      <c r="F1473" s="28">
        <v>20900</v>
      </c>
      <c r="G1473" s="27" t="s">
        <v>22</v>
      </c>
      <c r="H1473" s="27" t="s">
        <v>2765</v>
      </c>
      <c r="I1473" s="27" t="s">
        <v>13</v>
      </c>
    </row>
    <row r="1474" spans="1:9" x14ac:dyDescent="0.3">
      <c r="A1474" s="26">
        <v>45011</v>
      </c>
      <c r="B1474" s="27" t="s">
        <v>117</v>
      </c>
      <c r="C1474" s="27" t="s">
        <v>15</v>
      </c>
      <c r="D1474" s="27" t="s">
        <v>24</v>
      </c>
      <c r="E1474" s="28">
        <v>23234</v>
      </c>
      <c r="F1474" s="28">
        <v>105251</v>
      </c>
      <c r="G1474" s="27" t="s">
        <v>22</v>
      </c>
      <c r="H1474" s="27" t="s">
        <v>3076</v>
      </c>
      <c r="I1474" s="27" t="s">
        <v>13</v>
      </c>
    </row>
    <row r="1475" spans="1:9" x14ac:dyDescent="0.3">
      <c r="A1475" s="26">
        <v>45011</v>
      </c>
      <c r="B1475" s="27" t="s">
        <v>117</v>
      </c>
      <c r="C1475" s="27" t="s">
        <v>32</v>
      </c>
      <c r="D1475" s="27" t="s">
        <v>24</v>
      </c>
      <c r="E1475" s="28">
        <v>10843</v>
      </c>
      <c r="F1475" s="28">
        <v>25962</v>
      </c>
      <c r="G1475" s="27" t="s">
        <v>22</v>
      </c>
      <c r="H1475" s="27" t="s">
        <v>3214</v>
      </c>
      <c r="I1475" s="27" t="s">
        <v>13</v>
      </c>
    </row>
    <row r="1476" spans="1:9" x14ac:dyDescent="0.3">
      <c r="A1476" s="26">
        <v>45011</v>
      </c>
      <c r="B1476" s="27" t="s">
        <v>117</v>
      </c>
      <c r="C1476" s="27" t="s">
        <v>93</v>
      </c>
      <c r="D1476" s="27" t="s">
        <v>24</v>
      </c>
      <c r="E1476" s="28">
        <v>84900</v>
      </c>
      <c r="F1476" s="28">
        <v>86500</v>
      </c>
      <c r="G1476" s="27" t="s">
        <v>17</v>
      </c>
      <c r="H1476" s="27" t="s">
        <v>3624</v>
      </c>
      <c r="I1476" s="27" t="s">
        <v>9</v>
      </c>
    </row>
    <row r="1477" spans="1:9" x14ac:dyDescent="0.3">
      <c r="A1477" s="26">
        <v>45011</v>
      </c>
      <c r="B1477" s="27" t="s">
        <v>117</v>
      </c>
      <c r="C1477" s="27" t="s">
        <v>93</v>
      </c>
      <c r="D1477" s="27" t="s">
        <v>19</v>
      </c>
      <c r="E1477" s="28">
        <v>74700</v>
      </c>
      <c r="F1477" s="28">
        <v>79400</v>
      </c>
      <c r="G1477" s="27" t="s">
        <v>22</v>
      </c>
      <c r="H1477" s="27" t="s">
        <v>3737</v>
      </c>
      <c r="I1477" s="27" t="s">
        <v>9</v>
      </c>
    </row>
    <row r="1478" spans="1:9" x14ac:dyDescent="0.3">
      <c r="A1478" s="26">
        <v>45011</v>
      </c>
      <c r="B1478" s="27" t="s">
        <v>117</v>
      </c>
      <c r="C1478" s="27" t="s">
        <v>93</v>
      </c>
      <c r="D1478" s="27" t="s">
        <v>19</v>
      </c>
      <c r="E1478" s="28">
        <v>153300</v>
      </c>
      <c r="F1478" s="28">
        <v>174900</v>
      </c>
      <c r="G1478" s="27" t="s">
        <v>11</v>
      </c>
      <c r="H1478" s="27" t="s">
        <v>3743</v>
      </c>
      <c r="I1478" s="27" t="s">
        <v>9</v>
      </c>
    </row>
    <row r="1479" spans="1:9" x14ac:dyDescent="0.3">
      <c r="A1479" s="26">
        <v>45011</v>
      </c>
      <c r="B1479" s="27" t="s">
        <v>117</v>
      </c>
      <c r="C1479" s="27" t="s">
        <v>93</v>
      </c>
      <c r="D1479" s="27" t="s">
        <v>24</v>
      </c>
      <c r="E1479" s="28">
        <v>130500</v>
      </c>
      <c r="F1479" s="28">
        <v>123900</v>
      </c>
      <c r="G1479" s="27" t="s">
        <v>11</v>
      </c>
      <c r="H1479" s="27" t="s">
        <v>3796</v>
      </c>
      <c r="I1479" s="27" t="s">
        <v>9</v>
      </c>
    </row>
    <row r="1480" spans="1:9" x14ac:dyDescent="0.3">
      <c r="A1480" s="26">
        <v>45011</v>
      </c>
      <c r="B1480" s="27" t="s">
        <v>117</v>
      </c>
      <c r="C1480" s="27" t="s">
        <v>6</v>
      </c>
      <c r="D1480" s="27" t="s">
        <v>16</v>
      </c>
      <c r="E1480" s="28">
        <v>172100</v>
      </c>
      <c r="F1480" s="28">
        <v>199300</v>
      </c>
      <c r="G1480" s="27" t="s">
        <v>11</v>
      </c>
      <c r="H1480" s="27" t="s">
        <v>5602</v>
      </c>
      <c r="I1480" s="27" t="s">
        <v>9</v>
      </c>
    </row>
    <row r="1481" spans="1:9" x14ac:dyDescent="0.3">
      <c r="A1481" s="26">
        <v>45011</v>
      </c>
      <c r="B1481" s="27" t="s">
        <v>117</v>
      </c>
      <c r="C1481" s="27" t="s">
        <v>6</v>
      </c>
      <c r="D1481" s="27" t="s">
        <v>7</v>
      </c>
      <c r="E1481" s="28">
        <v>42000</v>
      </c>
      <c r="F1481" s="28">
        <v>44600</v>
      </c>
      <c r="G1481" s="27" t="s">
        <v>11</v>
      </c>
      <c r="H1481" s="27" t="s">
        <v>6150</v>
      </c>
      <c r="I1481" s="27" t="s">
        <v>9</v>
      </c>
    </row>
    <row r="1482" spans="1:9" x14ac:dyDescent="0.3">
      <c r="A1482" s="26">
        <v>45011</v>
      </c>
      <c r="B1482" s="27" t="s">
        <v>117</v>
      </c>
      <c r="C1482" s="27" t="s">
        <v>6</v>
      </c>
      <c r="D1482" s="27" t="s">
        <v>24</v>
      </c>
      <c r="E1482" s="28">
        <v>156400</v>
      </c>
      <c r="F1482" s="28">
        <v>163900</v>
      </c>
      <c r="G1482" s="27" t="s">
        <v>22</v>
      </c>
      <c r="H1482" s="27" t="s">
        <v>6461</v>
      </c>
      <c r="I1482" s="27" t="s">
        <v>9</v>
      </c>
    </row>
    <row r="1483" spans="1:9" x14ac:dyDescent="0.3">
      <c r="A1483" s="26">
        <v>45011</v>
      </c>
      <c r="B1483" s="27" t="s">
        <v>117</v>
      </c>
      <c r="C1483" s="27" t="s">
        <v>93</v>
      </c>
      <c r="D1483" s="27" t="s">
        <v>24</v>
      </c>
      <c r="E1483" s="28">
        <v>136800</v>
      </c>
      <c r="F1483" s="28">
        <v>165700</v>
      </c>
      <c r="G1483" s="27" t="s">
        <v>22</v>
      </c>
      <c r="H1483" s="27" t="s">
        <v>6599</v>
      </c>
      <c r="I1483" s="27" t="s">
        <v>9</v>
      </c>
    </row>
    <row r="1484" spans="1:9" x14ac:dyDescent="0.3">
      <c r="A1484" s="26">
        <v>45012</v>
      </c>
      <c r="B1484" s="27" t="s">
        <v>117</v>
      </c>
      <c r="C1484" s="27" t="s">
        <v>15</v>
      </c>
      <c r="D1484" s="27" t="s">
        <v>7</v>
      </c>
      <c r="E1484" s="28">
        <v>67230</v>
      </c>
      <c r="F1484" s="28">
        <v>78664</v>
      </c>
      <c r="G1484" s="27" t="s">
        <v>8</v>
      </c>
      <c r="H1484" s="27" t="s">
        <v>39</v>
      </c>
      <c r="I1484" s="27" t="s">
        <v>13</v>
      </c>
    </row>
    <row r="1485" spans="1:9" x14ac:dyDescent="0.3">
      <c r="A1485" s="26">
        <v>45012</v>
      </c>
      <c r="B1485" s="27" t="s">
        <v>117</v>
      </c>
      <c r="C1485" s="27" t="s">
        <v>20</v>
      </c>
      <c r="D1485" s="27" t="s">
        <v>7</v>
      </c>
      <c r="E1485" s="28">
        <v>73566</v>
      </c>
      <c r="F1485" s="28">
        <v>136404</v>
      </c>
      <c r="G1485" s="27" t="s">
        <v>22</v>
      </c>
      <c r="H1485" s="27" t="s">
        <v>109</v>
      </c>
      <c r="I1485" s="27" t="s">
        <v>13</v>
      </c>
    </row>
    <row r="1486" spans="1:9" x14ac:dyDescent="0.3">
      <c r="A1486" s="26">
        <v>45012</v>
      </c>
      <c r="B1486" s="27" t="s">
        <v>117</v>
      </c>
      <c r="C1486" s="27" t="s">
        <v>10</v>
      </c>
      <c r="D1486" s="27" t="s">
        <v>21</v>
      </c>
      <c r="E1486" s="28">
        <v>122784</v>
      </c>
      <c r="F1486" s="28">
        <v>9484</v>
      </c>
      <c r="G1486" s="27" t="s">
        <v>22</v>
      </c>
      <c r="H1486" s="27" t="s">
        <v>134</v>
      </c>
      <c r="I1486" s="27" t="s">
        <v>13</v>
      </c>
    </row>
    <row r="1487" spans="1:9" x14ac:dyDescent="0.3">
      <c r="A1487" s="26">
        <v>45012</v>
      </c>
      <c r="B1487" s="27" t="s">
        <v>117</v>
      </c>
      <c r="C1487" s="27" t="s">
        <v>15</v>
      </c>
      <c r="D1487" s="27" t="s">
        <v>7</v>
      </c>
      <c r="E1487" s="28">
        <v>124009</v>
      </c>
      <c r="F1487" s="28">
        <v>95268</v>
      </c>
      <c r="G1487" s="27" t="s">
        <v>22</v>
      </c>
      <c r="H1487" s="27" t="s">
        <v>143</v>
      </c>
      <c r="I1487" s="27" t="s">
        <v>13</v>
      </c>
    </row>
    <row r="1488" spans="1:9" x14ac:dyDescent="0.3">
      <c r="A1488" s="26">
        <v>45012</v>
      </c>
      <c r="B1488" s="27" t="s">
        <v>117</v>
      </c>
      <c r="C1488" s="27" t="s">
        <v>14</v>
      </c>
      <c r="D1488" s="27" t="s">
        <v>21</v>
      </c>
      <c r="E1488" s="28">
        <v>111447</v>
      </c>
      <c r="F1488" s="28">
        <v>69506</v>
      </c>
      <c r="G1488" s="27" t="s">
        <v>22</v>
      </c>
      <c r="H1488" s="27" t="s">
        <v>505</v>
      </c>
      <c r="I1488" s="27" t="s">
        <v>13</v>
      </c>
    </row>
    <row r="1489" spans="1:9" x14ac:dyDescent="0.3">
      <c r="A1489" s="26">
        <v>45012</v>
      </c>
      <c r="B1489" s="27" t="s">
        <v>117</v>
      </c>
      <c r="C1489" s="27" t="s">
        <v>15</v>
      </c>
      <c r="D1489" s="27" t="s">
        <v>19</v>
      </c>
      <c r="E1489" s="28">
        <v>35804</v>
      </c>
      <c r="F1489" s="28">
        <v>166200</v>
      </c>
      <c r="G1489" s="27" t="s">
        <v>8</v>
      </c>
      <c r="H1489" s="27" t="s">
        <v>644</v>
      </c>
      <c r="I1489" s="27" t="s">
        <v>13</v>
      </c>
    </row>
    <row r="1490" spans="1:9" x14ac:dyDescent="0.3">
      <c r="A1490" s="26">
        <v>45012</v>
      </c>
      <c r="B1490" s="27" t="s">
        <v>117</v>
      </c>
      <c r="C1490" s="27" t="s">
        <v>14</v>
      </c>
      <c r="D1490" s="27" t="s">
        <v>7</v>
      </c>
      <c r="E1490" s="28">
        <v>100067</v>
      </c>
      <c r="F1490" s="28">
        <v>92433</v>
      </c>
      <c r="G1490" s="27" t="s">
        <v>8</v>
      </c>
      <c r="H1490" s="27" t="s">
        <v>1416</v>
      </c>
      <c r="I1490" s="27" t="s">
        <v>13</v>
      </c>
    </row>
    <row r="1491" spans="1:9" x14ac:dyDescent="0.3">
      <c r="A1491" s="26">
        <v>45012</v>
      </c>
      <c r="B1491" s="27" t="s">
        <v>117</v>
      </c>
      <c r="C1491" s="27" t="s">
        <v>20</v>
      </c>
      <c r="D1491" s="27" t="s">
        <v>24</v>
      </c>
      <c r="E1491" s="28">
        <v>55018</v>
      </c>
      <c r="F1491" s="28">
        <v>121628</v>
      </c>
      <c r="G1491" s="27" t="s">
        <v>17</v>
      </c>
      <c r="H1491" s="27" t="s">
        <v>1844</v>
      </c>
      <c r="I1491" s="27" t="s">
        <v>13</v>
      </c>
    </row>
    <row r="1492" spans="1:9" x14ac:dyDescent="0.3">
      <c r="A1492" s="26">
        <v>45012</v>
      </c>
      <c r="B1492" s="27" t="s">
        <v>117</v>
      </c>
      <c r="C1492" s="27" t="s">
        <v>15</v>
      </c>
      <c r="D1492" s="27" t="s">
        <v>19</v>
      </c>
      <c r="E1492" s="28">
        <v>138578</v>
      </c>
      <c r="F1492" s="28">
        <v>17800</v>
      </c>
      <c r="G1492" s="27" t="s">
        <v>17</v>
      </c>
      <c r="H1492" s="27" t="s">
        <v>2003</v>
      </c>
      <c r="I1492" s="27" t="s">
        <v>13</v>
      </c>
    </row>
    <row r="1493" spans="1:9" x14ac:dyDescent="0.3">
      <c r="A1493" s="26">
        <v>45012</v>
      </c>
      <c r="B1493" s="27" t="s">
        <v>117</v>
      </c>
      <c r="C1493" s="27" t="s">
        <v>15</v>
      </c>
      <c r="D1493" s="27" t="s">
        <v>7</v>
      </c>
      <c r="E1493" s="28">
        <v>45995</v>
      </c>
      <c r="F1493" s="28">
        <v>24662</v>
      </c>
      <c r="G1493" s="27" t="s">
        <v>8</v>
      </c>
      <c r="H1493" s="27" t="s">
        <v>2307</v>
      </c>
      <c r="I1493" s="27" t="s">
        <v>13</v>
      </c>
    </row>
    <row r="1494" spans="1:9" x14ac:dyDescent="0.3">
      <c r="A1494" s="26">
        <v>45012</v>
      </c>
      <c r="B1494" s="27" t="s">
        <v>117</v>
      </c>
      <c r="C1494" s="27" t="s">
        <v>18</v>
      </c>
      <c r="D1494" s="27" t="s">
        <v>16</v>
      </c>
      <c r="E1494" s="28">
        <v>93813</v>
      </c>
      <c r="F1494" s="28">
        <v>31618</v>
      </c>
      <c r="G1494" s="27" t="s">
        <v>8</v>
      </c>
      <c r="H1494" s="27" t="s">
        <v>2544</v>
      </c>
      <c r="I1494" s="27" t="s">
        <v>13</v>
      </c>
    </row>
    <row r="1495" spans="1:9" x14ac:dyDescent="0.3">
      <c r="A1495" s="26">
        <v>45012</v>
      </c>
      <c r="B1495" s="27" t="s">
        <v>117</v>
      </c>
      <c r="C1495" s="27" t="s">
        <v>15</v>
      </c>
      <c r="D1495" s="27" t="s">
        <v>21</v>
      </c>
      <c r="E1495" s="28">
        <v>122976</v>
      </c>
      <c r="F1495" s="28">
        <v>82339</v>
      </c>
      <c r="G1495" s="27" t="s">
        <v>22</v>
      </c>
      <c r="H1495" s="27" t="s">
        <v>2925</v>
      </c>
      <c r="I1495" s="27" t="s">
        <v>13</v>
      </c>
    </row>
    <row r="1496" spans="1:9" x14ac:dyDescent="0.3">
      <c r="A1496" s="26">
        <v>45012</v>
      </c>
      <c r="B1496" s="27" t="s">
        <v>117</v>
      </c>
      <c r="C1496" s="27" t="s">
        <v>32</v>
      </c>
      <c r="D1496" s="27" t="s">
        <v>19</v>
      </c>
      <c r="E1496" s="28">
        <v>80254</v>
      </c>
      <c r="F1496" s="28">
        <v>48806</v>
      </c>
      <c r="G1496" s="27" t="s">
        <v>22</v>
      </c>
      <c r="H1496" s="27" t="s">
        <v>3027</v>
      </c>
      <c r="I1496" s="27" t="s">
        <v>13</v>
      </c>
    </row>
    <row r="1497" spans="1:9" x14ac:dyDescent="0.3">
      <c r="A1497" s="26">
        <v>45012</v>
      </c>
      <c r="B1497" s="27" t="s">
        <v>117</v>
      </c>
      <c r="C1497" s="27" t="s">
        <v>32</v>
      </c>
      <c r="D1497" s="27" t="s">
        <v>19</v>
      </c>
      <c r="E1497" s="28">
        <v>61113</v>
      </c>
      <c r="F1497" s="28">
        <v>133008</v>
      </c>
      <c r="G1497" s="27" t="s">
        <v>22</v>
      </c>
      <c r="H1497" s="27" t="s">
        <v>3046</v>
      </c>
      <c r="I1497" s="27" t="s">
        <v>13</v>
      </c>
    </row>
    <row r="1498" spans="1:9" x14ac:dyDescent="0.3">
      <c r="A1498" s="26">
        <v>45012</v>
      </c>
      <c r="B1498" s="27" t="s">
        <v>117</v>
      </c>
      <c r="C1498" s="27" t="s">
        <v>18</v>
      </c>
      <c r="D1498" s="27" t="s">
        <v>19</v>
      </c>
      <c r="E1498" s="28">
        <v>112646</v>
      </c>
      <c r="F1498" s="28">
        <v>117880</v>
      </c>
      <c r="G1498" s="27" t="s">
        <v>8</v>
      </c>
      <c r="H1498" s="27" t="s">
        <v>3306</v>
      </c>
      <c r="I1498" s="27" t="s">
        <v>13</v>
      </c>
    </row>
    <row r="1499" spans="1:9" x14ac:dyDescent="0.3">
      <c r="A1499" s="26">
        <v>45012</v>
      </c>
      <c r="B1499" s="27" t="s">
        <v>117</v>
      </c>
      <c r="C1499" s="27" t="s">
        <v>6</v>
      </c>
      <c r="D1499" s="27" t="s">
        <v>7</v>
      </c>
      <c r="E1499" s="28">
        <v>87400</v>
      </c>
      <c r="F1499" s="28">
        <v>103100</v>
      </c>
      <c r="G1499" s="27" t="s">
        <v>11</v>
      </c>
      <c r="H1499" s="27" t="s">
        <v>3460</v>
      </c>
      <c r="I1499" s="27" t="s">
        <v>9</v>
      </c>
    </row>
    <row r="1500" spans="1:9" x14ac:dyDescent="0.3">
      <c r="A1500" s="26">
        <v>45012</v>
      </c>
      <c r="B1500" s="27" t="s">
        <v>117</v>
      </c>
      <c r="C1500" s="27" t="s">
        <v>6</v>
      </c>
      <c r="D1500" s="27" t="s">
        <v>7</v>
      </c>
      <c r="E1500" s="28">
        <v>144800</v>
      </c>
      <c r="F1500" s="28">
        <v>132400</v>
      </c>
      <c r="G1500" s="27" t="s">
        <v>22</v>
      </c>
      <c r="H1500" s="27" t="s">
        <v>3509</v>
      </c>
      <c r="I1500" s="27" t="s">
        <v>9</v>
      </c>
    </row>
    <row r="1501" spans="1:9" x14ac:dyDescent="0.3">
      <c r="A1501" s="26">
        <v>45012</v>
      </c>
      <c r="B1501" s="27" t="s">
        <v>117</v>
      </c>
      <c r="C1501" s="27" t="s">
        <v>6</v>
      </c>
      <c r="D1501" s="27" t="s">
        <v>21</v>
      </c>
      <c r="E1501" s="28">
        <v>102700</v>
      </c>
      <c r="F1501" s="28">
        <v>112200</v>
      </c>
      <c r="G1501" s="27" t="s">
        <v>11</v>
      </c>
      <c r="H1501" s="27" t="s">
        <v>3515</v>
      </c>
      <c r="I1501" s="27" t="s">
        <v>9</v>
      </c>
    </row>
    <row r="1502" spans="1:9" x14ac:dyDescent="0.3">
      <c r="A1502" s="26">
        <v>45012</v>
      </c>
      <c r="B1502" s="27" t="s">
        <v>117</v>
      </c>
      <c r="C1502" s="27" t="s">
        <v>6</v>
      </c>
      <c r="D1502" s="27" t="s">
        <v>7</v>
      </c>
      <c r="E1502" s="28">
        <v>149400</v>
      </c>
      <c r="F1502" s="28">
        <v>149400</v>
      </c>
      <c r="G1502" s="27" t="s">
        <v>11</v>
      </c>
      <c r="H1502" s="27" t="s">
        <v>3524</v>
      </c>
      <c r="I1502" s="27" t="s">
        <v>9</v>
      </c>
    </row>
    <row r="1503" spans="1:9" x14ac:dyDescent="0.3">
      <c r="A1503" s="26">
        <v>45012</v>
      </c>
      <c r="B1503" s="27" t="s">
        <v>117</v>
      </c>
      <c r="C1503" s="27" t="s">
        <v>93</v>
      </c>
      <c r="D1503" s="27" t="s">
        <v>21</v>
      </c>
      <c r="E1503" s="28">
        <v>53900</v>
      </c>
      <c r="F1503" s="28">
        <v>44700</v>
      </c>
      <c r="G1503" s="27" t="s">
        <v>11</v>
      </c>
      <c r="H1503" s="27" t="s">
        <v>3886</v>
      </c>
      <c r="I1503" s="27" t="s">
        <v>9</v>
      </c>
    </row>
    <row r="1504" spans="1:9" x14ac:dyDescent="0.3">
      <c r="A1504" s="26">
        <v>45012</v>
      </c>
      <c r="B1504" s="27" t="s">
        <v>117</v>
      </c>
      <c r="C1504" s="27" t="s">
        <v>6</v>
      </c>
      <c r="D1504" s="27" t="s">
        <v>19</v>
      </c>
      <c r="E1504" s="28">
        <v>85700</v>
      </c>
      <c r="F1504" s="28">
        <v>81100</v>
      </c>
      <c r="G1504" s="27" t="s">
        <v>17</v>
      </c>
      <c r="H1504" s="27" t="s">
        <v>4025</v>
      </c>
      <c r="I1504" s="27" t="s">
        <v>9</v>
      </c>
    </row>
    <row r="1505" spans="1:9" x14ac:dyDescent="0.3">
      <c r="A1505" s="26">
        <v>45012</v>
      </c>
      <c r="B1505" s="27" t="s">
        <v>117</v>
      </c>
      <c r="C1505" s="27" t="s">
        <v>93</v>
      </c>
      <c r="D1505" s="27" t="s">
        <v>7</v>
      </c>
      <c r="E1505" s="28">
        <v>81500</v>
      </c>
      <c r="F1505" s="28">
        <v>93600</v>
      </c>
      <c r="G1505" s="27" t="s">
        <v>22</v>
      </c>
      <c r="H1505" s="27" t="s">
        <v>4799</v>
      </c>
      <c r="I1505" s="27" t="s">
        <v>9</v>
      </c>
    </row>
    <row r="1506" spans="1:9" x14ac:dyDescent="0.3">
      <c r="A1506" s="26">
        <v>45012</v>
      </c>
      <c r="B1506" s="27" t="s">
        <v>117</v>
      </c>
      <c r="C1506" s="27" t="s">
        <v>93</v>
      </c>
      <c r="D1506" s="27" t="s">
        <v>24</v>
      </c>
      <c r="E1506" s="28">
        <v>86700</v>
      </c>
      <c r="F1506" s="28">
        <v>83300</v>
      </c>
      <c r="G1506" s="27" t="s">
        <v>22</v>
      </c>
      <c r="H1506" s="27" t="s">
        <v>5227</v>
      </c>
      <c r="I1506" s="27" t="s">
        <v>9</v>
      </c>
    </row>
    <row r="1507" spans="1:9" x14ac:dyDescent="0.3">
      <c r="A1507" s="26">
        <v>45012</v>
      </c>
      <c r="B1507" s="27" t="s">
        <v>117</v>
      </c>
      <c r="C1507" s="27" t="s">
        <v>6</v>
      </c>
      <c r="D1507" s="27" t="s">
        <v>19</v>
      </c>
      <c r="E1507" s="28">
        <v>99200</v>
      </c>
      <c r="F1507" s="28">
        <v>103700</v>
      </c>
      <c r="G1507" s="27" t="s">
        <v>22</v>
      </c>
      <c r="H1507" s="27" t="s">
        <v>5387</v>
      </c>
      <c r="I1507" s="27" t="s">
        <v>9</v>
      </c>
    </row>
    <row r="1508" spans="1:9" x14ac:dyDescent="0.3">
      <c r="A1508" s="26">
        <v>45012</v>
      </c>
      <c r="B1508" s="27" t="s">
        <v>117</v>
      </c>
      <c r="C1508" s="27" t="s">
        <v>6</v>
      </c>
      <c r="D1508" s="27" t="s">
        <v>7</v>
      </c>
      <c r="E1508" s="28">
        <v>139600</v>
      </c>
      <c r="F1508" s="28">
        <v>127400</v>
      </c>
      <c r="G1508" s="27" t="s">
        <v>22</v>
      </c>
      <c r="H1508" s="27" t="s">
        <v>5692</v>
      </c>
      <c r="I1508" s="27" t="s">
        <v>9</v>
      </c>
    </row>
    <row r="1509" spans="1:9" x14ac:dyDescent="0.3">
      <c r="A1509" s="26">
        <v>45012</v>
      </c>
      <c r="B1509" s="27" t="s">
        <v>117</v>
      </c>
      <c r="C1509" s="27" t="s">
        <v>93</v>
      </c>
      <c r="D1509" s="27" t="s">
        <v>16</v>
      </c>
      <c r="E1509" s="28">
        <v>95300</v>
      </c>
      <c r="F1509" s="28">
        <v>112800</v>
      </c>
      <c r="G1509" s="27" t="s">
        <v>11</v>
      </c>
      <c r="H1509" s="27" t="s">
        <v>5929</v>
      </c>
      <c r="I1509" s="27" t="s">
        <v>9</v>
      </c>
    </row>
    <row r="1510" spans="1:9" x14ac:dyDescent="0.3">
      <c r="A1510" s="26">
        <v>45012</v>
      </c>
      <c r="B1510" s="27" t="s">
        <v>117</v>
      </c>
      <c r="C1510" s="27" t="s">
        <v>6</v>
      </c>
      <c r="D1510" s="27" t="s">
        <v>21</v>
      </c>
      <c r="E1510" s="28">
        <v>159400</v>
      </c>
      <c r="F1510" s="28">
        <v>175300</v>
      </c>
      <c r="G1510" s="27" t="s">
        <v>11</v>
      </c>
      <c r="H1510" s="27" t="s">
        <v>6310</v>
      </c>
      <c r="I1510" s="27" t="s">
        <v>9</v>
      </c>
    </row>
    <row r="1511" spans="1:9" x14ac:dyDescent="0.3">
      <c r="A1511" s="26">
        <v>45012</v>
      </c>
      <c r="B1511" s="27" t="s">
        <v>117</v>
      </c>
      <c r="C1511" s="27" t="s">
        <v>93</v>
      </c>
      <c r="D1511" s="27" t="s">
        <v>19</v>
      </c>
      <c r="E1511" s="28">
        <v>73000</v>
      </c>
      <c r="F1511" s="28">
        <v>56800</v>
      </c>
      <c r="G1511" s="27" t="s">
        <v>11</v>
      </c>
      <c r="H1511" s="27" t="s">
        <v>6412</v>
      </c>
      <c r="I1511" s="27" t="s">
        <v>9</v>
      </c>
    </row>
    <row r="1512" spans="1:9" x14ac:dyDescent="0.3">
      <c r="A1512" s="26">
        <v>45012</v>
      </c>
      <c r="B1512" s="27" t="s">
        <v>117</v>
      </c>
      <c r="C1512" s="27" t="s">
        <v>6</v>
      </c>
      <c r="D1512" s="27" t="s">
        <v>19</v>
      </c>
      <c r="E1512" s="28">
        <v>113000</v>
      </c>
      <c r="F1512" s="28">
        <v>110200</v>
      </c>
      <c r="G1512" s="27" t="s">
        <v>17</v>
      </c>
      <c r="H1512" s="27" t="s">
        <v>6431</v>
      </c>
      <c r="I1512" s="27" t="s">
        <v>9</v>
      </c>
    </row>
    <row r="1513" spans="1:9" x14ac:dyDescent="0.3">
      <c r="A1513" s="26">
        <v>45012</v>
      </c>
      <c r="B1513" s="27" t="s">
        <v>117</v>
      </c>
      <c r="C1513" s="27" t="s">
        <v>6</v>
      </c>
      <c r="D1513" s="27" t="s">
        <v>19</v>
      </c>
      <c r="E1513" s="28">
        <v>122500</v>
      </c>
      <c r="F1513" s="28">
        <v>124200</v>
      </c>
      <c r="G1513" s="27" t="s">
        <v>11</v>
      </c>
      <c r="H1513" s="27" t="s">
        <v>6691</v>
      </c>
      <c r="I1513" s="27" t="s">
        <v>9</v>
      </c>
    </row>
    <row r="1514" spans="1:9" x14ac:dyDescent="0.3">
      <c r="A1514" s="26">
        <v>45013</v>
      </c>
      <c r="B1514" s="27" t="s">
        <v>117</v>
      </c>
      <c r="C1514" s="27" t="s">
        <v>18</v>
      </c>
      <c r="D1514" s="27" t="s">
        <v>24</v>
      </c>
      <c r="E1514" s="28">
        <v>96850</v>
      </c>
      <c r="F1514" s="28">
        <v>126357</v>
      </c>
      <c r="G1514" s="27" t="s">
        <v>22</v>
      </c>
      <c r="H1514" s="27" t="s">
        <v>448</v>
      </c>
      <c r="I1514" s="27" t="s">
        <v>13</v>
      </c>
    </row>
    <row r="1515" spans="1:9" x14ac:dyDescent="0.3">
      <c r="A1515" s="26">
        <v>45013</v>
      </c>
      <c r="B1515" s="27" t="s">
        <v>117</v>
      </c>
      <c r="C1515" s="27" t="s">
        <v>15</v>
      </c>
      <c r="D1515" s="27" t="s">
        <v>16</v>
      </c>
      <c r="E1515" s="28">
        <v>144366</v>
      </c>
      <c r="F1515" s="28">
        <v>155821</v>
      </c>
      <c r="G1515" s="27" t="s">
        <v>17</v>
      </c>
      <c r="H1515" s="27" t="s">
        <v>477</v>
      </c>
      <c r="I1515" s="27" t="s">
        <v>13</v>
      </c>
    </row>
    <row r="1516" spans="1:9" x14ac:dyDescent="0.3">
      <c r="A1516" s="26">
        <v>45013</v>
      </c>
      <c r="B1516" s="27" t="s">
        <v>117</v>
      </c>
      <c r="C1516" s="27" t="s">
        <v>14</v>
      </c>
      <c r="D1516" s="27" t="s">
        <v>19</v>
      </c>
      <c r="E1516" s="28">
        <v>86699</v>
      </c>
      <c r="F1516" s="28">
        <v>105157</v>
      </c>
      <c r="G1516" s="27" t="s">
        <v>17</v>
      </c>
      <c r="H1516" s="27" t="s">
        <v>924</v>
      </c>
      <c r="I1516" s="27" t="s">
        <v>13</v>
      </c>
    </row>
    <row r="1517" spans="1:9" x14ac:dyDescent="0.3">
      <c r="A1517" s="26">
        <v>45013</v>
      </c>
      <c r="B1517" s="27" t="s">
        <v>117</v>
      </c>
      <c r="C1517" s="27" t="s">
        <v>32</v>
      </c>
      <c r="D1517" s="27" t="s">
        <v>21</v>
      </c>
      <c r="E1517" s="28">
        <v>145298</v>
      </c>
      <c r="F1517" s="28">
        <v>28107</v>
      </c>
      <c r="G1517" s="27" t="s">
        <v>17</v>
      </c>
      <c r="H1517" s="27" t="s">
        <v>950</v>
      </c>
      <c r="I1517" s="27" t="s">
        <v>13</v>
      </c>
    </row>
    <row r="1518" spans="1:9" x14ac:dyDescent="0.3">
      <c r="A1518" s="26">
        <v>45013</v>
      </c>
      <c r="B1518" s="27" t="s">
        <v>117</v>
      </c>
      <c r="C1518" s="27" t="s">
        <v>32</v>
      </c>
      <c r="D1518" s="27" t="s">
        <v>19</v>
      </c>
      <c r="E1518" s="28">
        <v>27202</v>
      </c>
      <c r="F1518" s="28">
        <v>52417</v>
      </c>
      <c r="G1518" s="27" t="s">
        <v>8</v>
      </c>
      <c r="H1518" s="27" t="s">
        <v>1172</v>
      </c>
      <c r="I1518" s="27" t="s">
        <v>13</v>
      </c>
    </row>
    <row r="1519" spans="1:9" x14ac:dyDescent="0.3">
      <c r="A1519" s="26">
        <v>45013</v>
      </c>
      <c r="B1519" s="27" t="s">
        <v>117</v>
      </c>
      <c r="C1519" s="27" t="s">
        <v>10</v>
      </c>
      <c r="D1519" s="27" t="s">
        <v>19</v>
      </c>
      <c r="E1519" s="28">
        <v>97064</v>
      </c>
      <c r="F1519" s="28">
        <v>103821</v>
      </c>
      <c r="G1519" s="27" t="s">
        <v>22</v>
      </c>
      <c r="H1519" s="27" t="s">
        <v>1237</v>
      </c>
      <c r="I1519" s="27" t="s">
        <v>13</v>
      </c>
    </row>
    <row r="1520" spans="1:9" x14ac:dyDescent="0.3">
      <c r="A1520" s="26">
        <v>45013</v>
      </c>
      <c r="B1520" s="27" t="s">
        <v>117</v>
      </c>
      <c r="C1520" s="27" t="s">
        <v>32</v>
      </c>
      <c r="D1520" s="27" t="s">
        <v>24</v>
      </c>
      <c r="E1520" s="28">
        <v>84484</v>
      </c>
      <c r="F1520" s="28">
        <v>112406</v>
      </c>
      <c r="G1520" s="27" t="s">
        <v>17</v>
      </c>
      <c r="H1520" s="27" t="s">
        <v>1408</v>
      </c>
      <c r="I1520" s="27" t="s">
        <v>13</v>
      </c>
    </row>
    <row r="1521" spans="1:9" x14ac:dyDescent="0.3">
      <c r="A1521" s="26">
        <v>45013</v>
      </c>
      <c r="B1521" s="27" t="s">
        <v>117</v>
      </c>
      <c r="C1521" s="27" t="s">
        <v>32</v>
      </c>
      <c r="D1521" s="27" t="s">
        <v>21</v>
      </c>
      <c r="E1521" s="28">
        <v>106003</v>
      </c>
      <c r="F1521" s="28">
        <v>159534</v>
      </c>
      <c r="G1521" s="27" t="s">
        <v>11</v>
      </c>
      <c r="H1521" s="27" t="s">
        <v>1957</v>
      </c>
      <c r="I1521" s="27" t="s">
        <v>13</v>
      </c>
    </row>
    <row r="1522" spans="1:9" x14ac:dyDescent="0.3">
      <c r="A1522" s="26">
        <v>45013</v>
      </c>
      <c r="B1522" s="27" t="s">
        <v>117</v>
      </c>
      <c r="C1522" s="27" t="s">
        <v>93</v>
      </c>
      <c r="D1522" s="27" t="s">
        <v>24</v>
      </c>
      <c r="E1522" s="28">
        <v>118700</v>
      </c>
      <c r="F1522" s="28">
        <v>91700</v>
      </c>
      <c r="G1522" s="27" t="s">
        <v>11</v>
      </c>
      <c r="H1522" s="27" t="s">
        <v>3829</v>
      </c>
      <c r="I1522" s="27" t="s">
        <v>9</v>
      </c>
    </row>
    <row r="1523" spans="1:9" x14ac:dyDescent="0.3">
      <c r="A1523" s="26">
        <v>45013</v>
      </c>
      <c r="B1523" s="27" t="s">
        <v>117</v>
      </c>
      <c r="C1523" s="27" t="s">
        <v>93</v>
      </c>
      <c r="D1523" s="27" t="s">
        <v>16</v>
      </c>
      <c r="E1523" s="28">
        <v>124900</v>
      </c>
      <c r="F1523" s="28">
        <v>96300</v>
      </c>
      <c r="G1523" s="27" t="s">
        <v>11</v>
      </c>
      <c r="H1523" s="27" t="s">
        <v>3858</v>
      </c>
      <c r="I1523" s="27" t="s">
        <v>9</v>
      </c>
    </row>
    <row r="1524" spans="1:9" x14ac:dyDescent="0.3">
      <c r="A1524" s="26">
        <v>45013</v>
      </c>
      <c r="B1524" s="27" t="s">
        <v>117</v>
      </c>
      <c r="C1524" s="27" t="s">
        <v>93</v>
      </c>
      <c r="D1524" s="27" t="s">
        <v>19</v>
      </c>
      <c r="E1524" s="28">
        <v>192300</v>
      </c>
      <c r="F1524" s="28">
        <v>178000</v>
      </c>
      <c r="G1524" s="27" t="s">
        <v>11</v>
      </c>
      <c r="H1524" s="27" t="s">
        <v>4305</v>
      </c>
      <c r="I1524" s="27" t="s">
        <v>9</v>
      </c>
    </row>
    <row r="1525" spans="1:9" x14ac:dyDescent="0.3">
      <c r="A1525" s="26">
        <v>45013</v>
      </c>
      <c r="B1525" s="27" t="s">
        <v>117</v>
      </c>
      <c r="C1525" s="27" t="s">
        <v>6</v>
      </c>
      <c r="D1525" s="27" t="s">
        <v>21</v>
      </c>
      <c r="E1525" s="28">
        <v>170400</v>
      </c>
      <c r="F1525" s="28">
        <v>157900</v>
      </c>
      <c r="G1525" s="27" t="s">
        <v>22</v>
      </c>
      <c r="H1525" s="27" t="s">
        <v>4331</v>
      </c>
      <c r="I1525" s="27" t="s">
        <v>9</v>
      </c>
    </row>
    <row r="1526" spans="1:9" x14ac:dyDescent="0.3">
      <c r="A1526" s="26">
        <v>45013</v>
      </c>
      <c r="B1526" s="27" t="s">
        <v>117</v>
      </c>
      <c r="C1526" s="27" t="s">
        <v>6</v>
      </c>
      <c r="D1526" s="27" t="s">
        <v>19</v>
      </c>
      <c r="E1526" s="28">
        <v>100500</v>
      </c>
      <c r="F1526" s="28">
        <v>90600</v>
      </c>
      <c r="G1526" s="27" t="s">
        <v>17</v>
      </c>
      <c r="H1526" s="27" t="s">
        <v>4555</v>
      </c>
      <c r="I1526" s="27" t="s">
        <v>9</v>
      </c>
    </row>
    <row r="1527" spans="1:9" x14ac:dyDescent="0.3">
      <c r="A1527" s="26">
        <v>45013</v>
      </c>
      <c r="B1527" s="27" t="s">
        <v>117</v>
      </c>
      <c r="C1527" s="27" t="s">
        <v>6</v>
      </c>
      <c r="D1527" s="27" t="s">
        <v>19</v>
      </c>
      <c r="E1527" s="28">
        <v>99100</v>
      </c>
      <c r="F1527" s="28">
        <v>112600</v>
      </c>
      <c r="G1527" s="27" t="s">
        <v>17</v>
      </c>
      <c r="H1527" s="27" t="s">
        <v>4620</v>
      </c>
      <c r="I1527" s="27" t="s">
        <v>9</v>
      </c>
    </row>
    <row r="1528" spans="1:9" x14ac:dyDescent="0.3">
      <c r="A1528" s="26">
        <v>45013</v>
      </c>
      <c r="B1528" s="27" t="s">
        <v>117</v>
      </c>
      <c r="C1528" s="27" t="s">
        <v>6</v>
      </c>
      <c r="D1528" s="27" t="s">
        <v>24</v>
      </c>
      <c r="E1528" s="28">
        <v>45800</v>
      </c>
      <c r="F1528" s="28">
        <v>51300</v>
      </c>
      <c r="G1528" s="27" t="s">
        <v>11</v>
      </c>
      <c r="H1528" s="27" t="s">
        <v>4791</v>
      </c>
      <c r="I1528" s="27" t="s">
        <v>9</v>
      </c>
    </row>
    <row r="1529" spans="1:9" x14ac:dyDescent="0.3">
      <c r="A1529" s="26">
        <v>45013</v>
      </c>
      <c r="B1529" s="27" t="s">
        <v>117</v>
      </c>
      <c r="C1529" s="27" t="s">
        <v>93</v>
      </c>
      <c r="D1529" s="27" t="s">
        <v>21</v>
      </c>
      <c r="E1529" s="28">
        <v>70300</v>
      </c>
      <c r="F1529" s="28">
        <v>85200</v>
      </c>
      <c r="G1529" s="27" t="s">
        <v>22</v>
      </c>
      <c r="H1529" s="27" t="s">
        <v>5341</v>
      </c>
      <c r="I1529" s="27" t="s">
        <v>9</v>
      </c>
    </row>
    <row r="1530" spans="1:9" x14ac:dyDescent="0.3">
      <c r="A1530" s="26">
        <v>45014</v>
      </c>
      <c r="B1530" s="27" t="s">
        <v>117</v>
      </c>
      <c r="C1530" s="27" t="s">
        <v>18</v>
      </c>
      <c r="D1530" s="27" t="s">
        <v>16</v>
      </c>
      <c r="E1530" s="28">
        <v>103709</v>
      </c>
      <c r="F1530" s="28">
        <v>151963</v>
      </c>
      <c r="G1530" s="27" t="s">
        <v>17</v>
      </c>
      <c r="H1530" s="27" t="s">
        <v>1025</v>
      </c>
      <c r="I1530" s="27" t="s">
        <v>13</v>
      </c>
    </row>
    <row r="1531" spans="1:9" x14ac:dyDescent="0.3">
      <c r="A1531" s="26">
        <v>45014</v>
      </c>
      <c r="B1531" s="27" t="s">
        <v>117</v>
      </c>
      <c r="C1531" s="27" t="s">
        <v>14</v>
      </c>
      <c r="D1531" s="27" t="s">
        <v>24</v>
      </c>
      <c r="E1531" s="28">
        <v>135189</v>
      </c>
      <c r="F1531" s="28">
        <v>89363</v>
      </c>
      <c r="G1531" s="27" t="s">
        <v>22</v>
      </c>
      <c r="H1531" s="27" t="s">
        <v>1551</v>
      </c>
      <c r="I1531" s="27" t="s">
        <v>13</v>
      </c>
    </row>
    <row r="1532" spans="1:9" x14ac:dyDescent="0.3">
      <c r="A1532" s="26">
        <v>45014</v>
      </c>
      <c r="B1532" s="27" t="s">
        <v>117</v>
      </c>
      <c r="C1532" s="27" t="s">
        <v>14</v>
      </c>
      <c r="D1532" s="27" t="s">
        <v>24</v>
      </c>
      <c r="E1532" s="28">
        <v>10603</v>
      </c>
      <c r="F1532" s="28">
        <v>21650</v>
      </c>
      <c r="G1532" s="27" t="s">
        <v>8</v>
      </c>
      <c r="H1532" s="27" t="s">
        <v>1808</v>
      </c>
      <c r="I1532" s="27" t="s">
        <v>13</v>
      </c>
    </row>
    <row r="1533" spans="1:9" x14ac:dyDescent="0.3">
      <c r="A1533" s="26">
        <v>45014</v>
      </c>
      <c r="B1533" s="27" t="s">
        <v>117</v>
      </c>
      <c r="C1533" s="27" t="s">
        <v>10</v>
      </c>
      <c r="D1533" s="27" t="s">
        <v>7</v>
      </c>
      <c r="E1533" s="28">
        <v>138848</v>
      </c>
      <c r="F1533" s="28">
        <v>58120</v>
      </c>
      <c r="G1533" s="27" t="s">
        <v>22</v>
      </c>
      <c r="H1533" s="27" t="s">
        <v>2262</v>
      </c>
      <c r="I1533" s="27" t="s">
        <v>13</v>
      </c>
    </row>
    <row r="1534" spans="1:9" x14ac:dyDescent="0.3">
      <c r="A1534" s="26">
        <v>45014</v>
      </c>
      <c r="B1534" s="27" t="s">
        <v>117</v>
      </c>
      <c r="C1534" s="27" t="s">
        <v>14</v>
      </c>
      <c r="D1534" s="27" t="s">
        <v>21</v>
      </c>
      <c r="E1534" s="28">
        <v>148364</v>
      </c>
      <c r="F1534" s="28">
        <v>95425</v>
      </c>
      <c r="G1534" s="27" t="s">
        <v>11</v>
      </c>
      <c r="H1534" s="27" t="s">
        <v>2272</v>
      </c>
      <c r="I1534" s="27" t="s">
        <v>13</v>
      </c>
    </row>
    <row r="1535" spans="1:9" x14ac:dyDescent="0.3">
      <c r="A1535" s="26">
        <v>45014</v>
      </c>
      <c r="B1535" s="27" t="s">
        <v>117</v>
      </c>
      <c r="C1535" s="27" t="s">
        <v>15</v>
      </c>
      <c r="D1535" s="27" t="s">
        <v>24</v>
      </c>
      <c r="E1535" s="28">
        <v>26582</v>
      </c>
      <c r="F1535" s="28">
        <v>94134</v>
      </c>
      <c r="G1535" s="27" t="s">
        <v>17</v>
      </c>
      <c r="H1535" s="27" t="s">
        <v>2972</v>
      </c>
      <c r="I1535" s="27" t="s">
        <v>13</v>
      </c>
    </row>
    <row r="1536" spans="1:9" x14ac:dyDescent="0.3">
      <c r="A1536" s="26">
        <v>45014</v>
      </c>
      <c r="B1536" s="27" t="s">
        <v>117</v>
      </c>
      <c r="C1536" s="27" t="s">
        <v>20</v>
      </c>
      <c r="D1536" s="27" t="s">
        <v>16</v>
      </c>
      <c r="E1536" s="28">
        <v>120258</v>
      </c>
      <c r="F1536" s="28">
        <v>120721</v>
      </c>
      <c r="G1536" s="27" t="s">
        <v>22</v>
      </c>
      <c r="H1536" s="27" t="s">
        <v>3279</v>
      </c>
      <c r="I1536" s="27" t="s">
        <v>13</v>
      </c>
    </row>
    <row r="1537" spans="1:9" x14ac:dyDescent="0.3">
      <c r="A1537" s="26">
        <v>45014</v>
      </c>
      <c r="B1537" s="27" t="s">
        <v>117</v>
      </c>
      <c r="C1537" s="27" t="s">
        <v>6</v>
      </c>
      <c r="D1537" s="27" t="s">
        <v>16</v>
      </c>
      <c r="E1537" s="28">
        <v>110200</v>
      </c>
      <c r="F1537" s="28">
        <v>142000</v>
      </c>
      <c r="G1537" s="27" t="s">
        <v>11</v>
      </c>
      <c r="H1537" s="27" t="s">
        <v>4407</v>
      </c>
      <c r="I1537" s="27" t="s">
        <v>9</v>
      </c>
    </row>
    <row r="1538" spans="1:9" x14ac:dyDescent="0.3">
      <c r="A1538" s="26">
        <v>45014</v>
      </c>
      <c r="B1538" s="27" t="s">
        <v>117</v>
      </c>
      <c r="C1538" s="27" t="s">
        <v>93</v>
      </c>
      <c r="D1538" s="27" t="s">
        <v>24</v>
      </c>
      <c r="E1538" s="28">
        <v>201700</v>
      </c>
      <c r="F1538" s="28">
        <v>220800</v>
      </c>
      <c r="G1538" s="27" t="s">
        <v>22</v>
      </c>
      <c r="H1538" s="27" t="s">
        <v>4934</v>
      </c>
      <c r="I1538" s="27" t="s">
        <v>9</v>
      </c>
    </row>
    <row r="1539" spans="1:9" x14ac:dyDescent="0.3">
      <c r="A1539" s="26">
        <v>45014</v>
      </c>
      <c r="B1539" s="27" t="s">
        <v>117</v>
      </c>
      <c r="C1539" s="27" t="s">
        <v>93</v>
      </c>
      <c r="D1539" s="27" t="s">
        <v>24</v>
      </c>
      <c r="E1539" s="28">
        <v>81400</v>
      </c>
      <c r="F1539" s="28">
        <v>86800</v>
      </c>
      <c r="G1539" s="27" t="s">
        <v>11</v>
      </c>
      <c r="H1539" s="27" t="s">
        <v>5191</v>
      </c>
      <c r="I1539" s="27" t="s">
        <v>9</v>
      </c>
    </row>
    <row r="1540" spans="1:9" x14ac:dyDescent="0.3">
      <c r="A1540" s="26">
        <v>45014</v>
      </c>
      <c r="B1540" s="27" t="s">
        <v>117</v>
      </c>
      <c r="C1540" s="27" t="s">
        <v>6</v>
      </c>
      <c r="D1540" s="27" t="s">
        <v>7</v>
      </c>
      <c r="E1540" s="28">
        <v>110800</v>
      </c>
      <c r="F1540" s="28">
        <v>109700</v>
      </c>
      <c r="G1540" s="27" t="s">
        <v>11</v>
      </c>
      <c r="H1540" s="27" t="s">
        <v>5647</v>
      </c>
      <c r="I1540" s="27" t="s">
        <v>9</v>
      </c>
    </row>
    <row r="1541" spans="1:9" x14ac:dyDescent="0.3">
      <c r="A1541" s="26">
        <v>45014</v>
      </c>
      <c r="B1541" s="27" t="s">
        <v>117</v>
      </c>
      <c r="C1541" s="27" t="s">
        <v>93</v>
      </c>
      <c r="D1541" s="27" t="s">
        <v>21</v>
      </c>
      <c r="E1541" s="28">
        <v>125300</v>
      </c>
      <c r="F1541" s="28">
        <v>113900</v>
      </c>
      <c r="G1541" s="27" t="s">
        <v>17</v>
      </c>
      <c r="H1541" s="27" t="s">
        <v>5657</v>
      </c>
      <c r="I1541" s="27" t="s">
        <v>9</v>
      </c>
    </row>
    <row r="1542" spans="1:9" x14ac:dyDescent="0.3">
      <c r="A1542" s="26">
        <v>45014</v>
      </c>
      <c r="B1542" s="27" t="s">
        <v>117</v>
      </c>
      <c r="C1542" s="27" t="s">
        <v>6</v>
      </c>
      <c r="D1542" s="27" t="s">
        <v>24</v>
      </c>
      <c r="E1542" s="28">
        <v>111200</v>
      </c>
      <c r="F1542" s="28">
        <v>125900</v>
      </c>
      <c r="G1542" s="27" t="s">
        <v>22</v>
      </c>
      <c r="H1542" s="27" t="s">
        <v>6357</v>
      </c>
      <c r="I1542" s="27" t="s">
        <v>9</v>
      </c>
    </row>
    <row r="1543" spans="1:9" x14ac:dyDescent="0.3">
      <c r="A1543" s="26">
        <v>45014</v>
      </c>
      <c r="B1543" s="27" t="s">
        <v>117</v>
      </c>
      <c r="C1543" s="27" t="s">
        <v>93</v>
      </c>
      <c r="D1543" s="27" t="s">
        <v>16</v>
      </c>
      <c r="E1543" s="28">
        <v>106100</v>
      </c>
      <c r="F1543" s="28">
        <v>134800</v>
      </c>
      <c r="G1543" s="27" t="s">
        <v>11</v>
      </c>
      <c r="H1543" s="27" t="s">
        <v>6664</v>
      </c>
      <c r="I1543" s="27" t="s">
        <v>9</v>
      </c>
    </row>
    <row r="1544" spans="1:9" x14ac:dyDescent="0.3">
      <c r="A1544" s="26">
        <v>45015</v>
      </c>
      <c r="B1544" s="27" t="s">
        <v>117</v>
      </c>
      <c r="C1544" s="27" t="s">
        <v>20</v>
      </c>
      <c r="D1544" s="27" t="s">
        <v>7</v>
      </c>
      <c r="E1544" s="28">
        <v>139581</v>
      </c>
      <c r="F1544" s="28">
        <v>63602</v>
      </c>
      <c r="G1544" s="27" t="s">
        <v>22</v>
      </c>
      <c r="H1544" s="27" t="s">
        <v>436</v>
      </c>
      <c r="I1544" s="27" t="s">
        <v>13</v>
      </c>
    </row>
    <row r="1545" spans="1:9" x14ac:dyDescent="0.3">
      <c r="A1545" s="26">
        <v>45015</v>
      </c>
      <c r="B1545" s="27" t="s">
        <v>117</v>
      </c>
      <c r="C1545" s="27" t="s">
        <v>32</v>
      </c>
      <c r="D1545" s="27" t="s">
        <v>19</v>
      </c>
      <c r="E1545" s="28">
        <v>127004</v>
      </c>
      <c r="F1545" s="28">
        <v>133839</v>
      </c>
      <c r="G1545" s="27" t="s">
        <v>8</v>
      </c>
      <c r="H1545" s="27" t="s">
        <v>926</v>
      </c>
      <c r="I1545" s="27" t="s">
        <v>13</v>
      </c>
    </row>
    <row r="1546" spans="1:9" x14ac:dyDescent="0.3">
      <c r="A1546" s="26">
        <v>45015</v>
      </c>
      <c r="B1546" s="27" t="s">
        <v>117</v>
      </c>
      <c r="C1546" s="27" t="s">
        <v>10</v>
      </c>
      <c r="D1546" s="27" t="s">
        <v>16</v>
      </c>
      <c r="E1546" s="28">
        <v>130138</v>
      </c>
      <c r="F1546" s="28">
        <v>133343</v>
      </c>
      <c r="G1546" s="27" t="s">
        <v>8</v>
      </c>
      <c r="H1546" s="27" t="s">
        <v>1029</v>
      </c>
      <c r="I1546" s="27" t="s">
        <v>13</v>
      </c>
    </row>
    <row r="1547" spans="1:9" x14ac:dyDescent="0.3">
      <c r="A1547" s="26">
        <v>45015</v>
      </c>
      <c r="B1547" s="27" t="s">
        <v>117</v>
      </c>
      <c r="C1547" s="27" t="s">
        <v>32</v>
      </c>
      <c r="D1547" s="27" t="s">
        <v>16</v>
      </c>
      <c r="E1547" s="28">
        <v>75506</v>
      </c>
      <c r="F1547" s="28">
        <v>21051</v>
      </c>
      <c r="G1547" s="27" t="s">
        <v>17</v>
      </c>
      <c r="H1547" s="27" t="s">
        <v>1446</v>
      </c>
      <c r="I1547" s="27" t="s">
        <v>13</v>
      </c>
    </row>
    <row r="1548" spans="1:9" x14ac:dyDescent="0.3">
      <c r="A1548" s="26">
        <v>45015</v>
      </c>
      <c r="B1548" s="27" t="s">
        <v>117</v>
      </c>
      <c r="C1548" s="27" t="s">
        <v>20</v>
      </c>
      <c r="D1548" s="27" t="s">
        <v>16</v>
      </c>
      <c r="E1548" s="28">
        <v>109851</v>
      </c>
      <c r="F1548" s="28">
        <v>104724</v>
      </c>
      <c r="G1548" s="27" t="s">
        <v>17</v>
      </c>
      <c r="H1548" s="27" t="s">
        <v>1750</v>
      </c>
      <c r="I1548" s="27" t="s">
        <v>13</v>
      </c>
    </row>
    <row r="1549" spans="1:9" x14ac:dyDescent="0.3">
      <c r="A1549" s="26">
        <v>45015</v>
      </c>
      <c r="B1549" s="27" t="s">
        <v>117</v>
      </c>
      <c r="C1549" s="27" t="s">
        <v>10</v>
      </c>
      <c r="D1549" s="27" t="s">
        <v>24</v>
      </c>
      <c r="E1549" s="28">
        <v>76461</v>
      </c>
      <c r="F1549" s="28">
        <v>153556</v>
      </c>
      <c r="G1549" s="27" t="s">
        <v>8</v>
      </c>
      <c r="H1549" s="27" t="s">
        <v>2206</v>
      </c>
      <c r="I1549" s="27" t="s">
        <v>13</v>
      </c>
    </row>
    <row r="1550" spans="1:9" x14ac:dyDescent="0.3">
      <c r="A1550" s="26">
        <v>45015</v>
      </c>
      <c r="B1550" s="27" t="s">
        <v>117</v>
      </c>
      <c r="C1550" s="27" t="s">
        <v>14</v>
      </c>
      <c r="D1550" s="27" t="s">
        <v>16</v>
      </c>
      <c r="E1550" s="28">
        <v>46070</v>
      </c>
      <c r="F1550" s="28">
        <v>78360</v>
      </c>
      <c r="G1550" s="27" t="s">
        <v>22</v>
      </c>
      <c r="H1550" s="27" t="s">
        <v>2493</v>
      </c>
      <c r="I1550" s="27" t="s">
        <v>13</v>
      </c>
    </row>
    <row r="1551" spans="1:9" x14ac:dyDescent="0.3">
      <c r="A1551" s="26">
        <v>45015</v>
      </c>
      <c r="B1551" s="27" t="s">
        <v>117</v>
      </c>
      <c r="C1551" s="27" t="s">
        <v>15</v>
      </c>
      <c r="D1551" s="27" t="s">
        <v>19</v>
      </c>
      <c r="E1551" s="28">
        <v>118151</v>
      </c>
      <c r="F1551" s="28">
        <v>37036</v>
      </c>
      <c r="G1551" s="27" t="s">
        <v>11</v>
      </c>
      <c r="H1551" s="27" t="s">
        <v>2985</v>
      </c>
      <c r="I1551" s="27" t="s">
        <v>13</v>
      </c>
    </row>
    <row r="1552" spans="1:9" x14ac:dyDescent="0.3">
      <c r="A1552" s="26">
        <v>45015</v>
      </c>
      <c r="B1552" s="27" t="s">
        <v>117</v>
      </c>
      <c r="C1552" s="27" t="s">
        <v>18</v>
      </c>
      <c r="D1552" s="27" t="s">
        <v>21</v>
      </c>
      <c r="E1552" s="28">
        <v>110932</v>
      </c>
      <c r="F1552" s="28">
        <v>108490</v>
      </c>
      <c r="G1552" s="27" t="s">
        <v>22</v>
      </c>
      <c r="H1552" s="27" t="s">
        <v>3187</v>
      </c>
      <c r="I1552" s="27" t="s">
        <v>13</v>
      </c>
    </row>
    <row r="1553" spans="1:9" x14ac:dyDescent="0.3">
      <c r="A1553" s="26">
        <v>45015</v>
      </c>
      <c r="B1553" s="27" t="s">
        <v>117</v>
      </c>
      <c r="C1553" s="27" t="s">
        <v>6</v>
      </c>
      <c r="D1553" s="27" t="s">
        <v>7</v>
      </c>
      <c r="E1553" s="28">
        <v>72100</v>
      </c>
      <c r="F1553" s="28">
        <v>99900</v>
      </c>
      <c r="G1553" s="27" t="s">
        <v>11</v>
      </c>
      <c r="H1553" s="27" t="s">
        <v>3817</v>
      </c>
      <c r="I1553" s="27" t="s">
        <v>9</v>
      </c>
    </row>
    <row r="1554" spans="1:9" x14ac:dyDescent="0.3">
      <c r="A1554" s="26">
        <v>45015</v>
      </c>
      <c r="B1554" s="27" t="s">
        <v>117</v>
      </c>
      <c r="C1554" s="27" t="s">
        <v>6</v>
      </c>
      <c r="D1554" s="27" t="s">
        <v>19</v>
      </c>
      <c r="E1554" s="28">
        <v>74800</v>
      </c>
      <c r="F1554" s="28">
        <v>102000</v>
      </c>
      <c r="G1554" s="27" t="s">
        <v>11</v>
      </c>
      <c r="H1554" s="27" t="s">
        <v>4307</v>
      </c>
      <c r="I1554" s="27" t="s">
        <v>9</v>
      </c>
    </row>
    <row r="1555" spans="1:9" x14ac:dyDescent="0.3">
      <c r="A1555" s="26">
        <v>45015</v>
      </c>
      <c r="B1555" s="27" t="s">
        <v>117</v>
      </c>
      <c r="C1555" s="27" t="s">
        <v>6</v>
      </c>
      <c r="D1555" s="27" t="s">
        <v>16</v>
      </c>
      <c r="E1555" s="28">
        <v>181400</v>
      </c>
      <c r="F1555" s="28">
        <v>168700</v>
      </c>
      <c r="G1555" s="27" t="s">
        <v>22</v>
      </c>
      <c r="H1555" s="27" t="s">
        <v>4411</v>
      </c>
      <c r="I1555" s="27" t="s">
        <v>9</v>
      </c>
    </row>
    <row r="1556" spans="1:9" x14ac:dyDescent="0.3">
      <c r="A1556" s="26">
        <v>45015</v>
      </c>
      <c r="B1556" s="27" t="s">
        <v>117</v>
      </c>
      <c r="C1556" s="27" t="s">
        <v>93</v>
      </c>
      <c r="D1556" s="27" t="s">
        <v>16</v>
      </c>
      <c r="E1556" s="28">
        <v>137500</v>
      </c>
      <c r="F1556" s="28">
        <v>168100</v>
      </c>
      <c r="G1556" s="27" t="s">
        <v>22</v>
      </c>
      <c r="H1556" s="27" t="s">
        <v>4829</v>
      </c>
      <c r="I1556" s="27" t="s">
        <v>9</v>
      </c>
    </row>
    <row r="1557" spans="1:9" x14ac:dyDescent="0.3">
      <c r="A1557" s="26">
        <v>45015</v>
      </c>
      <c r="B1557" s="27" t="s">
        <v>117</v>
      </c>
      <c r="C1557" s="27" t="s">
        <v>93</v>
      </c>
      <c r="D1557" s="27" t="s">
        <v>16</v>
      </c>
      <c r="E1557" s="28">
        <v>145900</v>
      </c>
      <c r="F1557" s="28">
        <v>184800</v>
      </c>
      <c r="G1557" s="27" t="s">
        <v>11</v>
      </c>
      <c r="H1557" s="27" t="s">
        <v>5133</v>
      </c>
      <c r="I1557" s="27" t="s">
        <v>9</v>
      </c>
    </row>
    <row r="1558" spans="1:9" x14ac:dyDescent="0.3">
      <c r="A1558" s="26">
        <v>45015</v>
      </c>
      <c r="B1558" s="27" t="s">
        <v>117</v>
      </c>
      <c r="C1558" s="27" t="s">
        <v>93</v>
      </c>
      <c r="D1558" s="27" t="s">
        <v>24</v>
      </c>
      <c r="E1558" s="28">
        <v>208600</v>
      </c>
      <c r="F1558" s="28">
        <v>221900</v>
      </c>
      <c r="G1558" s="27" t="s">
        <v>17</v>
      </c>
      <c r="H1558" s="27" t="s">
        <v>5591</v>
      </c>
      <c r="I1558" s="27" t="s">
        <v>9</v>
      </c>
    </row>
    <row r="1559" spans="1:9" x14ac:dyDescent="0.3">
      <c r="A1559" s="26">
        <v>45015</v>
      </c>
      <c r="B1559" s="27" t="s">
        <v>117</v>
      </c>
      <c r="C1559" s="27" t="s">
        <v>93</v>
      </c>
      <c r="D1559" s="27" t="s">
        <v>16</v>
      </c>
      <c r="E1559" s="28">
        <v>486900</v>
      </c>
      <c r="F1559" s="28">
        <v>451100</v>
      </c>
      <c r="G1559" s="27" t="s">
        <v>11</v>
      </c>
      <c r="H1559" s="27" t="s">
        <v>5878</v>
      </c>
      <c r="I1559" s="27" t="s">
        <v>9</v>
      </c>
    </row>
    <row r="1560" spans="1:9" x14ac:dyDescent="0.3">
      <c r="A1560" s="26">
        <v>45015</v>
      </c>
      <c r="B1560" s="27" t="s">
        <v>117</v>
      </c>
      <c r="C1560" s="27" t="s">
        <v>6</v>
      </c>
      <c r="D1560" s="27" t="s">
        <v>19</v>
      </c>
      <c r="E1560" s="28">
        <v>136300</v>
      </c>
      <c r="F1560" s="28">
        <v>105500</v>
      </c>
      <c r="G1560" s="27" t="s">
        <v>11</v>
      </c>
      <c r="H1560" s="27" t="s">
        <v>6370</v>
      </c>
      <c r="I1560" s="27" t="s">
        <v>9</v>
      </c>
    </row>
    <row r="1561" spans="1:9" x14ac:dyDescent="0.3">
      <c r="A1561" s="26">
        <v>45015</v>
      </c>
      <c r="B1561" s="27" t="s">
        <v>117</v>
      </c>
      <c r="C1561" s="27" t="s">
        <v>6</v>
      </c>
      <c r="D1561" s="27" t="s">
        <v>21</v>
      </c>
      <c r="E1561" s="28">
        <v>184600</v>
      </c>
      <c r="F1561" s="28">
        <v>190600</v>
      </c>
      <c r="G1561" s="27" t="s">
        <v>11</v>
      </c>
      <c r="H1561" s="27" t="s">
        <v>6572</v>
      </c>
      <c r="I1561" s="27" t="s">
        <v>9</v>
      </c>
    </row>
    <row r="1562" spans="1:9" x14ac:dyDescent="0.3">
      <c r="A1562" s="26">
        <v>45016</v>
      </c>
      <c r="B1562" s="27" t="s">
        <v>117</v>
      </c>
      <c r="C1562" s="27" t="s">
        <v>10</v>
      </c>
      <c r="D1562" s="27" t="s">
        <v>16</v>
      </c>
      <c r="E1562" s="28">
        <v>77105</v>
      </c>
      <c r="F1562" s="28">
        <v>150620</v>
      </c>
      <c r="G1562" s="27" t="s">
        <v>17</v>
      </c>
      <c r="H1562" s="27" t="s">
        <v>726</v>
      </c>
      <c r="I1562" s="27" t="s">
        <v>13</v>
      </c>
    </row>
    <row r="1563" spans="1:9" x14ac:dyDescent="0.3">
      <c r="A1563" s="26">
        <v>45016</v>
      </c>
      <c r="B1563" s="27" t="s">
        <v>117</v>
      </c>
      <c r="C1563" s="27" t="s">
        <v>10</v>
      </c>
      <c r="D1563" s="27" t="s">
        <v>24</v>
      </c>
      <c r="E1563" s="28">
        <v>120212</v>
      </c>
      <c r="F1563" s="28">
        <v>156549</v>
      </c>
      <c r="G1563" s="27" t="s">
        <v>11</v>
      </c>
      <c r="H1563" s="27" t="s">
        <v>727</v>
      </c>
      <c r="I1563" s="27" t="s">
        <v>13</v>
      </c>
    </row>
    <row r="1564" spans="1:9" x14ac:dyDescent="0.3">
      <c r="A1564" s="26">
        <v>45016</v>
      </c>
      <c r="B1564" s="27" t="s">
        <v>117</v>
      </c>
      <c r="C1564" s="27" t="s">
        <v>14</v>
      </c>
      <c r="D1564" s="27" t="s">
        <v>21</v>
      </c>
      <c r="E1564" s="28">
        <v>77510</v>
      </c>
      <c r="F1564" s="28">
        <v>31052</v>
      </c>
      <c r="G1564" s="27" t="s">
        <v>8</v>
      </c>
      <c r="H1564" s="27" t="s">
        <v>898</v>
      </c>
      <c r="I1564" s="27" t="s">
        <v>13</v>
      </c>
    </row>
    <row r="1565" spans="1:9" x14ac:dyDescent="0.3">
      <c r="A1565" s="26">
        <v>45016</v>
      </c>
      <c r="B1565" s="27" t="s">
        <v>117</v>
      </c>
      <c r="C1565" s="27" t="s">
        <v>20</v>
      </c>
      <c r="D1565" s="27" t="s">
        <v>21</v>
      </c>
      <c r="E1565" s="28">
        <v>73044</v>
      </c>
      <c r="F1565" s="28">
        <v>156212</v>
      </c>
      <c r="G1565" s="27" t="s">
        <v>17</v>
      </c>
      <c r="H1565" s="27" t="s">
        <v>912</v>
      </c>
      <c r="I1565" s="27" t="s">
        <v>13</v>
      </c>
    </row>
    <row r="1566" spans="1:9" x14ac:dyDescent="0.3">
      <c r="A1566" s="26">
        <v>45016</v>
      </c>
      <c r="B1566" s="27" t="s">
        <v>117</v>
      </c>
      <c r="C1566" s="27" t="s">
        <v>32</v>
      </c>
      <c r="D1566" s="27" t="s">
        <v>24</v>
      </c>
      <c r="E1566" s="28">
        <v>106783</v>
      </c>
      <c r="F1566" s="28">
        <v>29170</v>
      </c>
      <c r="G1566" s="27" t="s">
        <v>8</v>
      </c>
      <c r="H1566" s="27" t="s">
        <v>980</v>
      </c>
      <c r="I1566" s="27" t="s">
        <v>13</v>
      </c>
    </row>
    <row r="1567" spans="1:9" x14ac:dyDescent="0.3">
      <c r="A1567" s="26">
        <v>45016</v>
      </c>
      <c r="B1567" s="27" t="s">
        <v>117</v>
      </c>
      <c r="C1567" s="27" t="s">
        <v>14</v>
      </c>
      <c r="D1567" s="27" t="s">
        <v>16</v>
      </c>
      <c r="E1567" s="28">
        <v>62476</v>
      </c>
      <c r="F1567" s="28">
        <v>58259</v>
      </c>
      <c r="G1567" s="27" t="s">
        <v>11</v>
      </c>
      <c r="H1567" s="27" t="s">
        <v>1609</v>
      </c>
      <c r="I1567" s="27" t="s">
        <v>13</v>
      </c>
    </row>
    <row r="1568" spans="1:9" x14ac:dyDescent="0.3">
      <c r="A1568" s="26">
        <v>45016</v>
      </c>
      <c r="B1568" s="27" t="s">
        <v>117</v>
      </c>
      <c r="C1568" s="27" t="s">
        <v>10</v>
      </c>
      <c r="D1568" s="27" t="s">
        <v>24</v>
      </c>
      <c r="E1568" s="28">
        <v>147606</v>
      </c>
      <c r="F1568" s="28">
        <v>27251</v>
      </c>
      <c r="G1568" s="27" t="s">
        <v>22</v>
      </c>
      <c r="H1568" s="27" t="s">
        <v>1775</v>
      </c>
      <c r="I1568" s="27" t="s">
        <v>13</v>
      </c>
    </row>
    <row r="1569" spans="1:9" x14ac:dyDescent="0.3">
      <c r="A1569" s="26">
        <v>45016</v>
      </c>
      <c r="B1569" s="27" t="s">
        <v>117</v>
      </c>
      <c r="C1569" s="27" t="s">
        <v>10</v>
      </c>
      <c r="D1569" s="27" t="s">
        <v>24</v>
      </c>
      <c r="E1569" s="28">
        <v>10217</v>
      </c>
      <c r="F1569" s="28">
        <v>98034</v>
      </c>
      <c r="G1569" s="27" t="s">
        <v>22</v>
      </c>
      <c r="H1569" s="27" t="s">
        <v>1962</v>
      </c>
      <c r="I1569" s="27" t="s">
        <v>13</v>
      </c>
    </row>
    <row r="1570" spans="1:9" x14ac:dyDescent="0.3">
      <c r="A1570" s="26">
        <v>45016</v>
      </c>
      <c r="B1570" s="27" t="s">
        <v>117</v>
      </c>
      <c r="C1570" s="27" t="s">
        <v>14</v>
      </c>
      <c r="D1570" s="27" t="s">
        <v>21</v>
      </c>
      <c r="E1570" s="28">
        <v>146752</v>
      </c>
      <c r="F1570" s="28">
        <v>19740</v>
      </c>
      <c r="G1570" s="27" t="s">
        <v>11</v>
      </c>
      <c r="H1570" s="27" t="s">
        <v>1969</v>
      </c>
      <c r="I1570" s="27" t="s">
        <v>13</v>
      </c>
    </row>
    <row r="1571" spans="1:9" x14ac:dyDescent="0.3">
      <c r="A1571" s="26">
        <v>45016</v>
      </c>
      <c r="B1571" s="27" t="s">
        <v>117</v>
      </c>
      <c r="C1571" s="27" t="s">
        <v>32</v>
      </c>
      <c r="D1571" s="27" t="s">
        <v>16</v>
      </c>
      <c r="E1571" s="28">
        <v>103418</v>
      </c>
      <c r="F1571" s="28">
        <v>88648</v>
      </c>
      <c r="G1571" s="27" t="s">
        <v>8</v>
      </c>
      <c r="H1571" s="27" t="s">
        <v>2020</v>
      </c>
      <c r="I1571" s="27" t="s">
        <v>13</v>
      </c>
    </row>
    <row r="1572" spans="1:9" x14ac:dyDescent="0.3">
      <c r="A1572" s="26">
        <v>45016</v>
      </c>
      <c r="B1572" s="27" t="s">
        <v>117</v>
      </c>
      <c r="C1572" s="27" t="s">
        <v>20</v>
      </c>
      <c r="D1572" s="27" t="s">
        <v>16</v>
      </c>
      <c r="E1572" s="28">
        <v>101424</v>
      </c>
      <c r="F1572" s="28">
        <v>59421</v>
      </c>
      <c r="G1572" s="27" t="s">
        <v>17</v>
      </c>
      <c r="H1572" s="27" t="s">
        <v>2699</v>
      </c>
      <c r="I1572" s="27" t="s">
        <v>13</v>
      </c>
    </row>
    <row r="1573" spans="1:9" x14ac:dyDescent="0.3">
      <c r="A1573" s="26">
        <v>45016</v>
      </c>
      <c r="B1573" s="27" t="s">
        <v>117</v>
      </c>
      <c r="C1573" s="27" t="s">
        <v>15</v>
      </c>
      <c r="D1573" s="27" t="s">
        <v>21</v>
      </c>
      <c r="E1573" s="28">
        <v>97059</v>
      </c>
      <c r="F1573" s="28">
        <v>162282</v>
      </c>
      <c r="G1573" s="27" t="s">
        <v>8</v>
      </c>
      <c r="H1573" s="27" t="s">
        <v>2797</v>
      </c>
      <c r="I1573" s="27" t="s">
        <v>13</v>
      </c>
    </row>
    <row r="1574" spans="1:9" x14ac:dyDescent="0.3">
      <c r="A1574" s="26">
        <v>45016</v>
      </c>
      <c r="B1574" s="27" t="s">
        <v>117</v>
      </c>
      <c r="C1574" s="27" t="s">
        <v>32</v>
      </c>
      <c r="D1574" s="27" t="s">
        <v>24</v>
      </c>
      <c r="E1574" s="28">
        <v>107251</v>
      </c>
      <c r="F1574" s="28">
        <v>156667</v>
      </c>
      <c r="G1574" s="27" t="s">
        <v>17</v>
      </c>
      <c r="H1574" s="27" t="s">
        <v>2965</v>
      </c>
      <c r="I1574" s="27" t="s">
        <v>13</v>
      </c>
    </row>
    <row r="1575" spans="1:9" x14ac:dyDescent="0.3">
      <c r="A1575" s="26">
        <v>45016</v>
      </c>
      <c r="B1575" s="27" t="s">
        <v>117</v>
      </c>
      <c r="C1575" s="27" t="s">
        <v>10</v>
      </c>
      <c r="D1575" s="27" t="s">
        <v>7</v>
      </c>
      <c r="E1575" s="28">
        <v>74981</v>
      </c>
      <c r="F1575" s="28">
        <v>22945</v>
      </c>
      <c r="G1575" s="27" t="s">
        <v>22</v>
      </c>
      <c r="H1575" s="27" t="s">
        <v>3042</v>
      </c>
      <c r="I1575" s="27" t="s">
        <v>13</v>
      </c>
    </row>
    <row r="1576" spans="1:9" x14ac:dyDescent="0.3">
      <c r="A1576" s="26">
        <v>45016</v>
      </c>
      <c r="B1576" s="27" t="s">
        <v>117</v>
      </c>
      <c r="C1576" s="27" t="s">
        <v>18</v>
      </c>
      <c r="D1576" s="27" t="s">
        <v>16</v>
      </c>
      <c r="E1576" s="28">
        <v>16086</v>
      </c>
      <c r="F1576" s="28">
        <v>101491</v>
      </c>
      <c r="G1576" s="27" t="s">
        <v>22</v>
      </c>
      <c r="H1576" s="27" t="s">
        <v>3409</v>
      </c>
      <c r="I1576" s="27" t="s">
        <v>13</v>
      </c>
    </row>
    <row r="1577" spans="1:9" x14ac:dyDescent="0.3">
      <c r="A1577" s="26">
        <v>45016</v>
      </c>
      <c r="B1577" s="27" t="s">
        <v>117</v>
      </c>
      <c r="C1577" s="27" t="s">
        <v>6</v>
      </c>
      <c r="D1577" s="27" t="s">
        <v>16</v>
      </c>
      <c r="E1577" s="28">
        <v>285100</v>
      </c>
      <c r="F1577" s="28">
        <v>268300</v>
      </c>
      <c r="G1577" s="27" t="s">
        <v>11</v>
      </c>
      <c r="H1577" s="27" t="s">
        <v>4107</v>
      </c>
      <c r="I1577" s="27" t="s">
        <v>9</v>
      </c>
    </row>
    <row r="1578" spans="1:9" x14ac:dyDescent="0.3">
      <c r="A1578" s="26">
        <v>45016</v>
      </c>
      <c r="B1578" s="27" t="s">
        <v>117</v>
      </c>
      <c r="C1578" s="27" t="s">
        <v>6</v>
      </c>
      <c r="D1578" s="27" t="s">
        <v>24</v>
      </c>
      <c r="E1578" s="28">
        <v>103400</v>
      </c>
      <c r="F1578" s="28">
        <v>107400</v>
      </c>
      <c r="G1578" s="27" t="s">
        <v>11</v>
      </c>
      <c r="H1578" s="27" t="s">
        <v>4108</v>
      </c>
      <c r="I1578" s="27" t="s">
        <v>9</v>
      </c>
    </row>
    <row r="1579" spans="1:9" x14ac:dyDescent="0.3">
      <c r="A1579" s="26">
        <v>45016</v>
      </c>
      <c r="B1579" s="27" t="s">
        <v>117</v>
      </c>
      <c r="C1579" s="27" t="s">
        <v>6</v>
      </c>
      <c r="D1579" s="27" t="s">
        <v>21</v>
      </c>
      <c r="E1579" s="28">
        <v>185100</v>
      </c>
      <c r="F1579" s="28">
        <v>176500</v>
      </c>
      <c r="G1579" s="27" t="s">
        <v>11</v>
      </c>
      <c r="H1579" s="27" t="s">
        <v>4279</v>
      </c>
      <c r="I1579" s="27" t="s">
        <v>9</v>
      </c>
    </row>
    <row r="1580" spans="1:9" x14ac:dyDescent="0.3">
      <c r="A1580" s="26">
        <v>45016</v>
      </c>
      <c r="B1580" s="27" t="s">
        <v>117</v>
      </c>
      <c r="C1580" s="27" t="s">
        <v>6</v>
      </c>
      <c r="D1580" s="27" t="s">
        <v>21</v>
      </c>
      <c r="E1580" s="28">
        <v>178700</v>
      </c>
      <c r="F1580" s="28">
        <v>214700</v>
      </c>
      <c r="G1580" s="27" t="s">
        <v>17</v>
      </c>
      <c r="H1580" s="27" t="s">
        <v>4293</v>
      </c>
      <c r="I1580" s="27" t="s">
        <v>9</v>
      </c>
    </row>
    <row r="1581" spans="1:9" x14ac:dyDescent="0.3">
      <c r="A1581" s="26">
        <v>45016</v>
      </c>
      <c r="B1581" s="27" t="s">
        <v>117</v>
      </c>
      <c r="C1581" s="27" t="s">
        <v>93</v>
      </c>
      <c r="D1581" s="27" t="s">
        <v>24</v>
      </c>
      <c r="E1581" s="28">
        <v>100700</v>
      </c>
      <c r="F1581" s="28">
        <v>89900</v>
      </c>
      <c r="G1581" s="27" t="s">
        <v>11</v>
      </c>
      <c r="H1581" s="27" t="s">
        <v>4361</v>
      </c>
      <c r="I1581" s="27" t="s">
        <v>9</v>
      </c>
    </row>
    <row r="1582" spans="1:9" x14ac:dyDescent="0.3">
      <c r="A1582" s="26">
        <v>45016</v>
      </c>
      <c r="B1582" s="27" t="s">
        <v>117</v>
      </c>
      <c r="C1582" s="27" t="s">
        <v>6</v>
      </c>
      <c r="D1582" s="27" t="s">
        <v>16</v>
      </c>
      <c r="E1582" s="28">
        <v>223700</v>
      </c>
      <c r="F1582" s="28">
        <v>257700</v>
      </c>
      <c r="G1582" s="27" t="s">
        <v>11</v>
      </c>
      <c r="H1582" s="27" t="s">
        <v>4992</v>
      </c>
      <c r="I1582" s="27" t="s">
        <v>9</v>
      </c>
    </row>
    <row r="1583" spans="1:9" x14ac:dyDescent="0.3">
      <c r="A1583" s="26">
        <v>45016</v>
      </c>
      <c r="B1583" s="27" t="s">
        <v>117</v>
      </c>
      <c r="C1583" s="27" t="s">
        <v>93</v>
      </c>
      <c r="D1583" s="27" t="s">
        <v>24</v>
      </c>
      <c r="E1583" s="28">
        <v>127100</v>
      </c>
      <c r="F1583" s="28">
        <v>120600</v>
      </c>
      <c r="G1583" s="27" t="s">
        <v>17</v>
      </c>
      <c r="H1583" s="27" t="s">
        <v>5158</v>
      </c>
      <c r="I1583" s="27" t="s">
        <v>9</v>
      </c>
    </row>
    <row r="1584" spans="1:9" x14ac:dyDescent="0.3">
      <c r="A1584" s="26">
        <v>45016</v>
      </c>
      <c r="B1584" s="27" t="s">
        <v>117</v>
      </c>
      <c r="C1584" s="27" t="s">
        <v>6</v>
      </c>
      <c r="D1584" s="27" t="s">
        <v>24</v>
      </c>
      <c r="E1584" s="28">
        <v>51700</v>
      </c>
      <c r="F1584" s="28">
        <v>56100</v>
      </c>
      <c r="G1584" s="27" t="s">
        <v>22</v>
      </c>
      <c r="H1584" s="27" t="s">
        <v>5346</v>
      </c>
      <c r="I1584" s="27" t="s">
        <v>9</v>
      </c>
    </row>
    <row r="1585" spans="1:9" x14ac:dyDescent="0.3">
      <c r="A1585" s="26">
        <v>45016</v>
      </c>
      <c r="B1585" s="27" t="s">
        <v>117</v>
      </c>
      <c r="C1585" s="27" t="s">
        <v>6</v>
      </c>
      <c r="D1585" s="27" t="s">
        <v>21</v>
      </c>
      <c r="E1585" s="28">
        <v>114600</v>
      </c>
      <c r="F1585" s="28">
        <v>89400</v>
      </c>
      <c r="G1585" s="27" t="s">
        <v>11</v>
      </c>
      <c r="H1585" s="27" t="s">
        <v>5353</v>
      </c>
      <c r="I1585" s="27" t="s">
        <v>9</v>
      </c>
    </row>
    <row r="1586" spans="1:9" x14ac:dyDescent="0.3">
      <c r="A1586" s="26">
        <v>45016</v>
      </c>
      <c r="B1586" s="27" t="s">
        <v>117</v>
      </c>
      <c r="C1586" s="27" t="s">
        <v>6</v>
      </c>
      <c r="D1586" s="27" t="s">
        <v>16</v>
      </c>
      <c r="E1586" s="28">
        <v>75200</v>
      </c>
      <c r="F1586" s="28">
        <v>61200</v>
      </c>
      <c r="G1586" s="27" t="s">
        <v>22</v>
      </c>
      <c r="H1586" s="27" t="s">
        <v>5404</v>
      </c>
      <c r="I1586" s="27" t="s">
        <v>9</v>
      </c>
    </row>
    <row r="1587" spans="1:9" x14ac:dyDescent="0.3">
      <c r="A1587" s="26">
        <v>45016</v>
      </c>
      <c r="B1587" s="27" t="s">
        <v>117</v>
      </c>
      <c r="C1587" s="27" t="s">
        <v>93</v>
      </c>
      <c r="D1587" s="27" t="s">
        <v>16</v>
      </c>
      <c r="E1587" s="28">
        <v>152600</v>
      </c>
      <c r="F1587" s="28">
        <v>131700</v>
      </c>
      <c r="G1587" s="27" t="s">
        <v>11</v>
      </c>
      <c r="H1587" s="27" t="s">
        <v>6084</v>
      </c>
      <c r="I1587" s="27" t="s">
        <v>9</v>
      </c>
    </row>
    <row r="1588" spans="1:9" x14ac:dyDescent="0.3">
      <c r="A1588" s="26">
        <v>45016</v>
      </c>
      <c r="B1588" s="27" t="s">
        <v>117</v>
      </c>
      <c r="C1588" s="27" t="s">
        <v>93</v>
      </c>
      <c r="D1588" s="27" t="s">
        <v>21</v>
      </c>
      <c r="E1588" s="28">
        <v>136900</v>
      </c>
      <c r="F1588" s="28">
        <v>133700</v>
      </c>
      <c r="G1588" s="27" t="s">
        <v>22</v>
      </c>
      <c r="H1588" s="27" t="s">
        <v>6182</v>
      </c>
      <c r="I1588" s="27" t="s">
        <v>9</v>
      </c>
    </row>
    <row r="1589" spans="1:9" x14ac:dyDescent="0.3">
      <c r="A1589" s="26">
        <v>45016</v>
      </c>
      <c r="B1589" s="27" t="s">
        <v>117</v>
      </c>
      <c r="C1589" s="27" t="s">
        <v>6</v>
      </c>
      <c r="D1589" s="27" t="s">
        <v>24</v>
      </c>
      <c r="E1589" s="28">
        <v>97100</v>
      </c>
      <c r="F1589" s="28">
        <v>111800</v>
      </c>
      <c r="G1589" s="27" t="s">
        <v>22</v>
      </c>
      <c r="H1589" s="27" t="s">
        <v>6350</v>
      </c>
      <c r="I1589" s="27" t="s">
        <v>9</v>
      </c>
    </row>
    <row r="1590" spans="1:9" x14ac:dyDescent="0.3">
      <c r="A1590" s="26">
        <v>45016</v>
      </c>
      <c r="B1590" s="27" t="s">
        <v>117</v>
      </c>
      <c r="C1590" s="27" t="s">
        <v>6</v>
      </c>
      <c r="D1590" s="27" t="s">
        <v>7</v>
      </c>
      <c r="E1590" s="28">
        <v>224700</v>
      </c>
      <c r="F1590" s="28">
        <v>234700</v>
      </c>
      <c r="G1590" s="27" t="s">
        <v>11</v>
      </c>
      <c r="H1590" s="27" t="s">
        <v>6427</v>
      </c>
      <c r="I1590" s="27" t="s">
        <v>9</v>
      </c>
    </row>
    <row r="1591" spans="1:9" x14ac:dyDescent="0.3">
      <c r="A1591" s="26">
        <v>45016</v>
      </c>
      <c r="B1591" s="27" t="s">
        <v>117</v>
      </c>
      <c r="C1591" s="27" t="s">
        <v>6</v>
      </c>
      <c r="D1591" s="27" t="s">
        <v>16</v>
      </c>
      <c r="E1591" s="28">
        <v>180600</v>
      </c>
      <c r="F1591" s="28">
        <v>165700</v>
      </c>
      <c r="G1591" s="27" t="s">
        <v>22</v>
      </c>
      <c r="H1591" s="27" t="s">
        <v>6794</v>
      </c>
      <c r="I1591" s="27" t="s">
        <v>9</v>
      </c>
    </row>
    <row r="1592" spans="1:9" x14ac:dyDescent="0.3">
      <c r="A1592" s="26">
        <v>45017</v>
      </c>
      <c r="B1592" s="27" t="s">
        <v>118</v>
      </c>
      <c r="C1592" s="27" t="s">
        <v>14</v>
      </c>
      <c r="D1592" s="27" t="s">
        <v>19</v>
      </c>
      <c r="E1592" s="28">
        <v>129190</v>
      </c>
      <c r="F1592" s="28">
        <v>13301</v>
      </c>
      <c r="G1592" s="27" t="s">
        <v>17</v>
      </c>
      <c r="H1592" s="27" t="s">
        <v>347</v>
      </c>
      <c r="I1592" s="27" t="s">
        <v>13</v>
      </c>
    </row>
    <row r="1593" spans="1:9" x14ac:dyDescent="0.3">
      <c r="A1593" s="26">
        <v>45017</v>
      </c>
      <c r="B1593" s="27" t="s">
        <v>118</v>
      </c>
      <c r="C1593" s="27" t="s">
        <v>20</v>
      </c>
      <c r="D1593" s="27" t="s">
        <v>24</v>
      </c>
      <c r="E1593" s="28">
        <v>28564</v>
      </c>
      <c r="F1593" s="28">
        <v>116205</v>
      </c>
      <c r="G1593" s="27" t="s">
        <v>17</v>
      </c>
      <c r="H1593" s="27" t="s">
        <v>431</v>
      </c>
      <c r="I1593" s="27" t="s">
        <v>13</v>
      </c>
    </row>
    <row r="1594" spans="1:9" x14ac:dyDescent="0.3">
      <c r="A1594" s="26">
        <v>45017</v>
      </c>
      <c r="B1594" s="27" t="s">
        <v>118</v>
      </c>
      <c r="C1594" s="27" t="s">
        <v>15</v>
      </c>
      <c r="D1594" s="27" t="s">
        <v>19</v>
      </c>
      <c r="E1594" s="28">
        <v>11258</v>
      </c>
      <c r="F1594" s="28">
        <v>134109</v>
      </c>
      <c r="G1594" s="27" t="s">
        <v>8</v>
      </c>
      <c r="H1594" s="27" t="s">
        <v>899</v>
      </c>
      <c r="I1594" s="27" t="s">
        <v>13</v>
      </c>
    </row>
    <row r="1595" spans="1:9" x14ac:dyDescent="0.3">
      <c r="A1595" s="26">
        <v>45017</v>
      </c>
      <c r="B1595" s="27" t="s">
        <v>118</v>
      </c>
      <c r="C1595" s="27" t="s">
        <v>20</v>
      </c>
      <c r="D1595" s="27" t="s">
        <v>19</v>
      </c>
      <c r="E1595" s="28">
        <v>95170</v>
      </c>
      <c r="F1595" s="28">
        <v>88832</v>
      </c>
      <c r="G1595" s="27" t="s">
        <v>22</v>
      </c>
      <c r="H1595" s="27" t="s">
        <v>963</v>
      </c>
      <c r="I1595" s="27" t="s">
        <v>13</v>
      </c>
    </row>
    <row r="1596" spans="1:9" x14ac:dyDescent="0.3">
      <c r="A1596" s="26">
        <v>45017</v>
      </c>
      <c r="B1596" s="27" t="s">
        <v>118</v>
      </c>
      <c r="C1596" s="27" t="s">
        <v>15</v>
      </c>
      <c r="D1596" s="27" t="s">
        <v>7</v>
      </c>
      <c r="E1596" s="28">
        <v>82168</v>
      </c>
      <c r="F1596" s="28">
        <v>154563</v>
      </c>
      <c r="G1596" s="27" t="s">
        <v>8</v>
      </c>
      <c r="H1596" s="27" t="s">
        <v>1164</v>
      </c>
      <c r="I1596" s="27" t="s">
        <v>13</v>
      </c>
    </row>
    <row r="1597" spans="1:9" x14ac:dyDescent="0.3">
      <c r="A1597" s="26">
        <v>45017</v>
      </c>
      <c r="B1597" s="27" t="s">
        <v>118</v>
      </c>
      <c r="C1597" s="27" t="s">
        <v>14</v>
      </c>
      <c r="D1597" s="27" t="s">
        <v>24</v>
      </c>
      <c r="E1597" s="28">
        <v>19250</v>
      </c>
      <c r="F1597" s="28">
        <v>40014</v>
      </c>
      <c r="G1597" s="27" t="s">
        <v>8</v>
      </c>
      <c r="H1597" s="27" t="s">
        <v>1238</v>
      </c>
      <c r="I1597" s="27" t="s">
        <v>13</v>
      </c>
    </row>
    <row r="1598" spans="1:9" x14ac:dyDescent="0.3">
      <c r="A1598" s="26">
        <v>45017</v>
      </c>
      <c r="B1598" s="27" t="s">
        <v>118</v>
      </c>
      <c r="C1598" s="27" t="s">
        <v>10</v>
      </c>
      <c r="D1598" s="27" t="s">
        <v>24</v>
      </c>
      <c r="E1598" s="28">
        <v>115495</v>
      </c>
      <c r="F1598" s="28">
        <v>138566</v>
      </c>
      <c r="G1598" s="27" t="s">
        <v>11</v>
      </c>
      <c r="H1598" s="27" t="s">
        <v>1918</v>
      </c>
      <c r="I1598" s="27" t="s">
        <v>13</v>
      </c>
    </row>
    <row r="1599" spans="1:9" x14ac:dyDescent="0.3">
      <c r="A1599" s="26">
        <v>45017</v>
      </c>
      <c r="B1599" s="27" t="s">
        <v>118</v>
      </c>
      <c r="C1599" s="27" t="s">
        <v>10</v>
      </c>
      <c r="D1599" s="27" t="s">
        <v>19</v>
      </c>
      <c r="E1599" s="28">
        <v>53995</v>
      </c>
      <c r="F1599" s="28">
        <v>82130</v>
      </c>
      <c r="G1599" s="27" t="s">
        <v>22</v>
      </c>
      <c r="H1599" s="27" t="s">
        <v>2212</v>
      </c>
      <c r="I1599" s="27" t="s">
        <v>13</v>
      </c>
    </row>
    <row r="1600" spans="1:9" x14ac:dyDescent="0.3">
      <c r="A1600" s="26">
        <v>45017</v>
      </c>
      <c r="B1600" s="27" t="s">
        <v>118</v>
      </c>
      <c r="C1600" s="27" t="s">
        <v>18</v>
      </c>
      <c r="D1600" s="27" t="s">
        <v>7</v>
      </c>
      <c r="E1600" s="28">
        <v>84240</v>
      </c>
      <c r="F1600" s="28">
        <v>40955</v>
      </c>
      <c r="G1600" s="27" t="s">
        <v>17</v>
      </c>
      <c r="H1600" s="27" t="s">
        <v>2420</v>
      </c>
      <c r="I1600" s="27" t="s">
        <v>13</v>
      </c>
    </row>
    <row r="1601" spans="1:9" x14ac:dyDescent="0.3">
      <c r="A1601" s="26">
        <v>45017</v>
      </c>
      <c r="B1601" s="27" t="s">
        <v>118</v>
      </c>
      <c r="C1601" s="27" t="s">
        <v>20</v>
      </c>
      <c r="D1601" s="27" t="s">
        <v>24</v>
      </c>
      <c r="E1601" s="28">
        <v>137307</v>
      </c>
      <c r="F1601" s="28">
        <v>36328</v>
      </c>
      <c r="G1601" s="27" t="s">
        <v>22</v>
      </c>
      <c r="H1601" s="27" t="s">
        <v>3050</v>
      </c>
      <c r="I1601" s="27" t="s">
        <v>13</v>
      </c>
    </row>
    <row r="1602" spans="1:9" x14ac:dyDescent="0.3">
      <c r="A1602" s="26">
        <v>45017</v>
      </c>
      <c r="B1602" s="27" t="s">
        <v>118</v>
      </c>
      <c r="C1602" s="27" t="s">
        <v>10</v>
      </c>
      <c r="D1602" s="27" t="s">
        <v>16</v>
      </c>
      <c r="E1602" s="28">
        <v>47025</v>
      </c>
      <c r="F1602" s="28">
        <v>150672</v>
      </c>
      <c r="G1602" s="27" t="s">
        <v>8</v>
      </c>
      <c r="H1602" s="27" t="s">
        <v>3146</v>
      </c>
      <c r="I1602" s="27" t="s">
        <v>13</v>
      </c>
    </row>
    <row r="1603" spans="1:9" x14ac:dyDescent="0.3">
      <c r="A1603" s="26">
        <v>45017</v>
      </c>
      <c r="B1603" s="27" t="s">
        <v>118</v>
      </c>
      <c r="C1603" s="27" t="s">
        <v>15</v>
      </c>
      <c r="D1603" s="27" t="s">
        <v>21</v>
      </c>
      <c r="E1603" s="28">
        <v>122936</v>
      </c>
      <c r="F1603" s="28">
        <v>72899</v>
      </c>
      <c r="G1603" s="27" t="s">
        <v>22</v>
      </c>
      <c r="H1603" s="27" t="s">
        <v>3209</v>
      </c>
      <c r="I1603" s="27" t="s">
        <v>13</v>
      </c>
    </row>
    <row r="1604" spans="1:9" x14ac:dyDescent="0.3">
      <c r="A1604" s="26">
        <v>45017</v>
      </c>
      <c r="B1604" s="27" t="s">
        <v>118</v>
      </c>
      <c r="C1604" s="27" t="s">
        <v>10</v>
      </c>
      <c r="D1604" s="27" t="s">
        <v>24</v>
      </c>
      <c r="E1604" s="28">
        <v>95557</v>
      </c>
      <c r="F1604" s="28">
        <v>98182</v>
      </c>
      <c r="G1604" s="27" t="s">
        <v>22</v>
      </c>
      <c r="H1604" s="27" t="s">
        <v>3352</v>
      </c>
      <c r="I1604" s="27" t="s">
        <v>13</v>
      </c>
    </row>
    <row r="1605" spans="1:9" x14ac:dyDescent="0.3">
      <c r="A1605" s="26">
        <v>45017</v>
      </c>
      <c r="B1605" s="27" t="s">
        <v>118</v>
      </c>
      <c r="C1605" s="27" t="s">
        <v>6</v>
      </c>
      <c r="D1605" s="27" t="s">
        <v>19</v>
      </c>
      <c r="E1605" s="28">
        <v>69400</v>
      </c>
      <c r="F1605" s="28">
        <v>73600</v>
      </c>
      <c r="G1605" s="27" t="s">
        <v>11</v>
      </c>
      <c r="H1605" s="27" t="s">
        <v>3728</v>
      </c>
      <c r="I1605" s="27" t="s">
        <v>9</v>
      </c>
    </row>
    <row r="1606" spans="1:9" x14ac:dyDescent="0.3">
      <c r="A1606" s="26">
        <v>45017</v>
      </c>
      <c r="B1606" s="27" t="s">
        <v>118</v>
      </c>
      <c r="C1606" s="27" t="s">
        <v>6</v>
      </c>
      <c r="D1606" s="27" t="s">
        <v>24</v>
      </c>
      <c r="E1606" s="28">
        <v>90900</v>
      </c>
      <c r="F1606" s="28">
        <v>93800</v>
      </c>
      <c r="G1606" s="27" t="s">
        <v>11</v>
      </c>
      <c r="H1606" s="27" t="s">
        <v>3812</v>
      </c>
      <c r="I1606" s="27" t="s">
        <v>9</v>
      </c>
    </row>
    <row r="1607" spans="1:9" x14ac:dyDescent="0.3">
      <c r="A1607" s="26">
        <v>45017</v>
      </c>
      <c r="B1607" s="27" t="s">
        <v>118</v>
      </c>
      <c r="C1607" s="27" t="s">
        <v>93</v>
      </c>
      <c r="D1607" s="27" t="s">
        <v>19</v>
      </c>
      <c r="E1607" s="28">
        <v>115400</v>
      </c>
      <c r="F1607" s="28">
        <v>134000</v>
      </c>
      <c r="G1607" s="27" t="s">
        <v>11</v>
      </c>
      <c r="H1607" s="27" t="s">
        <v>4280</v>
      </c>
      <c r="I1607" s="27" t="s">
        <v>9</v>
      </c>
    </row>
    <row r="1608" spans="1:9" x14ac:dyDescent="0.3">
      <c r="A1608" s="26">
        <v>45017</v>
      </c>
      <c r="B1608" s="27" t="s">
        <v>118</v>
      </c>
      <c r="C1608" s="27" t="s">
        <v>93</v>
      </c>
      <c r="D1608" s="27" t="s">
        <v>19</v>
      </c>
      <c r="E1608" s="28">
        <v>122900</v>
      </c>
      <c r="F1608" s="28">
        <v>144700</v>
      </c>
      <c r="G1608" s="27" t="s">
        <v>11</v>
      </c>
      <c r="H1608" s="27" t="s">
        <v>4344</v>
      </c>
      <c r="I1608" s="27" t="s">
        <v>9</v>
      </c>
    </row>
    <row r="1609" spans="1:9" x14ac:dyDescent="0.3">
      <c r="A1609" s="26">
        <v>45017</v>
      </c>
      <c r="B1609" s="27" t="s">
        <v>118</v>
      </c>
      <c r="C1609" s="27" t="s">
        <v>93</v>
      </c>
      <c r="D1609" s="27" t="s">
        <v>7</v>
      </c>
      <c r="E1609" s="28">
        <v>199100</v>
      </c>
      <c r="F1609" s="28">
        <v>224700</v>
      </c>
      <c r="G1609" s="27" t="s">
        <v>11</v>
      </c>
      <c r="H1609" s="27" t="s">
        <v>4547</v>
      </c>
      <c r="I1609" s="27" t="s">
        <v>9</v>
      </c>
    </row>
    <row r="1610" spans="1:9" x14ac:dyDescent="0.3">
      <c r="A1610" s="26">
        <v>45017</v>
      </c>
      <c r="B1610" s="27" t="s">
        <v>118</v>
      </c>
      <c r="C1610" s="27" t="s">
        <v>6</v>
      </c>
      <c r="D1610" s="27" t="s">
        <v>24</v>
      </c>
      <c r="E1610" s="28">
        <v>95000</v>
      </c>
      <c r="F1610" s="28">
        <v>119900</v>
      </c>
      <c r="G1610" s="27" t="s">
        <v>11</v>
      </c>
      <c r="H1610" s="27" t="s">
        <v>4621</v>
      </c>
      <c r="I1610" s="27" t="s">
        <v>9</v>
      </c>
    </row>
    <row r="1611" spans="1:9" x14ac:dyDescent="0.3">
      <c r="A1611" s="26">
        <v>45017</v>
      </c>
      <c r="B1611" s="27" t="s">
        <v>118</v>
      </c>
      <c r="C1611" s="27" t="s">
        <v>6</v>
      </c>
      <c r="D1611" s="27" t="s">
        <v>24</v>
      </c>
      <c r="E1611" s="28">
        <v>92700</v>
      </c>
      <c r="F1611" s="28">
        <v>99000</v>
      </c>
      <c r="G1611" s="27" t="s">
        <v>11</v>
      </c>
      <c r="H1611" s="27" t="s">
        <v>5302</v>
      </c>
      <c r="I1611" s="27" t="s">
        <v>9</v>
      </c>
    </row>
    <row r="1612" spans="1:9" x14ac:dyDescent="0.3">
      <c r="A1612" s="26">
        <v>45017</v>
      </c>
      <c r="B1612" s="27" t="s">
        <v>118</v>
      </c>
      <c r="C1612" s="27" t="s">
        <v>6</v>
      </c>
      <c r="D1612" s="27" t="s">
        <v>19</v>
      </c>
      <c r="E1612" s="28">
        <v>138000</v>
      </c>
      <c r="F1612" s="28">
        <v>101800</v>
      </c>
      <c r="G1612" s="27" t="s">
        <v>11</v>
      </c>
      <c r="H1612" s="27" t="s">
        <v>5597</v>
      </c>
      <c r="I1612" s="27" t="s">
        <v>9</v>
      </c>
    </row>
    <row r="1613" spans="1:9" x14ac:dyDescent="0.3">
      <c r="A1613" s="26">
        <v>45017</v>
      </c>
      <c r="B1613" s="27" t="s">
        <v>118</v>
      </c>
      <c r="C1613" s="27" t="s">
        <v>6</v>
      </c>
      <c r="D1613" s="27" t="s">
        <v>7</v>
      </c>
      <c r="E1613" s="28">
        <v>71900</v>
      </c>
      <c r="F1613" s="28">
        <v>46500</v>
      </c>
      <c r="G1613" s="27" t="s">
        <v>11</v>
      </c>
      <c r="H1613" s="27" t="s">
        <v>5805</v>
      </c>
      <c r="I1613" s="27" t="s">
        <v>9</v>
      </c>
    </row>
    <row r="1614" spans="1:9" x14ac:dyDescent="0.3">
      <c r="A1614" s="26">
        <v>45017</v>
      </c>
      <c r="B1614" s="27" t="s">
        <v>118</v>
      </c>
      <c r="C1614" s="27" t="s">
        <v>93</v>
      </c>
      <c r="D1614" s="27" t="s">
        <v>24</v>
      </c>
      <c r="E1614" s="28">
        <v>171800</v>
      </c>
      <c r="F1614" s="28">
        <v>181800</v>
      </c>
      <c r="G1614" s="27" t="s">
        <v>22</v>
      </c>
      <c r="H1614" s="27" t="s">
        <v>6435</v>
      </c>
      <c r="I1614" s="27" t="s">
        <v>9</v>
      </c>
    </row>
    <row r="1615" spans="1:9" x14ac:dyDescent="0.3">
      <c r="A1615" s="26">
        <v>45017</v>
      </c>
      <c r="B1615" s="27" t="s">
        <v>118</v>
      </c>
      <c r="C1615" s="27" t="s">
        <v>93</v>
      </c>
      <c r="D1615" s="27" t="s">
        <v>16</v>
      </c>
      <c r="E1615" s="28">
        <v>92000</v>
      </c>
      <c r="F1615" s="28">
        <v>71500</v>
      </c>
      <c r="G1615" s="27" t="s">
        <v>11</v>
      </c>
      <c r="H1615" s="27" t="s">
        <v>6531</v>
      </c>
      <c r="I1615" s="27" t="s">
        <v>9</v>
      </c>
    </row>
    <row r="1616" spans="1:9" x14ac:dyDescent="0.3">
      <c r="A1616" s="26">
        <v>45017</v>
      </c>
      <c r="B1616" s="27" t="s">
        <v>118</v>
      </c>
      <c r="C1616" s="27" t="s">
        <v>6</v>
      </c>
      <c r="D1616" s="27" t="s">
        <v>21</v>
      </c>
      <c r="E1616" s="28">
        <v>182700</v>
      </c>
      <c r="F1616" s="28">
        <v>235300</v>
      </c>
      <c r="G1616" s="27" t="s">
        <v>11</v>
      </c>
      <c r="H1616" s="27" t="s">
        <v>6594</v>
      </c>
      <c r="I1616" s="27" t="s">
        <v>9</v>
      </c>
    </row>
    <row r="1617" spans="1:9" x14ac:dyDescent="0.3">
      <c r="A1617" s="26">
        <v>45017</v>
      </c>
      <c r="B1617" s="27" t="s">
        <v>118</v>
      </c>
      <c r="C1617" s="27" t="s">
        <v>6</v>
      </c>
      <c r="D1617" s="27" t="s">
        <v>24</v>
      </c>
      <c r="E1617" s="28">
        <v>112200</v>
      </c>
      <c r="F1617" s="28">
        <v>149900</v>
      </c>
      <c r="G1617" s="27" t="s">
        <v>11</v>
      </c>
      <c r="H1617" s="27" t="s">
        <v>6737</v>
      </c>
      <c r="I1617" s="27" t="s">
        <v>9</v>
      </c>
    </row>
    <row r="1618" spans="1:9" x14ac:dyDescent="0.3">
      <c r="A1618" s="26">
        <v>45018</v>
      </c>
      <c r="B1618" s="27" t="s">
        <v>118</v>
      </c>
      <c r="C1618" s="27" t="s">
        <v>15</v>
      </c>
      <c r="D1618" s="27" t="s">
        <v>19</v>
      </c>
      <c r="E1618" s="28">
        <v>98466</v>
      </c>
      <c r="F1618" s="28">
        <v>102045</v>
      </c>
      <c r="G1618" s="27" t="s">
        <v>11</v>
      </c>
      <c r="H1618" s="27" t="s">
        <v>131</v>
      </c>
      <c r="I1618" s="27" t="s">
        <v>13</v>
      </c>
    </row>
    <row r="1619" spans="1:9" x14ac:dyDescent="0.3">
      <c r="A1619" s="26">
        <v>45018</v>
      </c>
      <c r="B1619" s="27" t="s">
        <v>118</v>
      </c>
      <c r="C1619" s="27" t="s">
        <v>14</v>
      </c>
      <c r="D1619" s="27" t="s">
        <v>19</v>
      </c>
      <c r="E1619" s="28">
        <v>102384</v>
      </c>
      <c r="F1619" s="28">
        <v>33364</v>
      </c>
      <c r="G1619" s="27" t="s">
        <v>8</v>
      </c>
      <c r="H1619" s="27" t="s">
        <v>632</v>
      </c>
      <c r="I1619" s="27" t="s">
        <v>13</v>
      </c>
    </row>
    <row r="1620" spans="1:9" x14ac:dyDescent="0.3">
      <c r="A1620" s="26">
        <v>45018</v>
      </c>
      <c r="B1620" s="27" t="s">
        <v>118</v>
      </c>
      <c r="C1620" s="27" t="s">
        <v>32</v>
      </c>
      <c r="D1620" s="27" t="s">
        <v>21</v>
      </c>
      <c r="E1620" s="28">
        <v>34053</v>
      </c>
      <c r="F1620" s="28">
        <v>150003</v>
      </c>
      <c r="G1620" s="27" t="s">
        <v>22</v>
      </c>
      <c r="H1620" s="27" t="s">
        <v>706</v>
      </c>
      <c r="I1620" s="27" t="s">
        <v>13</v>
      </c>
    </row>
    <row r="1621" spans="1:9" x14ac:dyDescent="0.3">
      <c r="A1621" s="26">
        <v>45018</v>
      </c>
      <c r="B1621" s="27" t="s">
        <v>118</v>
      </c>
      <c r="C1621" s="27" t="s">
        <v>18</v>
      </c>
      <c r="D1621" s="27" t="s">
        <v>24</v>
      </c>
      <c r="E1621" s="28">
        <v>119573</v>
      </c>
      <c r="F1621" s="28">
        <v>111885</v>
      </c>
      <c r="G1621" s="27" t="s">
        <v>22</v>
      </c>
      <c r="H1621" s="27" t="s">
        <v>708</v>
      </c>
      <c r="I1621" s="27" t="s">
        <v>13</v>
      </c>
    </row>
    <row r="1622" spans="1:9" x14ac:dyDescent="0.3">
      <c r="A1622" s="26">
        <v>45018</v>
      </c>
      <c r="B1622" s="27" t="s">
        <v>118</v>
      </c>
      <c r="C1622" s="27" t="s">
        <v>18</v>
      </c>
      <c r="D1622" s="27" t="s">
        <v>7</v>
      </c>
      <c r="E1622" s="28">
        <v>136854</v>
      </c>
      <c r="F1622" s="28">
        <v>8892</v>
      </c>
      <c r="G1622" s="27" t="s">
        <v>22</v>
      </c>
      <c r="H1622" s="27" t="s">
        <v>786</v>
      </c>
      <c r="I1622" s="27" t="s">
        <v>13</v>
      </c>
    </row>
    <row r="1623" spans="1:9" x14ac:dyDescent="0.3">
      <c r="A1623" s="26">
        <v>45018</v>
      </c>
      <c r="B1623" s="27" t="s">
        <v>118</v>
      </c>
      <c r="C1623" s="27" t="s">
        <v>20</v>
      </c>
      <c r="D1623" s="27" t="s">
        <v>19</v>
      </c>
      <c r="E1623" s="28">
        <v>141305</v>
      </c>
      <c r="F1623" s="28">
        <v>76698</v>
      </c>
      <c r="G1623" s="27" t="s">
        <v>17</v>
      </c>
      <c r="H1623" s="27" t="s">
        <v>1051</v>
      </c>
      <c r="I1623" s="27" t="s">
        <v>13</v>
      </c>
    </row>
    <row r="1624" spans="1:9" x14ac:dyDescent="0.3">
      <c r="A1624" s="26">
        <v>45018</v>
      </c>
      <c r="B1624" s="27" t="s">
        <v>118</v>
      </c>
      <c r="C1624" s="27" t="s">
        <v>10</v>
      </c>
      <c r="D1624" s="27" t="s">
        <v>16</v>
      </c>
      <c r="E1624" s="28">
        <v>146518</v>
      </c>
      <c r="F1624" s="28">
        <v>126064</v>
      </c>
      <c r="G1624" s="27" t="s">
        <v>17</v>
      </c>
      <c r="H1624" s="27" t="s">
        <v>1196</v>
      </c>
      <c r="I1624" s="27" t="s">
        <v>13</v>
      </c>
    </row>
    <row r="1625" spans="1:9" x14ac:dyDescent="0.3">
      <c r="A1625" s="26">
        <v>45018</v>
      </c>
      <c r="B1625" s="27" t="s">
        <v>118</v>
      </c>
      <c r="C1625" s="27" t="s">
        <v>32</v>
      </c>
      <c r="D1625" s="27" t="s">
        <v>7</v>
      </c>
      <c r="E1625" s="28">
        <v>143425</v>
      </c>
      <c r="F1625" s="28">
        <v>127733</v>
      </c>
      <c r="G1625" s="27" t="s">
        <v>8</v>
      </c>
      <c r="H1625" s="27" t="s">
        <v>1406</v>
      </c>
      <c r="I1625" s="27" t="s">
        <v>13</v>
      </c>
    </row>
    <row r="1626" spans="1:9" x14ac:dyDescent="0.3">
      <c r="A1626" s="26">
        <v>45018</v>
      </c>
      <c r="B1626" s="27" t="s">
        <v>118</v>
      </c>
      <c r="C1626" s="27" t="s">
        <v>20</v>
      </c>
      <c r="D1626" s="27" t="s">
        <v>24</v>
      </c>
      <c r="E1626" s="28">
        <v>55134</v>
      </c>
      <c r="F1626" s="28">
        <v>62930</v>
      </c>
      <c r="G1626" s="27" t="s">
        <v>17</v>
      </c>
      <c r="H1626" s="27" t="s">
        <v>1826</v>
      </c>
      <c r="I1626" s="27" t="s">
        <v>13</v>
      </c>
    </row>
    <row r="1627" spans="1:9" x14ac:dyDescent="0.3">
      <c r="A1627" s="26">
        <v>45018</v>
      </c>
      <c r="B1627" s="27" t="s">
        <v>118</v>
      </c>
      <c r="C1627" s="27" t="s">
        <v>14</v>
      </c>
      <c r="D1627" s="27" t="s">
        <v>24</v>
      </c>
      <c r="E1627" s="28">
        <v>21070</v>
      </c>
      <c r="F1627" s="28">
        <v>84056</v>
      </c>
      <c r="G1627" s="27" t="s">
        <v>22</v>
      </c>
      <c r="H1627" s="27" t="s">
        <v>1998</v>
      </c>
      <c r="I1627" s="27" t="s">
        <v>13</v>
      </c>
    </row>
    <row r="1628" spans="1:9" x14ac:dyDescent="0.3">
      <c r="A1628" s="26">
        <v>45018</v>
      </c>
      <c r="B1628" s="27" t="s">
        <v>118</v>
      </c>
      <c r="C1628" s="27" t="s">
        <v>15</v>
      </c>
      <c r="D1628" s="27" t="s">
        <v>19</v>
      </c>
      <c r="E1628" s="28">
        <v>65552</v>
      </c>
      <c r="F1628" s="28">
        <v>37445</v>
      </c>
      <c r="G1628" s="27" t="s">
        <v>17</v>
      </c>
      <c r="H1628" s="27" t="s">
        <v>2036</v>
      </c>
      <c r="I1628" s="27" t="s">
        <v>13</v>
      </c>
    </row>
    <row r="1629" spans="1:9" x14ac:dyDescent="0.3">
      <c r="A1629" s="26">
        <v>45018</v>
      </c>
      <c r="B1629" s="27" t="s">
        <v>118</v>
      </c>
      <c r="C1629" s="27" t="s">
        <v>18</v>
      </c>
      <c r="D1629" s="27" t="s">
        <v>24</v>
      </c>
      <c r="E1629" s="28">
        <v>54587</v>
      </c>
      <c r="F1629" s="28">
        <v>130080</v>
      </c>
      <c r="G1629" s="27" t="s">
        <v>11</v>
      </c>
      <c r="H1629" s="27" t="s">
        <v>2105</v>
      </c>
      <c r="I1629" s="27" t="s">
        <v>13</v>
      </c>
    </row>
    <row r="1630" spans="1:9" x14ac:dyDescent="0.3">
      <c r="A1630" s="26">
        <v>45018</v>
      </c>
      <c r="B1630" s="27" t="s">
        <v>118</v>
      </c>
      <c r="C1630" s="27" t="s">
        <v>18</v>
      </c>
      <c r="D1630" s="27" t="s">
        <v>19</v>
      </c>
      <c r="E1630" s="28">
        <v>66673</v>
      </c>
      <c r="F1630" s="28">
        <v>12348</v>
      </c>
      <c r="G1630" s="27" t="s">
        <v>8</v>
      </c>
      <c r="H1630" s="27" t="s">
        <v>2327</v>
      </c>
      <c r="I1630" s="27" t="s">
        <v>13</v>
      </c>
    </row>
    <row r="1631" spans="1:9" x14ac:dyDescent="0.3">
      <c r="A1631" s="26">
        <v>45018</v>
      </c>
      <c r="B1631" s="27" t="s">
        <v>118</v>
      </c>
      <c r="C1631" s="27" t="s">
        <v>18</v>
      </c>
      <c r="D1631" s="27" t="s">
        <v>21</v>
      </c>
      <c r="E1631" s="28">
        <v>32297</v>
      </c>
      <c r="F1631" s="28">
        <v>131432</v>
      </c>
      <c r="G1631" s="27" t="s">
        <v>11</v>
      </c>
      <c r="H1631" s="27" t="s">
        <v>2360</v>
      </c>
      <c r="I1631" s="27" t="s">
        <v>13</v>
      </c>
    </row>
    <row r="1632" spans="1:9" x14ac:dyDescent="0.3">
      <c r="A1632" s="26">
        <v>45018</v>
      </c>
      <c r="B1632" s="27" t="s">
        <v>118</v>
      </c>
      <c r="C1632" s="27" t="s">
        <v>32</v>
      </c>
      <c r="D1632" s="27" t="s">
        <v>19</v>
      </c>
      <c r="E1632" s="28">
        <v>83402</v>
      </c>
      <c r="F1632" s="28">
        <v>91566</v>
      </c>
      <c r="G1632" s="27" t="s">
        <v>22</v>
      </c>
      <c r="H1632" s="27" t="s">
        <v>2828</v>
      </c>
      <c r="I1632" s="27" t="s">
        <v>13</v>
      </c>
    </row>
    <row r="1633" spans="1:9" x14ac:dyDescent="0.3">
      <c r="A1633" s="26">
        <v>45018</v>
      </c>
      <c r="B1633" s="27" t="s">
        <v>118</v>
      </c>
      <c r="C1633" s="27" t="s">
        <v>32</v>
      </c>
      <c r="D1633" s="27" t="s">
        <v>24</v>
      </c>
      <c r="E1633" s="28">
        <v>82542</v>
      </c>
      <c r="F1633" s="28">
        <v>142267</v>
      </c>
      <c r="G1633" s="27" t="s">
        <v>8</v>
      </c>
      <c r="H1633" s="27" t="s">
        <v>3275</v>
      </c>
      <c r="I1633" s="27" t="s">
        <v>13</v>
      </c>
    </row>
    <row r="1634" spans="1:9" x14ac:dyDescent="0.3">
      <c r="A1634" s="26">
        <v>45018</v>
      </c>
      <c r="B1634" s="27" t="s">
        <v>118</v>
      </c>
      <c r="C1634" s="27" t="s">
        <v>10</v>
      </c>
      <c r="D1634" s="27" t="s">
        <v>16</v>
      </c>
      <c r="E1634" s="28">
        <v>98538</v>
      </c>
      <c r="F1634" s="28">
        <v>125964</v>
      </c>
      <c r="G1634" s="27" t="s">
        <v>22</v>
      </c>
      <c r="H1634" s="27" t="s">
        <v>3323</v>
      </c>
      <c r="I1634" s="27" t="s">
        <v>13</v>
      </c>
    </row>
    <row r="1635" spans="1:9" x14ac:dyDescent="0.3">
      <c r="A1635" s="26">
        <v>45018</v>
      </c>
      <c r="B1635" s="27" t="s">
        <v>118</v>
      </c>
      <c r="C1635" s="27" t="s">
        <v>6</v>
      </c>
      <c r="D1635" s="27" t="s">
        <v>19</v>
      </c>
      <c r="E1635" s="28">
        <v>60800</v>
      </c>
      <c r="F1635" s="28">
        <v>85900</v>
      </c>
      <c r="G1635" s="27" t="s">
        <v>11</v>
      </c>
      <c r="H1635" s="27" t="s">
        <v>3512</v>
      </c>
      <c r="I1635" s="27" t="s">
        <v>9</v>
      </c>
    </row>
    <row r="1636" spans="1:9" x14ac:dyDescent="0.3">
      <c r="A1636" s="26">
        <v>45018</v>
      </c>
      <c r="B1636" s="27" t="s">
        <v>118</v>
      </c>
      <c r="C1636" s="27" t="s">
        <v>93</v>
      </c>
      <c r="D1636" s="27" t="s">
        <v>19</v>
      </c>
      <c r="E1636" s="28">
        <v>95500</v>
      </c>
      <c r="F1636" s="28">
        <v>115000</v>
      </c>
      <c r="G1636" s="27" t="s">
        <v>11</v>
      </c>
      <c r="H1636" s="27" t="s">
        <v>4013</v>
      </c>
      <c r="I1636" s="27" t="s">
        <v>9</v>
      </c>
    </row>
    <row r="1637" spans="1:9" x14ac:dyDescent="0.3">
      <c r="A1637" s="26">
        <v>45018</v>
      </c>
      <c r="B1637" s="27" t="s">
        <v>118</v>
      </c>
      <c r="C1637" s="27" t="s">
        <v>93</v>
      </c>
      <c r="D1637" s="27" t="s">
        <v>21</v>
      </c>
      <c r="E1637" s="28">
        <v>232300</v>
      </c>
      <c r="F1637" s="28">
        <v>251100</v>
      </c>
      <c r="G1637" s="27" t="s">
        <v>22</v>
      </c>
      <c r="H1637" s="27" t="s">
        <v>4087</v>
      </c>
      <c r="I1637" s="27" t="s">
        <v>9</v>
      </c>
    </row>
    <row r="1638" spans="1:9" x14ac:dyDescent="0.3">
      <c r="A1638" s="26">
        <v>45018</v>
      </c>
      <c r="B1638" s="27" t="s">
        <v>118</v>
      </c>
      <c r="C1638" s="27" t="s">
        <v>6</v>
      </c>
      <c r="D1638" s="27" t="s">
        <v>24</v>
      </c>
      <c r="E1638" s="28">
        <v>206300</v>
      </c>
      <c r="F1638" s="28">
        <v>224000</v>
      </c>
      <c r="G1638" s="27" t="s">
        <v>17</v>
      </c>
      <c r="H1638" s="27" t="s">
        <v>4089</v>
      </c>
      <c r="I1638" s="27" t="s">
        <v>9</v>
      </c>
    </row>
    <row r="1639" spans="1:9" x14ac:dyDescent="0.3">
      <c r="A1639" s="26">
        <v>45018</v>
      </c>
      <c r="B1639" s="27" t="s">
        <v>118</v>
      </c>
      <c r="C1639" s="27" t="s">
        <v>6</v>
      </c>
      <c r="D1639" s="27" t="s">
        <v>7</v>
      </c>
      <c r="E1639" s="28">
        <v>234500</v>
      </c>
      <c r="F1639" s="28">
        <v>212300</v>
      </c>
      <c r="G1639" s="27" t="s">
        <v>22</v>
      </c>
      <c r="H1639" s="27" t="s">
        <v>4167</v>
      </c>
      <c r="I1639" s="27" t="s">
        <v>9</v>
      </c>
    </row>
    <row r="1640" spans="1:9" x14ac:dyDescent="0.3">
      <c r="A1640" s="26">
        <v>45018</v>
      </c>
      <c r="B1640" s="27" t="s">
        <v>118</v>
      </c>
      <c r="C1640" s="27" t="s">
        <v>93</v>
      </c>
      <c r="D1640" s="27" t="s">
        <v>19</v>
      </c>
      <c r="E1640" s="28">
        <v>164400</v>
      </c>
      <c r="F1640" s="28">
        <v>187100</v>
      </c>
      <c r="G1640" s="27" t="s">
        <v>22</v>
      </c>
      <c r="H1640" s="27" t="s">
        <v>4433</v>
      </c>
      <c r="I1640" s="27" t="s">
        <v>9</v>
      </c>
    </row>
    <row r="1641" spans="1:9" x14ac:dyDescent="0.3">
      <c r="A1641" s="26">
        <v>45018</v>
      </c>
      <c r="B1641" s="27" t="s">
        <v>118</v>
      </c>
      <c r="C1641" s="27" t="s">
        <v>6</v>
      </c>
      <c r="D1641" s="27" t="s">
        <v>16</v>
      </c>
      <c r="E1641" s="28">
        <v>66700</v>
      </c>
      <c r="F1641" s="28">
        <v>54300</v>
      </c>
      <c r="G1641" s="27" t="s">
        <v>11</v>
      </c>
      <c r="H1641" s="27" t="s">
        <v>4579</v>
      </c>
      <c r="I1641" s="27" t="s">
        <v>9</v>
      </c>
    </row>
    <row r="1642" spans="1:9" x14ac:dyDescent="0.3">
      <c r="A1642" s="26">
        <v>45018</v>
      </c>
      <c r="B1642" s="27" t="s">
        <v>118</v>
      </c>
      <c r="C1642" s="27" t="s">
        <v>93</v>
      </c>
      <c r="D1642" s="27" t="s">
        <v>7</v>
      </c>
      <c r="E1642" s="28">
        <v>152800</v>
      </c>
      <c r="F1642" s="28">
        <v>136100</v>
      </c>
      <c r="G1642" s="27" t="s">
        <v>22</v>
      </c>
      <c r="H1642" s="27" t="s">
        <v>4789</v>
      </c>
      <c r="I1642" s="27" t="s">
        <v>9</v>
      </c>
    </row>
    <row r="1643" spans="1:9" x14ac:dyDescent="0.3">
      <c r="A1643" s="26">
        <v>45018</v>
      </c>
      <c r="B1643" s="27" t="s">
        <v>118</v>
      </c>
      <c r="C1643" s="27" t="s">
        <v>6</v>
      </c>
      <c r="D1643" s="27" t="s">
        <v>24</v>
      </c>
      <c r="E1643" s="28">
        <v>116300</v>
      </c>
      <c r="F1643" s="28">
        <v>117800</v>
      </c>
      <c r="G1643" s="27" t="s">
        <v>22</v>
      </c>
      <c r="H1643" s="27" t="s">
        <v>5209</v>
      </c>
      <c r="I1643" s="27" t="s">
        <v>9</v>
      </c>
    </row>
    <row r="1644" spans="1:9" x14ac:dyDescent="0.3">
      <c r="A1644" s="26">
        <v>45018</v>
      </c>
      <c r="B1644" s="27" t="s">
        <v>118</v>
      </c>
      <c r="C1644" s="27" t="s">
        <v>6</v>
      </c>
      <c r="D1644" s="27" t="s">
        <v>24</v>
      </c>
      <c r="E1644" s="28">
        <v>127500</v>
      </c>
      <c r="F1644" s="28">
        <v>163800</v>
      </c>
      <c r="G1644" s="27" t="s">
        <v>22</v>
      </c>
      <c r="H1644" s="27" t="s">
        <v>5382</v>
      </c>
      <c r="I1644" s="27" t="s">
        <v>9</v>
      </c>
    </row>
    <row r="1645" spans="1:9" x14ac:dyDescent="0.3">
      <c r="A1645" s="26">
        <v>45018</v>
      </c>
      <c r="B1645" s="27" t="s">
        <v>118</v>
      </c>
      <c r="C1645" s="27" t="s">
        <v>6</v>
      </c>
      <c r="D1645" s="27" t="s">
        <v>19</v>
      </c>
      <c r="E1645" s="28">
        <v>44800</v>
      </c>
      <c r="F1645" s="28">
        <v>51800</v>
      </c>
      <c r="G1645" s="27" t="s">
        <v>11</v>
      </c>
      <c r="H1645" s="27" t="s">
        <v>5420</v>
      </c>
      <c r="I1645" s="27" t="s">
        <v>9</v>
      </c>
    </row>
    <row r="1646" spans="1:9" x14ac:dyDescent="0.3">
      <c r="A1646" s="26">
        <v>45018</v>
      </c>
      <c r="B1646" s="27" t="s">
        <v>118</v>
      </c>
      <c r="C1646" s="27" t="s">
        <v>93</v>
      </c>
      <c r="D1646" s="27" t="s">
        <v>24</v>
      </c>
      <c r="E1646" s="28">
        <v>150200</v>
      </c>
      <c r="F1646" s="28">
        <v>151100</v>
      </c>
      <c r="G1646" s="27" t="s">
        <v>11</v>
      </c>
      <c r="H1646" s="27" t="s">
        <v>5489</v>
      </c>
      <c r="I1646" s="27" t="s">
        <v>9</v>
      </c>
    </row>
    <row r="1647" spans="1:9" x14ac:dyDescent="0.3">
      <c r="A1647" s="26">
        <v>45018</v>
      </c>
      <c r="B1647" s="27" t="s">
        <v>118</v>
      </c>
      <c r="C1647" s="27" t="s">
        <v>93</v>
      </c>
      <c r="D1647" s="27" t="s">
        <v>19</v>
      </c>
      <c r="E1647" s="28">
        <v>111600</v>
      </c>
      <c r="F1647" s="28">
        <v>117300</v>
      </c>
      <c r="G1647" s="27" t="s">
        <v>11</v>
      </c>
      <c r="H1647" s="27" t="s">
        <v>5712</v>
      </c>
      <c r="I1647" s="27" t="s">
        <v>9</v>
      </c>
    </row>
    <row r="1648" spans="1:9" x14ac:dyDescent="0.3">
      <c r="A1648" s="26">
        <v>45018</v>
      </c>
      <c r="B1648" s="27" t="s">
        <v>118</v>
      </c>
      <c r="C1648" s="27" t="s">
        <v>6</v>
      </c>
      <c r="D1648" s="27" t="s">
        <v>21</v>
      </c>
      <c r="E1648" s="28">
        <v>179600</v>
      </c>
      <c r="F1648" s="28">
        <v>173500</v>
      </c>
      <c r="G1648" s="27" t="s">
        <v>11</v>
      </c>
      <c r="H1648" s="27" t="s">
        <v>5745</v>
      </c>
      <c r="I1648" s="27" t="s">
        <v>9</v>
      </c>
    </row>
    <row r="1649" spans="1:9" x14ac:dyDescent="0.3">
      <c r="A1649" s="26">
        <v>45018</v>
      </c>
      <c r="B1649" s="27" t="s">
        <v>118</v>
      </c>
      <c r="C1649" s="27" t="s">
        <v>93</v>
      </c>
      <c r="D1649" s="27" t="s">
        <v>19</v>
      </c>
      <c r="E1649" s="28">
        <v>129000</v>
      </c>
      <c r="F1649" s="28">
        <v>157500</v>
      </c>
      <c r="G1649" s="27" t="s">
        <v>22</v>
      </c>
      <c r="H1649" s="27" t="s">
        <v>6213</v>
      </c>
      <c r="I1649" s="27" t="s">
        <v>9</v>
      </c>
    </row>
    <row r="1650" spans="1:9" x14ac:dyDescent="0.3">
      <c r="A1650" s="26">
        <v>45018</v>
      </c>
      <c r="B1650" s="27" t="s">
        <v>118</v>
      </c>
      <c r="C1650" s="27" t="s">
        <v>93</v>
      </c>
      <c r="D1650" s="27" t="s">
        <v>24</v>
      </c>
      <c r="E1650" s="28">
        <v>97700</v>
      </c>
      <c r="F1650" s="28">
        <v>94700</v>
      </c>
      <c r="G1650" s="27" t="s">
        <v>11</v>
      </c>
      <c r="H1650" s="27" t="s">
        <v>6660</v>
      </c>
      <c r="I1650" s="27" t="s">
        <v>9</v>
      </c>
    </row>
    <row r="1651" spans="1:9" x14ac:dyDescent="0.3">
      <c r="A1651" s="26">
        <v>45018</v>
      </c>
      <c r="B1651" s="27" t="s">
        <v>118</v>
      </c>
      <c r="C1651" s="27" t="s">
        <v>6</v>
      </c>
      <c r="D1651" s="27" t="s">
        <v>16</v>
      </c>
      <c r="E1651" s="28">
        <v>48300</v>
      </c>
      <c r="F1651" s="28">
        <v>41100</v>
      </c>
      <c r="G1651" s="27" t="s">
        <v>11</v>
      </c>
      <c r="H1651" s="27" t="s">
        <v>6708</v>
      </c>
      <c r="I1651" s="27" t="s">
        <v>9</v>
      </c>
    </row>
    <row r="1652" spans="1:9" x14ac:dyDescent="0.3">
      <c r="A1652" s="26">
        <v>45019</v>
      </c>
      <c r="B1652" s="27" t="s">
        <v>118</v>
      </c>
      <c r="C1652" s="27" t="s">
        <v>32</v>
      </c>
      <c r="D1652" s="27" t="s">
        <v>21</v>
      </c>
      <c r="E1652" s="28">
        <v>136004</v>
      </c>
      <c r="F1652" s="28">
        <v>64662</v>
      </c>
      <c r="G1652" s="27" t="s">
        <v>11</v>
      </c>
      <c r="H1652" s="27" t="s">
        <v>172</v>
      </c>
      <c r="I1652" s="27" t="s">
        <v>13</v>
      </c>
    </row>
    <row r="1653" spans="1:9" x14ac:dyDescent="0.3">
      <c r="A1653" s="26">
        <v>45019</v>
      </c>
      <c r="B1653" s="27" t="s">
        <v>118</v>
      </c>
      <c r="C1653" s="27" t="s">
        <v>15</v>
      </c>
      <c r="D1653" s="27" t="s">
        <v>16</v>
      </c>
      <c r="E1653" s="28">
        <v>24823</v>
      </c>
      <c r="F1653" s="28">
        <v>113610</v>
      </c>
      <c r="G1653" s="27" t="s">
        <v>8</v>
      </c>
      <c r="H1653" s="27" t="s">
        <v>272</v>
      </c>
      <c r="I1653" s="27" t="s">
        <v>13</v>
      </c>
    </row>
    <row r="1654" spans="1:9" x14ac:dyDescent="0.3">
      <c r="A1654" s="26">
        <v>45019</v>
      </c>
      <c r="B1654" s="27" t="s">
        <v>118</v>
      </c>
      <c r="C1654" s="27" t="s">
        <v>15</v>
      </c>
      <c r="D1654" s="27" t="s">
        <v>19</v>
      </c>
      <c r="E1654" s="28">
        <v>110185</v>
      </c>
      <c r="F1654" s="28">
        <v>112353</v>
      </c>
      <c r="G1654" s="27" t="s">
        <v>22</v>
      </c>
      <c r="H1654" s="27" t="s">
        <v>322</v>
      </c>
      <c r="I1654" s="27" t="s">
        <v>13</v>
      </c>
    </row>
    <row r="1655" spans="1:9" x14ac:dyDescent="0.3">
      <c r="A1655" s="26">
        <v>45019</v>
      </c>
      <c r="B1655" s="27" t="s">
        <v>118</v>
      </c>
      <c r="C1655" s="27" t="s">
        <v>20</v>
      </c>
      <c r="D1655" s="27" t="s">
        <v>7</v>
      </c>
      <c r="E1655" s="28">
        <v>147480</v>
      </c>
      <c r="F1655" s="28">
        <v>135117</v>
      </c>
      <c r="G1655" s="27" t="s">
        <v>17</v>
      </c>
      <c r="H1655" s="27" t="s">
        <v>411</v>
      </c>
      <c r="I1655" s="27" t="s">
        <v>13</v>
      </c>
    </row>
    <row r="1656" spans="1:9" x14ac:dyDescent="0.3">
      <c r="A1656" s="26">
        <v>45019</v>
      </c>
      <c r="B1656" s="27" t="s">
        <v>118</v>
      </c>
      <c r="C1656" s="27" t="s">
        <v>32</v>
      </c>
      <c r="D1656" s="27" t="s">
        <v>7</v>
      </c>
      <c r="E1656" s="28">
        <v>125672</v>
      </c>
      <c r="F1656" s="28">
        <v>146549</v>
      </c>
      <c r="G1656" s="27" t="s">
        <v>8</v>
      </c>
      <c r="H1656" s="27" t="s">
        <v>1198</v>
      </c>
      <c r="I1656" s="27" t="s">
        <v>13</v>
      </c>
    </row>
    <row r="1657" spans="1:9" x14ac:dyDescent="0.3">
      <c r="A1657" s="26">
        <v>45019</v>
      </c>
      <c r="B1657" s="27" t="s">
        <v>118</v>
      </c>
      <c r="C1657" s="27" t="s">
        <v>20</v>
      </c>
      <c r="D1657" s="27" t="s">
        <v>24</v>
      </c>
      <c r="E1657" s="28">
        <v>100334</v>
      </c>
      <c r="F1657" s="28">
        <v>28099</v>
      </c>
      <c r="G1657" s="27" t="s">
        <v>8</v>
      </c>
      <c r="H1657" s="27" t="s">
        <v>2089</v>
      </c>
      <c r="I1657" s="27" t="s">
        <v>13</v>
      </c>
    </row>
    <row r="1658" spans="1:9" x14ac:dyDescent="0.3">
      <c r="A1658" s="26">
        <v>45019</v>
      </c>
      <c r="B1658" s="27" t="s">
        <v>118</v>
      </c>
      <c r="C1658" s="27" t="s">
        <v>15</v>
      </c>
      <c r="D1658" s="27" t="s">
        <v>7</v>
      </c>
      <c r="E1658" s="28">
        <v>60539</v>
      </c>
      <c r="F1658" s="28">
        <v>157365</v>
      </c>
      <c r="G1658" s="27" t="s">
        <v>22</v>
      </c>
      <c r="H1658" s="27" t="s">
        <v>2398</v>
      </c>
      <c r="I1658" s="27" t="s">
        <v>13</v>
      </c>
    </row>
    <row r="1659" spans="1:9" x14ac:dyDescent="0.3">
      <c r="A1659" s="26">
        <v>45019</v>
      </c>
      <c r="B1659" s="27" t="s">
        <v>118</v>
      </c>
      <c r="C1659" s="27" t="s">
        <v>18</v>
      </c>
      <c r="D1659" s="27" t="s">
        <v>16</v>
      </c>
      <c r="E1659" s="28">
        <v>94428</v>
      </c>
      <c r="F1659" s="28">
        <v>128827</v>
      </c>
      <c r="G1659" s="27" t="s">
        <v>22</v>
      </c>
      <c r="H1659" s="27" t="s">
        <v>2995</v>
      </c>
      <c r="I1659" s="27" t="s">
        <v>13</v>
      </c>
    </row>
    <row r="1660" spans="1:9" x14ac:dyDescent="0.3">
      <c r="A1660" s="26">
        <v>45019</v>
      </c>
      <c r="B1660" s="27" t="s">
        <v>118</v>
      </c>
      <c r="C1660" s="27" t="s">
        <v>6</v>
      </c>
      <c r="D1660" s="27" t="s">
        <v>21</v>
      </c>
      <c r="E1660" s="28">
        <v>89900</v>
      </c>
      <c r="F1660" s="28">
        <v>126200</v>
      </c>
      <c r="G1660" s="27" t="s">
        <v>17</v>
      </c>
      <c r="H1660" s="27" t="s">
        <v>3553</v>
      </c>
      <c r="I1660" s="27" t="s">
        <v>9</v>
      </c>
    </row>
    <row r="1661" spans="1:9" x14ac:dyDescent="0.3">
      <c r="A1661" s="26">
        <v>45019</v>
      </c>
      <c r="B1661" s="27" t="s">
        <v>118</v>
      </c>
      <c r="C1661" s="27" t="s">
        <v>93</v>
      </c>
      <c r="D1661" s="27" t="s">
        <v>16</v>
      </c>
      <c r="E1661" s="28">
        <v>308000</v>
      </c>
      <c r="F1661" s="28">
        <v>258300</v>
      </c>
      <c r="G1661" s="27" t="s">
        <v>11</v>
      </c>
      <c r="H1661" s="27" t="s">
        <v>3653</v>
      </c>
      <c r="I1661" s="27" t="s">
        <v>9</v>
      </c>
    </row>
    <row r="1662" spans="1:9" x14ac:dyDescent="0.3">
      <c r="A1662" s="26">
        <v>45019</v>
      </c>
      <c r="B1662" s="27" t="s">
        <v>118</v>
      </c>
      <c r="C1662" s="27" t="s">
        <v>93</v>
      </c>
      <c r="D1662" s="27" t="s">
        <v>19</v>
      </c>
      <c r="E1662" s="28">
        <v>105700</v>
      </c>
      <c r="F1662" s="28">
        <v>85700</v>
      </c>
      <c r="G1662" s="27" t="s">
        <v>11</v>
      </c>
      <c r="H1662" s="27" t="s">
        <v>3703</v>
      </c>
      <c r="I1662" s="27" t="s">
        <v>9</v>
      </c>
    </row>
    <row r="1663" spans="1:9" x14ac:dyDescent="0.3">
      <c r="A1663" s="26">
        <v>45019</v>
      </c>
      <c r="B1663" s="27" t="s">
        <v>118</v>
      </c>
      <c r="C1663" s="27" t="s">
        <v>6</v>
      </c>
      <c r="D1663" s="27" t="s">
        <v>7</v>
      </c>
      <c r="E1663" s="28">
        <v>237100</v>
      </c>
      <c r="F1663" s="28">
        <v>250800</v>
      </c>
      <c r="G1663" s="27" t="s">
        <v>11</v>
      </c>
      <c r="H1663" s="27" t="s">
        <v>3792</v>
      </c>
      <c r="I1663" s="27" t="s">
        <v>9</v>
      </c>
    </row>
    <row r="1664" spans="1:9" x14ac:dyDescent="0.3">
      <c r="A1664" s="26">
        <v>45019</v>
      </c>
      <c r="B1664" s="27" t="s">
        <v>118</v>
      </c>
      <c r="C1664" s="27" t="s">
        <v>93</v>
      </c>
      <c r="D1664" s="27" t="s">
        <v>7</v>
      </c>
      <c r="E1664" s="28">
        <v>86100</v>
      </c>
      <c r="F1664" s="28">
        <v>118500</v>
      </c>
      <c r="G1664" s="27" t="s">
        <v>11</v>
      </c>
      <c r="H1664" s="27" t="s">
        <v>4581</v>
      </c>
      <c r="I1664" s="27" t="s">
        <v>9</v>
      </c>
    </row>
    <row r="1665" spans="1:9" x14ac:dyDescent="0.3">
      <c r="A1665" s="26">
        <v>45019</v>
      </c>
      <c r="B1665" s="27" t="s">
        <v>118</v>
      </c>
      <c r="C1665" s="27" t="s">
        <v>6</v>
      </c>
      <c r="D1665" s="27" t="s">
        <v>24</v>
      </c>
      <c r="E1665" s="28">
        <v>90000</v>
      </c>
      <c r="F1665" s="28">
        <v>106100</v>
      </c>
      <c r="G1665" s="27" t="s">
        <v>11</v>
      </c>
      <c r="H1665" s="27" t="s">
        <v>5473</v>
      </c>
      <c r="I1665" s="27" t="s">
        <v>9</v>
      </c>
    </row>
    <row r="1666" spans="1:9" x14ac:dyDescent="0.3">
      <c r="A1666" s="26">
        <v>45019</v>
      </c>
      <c r="B1666" s="27" t="s">
        <v>118</v>
      </c>
      <c r="C1666" s="27" t="s">
        <v>93</v>
      </c>
      <c r="D1666" s="27" t="s">
        <v>7</v>
      </c>
      <c r="E1666" s="28">
        <v>65200</v>
      </c>
      <c r="F1666" s="28">
        <v>59800</v>
      </c>
      <c r="G1666" s="27" t="s">
        <v>11</v>
      </c>
      <c r="H1666" s="27" t="s">
        <v>5783</v>
      </c>
      <c r="I1666" s="27" t="s">
        <v>9</v>
      </c>
    </row>
    <row r="1667" spans="1:9" x14ac:dyDescent="0.3">
      <c r="A1667" s="26">
        <v>45019</v>
      </c>
      <c r="B1667" s="27" t="s">
        <v>118</v>
      </c>
      <c r="C1667" s="27" t="s">
        <v>6</v>
      </c>
      <c r="D1667" s="27" t="s">
        <v>16</v>
      </c>
      <c r="E1667" s="28">
        <v>94600</v>
      </c>
      <c r="F1667" s="28">
        <v>106900</v>
      </c>
      <c r="G1667" s="27" t="s">
        <v>22</v>
      </c>
      <c r="H1667" s="27" t="s">
        <v>6380</v>
      </c>
      <c r="I1667" s="27" t="s">
        <v>9</v>
      </c>
    </row>
    <row r="1668" spans="1:9" x14ac:dyDescent="0.3">
      <c r="A1668" s="26">
        <v>45020</v>
      </c>
      <c r="B1668" s="27" t="s">
        <v>118</v>
      </c>
      <c r="C1668" s="27" t="s">
        <v>15</v>
      </c>
      <c r="D1668" s="27" t="s">
        <v>19</v>
      </c>
      <c r="E1668" s="28">
        <v>94070</v>
      </c>
      <c r="F1668" s="28">
        <v>96024</v>
      </c>
      <c r="G1668" s="27" t="s">
        <v>11</v>
      </c>
      <c r="H1668" s="27" t="s">
        <v>240</v>
      </c>
      <c r="I1668" s="27" t="s">
        <v>13</v>
      </c>
    </row>
    <row r="1669" spans="1:9" x14ac:dyDescent="0.3">
      <c r="A1669" s="26">
        <v>45020</v>
      </c>
      <c r="B1669" s="27" t="s">
        <v>118</v>
      </c>
      <c r="C1669" s="27" t="s">
        <v>10</v>
      </c>
      <c r="D1669" s="27" t="s">
        <v>19</v>
      </c>
      <c r="E1669" s="28">
        <v>111856</v>
      </c>
      <c r="F1669" s="28">
        <v>142328</v>
      </c>
      <c r="G1669" s="27" t="s">
        <v>11</v>
      </c>
      <c r="H1669" s="27" t="s">
        <v>263</v>
      </c>
      <c r="I1669" s="27" t="s">
        <v>13</v>
      </c>
    </row>
    <row r="1670" spans="1:9" x14ac:dyDescent="0.3">
      <c r="A1670" s="26">
        <v>45020</v>
      </c>
      <c r="B1670" s="27" t="s">
        <v>118</v>
      </c>
      <c r="C1670" s="27" t="s">
        <v>18</v>
      </c>
      <c r="D1670" s="27" t="s">
        <v>16</v>
      </c>
      <c r="E1670" s="28">
        <v>26781</v>
      </c>
      <c r="F1670" s="28">
        <v>139663</v>
      </c>
      <c r="G1670" s="27" t="s">
        <v>11</v>
      </c>
      <c r="H1670" s="27" t="s">
        <v>2341</v>
      </c>
      <c r="I1670" s="27" t="s">
        <v>13</v>
      </c>
    </row>
    <row r="1671" spans="1:9" x14ac:dyDescent="0.3">
      <c r="A1671" s="26">
        <v>45020</v>
      </c>
      <c r="B1671" s="27" t="s">
        <v>118</v>
      </c>
      <c r="C1671" s="27" t="s">
        <v>20</v>
      </c>
      <c r="D1671" s="27" t="s">
        <v>19</v>
      </c>
      <c r="E1671" s="28">
        <v>93399</v>
      </c>
      <c r="F1671" s="28">
        <v>32821</v>
      </c>
      <c r="G1671" s="27" t="s">
        <v>11</v>
      </c>
      <c r="H1671" s="27" t="s">
        <v>2383</v>
      </c>
      <c r="I1671" s="27" t="s">
        <v>13</v>
      </c>
    </row>
    <row r="1672" spans="1:9" x14ac:dyDescent="0.3">
      <c r="A1672" s="26">
        <v>45020</v>
      </c>
      <c r="B1672" s="27" t="s">
        <v>118</v>
      </c>
      <c r="C1672" s="27" t="s">
        <v>15</v>
      </c>
      <c r="D1672" s="27" t="s">
        <v>7</v>
      </c>
      <c r="E1672" s="28">
        <v>88978</v>
      </c>
      <c r="F1672" s="28">
        <v>72317</v>
      </c>
      <c r="G1672" s="27" t="s">
        <v>11</v>
      </c>
      <c r="H1672" s="27" t="s">
        <v>2999</v>
      </c>
      <c r="I1672" s="27" t="s">
        <v>13</v>
      </c>
    </row>
    <row r="1673" spans="1:9" x14ac:dyDescent="0.3">
      <c r="A1673" s="26">
        <v>45020</v>
      </c>
      <c r="B1673" s="27" t="s">
        <v>118</v>
      </c>
      <c r="C1673" s="27" t="s">
        <v>18</v>
      </c>
      <c r="D1673" s="27" t="s">
        <v>21</v>
      </c>
      <c r="E1673" s="28">
        <v>80265</v>
      </c>
      <c r="F1673" s="28">
        <v>144441</v>
      </c>
      <c r="G1673" s="27" t="s">
        <v>8</v>
      </c>
      <c r="H1673" s="27" t="s">
        <v>3249</v>
      </c>
      <c r="I1673" s="27" t="s">
        <v>13</v>
      </c>
    </row>
    <row r="1674" spans="1:9" x14ac:dyDescent="0.3">
      <c r="A1674" s="26">
        <v>45020</v>
      </c>
      <c r="B1674" s="27" t="s">
        <v>118</v>
      </c>
      <c r="C1674" s="27" t="s">
        <v>14</v>
      </c>
      <c r="D1674" s="27" t="s">
        <v>21</v>
      </c>
      <c r="E1674" s="28">
        <v>41572</v>
      </c>
      <c r="F1674" s="28">
        <v>77100</v>
      </c>
      <c r="G1674" s="27" t="s">
        <v>17</v>
      </c>
      <c r="H1674" s="27" t="s">
        <v>3374</v>
      </c>
      <c r="I1674" s="27" t="s">
        <v>13</v>
      </c>
    </row>
    <row r="1675" spans="1:9" x14ac:dyDescent="0.3">
      <c r="A1675" s="26">
        <v>45020</v>
      </c>
      <c r="B1675" s="27" t="s">
        <v>118</v>
      </c>
      <c r="C1675" s="27" t="s">
        <v>14</v>
      </c>
      <c r="D1675" s="27" t="s">
        <v>19</v>
      </c>
      <c r="E1675" s="28">
        <v>27025</v>
      </c>
      <c r="F1675" s="28">
        <v>48529</v>
      </c>
      <c r="G1675" s="27" t="s">
        <v>22</v>
      </c>
      <c r="H1675" s="27"/>
      <c r="I1675" s="27" t="s">
        <v>13</v>
      </c>
    </row>
    <row r="1676" spans="1:9" x14ac:dyDescent="0.3">
      <c r="A1676" s="26">
        <v>45020</v>
      </c>
      <c r="B1676" s="27" t="s">
        <v>118</v>
      </c>
      <c r="C1676" s="27" t="s">
        <v>6</v>
      </c>
      <c r="D1676" s="27" t="s">
        <v>19</v>
      </c>
      <c r="E1676" s="28">
        <v>157200</v>
      </c>
      <c r="F1676" s="28">
        <v>173200</v>
      </c>
      <c r="G1676" s="27" t="s">
        <v>11</v>
      </c>
      <c r="H1676" s="27" t="s">
        <v>3621</v>
      </c>
      <c r="I1676" s="27" t="s">
        <v>9</v>
      </c>
    </row>
    <row r="1677" spans="1:9" x14ac:dyDescent="0.3">
      <c r="A1677" s="26">
        <v>45020</v>
      </c>
      <c r="B1677" s="27" t="s">
        <v>118</v>
      </c>
      <c r="C1677" s="27" t="s">
        <v>6</v>
      </c>
      <c r="D1677" s="27" t="s">
        <v>19</v>
      </c>
      <c r="E1677" s="28">
        <v>73200</v>
      </c>
      <c r="F1677" s="28">
        <v>87900</v>
      </c>
      <c r="G1677" s="27" t="s">
        <v>17</v>
      </c>
      <c r="H1677" s="27" t="s">
        <v>3644</v>
      </c>
      <c r="I1677" s="27" t="s">
        <v>9</v>
      </c>
    </row>
    <row r="1678" spans="1:9" x14ac:dyDescent="0.3">
      <c r="A1678" s="26">
        <v>45020</v>
      </c>
      <c r="B1678" s="27" t="s">
        <v>118</v>
      </c>
      <c r="C1678" s="27" t="s">
        <v>6</v>
      </c>
      <c r="D1678" s="27" t="s">
        <v>19</v>
      </c>
      <c r="E1678" s="28">
        <v>111900</v>
      </c>
      <c r="F1678" s="28">
        <v>121400</v>
      </c>
      <c r="G1678" s="27" t="s">
        <v>11</v>
      </c>
      <c r="H1678" s="27" t="s">
        <v>4484</v>
      </c>
      <c r="I1678" s="27" t="s">
        <v>9</v>
      </c>
    </row>
    <row r="1679" spans="1:9" x14ac:dyDescent="0.3">
      <c r="A1679" s="26">
        <v>45020</v>
      </c>
      <c r="B1679" s="27" t="s">
        <v>118</v>
      </c>
      <c r="C1679" s="27" t="s">
        <v>93</v>
      </c>
      <c r="D1679" s="27" t="s">
        <v>16</v>
      </c>
      <c r="E1679" s="28">
        <v>196000</v>
      </c>
      <c r="F1679" s="28">
        <v>257100</v>
      </c>
      <c r="G1679" s="27" t="s">
        <v>11</v>
      </c>
      <c r="H1679" s="27" t="s">
        <v>5726</v>
      </c>
      <c r="I1679" s="27" t="s">
        <v>9</v>
      </c>
    </row>
    <row r="1680" spans="1:9" x14ac:dyDescent="0.3">
      <c r="A1680" s="26">
        <v>45020</v>
      </c>
      <c r="B1680" s="27" t="s">
        <v>118</v>
      </c>
      <c r="C1680" s="27" t="s">
        <v>6</v>
      </c>
      <c r="D1680" s="27" t="s">
        <v>19</v>
      </c>
      <c r="E1680" s="28">
        <v>202900</v>
      </c>
      <c r="F1680" s="28">
        <v>183200</v>
      </c>
      <c r="G1680" s="27" t="s">
        <v>11</v>
      </c>
      <c r="H1680" s="27" t="s">
        <v>5768</v>
      </c>
      <c r="I1680" s="27" t="s">
        <v>9</v>
      </c>
    </row>
    <row r="1681" spans="1:9" x14ac:dyDescent="0.3">
      <c r="A1681" s="26">
        <v>45020</v>
      </c>
      <c r="B1681" s="27" t="s">
        <v>118</v>
      </c>
      <c r="C1681" s="27" t="s">
        <v>6</v>
      </c>
      <c r="D1681" s="27" t="s">
        <v>7</v>
      </c>
      <c r="E1681" s="28">
        <v>94600</v>
      </c>
      <c r="F1681" s="28">
        <v>93800</v>
      </c>
      <c r="G1681" s="27" t="s">
        <v>22</v>
      </c>
      <c r="H1681" s="27" t="s">
        <v>6384</v>
      </c>
      <c r="I1681" s="27" t="s">
        <v>9</v>
      </c>
    </row>
    <row r="1682" spans="1:9" x14ac:dyDescent="0.3">
      <c r="A1682" s="26">
        <v>45020</v>
      </c>
      <c r="B1682" s="27" t="s">
        <v>118</v>
      </c>
      <c r="C1682" s="27" t="s">
        <v>6</v>
      </c>
      <c r="D1682" s="27" t="s">
        <v>21</v>
      </c>
      <c r="E1682" s="28">
        <v>52300</v>
      </c>
      <c r="F1682" s="28">
        <v>63900</v>
      </c>
      <c r="G1682" s="27" t="s">
        <v>11</v>
      </c>
      <c r="H1682" s="27" t="s">
        <v>6634</v>
      </c>
      <c r="I1682" s="27" t="s">
        <v>9</v>
      </c>
    </row>
    <row r="1683" spans="1:9" x14ac:dyDescent="0.3">
      <c r="A1683" s="26">
        <v>45020</v>
      </c>
      <c r="B1683" s="27" t="s">
        <v>118</v>
      </c>
      <c r="C1683" s="27" t="s">
        <v>6</v>
      </c>
      <c r="D1683" s="27" t="s">
        <v>21</v>
      </c>
      <c r="E1683" s="28">
        <v>115000</v>
      </c>
      <c r="F1683" s="28">
        <v>122100</v>
      </c>
      <c r="G1683" s="27" t="s">
        <v>11</v>
      </c>
      <c r="H1683" s="27" t="s">
        <v>6759</v>
      </c>
      <c r="I1683" s="27" t="s">
        <v>9</v>
      </c>
    </row>
    <row r="1684" spans="1:9" x14ac:dyDescent="0.3">
      <c r="A1684" s="26">
        <v>45021</v>
      </c>
      <c r="B1684" s="27" t="s">
        <v>118</v>
      </c>
      <c r="C1684" s="27" t="s">
        <v>14</v>
      </c>
      <c r="D1684" s="27" t="s">
        <v>7</v>
      </c>
      <c r="E1684" s="28">
        <v>116246</v>
      </c>
      <c r="F1684" s="28">
        <v>76870</v>
      </c>
      <c r="G1684" s="27" t="s">
        <v>17</v>
      </c>
      <c r="H1684" s="27" t="s">
        <v>376</v>
      </c>
      <c r="I1684" s="27" t="s">
        <v>13</v>
      </c>
    </row>
    <row r="1685" spans="1:9" x14ac:dyDescent="0.3">
      <c r="A1685" s="26">
        <v>45021</v>
      </c>
      <c r="B1685" s="27" t="s">
        <v>118</v>
      </c>
      <c r="C1685" s="27" t="s">
        <v>20</v>
      </c>
      <c r="D1685" s="27" t="s">
        <v>16</v>
      </c>
      <c r="E1685" s="28">
        <v>95464</v>
      </c>
      <c r="F1685" s="28">
        <v>140534</v>
      </c>
      <c r="G1685" s="27" t="s">
        <v>17</v>
      </c>
      <c r="H1685" s="27" t="s">
        <v>484</v>
      </c>
      <c r="I1685" s="27" t="s">
        <v>13</v>
      </c>
    </row>
    <row r="1686" spans="1:9" x14ac:dyDescent="0.3">
      <c r="A1686" s="26">
        <v>45021</v>
      </c>
      <c r="B1686" s="27" t="s">
        <v>118</v>
      </c>
      <c r="C1686" s="27" t="s">
        <v>32</v>
      </c>
      <c r="D1686" s="27" t="s">
        <v>24</v>
      </c>
      <c r="E1686" s="28">
        <v>48222</v>
      </c>
      <c r="F1686" s="28">
        <v>18043</v>
      </c>
      <c r="G1686" s="27" t="s">
        <v>22</v>
      </c>
      <c r="H1686" s="27" t="s">
        <v>1112</v>
      </c>
      <c r="I1686" s="27" t="s">
        <v>13</v>
      </c>
    </row>
    <row r="1687" spans="1:9" x14ac:dyDescent="0.3">
      <c r="A1687" s="26">
        <v>45021</v>
      </c>
      <c r="B1687" s="27" t="s">
        <v>118</v>
      </c>
      <c r="C1687" s="27" t="s">
        <v>18</v>
      </c>
      <c r="D1687" s="27" t="s">
        <v>7</v>
      </c>
      <c r="E1687" s="28">
        <v>31149</v>
      </c>
      <c r="F1687" s="28">
        <v>32401</v>
      </c>
      <c r="G1687" s="27" t="s">
        <v>11</v>
      </c>
      <c r="H1687" s="27" t="s">
        <v>1217</v>
      </c>
      <c r="I1687" s="27" t="s">
        <v>13</v>
      </c>
    </row>
    <row r="1688" spans="1:9" x14ac:dyDescent="0.3">
      <c r="A1688" s="26">
        <v>45021</v>
      </c>
      <c r="B1688" s="27" t="s">
        <v>118</v>
      </c>
      <c r="C1688" s="27" t="s">
        <v>20</v>
      </c>
      <c r="D1688" s="27" t="s">
        <v>16</v>
      </c>
      <c r="E1688" s="28">
        <v>81875</v>
      </c>
      <c r="F1688" s="28">
        <v>11966</v>
      </c>
      <c r="G1688" s="27" t="s">
        <v>11</v>
      </c>
      <c r="H1688" s="27" t="s">
        <v>1246</v>
      </c>
      <c r="I1688" s="27" t="s">
        <v>13</v>
      </c>
    </row>
    <row r="1689" spans="1:9" x14ac:dyDescent="0.3">
      <c r="A1689" s="26">
        <v>45021</v>
      </c>
      <c r="B1689" s="27" t="s">
        <v>118</v>
      </c>
      <c r="C1689" s="27" t="s">
        <v>10</v>
      </c>
      <c r="D1689" s="27" t="s">
        <v>19</v>
      </c>
      <c r="E1689" s="28">
        <v>60460</v>
      </c>
      <c r="F1689" s="28">
        <v>123933</v>
      </c>
      <c r="G1689" s="27" t="s">
        <v>22</v>
      </c>
      <c r="H1689" s="27" t="s">
        <v>1333</v>
      </c>
      <c r="I1689" s="27" t="s">
        <v>13</v>
      </c>
    </row>
    <row r="1690" spans="1:9" x14ac:dyDescent="0.3">
      <c r="A1690" s="26">
        <v>45021</v>
      </c>
      <c r="B1690" s="27" t="s">
        <v>118</v>
      </c>
      <c r="C1690" s="27" t="s">
        <v>18</v>
      </c>
      <c r="D1690" s="27" t="s">
        <v>16</v>
      </c>
      <c r="E1690" s="28">
        <v>87453</v>
      </c>
      <c r="F1690" s="28">
        <v>13253</v>
      </c>
      <c r="G1690" s="27" t="s">
        <v>22</v>
      </c>
      <c r="H1690" s="27" t="s">
        <v>1353</v>
      </c>
      <c r="I1690" s="27" t="s">
        <v>13</v>
      </c>
    </row>
    <row r="1691" spans="1:9" x14ac:dyDescent="0.3">
      <c r="A1691" s="26">
        <v>45021</v>
      </c>
      <c r="B1691" s="27" t="s">
        <v>118</v>
      </c>
      <c r="C1691" s="27" t="s">
        <v>14</v>
      </c>
      <c r="D1691" s="27" t="s">
        <v>7</v>
      </c>
      <c r="E1691" s="28">
        <v>12792</v>
      </c>
      <c r="F1691" s="28">
        <v>154513</v>
      </c>
      <c r="G1691" s="27" t="s">
        <v>8</v>
      </c>
      <c r="H1691" s="27" t="s">
        <v>1804</v>
      </c>
      <c r="I1691" s="27" t="s">
        <v>13</v>
      </c>
    </row>
    <row r="1692" spans="1:9" x14ac:dyDescent="0.3">
      <c r="A1692" s="26">
        <v>45021</v>
      </c>
      <c r="B1692" s="27" t="s">
        <v>118</v>
      </c>
      <c r="C1692" s="27" t="s">
        <v>20</v>
      </c>
      <c r="D1692" s="27" t="s">
        <v>24</v>
      </c>
      <c r="E1692" s="28">
        <v>22128</v>
      </c>
      <c r="F1692" s="28">
        <v>150641</v>
      </c>
      <c r="G1692" s="27" t="s">
        <v>11</v>
      </c>
      <c r="H1692" s="27" t="s">
        <v>1880</v>
      </c>
      <c r="I1692" s="27" t="s">
        <v>13</v>
      </c>
    </row>
    <row r="1693" spans="1:9" x14ac:dyDescent="0.3">
      <c r="A1693" s="26">
        <v>45021</v>
      </c>
      <c r="B1693" s="27" t="s">
        <v>118</v>
      </c>
      <c r="C1693" s="27" t="s">
        <v>20</v>
      </c>
      <c r="D1693" s="27" t="s">
        <v>16</v>
      </c>
      <c r="E1693" s="28">
        <v>84931</v>
      </c>
      <c r="F1693" s="28">
        <v>56260</v>
      </c>
      <c r="G1693" s="27" t="s">
        <v>22</v>
      </c>
      <c r="H1693" s="27" t="s">
        <v>2143</v>
      </c>
      <c r="I1693" s="27" t="s">
        <v>13</v>
      </c>
    </row>
    <row r="1694" spans="1:9" x14ac:dyDescent="0.3">
      <c r="A1694" s="26">
        <v>45021</v>
      </c>
      <c r="B1694" s="27" t="s">
        <v>118</v>
      </c>
      <c r="C1694" s="27" t="s">
        <v>15</v>
      </c>
      <c r="D1694" s="27" t="s">
        <v>24</v>
      </c>
      <c r="E1694" s="28">
        <v>119752</v>
      </c>
      <c r="F1694" s="28">
        <v>65187</v>
      </c>
      <c r="G1694" s="27" t="s">
        <v>11</v>
      </c>
      <c r="H1694" s="27" t="s">
        <v>2210</v>
      </c>
      <c r="I1694" s="27" t="s">
        <v>13</v>
      </c>
    </row>
    <row r="1695" spans="1:9" x14ac:dyDescent="0.3">
      <c r="A1695" s="26">
        <v>45021</v>
      </c>
      <c r="B1695" s="27" t="s">
        <v>118</v>
      </c>
      <c r="C1695" s="27" t="s">
        <v>32</v>
      </c>
      <c r="D1695" s="27" t="s">
        <v>24</v>
      </c>
      <c r="E1695" s="28">
        <v>19899</v>
      </c>
      <c r="F1695" s="28">
        <v>49915</v>
      </c>
      <c r="G1695" s="27" t="s">
        <v>17</v>
      </c>
      <c r="H1695" s="27" t="s">
        <v>2334</v>
      </c>
      <c r="I1695" s="27" t="s">
        <v>13</v>
      </c>
    </row>
    <row r="1696" spans="1:9" x14ac:dyDescent="0.3">
      <c r="A1696" s="26">
        <v>45021</v>
      </c>
      <c r="B1696" s="27" t="s">
        <v>118</v>
      </c>
      <c r="C1696" s="27" t="s">
        <v>20</v>
      </c>
      <c r="D1696" s="27" t="s">
        <v>19</v>
      </c>
      <c r="E1696" s="28">
        <v>107520</v>
      </c>
      <c r="F1696" s="28">
        <v>98978</v>
      </c>
      <c r="G1696" s="27" t="s">
        <v>8</v>
      </c>
      <c r="H1696" s="27" t="s">
        <v>2569</v>
      </c>
      <c r="I1696" s="27" t="s">
        <v>13</v>
      </c>
    </row>
    <row r="1697" spans="1:9" x14ac:dyDescent="0.3">
      <c r="A1697" s="26">
        <v>45021</v>
      </c>
      <c r="B1697" s="27" t="s">
        <v>118</v>
      </c>
      <c r="C1697" s="27" t="s">
        <v>20</v>
      </c>
      <c r="D1697" s="27" t="s">
        <v>21</v>
      </c>
      <c r="E1697" s="28">
        <v>128600</v>
      </c>
      <c r="F1697" s="28">
        <v>10055</v>
      </c>
      <c r="G1697" s="27" t="s">
        <v>17</v>
      </c>
      <c r="H1697" s="27" t="s">
        <v>2651</v>
      </c>
      <c r="I1697" s="27" t="s">
        <v>13</v>
      </c>
    </row>
    <row r="1698" spans="1:9" x14ac:dyDescent="0.3">
      <c r="A1698" s="26">
        <v>45021</v>
      </c>
      <c r="B1698" s="27" t="s">
        <v>118</v>
      </c>
      <c r="C1698" s="27" t="s">
        <v>6</v>
      </c>
      <c r="D1698" s="27" t="s">
        <v>7</v>
      </c>
      <c r="E1698" s="28">
        <v>65300</v>
      </c>
      <c r="F1698" s="28">
        <v>57100</v>
      </c>
      <c r="G1698" s="27" t="s">
        <v>11</v>
      </c>
      <c r="H1698" s="27" t="s">
        <v>3757</v>
      </c>
      <c r="I1698" s="27" t="s">
        <v>9</v>
      </c>
    </row>
    <row r="1699" spans="1:9" x14ac:dyDescent="0.3">
      <c r="A1699" s="26">
        <v>45021</v>
      </c>
      <c r="B1699" s="27" t="s">
        <v>118</v>
      </c>
      <c r="C1699" s="27" t="s">
        <v>6</v>
      </c>
      <c r="D1699" s="27" t="s">
        <v>16</v>
      </c>
      <c r="E1699" s="28">
        <v>94800</v>
      </c>
      <c r="F1699" s="28">
        <v>81300</v>
      </c>
      <c r="G1699" s="27" t="s">
        <v>22</v>
      </c>
      <c r="H1699" s="27" t="s">
        <v>3865</v>
      </c>
      <c r="I1699" s="27" t="s">
        <v>9</v>
      </c>
    </row>
    <row r="1700" spans="1:9" x14ac:dyDescent="0.3">
      <c r="A1700" s="26">
        <v>45021</v>
      </c>
      <c r="B1700" s="27" t="s">
        <v>118</v>
      </c>
      <c r="C1700" s="27" t="s">
        <v>93</v>
      </c>
      <c r="D1700" s="27" t="s">
        <v>24</v>
      </c>
      <c r="E1700" s="28">
        <v>91600</v>
      </c>
      <c r="F1700" s="28">
        <v>97200</v>
      </c>
      <c r="G1700" s="27" t="s">
        <v>11</v>
      </c>
      <c r="H1700" s="27" t="s">
        <v>4495</v>
      </c>
      <c r="I1700" s="27" t="s">
        <v>9</v>
      </c>
    </row>
    <row r="1701" spans="1:9" x14ac:dyDescent="0.3">
      <c r="A1701" s="26">
        <v>45021</v>
      </c>
      <c r="B1701" s="27" t="s">
        <v>118</v>
      </c>
      <c r="C1701" s="27" t="s">
        <v>93</v>
      </c>
      <c r="D1701" s="27" t="s">
        <v>7</v>
      </c>
      <c r="E1701" s="28">
        <v>112100</v>
      </c>
      <c r="F1701" s="28">
        <v>108400</v>
      </c>
      <c r="G1701" s="27" t="s">
        <v>11</v>
      </c>
      <c r="H1701" s="27" t="s">
        <v>4600</v>
      </c>
      <c r="I1701" s="27" t="s">
        <v>9</v>
      </c>
    </row>
    <row r="1702" spans="1:9" x14ac:dyDescent="0.3">
      <c r="A1702" s="26">
        <v>45021</v>
      </c>
      <c r="B1702" s="27" t="s">
        <v>118</v>
      </c>
      <c r="C1702" s="27" t="s">
        <v>6</v>
      </c>
      <c r="D1702" s="27" t="s">
        <v>16</v>
      </c>
      <c r="E1702" s="28">
        <v>210800</v>
      </c>
      <c r="F1702" s="28">
        <v>236800</v>
      </c>
      <c r="G1702" s="27" t="s">
        <v>11</v>
      </c>
      <c r="H1702" s="27" t="s">
        <v>4629</v>
      </c>
      <c r="I1702" s="27" t="s">
        <v>9</v>
      </c>
    </row>
    <row r="1703" spans="1:9" x14ac:dyDescent="0.3">
      <c r="A1703" s="26">
        <v>45021</v>
      </c>
      <c r="B1703" s="27" t="s">
        <v>118</v>
      </c>
      <c r="C1703" s="27" t="s">
        <v>6</v>
      </c>
      <c r="D1703" s="27" t="s">
        <v>19</v>
      </c>
      <c r="E1703" s="28">
        <v>61900</v>
      </c>
      <c r="F1703" s="28">
        <v>58500</v>
      </c>
      <c r="G1703" s="27" t="s">
        <v>17</v>
      </c>
      <c r="H1703" s="27" t="s">
        <v>4716</v>
      </c>
      <c r="I1703" s="27" t="s">
        <v>9</v>
      </c>
    </row>
    <row r="1704" spans="1:9" x14ac:dyDescent="0.3">
      <c r="A1704" s="26">
        <v>45021</v>
      </c>
      <c r="B1704" s="27" t="s">
        <v>118</v>
      </c>
      <c r="C1704" s="27" t="s">
        <v>6</v>
      </c>
      <c r="D1704" s="27" t="s">
        <v>16</v>
      </c>
      <c r="E1704" s="28">
        <v>157000</v>
      </c>
      <c r="F1704" s="28">
        <v>146900</v>
      </c>
      <c r="G1704" s="27" t="s">
        <v>11</v>
      </c>
      <c r="H1704" s="27" t="s">
        <v>4736</v>
      </c>
      <c r="I1704" s="27" t="s">
        <v>9</v>
      </c>
    </row>
    <row r="1705" spans="1:9" x14ac:dyDescent="0.3">
      <c r="A1705" s="26">
        <v>45021</v>
      </c>
      <c r="B1705" s="27" t="s">
        <v>118</v>
      </c>
      <c r="C1705" s="27" t="s">
        <v>6</v>
      </c>
      <c r="D1705" s="27" t="s">
        <v>7</v>
      </c>
      <c r="E1705" s="28">
        <v>45900</v>
      </c>
      <c r="F1705" s="28">
        <v>34100</v>
      </c>
      <c r="G1705" s="27" t="s">
        <v>17</v>
      </c>
      <c r="H1705" s="27" t="s">
        <v>5187</v>
      </c>
      <c r="I1705" s="27" t="s">
        <v>9</v>
      </c>
    </row>
    <row r="1706" spans="1:9" x14ac:dyDescent="0.3">
      <c r="A1706" s="26">
        <v>45021</v>
      </c>
      <c r="B1706" s="27" t="s">
        <v>118</v>
      </c>
      <c r="C1706" s="27" t="s">
        <v>6</v>
      </c>
      <c r="D1706" s="27" t="s">
        <v>24</v>
      </c>
      <c r="E1706" s="28">
        <v>106900</v>
      </c>
      <c r="F1706" s="28">
        <v>107400</v>
      </c>
      <c r="G1706" s="27" t="s">
        <v>11</v>
      </c>
      <c r="H1706" s="27" t="s">
        <v>5264</v>
      </c>
      <c r="I1706" s="27" t="s">
        <v>9</v>
      </c>
    </row>
    <row r="1707" spans="1:9" x14ac:dyDescent="0.3">
      <c r="A1707" s="26">
        <v>45021</v>
      </c>
      <c r="B1707" s="27" t="s">
        <v>118</v>
      </c>
      <c r="C1707" s="27" t="s">
        <v>6</v>
      </c>
      <c r="D1707" s="27" t="s">
        <v>16</v>
      </c>
      <c r="E1707" s="28">
        <v>100100</v>
      </c>
      <c r="F1707" s="28">
        <v>99900</v>
      </c>
      <c r="G1707" s="27" t="s">
        <v>11</v>
      </c>
      <c r="H1707" s="27" t="s">
        <v>5528</v>
      </c>
      <c r="I1707" s="27" t="s">
        <v>9</v>
      </c>
    </row>
    <row r="1708" spans="1:9" x14ac:dyDescent="0.3">
      <c r="A1708" s="26">
        <v>45021</v>
      </c>
      <c r="B1708" s="27" t="s">
        <v>118</v>
      </c>
      <c r="C1708" s="27" t="s">
        <v>6</v>
      </c>
      <c r="D1708" s="27" t="s">
        <v>24</v>
      </c>
      <c r="E1708" s="28">
        <v>207600</v>
      </c>
      <c r="F1708" s="28">
        <v>210600</v>
      </c>
      <c r="G1708" s="27" t="s">
        <v>17</v>
      </c>
      <c r="H1708" s="27" t="s">
        <v>5595</v>
      </c>
      <c r="I1708" s="27" t="s">
        <v>9</v>
      </c>
    </row>
    <row r="1709" spans="1:9" x14ac:dyDescent="0.3">
      <c r="A1709" s="26">
        <v>45021</v>
      </c>
      <c r="B1709" s="27" t="s">
        <v>118</v>
      </c>
      <c r="C1709" s="27" t="s">
        <v>6</v>
      </c>
      <c r="D1709" s="27" t="s">
        <v>24</v>
      </c>
      <c r="E1709" s="28">
        <v>240700</v>
      </c>
      <c r="F1709" s="28">
        <v>226500</v>
      </c>
      <c r="G1709" s="27" t="s">
        <v>22</v>
      </c>
      <c r="H1709" s="27" t="s">
        <v>5719</v>
      </c>
      <c r="I1709" s="27" t="s">
        <v>9</v>
      </c>
    </row>
    <row r="1710" spans="1:9" x14ac:dyDescent="0.3">
      <c r="A1710" s="26">
        <v>45021</v>
      </c>
      <c r="B1710" s="27" t="s">
        <v>118</v>
      </c>
      <c r="C1710" s="27" t="s">
        <v>93</v>
      </c>
      <c r="D1710" s="27" t="s">
        <v>19</v>
      </c>
      <c r="E1710" s="28">
        <v>140100</v>
      </c>
      <c r="F1710" s="28">
        <v>156800</v>
      </c>
      <c r="G1710" s="27" t="s">
        <v>11</v>
      </c>
      <c r="H1710" s="27" t="s">
        <v>5954</v>
      </c>
      <c r="I1710" s="27" t="s">
        <v>9</v>
      </c>
    </row>
    <row r="1711" spans="1:9" x14ac:dyDescent="0.3">
      <c r="A1711" s="26">
        <v>45021</v>
      </c>
      <c r="B1711" s="27" t="s">
        <v>118</v>
      </c>
      <c r="C1711" s="27" t="s">
        <v>6</v>
      </c>
      <c r="D1711" s="27" t="s">
        <v>21</v>
      </c>
      <c r="E1711" s="28">
        <v>102000</v>
      </c>
      <c r="F1711" s="28">
        <v>87800</v>
      </c>
      <c r="G1711" s="27" t="s">
        <v>17</v>
      </c>
      <c r="H1711" s="27" t="s">
        <v>6036</v>
      </c>
      <c r="I1711" s="27" t="s">
        <v>9</v>
      </c>
    </row>
    <row r="1712" spans="1:9" x14ac:dyDescent="0.3">
      <c r="A1712" s="26">
        <v>45022</v>
      </c>
      <c r="B1712" s="27" t="s">
        <v>118</v>
      </c>
      <c r="C1712" s="27" t="s">
        <v>14</v>
      </c>
      <c r="D1712" s="27" t="s">
        <v>7</v>
      </c>
      <c r="E1712" s="28">
        <v>16325</v>
      </c>
      <c r="F1712" s="28">
        <v>109778</v>
      </c>
      <c r="G1712" s="27" t="s">
        <v>8</v>
      </c>
      <c r="H1712" s="27" t="s">
        <v>206</v>
      </c>
      <c r="I1712" s="27" t="s">
        <v>13</v>
      </c>
    </row>
    <row r="1713" spans="1:9" x14ac:dyDescent="0.3">
      <c r="A1713" s="26">
        <v>45022</v>
      </c>
      <c r="B1713" s="27" t="s">
        <v>118</v>
      </c>
      <c r="C1713" s="27" t="s">
        <v>15</v>
      </c>
      <c r="D1713" s="27" t="s">
        <v>19</v>
      </c>
      <c r="E1713" s="28">
        <v>76991</v>
      </c>
      <c r="F1713" s="28">
        <v>164381</v>
      </c>
      <c r="G1713" s="27" t="s">
        <v>11</v>
      </c>
      <c r="H1713" s="27" t="s">
        <v>507</v>
      </c>
      <c r="I1713" s="27" t="s">
        <v>13</v>
      </c>
    </row>
    <row r="1714" spans="1:9" x14ac:dyDescent="0.3">
      <c r="A1714" s="26">
        <v>45022</v>
      </c>
      <c r="B1714" s="27" t="s">
        <v>118</v>
      </c>
      <c r="C1714" s="27" t="s">
        <v>20</v>
      </c>
      <c r="D1714" s="27" t="s">
        <v>19</v>
      </c>
      <c r="E1714" s="28">
        <v>58667</v>
      </c>
      <c r="F1714" s="28">
        <v>147663</v>
      </c>
      <c r="G1714" s="27" t="s">
        <v>17</v>
      </c>
      <c r="H1714" s="27" t="s">
        <v>1134</v>
      </c>
      <c r="I1714" s="27" t="s">
        <v>13</v>
      </c>
    </row>
    <row r="1715" spans="1:9" x14ac:dyDescent="0.3">
      <c r="A1715" s="26">
        <v>45022</v>
      </c>
      <c r="B1715" s="27" t="s">
        <v>118</v>
      </c>
      <c r="C1715" s="27" t="s">
        <v>18</v>
      </c>
      <c r="D1715" s="27" t="s">
        <v>19</v>
      </c>
      <c r="E1715" s="28">
        <v>65142</v>
      </c>
      <c r="F1715" s="28">
        <v>96392</v>
      </c>
      <c r="G1715" s="27" t="s">
        <v>22</v>
      </c>
      <c r="H1715" s="27" t="s">
        <v>1471</v>
      </c>
      <c r="I1715" s="27" t="s">
        <v>13</v>
      </c>
    </row>
    <row r="1716" spans="1:9" x14ac:dyDescent="0.3">
      <c r="A1716" s="26">
        <v>45022</v>
      </c>
      <c r="B1716" s="27" t="s">
        <v>118</v>
      </c>
      <c r="C1716" s="27" t="s">
        <v>20</v>
      </c>
      <c r="D1716" s="27" t="s">
        <v>16</v>
      </c>
      <c r="E1716" s="28">
        <v>121212</v>
      </c>
      <c r="F1716" s="28">
        <v>151158</v>
      </c>
      <c r="G1716" s="27" t="s">
        <v>8</v>
      </c>
      <c r="H1716" s="27" t="s">
        <v>1764</v>
      </c>
      <c r="I1716" s="27" t="s">
        <v>13</v>
      </c>
    </row>
    <row r="1717" spans="1:9" x14ac:dyDescent="0.3">
      <c r="A1717" s="26">
        <v>45022</v>
      </c>
      <c r="B1717" s="27" t="s">
        <v>118</v>
      </c>
      <c r="C1717" s="27" t="s">
        <v>20</v>
      </c>
      <c r="D1717" s="27" t="s">
        <v>21</v>
      </c>
      <c r="E1717" s="28">
        <v>135049</v>
      </c>
      <c r="F1717" s="28">
        <v>59779</v>
      </c>
      <c r="G1717" s="27" t="s">
        <v>11</v>
      </c>
      <c r="H1717" s="27" t="s">
        <v>2084</v>
      </c>
      <c r="I1717" s="27" t="s">
        <v>13</v>
      </c>
    </row>
    <row r="1718" spans="1:9" x14ac:dyDescent="0.3">
      <c r="A1718" s="26">
        <v>45022</v>
      </c>
      <c r="B1718" s="27" t="s">
        <v>118</v>
      </c>
      <c r="C1718" s="27" t="s">
        <v>32</v>
      </c>
      <c r="D1718" s="27" t="s">
        <v>19</v>
      </c>
      <c r="E1718" s="28">
        <v>12751</v>
      </c>
      <c r="F1718" s="28">
        <v>52102</v>
      </c>
      <c r="G1718" s="27" t="s">
        <v>8</v>
      </c>
      <c r="H1718" s="27" t="s">
        <v>2546</v>
      </c>
      <c r="I1718" s="27" t="s">
        <v>13</v>
      </c>
    </row>
    <row r="1719" spans="1:9" x14ac:dyDescent="0.3">
      <c r="A1719" s="26">
        <v>45022</v>
      </c>
      <c r="B1719" s="27" t="s">
        <v>118</v>
      </c>
      <c r="C1719" s="27" t="s">
        <v>10</v>
      </c>
      <c r="D1719" s="27" t="s">
        <v>16</v>
      </c>
      <c r="E1719" s="28">
        <v>128066</v>
      </c>
      <c r="F1719" s="28">
        <v>167677</v>
      </c>
      <c r="G1719" s="27" t="s">
        <v>11</v>
      </c>
      <c r="H1719" s="27" t="s">
        <v>2719</v>
      </c>
      <c r="I1719" s="27" t="s">
        <v>13</v>
      </c>
    </row>
    <row r="1720" spans="1:9" x14ac:dyDescent="0.3">
      <c r="A1720" s="26">
        <v>45022</v>
      </c>
      <c r="B1720" s="27" t="s">
        <v>118</v>
      </c>
      <c r="C1720" s="27" t="s">
        <v>20</v>
      </c>
      <c r="D1720" s="27" t="s">
        <v>16</v>
      </c>
      <c r="E1720" s="28">
        <v>27341</v>
      </c>
      <c r="F1720" s="28">
        <v>159310</v>
      </c>
      <c r="G1720" s="27" t="s">
        <v>8</v>
      </c>
      <c r="H1720" s="27" t="s">
        <v>3318</v>
      </c>
      <c r="I1720" s="27" t="s">
        <v>13</v>
      </c>
    </row>
    <row r="1721" spans="1:9" x14ac:dyDescent="0.3">
      <c r="A1721" s="26">
        <v>45022</v>
      </c>
      <c r="B1721" s="27" t="s">
        <v>118</v>
      </c>
      <c r="C1721" s="27" t="s">
        <v>6</v>
      </c>
      <c r="D1721" s="27" t="s">
        <v>7</v>
      </c>
      <c r="E1721" s="28">
        <v>95000</v>
      </c>
      <c r="F1721" s="28">
        <v>100000</v>
      </c>
      <c r="G1721" s="27" t="s">
        <v>22</v>
      </c>
      <c r="H1721" s="27" t="s">
        <v>3587</v>
      </c>
      <c r="I1721" s="27" t="s">
        <v>9</v>
      </c>
    </row>
    <row r="1722" spans="1:9" x14ac:dyDescent="0.3">
      <c r="A1722" s="26">
        <v>45022</v>
      </c>
      <c r="B1722" s="27" t="s">
        <v>118</v>
      </c>
      <c r="C1722" s="27" t="s">
        <v>93</v>
      </c>
      <c r="D1722" s="27" t="s">
        <v>19</v>
      </c>
      <c r="E1722" s="28">
        <v>90400</v>
      </c>
      <c r="F1722" s="28">
        <v>104600</v>
      </c>
      <c r="G1722" s="27" t="s">
        <v>22</v>
      </c>
      <c r="H1722" s="27" t="s">
        <v>3888</v>
      </c>
      <c r="I1722" s="27" t="s">
        <v>9</v>
      </c>
    </row>
    <row r="1723" spans="1:9" x14ac:dyDescent="0.3">
      <c r="A1723" s="26">
        <v>45022</v>
      </c>
      <c r="B1723" s="27" t="s">
        <v>118</v>
      </c>
      <c r="C1723" s="27" t="s">
        <v>93</v>
      </c>
      <c r="D1723" s="27" t="s">
        <v>19</v>
      </c>
      <c r="E1723" s="28">
        <v>127400</v>
      </c>
      <c r="F1723" s="28">
        <v>138100</v>
      </c>
      <c r="G1723" s="27" t="s">
        <v>11</v>
      </c>
      <c r="H1723" s="27" t="s">
        <v>4517</v>
      </c>
      <c r="I1723" s="27" t="s">
        <v>9</v>
      </c>
    </row>
    <row r="1724" spans="1:9" x14ac:dyDescent="0.3">
      <c r="A1724" s="26">
        <v>45022</v>
      </c>
      <c r="B1724" s="27" t="s">
        <v>118</v>
      </c>
      <c r="C1724" s="27" t="s">
        <v>93</v>
      </c>
      <c r="D1724" s="27" t="s">
        <v>19</v>
      </c>
      <c r="E1724" s="28">
        <v>93500</v>
      </c>
      <c r="F1724" s="28">
        <v>102000</v>
      </c>
      <c r="G1724" s="27" t="s">
        <v>11</v>
      </c>
      <c r="H1724" s="27" t="s">
        <v>4854</v>
      </c>
      <c r="I1724" s="27" t="s">
        <v>9</v>
      </c>
    </row>
    <row r="1725" spans="1:9" x14ac:dyDescent="0.3">
      <c r="A1725" s="26">
        <v>45022</v>
      </c>
      <c r="B1725" s="27" t="s">
        <v>118</v>
      </c>
      <c r="C1725" s="27" t="s">
        <v>93</v>
      </c>
      <c r="D1725" s="27" t="s">
        <v>16</v>
      </c>
      <c r="E1725" s="28">
        <v>140700</v>
      </c>
      <c r="F1725" s="28">
        <v>157400</v>
      </c>
      <c r="G1725" s="27" t="s">
        <v>11</v>
      </c>
      <c r="H1725" s="27" t="s">
        <v>5147</v>
      </c>
      <c r="I1725" s="27" t="s">
        <v>9</v>
      </c>
    </row>
    <row r="1726" spans="1:9" x14ac:dyDescent="0.3">
      <c r="A1726" s="26">
        <v>45022</v>
      </c>
      <c r="B1726" s="27" t="s">
        <v>118</v>
      </c>
      <c r="C1726" s="27" t="s">
        <v>6</v>
      </c>
      <c r="D1726" s="27" t="s">
        <v>21</v>
      </c>
      <c r="E1726" s="28">
        <v>151800</v>
      </c>
      <c r="F1726" s="28">
        <v>178000</v>
      </c>
      <c r="G1726" s="27" t="s">
        <v>11</v>
      </c>
      <c r="H1726" s="27" t="s">
        <v>5468</v>
      </c>
      <c r="I1726" s="27" t="s">
        <v>9</v>
      </c>
    </row>
    <row r="1727" spans="1:9" x14ac:dyDescent="0.3">
      <c r="A1727" s="26">
        <v>45022</v>
      </c>
      <c r="B1727" s="27" t="s">
        <v>118</v>
      </c>
      <c r="C1727" s="27" t="s">
        <v>6</v>
      </c>
      <c r="D1727" s="27" t="s">
        <v>19</v>
      </c>
      <c r="E1727" s="28">
        <v>211900</v>
      </c>
      <c r="F1727" s="28">
        <v>183000</v>
      </c>
      <c r="G1727" s="27" t="s">
        <v>11</v>
      </c>
      <c r="H1727" s="27" t="s">
        <v>5931</v>
      </c>
      <c r="I1727" s="27" t="s">
        <v>9</v>
      </c>
    </row>
    <row r="1728" spans="1:9" x14ac:dyDescent="0.3">
      <c r="A1728" s="26">
        <v>45022</v>
      </c>
      <c r="B1728" s="27" t="s">
        <v>118</v>
      </c>
      <c r="C1728" s="27" t="s">
        <v>93</v>
      </c>
      <c r="D1728" s="27" t="s">
        <v>16</v>
      </c>
      <c r="E1728" s="28">
        <v>137900</v>
      </c>
      <c r="F1728" s="28">
        <v>146300</v>
      </c>
      <c r="G1728" s="27" t="s">
        <v>17</v>
      </c>
      <c r="H1728" s="27" t="s">
        <v>6104</v>
      </c>
      <c r="I1728" s="27" t="s">
        <v>9</v>
      </c>
    </row>
    <row r="1729" spans="1:9" x14ac:dyDescent="0.3">
      <c r="A1729" s="26">
        <v>45022</v>
      </c>
      <c r="B1729" s="27" t="s">
        <v>118</v>
      </c>
      <c r="C1729" s="27" t="s">
        <v>6</v>
      </c>
      <c r="D1729" s="27" t="s">
        <v>16</v>
      </c>
      <c r="E1729" s="28">
        <v>153000</v>
      </c>
      <c r="F1729" s="28">
        <v>130600</v>
      </c>
      <c r="G1729" s="27" t="s">
        <v>17</v>
      </c>
      <c r="H1729" s="27" t="s">
        <v>6703</v>
      </c>
      <c r="I1729" s="27" t="s">
        <v>9</v>
      </c>
    </row>
    <row r="1730" spans="1:9" x14ac:dyDescent="0.3">
      <c r="A1730" s="26">
        <v>45023</v>
      </c>
      <c r="B1730" s="27" t="s">
        <v>118</v>
      </c>
      <c r="C1730" s="27" t="s">
        <v>32</v>
      </c>
      <c r="D1730" s="27" t="s">
        <v>7</v>
      </c>
      <c r="E1730" s="28">
        <v>68679</v>
      </c>
      <c r="F1730" s="28">
        <v>118170</v>
      </c>
      <c r="G1730" s="27" t="s">
        <v>11</v>
      </c>
      <c r="H1730" s="27" t="s">
        <v>270</v>
      </c>
      <c r="I1730" s="27" t="s">
        <v>13</v>
      </c>
    </row>
    <row r="1731" spans="1:9" x14ac:dyDescent="0.3">
      <c r="A1731" s="26">
        <v>45023</v>
      </c>
      <c r="B1731" s="27" t="s">
        <v>118</v>
      </c>
      <c r="C1731" s="27" t="s">
        <v>15</v>
      </c>
      <c r="D1731" s="27" t="s">
        <v>7</v>
      </c>
      <c r="E1731" s="28">
        <v>51594</v>
      </c>
      <c r="F1731" s="28">
        <v>144484</v>
      </c>
      <c r="G1731" s="27" t="s">
        <v>22</v>
      </c>
      <c r="H1731" s="27" t="s">
        <v>456</v>
      </c>
      <c r="I1731" s="27" t="s">
        <v>13</v>
      </c>
    </row>
    <row r="1732" spans="1:9" x14ac:dyDescent="0.3">
      <c r="A1732" s="26">
        <v>45023</v>
      </c>
      <c r="B1732" s="27" t="s">
        <v>118</v>
      </c>
      <c r="C1732" s="27" t="s">
        <v>18</v>
      </c>
      <c r="D1732" s="27" t="s">
        <v>16</v>
      </c>
      <c r="E1732" s="28">
        <v>141183</v>
      </c>
      <c r="F1732" s="28">
        <v>101567</v>
      </c>
      <c r="G1732" s="27" t="s">
        <v>22</v>
      </c>
      <c r="H1732" s="27" t="s">
        <v>1377</v>
      </c>
      <c r="I1732" s="27" t="s">
        <v>13</v>
      </c>
    </row>
    <row r="1733" spans="1:9" x14ac:dyDescent="0.3">
      <c r="A1733" s="26">
        <v>45023</v>
      </c>
      <c r="B1733" s="27" t="s">
        <v>118</v>
      </c>
      <c r="C1733" s="27" t="s">
        <v>15</v>
      </c>
      <c r="D1733" s="27" t="s">
        <v>7</v>
      </c>
      <c r="E1733" s="28">
        <v>114646</v>
      </c>
      <c r="F1733" s="28">
        <v>60585</v>
      </c>
      <c r="G1733" s="27" t="s">
        <v>8</v>
      </c>
      <c r="H1733" s="27" t="s">
        <v>1518</v>
      </c>
      <c r="I1733" s="27" t="s">
        <v>13</v>
      </c>
    </row>
    <row r="1734" spans="1:9" x14ac:dyDescent="0.3">
      <c r="A1734" s="26">
        <v>45023</v>
      </c>
      <c r="B1734" s="27" t="s">
        <v>118</v>
      </c>
      <c r="C1734" s="27" t="s">
        <v>10</v>
      </c>
      <c r="D1734" s="27" t="s">
        <v>21</v>
      </c>
      <c r="E1734" s="28">
        <v>31547</v>
      </c>
      <c r="F1734" s="28">
        <v>58083</v>
      </c>
      <c r="G1734" s="27" t="s">
        <v>22</v>
      </c>
      <c r="H1734" s="27" t="s">
        <v>1723</v>
      </c>
      <c r="I1734" s="27" t="s">
        <v>13</v>
      </c>
    </row>
    <row r="1735" spans="1:9" x14ac:dyDescent="0.3">
      <c r="A1735" s="26">
        <v>45023</v>
      </c>
      <c r="B1735" s="27" t="s">
        <v>118</v>
      </c>
      <c r="C1735" s="27" t="s">
        <v>32</v>
      </c>
      <c r="D1735" s="27" t="s">
        <v>7</v>
      </c>
      <c r="E1735" s="28">
        <v>138367</v>
      </c>
      <c r="F1735" s="28">
        <v>93401</v>
      </c>
      <c r="G1735" s="27" t="s">
        <v>11</v>
      </c>
      <c r="H1735" s="27" t="s">
        <v>2387</v>
      </c>
      <c r="I1735" s="27" t="s">
        <v>13</v>
      </c>
    </row>
    <row r="1736" spans="1:9" x14ac:dyDescent="0.3">
      <c r="A1736" s="26">
        <v>45023</v>
      </c>
      <c r="B1736" s="27" t="s">
        <v>118</v>
      </c>
      <c r="C1736" s="27" t="s">
        <v>14</v>
      </c>
      <c r="D1736" s="27" t="s">
        <v>24</v>
      </c>
      <c r="E1736" s="28">
        <v>142346</v>
      </c>
      <c r="F1736" s="28">
        <v>118073</v>
      </c>
      <c r="G1736" s="27" t="s">
        <v>11</v>
      </c>
      <c r="H1736" s="27" t="s">
        <v>2527</v>
      </c>
      <c r="I1736" s="27" t="s">
        <v>13</v>
      </c>
    </row>
    <row r="1737" spans="1:9" x14ac:dyDescent="0.3">
      <c r="A1737" s="26">
        <v>45023</v>
      </c>
      <c r="B1737" s="27" t="s">
        <v>118</v>
      </c>
      <c r="C1737" s="27" t="s">
        <v>6</v>
      </c>
      <c r="D1737" s="27" t="s">
        <v>7</v>
      </c>
      <c r="E1737" s="28">
        <v>108900</v>
      </c>
      <c r="F1737" s="28">
        <v>110200</v>
      </c>
      <c r="G1737" s="27" t="s">
        <v>17</v>
      </c>
      <c r="H1737" s="27" t="s">
        <v>3651</v>
      </c>
      <c r="I1737" s="27" t="s">
        <v>9</v>
      </c>
    </row>
    <row r="1738" spans="1:9" x14ac:dyDescent="0.3">
      <c r="A1738" s="26">
        <v>45023</v>
      </c>
      <c r="B1738" s="27" t="s">
        <v>118</v>
      </c>
      <c r="C1738" s="27" t="s">
        <v>6</v>
      </c>
      <c r="D1738" s="27" t="s">
        <v>7</v>
      </c>
      <c r="E1738" s="28">
        <v>58600</v>
      </c>
      <c r="F1738" s="28">
        <v>65700</v>
      </c>
      <c r="G1738" s="27" t="s">
        <v>11</v>
      </c>
      <c r="H1738" s="27" t="s">
        <v>3837</v>
      </c>
      <c r="I1738" s="27" t="s">
        <v>9</v>
      </c>
    </row>
    <row r="1739" spans="1:9" x14ac:dyDescent="0.3">
      <c r="A1739" s="26">
        <v>45023</v>
      </c>
      <c r="B1739" s="27" t="s">
        <v>118</v>
      </c>
      <c r="C1739" s="27" t="s">
        <v>6</v>
      </c>
      <c r="D1739" s="27" t="s">
        <v>16</v>
      </c>
      <c r="E1739" s="28">
        <v>238400</v>
      </c>
      <c r="F1739" s="28">
        <v>186900</v>
      </c>
      <c r="G1739" s="27" t="s">
        <v>22</v>
      </c>
      <c r="H1739" s="27" t="s">
        <v>4760</v>
      </c>
      <c r="I1739" s="27" t="s">
        <v>9</v>
      </c>
    </row>
    <row r="1740" spans="1:9" x14ac:dyDescent="0.3">
      <c r="A1740" s="26">
        <v>45023</v>
      </c>
      <c r="B1740" s="27" t="s">
        <v>118</v>
      </c>
      <c r="C1740" s="27" t="s">
        <v>6</v>
      </c>
      <c r="D1740" s="27" t="s">
        <v>7</v>
      </c>
      <c r="E1740" s="28">
        <v>228100</v>
      </c>
      <c r="F1740" s="28">
        <v>257200</v>
      </c>
      <c r="G1740" s="27" t="s">
        <v>22</v>
      </c>
      <c r="H1740" s="27" t="s">
        <v>4901</v>
      </c>
      <c r="I1740" s="27" t="s">
        <v>9</v>
      </c>
    </row>
    <row r="1741" spans="1:9" x14ac:dyDescent="0.3">
      <c r="A1741" s="26">
        <v>45023</v>
      </c>
      <c r="B1741" s="27" t="s">
        <v>118</v>
      </c>
      <c r="C1741" s="27" t="s">
        <v>6</v>
      </c>
      <c r="D1741" s="27" t="s">
        <v>21</v>
      </c>
      <c r="E1741" s="28">
        <v>101100</v>
      </c>
      <c r="F1741" s="28">
        <v>138000</v>
      </c>
      <c r="G1741" s="27" t="s">
        <v>22</v>
      </c>
      <c r="H1741" s="27" t="s">
        <v>5106</v>
      </c>
      <c r="I1741" s="27" t="s">
        <v>9</v>
      </c>
    </row>
    <row r="1742" spans="1:9" x14ac:dyDescent="0.3">
      <c r="A1742" s="26">
        <v>45023</v>
      </c>
      <c r="B1742" s="27" t="s">
        <v>118</v>
      </c>
      <c r="C1742" s="27" t="s">
        <v>6</v>
      </c>
      <c r="D1742" s="27" t="s">
        <v>7</v>
      </c>
      <c r="E1742" s="28">
        <v>111600</v>
      </c>
      <c r="F1742" s="28">
        <v>131600</v>
      </c>
      <c r="G1742" s="27" t="s">
        <v>17</v>
      </c>
      <c r="H1742" s="27" t="s">
        <v>5772</v>
      </c>
      <c r="I1742" s="27" t="s">
        <v>9</v>
      </c>
    </row>
    <row r="1743" spans="1:9" x14ac:dyDescent="0.3">
      <c r="A1743" s="26">
        <v>45023</v>
      </c>
      <c r="B1743" s="27" t="s">
        <v>118</v>
      </c>
      <c r="C1743" s="27" t="s">
        <v>6</v>
      </c>
      <c r="D1743" s="27" t="s">
        <v>24</v>
      </c>
      <c r="E1743" s="28">
        <v>102600</v>
      </c>
      <c r="F1743" s="28">
        <v>117300</v>
      </c>
      <c r="G1743" s="27" t="s">
        <v>17</v>
      </c>
      <c r="H1743" s="27" t="s">
        <v>5912</v>
      </c>
      <c r="I1743" s="27" t="s">
        <v>9</v>
      </c>
    </row>
    <row r="1744" spans="1:9" x14ac:dyDescent="0.3">
      <c r="A1744" s="26">
        <v>45024</v>
      </c>
      <c r="B1744" s="27" t="s">
        <v>118</v>
      </c>
      <c r="C1744" s="27" t="s">
        <v>10</v>
      </c>
      <c r="D1744" s="27" t="s">
        <v>21</v>
      </c>
      <c r="E1744" s="28">
        <v>57802</v>
      </c>
      <c r="F1744" s="28">
        <v>59119</v>
      </c>
      <c r="G1744" s="27" t="s">
        <v>11</v>
      </c>
      <c r="H1744" s="27" t="s">
        <v>156</v>
      </c>
      <c r="I1744" s="27" t="s">
        <v>13</v>
      </c>
    </row>
    <row r="1745" spans="1:9" x14ac:dyDescent="0.3">
      <c r="A1745" s="26">
        <v>45024</v>
      </c>
      <c r="B1745" s="27" t="s">
        <v>118</v>
      </c>
      <c r="C1745" s="27" t="s">
        <v>32</v>
      </c>
      <c r="D1745" s="27" t="s">
        <v>7</v>
      </c>
      <c r="E1745" s="28">
        <v>66623</v>
      </c>
      <c r="F1745" s="28">
        <v>19495</v>
      </c>
      <c r="G1745" s="27" t="s">
        <v>17</v>
      </c>
      <c r="H1745" s="27" t="s">
        <v>366</v>
      </c>
      <c r="I1745" s="27" t="s">
        <v>13</v>
      </c>
    </row>
    <row r="1746" spans="1:9" x14ac:dyDescent="0.3">
      <c r="A1746" s="26">
        <v>45024</v>
      </c>
      <c r="B1746" s="27" t="s">
        <v>118</v>
      </c>
      <c r="C1746" s="27" t="s">
        <v>14</v>
      </c>
      <c r="D1746" s="27" t="s">
        <v>7</v>
      </c>
      <c r="E1746" s="28">
        <v>99472</v>
      </c>
      <c r="F1746" s="28">
        <v>143375</v>
      </c>
      <c r="G1746" s="27" t="s">
        <v>17</v>
      </c>
      <c r="H1746" s="27" t="s">
        <v>635</v>
      </c>
      <c r="I1746" s="27" t="s">
        <v>13</v>
      </c>
    </row>
    <row r="1747" spans="1:9" x14ac:dyDescent="0.3">
      <c r="A1747" s="26">
        <v>45024</v>
      </c>
      <c r="B1747" s="27" t="s">
        <v>118</v>
      </c>
      <c r="C1747" s="27" t="s">
        <v>32</v>
      </c>
      <c r="D1747" s="27" t="s">
        <v>24</v>
      </c>
      <c r="E1747" s="28">
        <v>34121</v>
      </c>
      <c r="F1747" s="28">
        <v>72567</v>
      </c>
      <c r="G1747" s="27" t="s">
        <v>11</v>
      </c>
      <c r="H1747" s="27" t="s">
        <v>681</v>
      </c>
      <c r="I1747" s="27" t="s">
        <v>13</v>
      </c>
    </row>
    <row r="1748" spans="1:9" x14ac:dyDescent="0.3">
      <c r="A1748" s="26">
        <v>45024</v>
      </c>
      <c r="B1748" s="27" t="s">
        <v>118</v>
      </c>
      <c r="C1748" s="27" t="s">
        <v>20</v>
      </c>
      <c r="D1748" s="27" t="s">
        <v>24</v>
      </c>
      <c r="E1748" s="28">
        <v>24497</v>
      </c>
      <c r="F1748" s="28">
        <v>131444</v>
      </c>
      <c r="G1748" s="27" t="s">
        <v>8</v>
      </c>
      <c r="H1748" s="27" t="s">
        <v>851</v>
      </c>
      <c r="I1748" s="27" t="s">
        <v>13</v>
      </c>
    </row>
    <row r="1749" spans="1:9" x14ac:dyDescent="0.3">
      <c r="A1749" s="26">
        <v>45024</v>
      </c>
      <c r="B1749" s="27" t="s">
        <v>118</v>
      </c>
      <c r="C1749" s="27" t="s">
        <v>15</v>
      </c>
      <c r="D1749" s="27" t="s">
        <v>21</v>
      </c>
      <c r="E1749" s="28">
        <v>144536</v>
      </c>
      <c r="F1749" s="28">
        <v>151439</v>
      </c>
      <c r="G1749" s="27" t="s">
        <v>17</v>
      </c>
      <c r="H1749" s="27" t="s">
        <v>1282</v>
      </c>
      <c r="I1749" s="27" t="s">
        <v>13</v>
      </c>
    </row>
    <row r="1750" spans="1:9" x14ac:dyDescent="0.3">
      <c r="A1750" s="26">
        <v>45024</v>
      </c>
      <c r="B1750" s="27" t="s">
        <v>118</v>
      </c>
      <c r="C1750" s="27" t="s">
        <v>14</v>
      </c>
      <c r="D1750" s="27" t="s">
        <v>21</v>
      </c>
      <c r="E1750" s="28">
        <v>116844</v>
      </c>
      <c r="F1750" s="28">
        <v>142873</v>
      </c>
      <c r="G1750" s="27" t="s">
        <v>22</v>
      </c>
      <c r="H1750" s="27" t="s">
        <v>2178</v>
      </c>
      <c r="I1750" s="27" t="s">
        <v>13</v>
      </c>
    </row>
    <row r="1751" spans="1:9" x14ac:dyDescent="0.3">
      <c r="A1751" s="26">
        <v>45024</v>
      </c>
      <c r="B1751" s="27" t="s">
        <v>118</v>
      </c>
      <c r="C1751" s="27" t="s">
        <v>15</v>
      </c>
      <c r="D1751" s="27" t="s">
        <v>24</v>
      </c>
      <c r="E1751" s="28">
        <v>143229</v>
      </c>
      <c r="F1751" s="28">
        <v>112673</v>
      </c>
      <c r="G1751" s="27" t="s">
        <v>17</v>
      </c>
      <c r="H1751" s="27" t="s">
        <v>2820</v>
      </c>
      <c r="I1751" s="27" t="s">
        <v>13</v>
      </c>
    </row>
    <row r="1752" spans="1:9" x14ac:dyDescent="0.3">
      <c r="A1752" s="26">
        <v>45024</v>
      </c>
      <c r="B1752" s="27" t="s">
        <v>118</v>
      </c>
      <c r="C1752" s="27" t="s">
        <v>18</v>
      </c>
      <c r="D1752" s="27" t="s">
        <v>21</v>
      </c>
      <c r="E1752" s="28">
        <v>94247</v>
      </c>
      <c r="F1752" s="28">
        <v>91317</v>
      </c>
      <c r="G1752" s="27" t="s">
        <v>11</v>
      </c>
      <c r="H1752" s="27" t="s">
        <v>2853</v>
      </c>
      <c r="I1752" s="27" t="s">
        <v>13</v>
      </c>
    </row>
    <row r="1753" spans="1:9" x14ac:dyDescent="0.3">
      <c r="A1753" s="26">
        <v>45024</v>
      </c>
      <c r="B1753" s="27" t="s">
        <v>118</v>
      </c>
      <c r="C1753" s="27" t="s">
        <v>10</v>
      </c>
      <c r="D1753" s="27" t="s">
        <v>21</v>
      </c>
      <c r="E1753" s="28">
        <v>55599</v>
      </c>
      <c r="F1753" s="28">
        <v>41508</v>
      </c>
      <c r="G1753" s="27" t="s">
        <v>17</v>
      </c>
      <c r="H1753" s="27" t="s">
        <v>3078</v>
      </c>
      <c r="I1753" s="27" t="s">
        <v>13</v>
      </c>
    </row>
    <row r="1754" spans="1:9" x14ac:dyDescent="0.3">
      <c r="A1754" s="26">
        <v>45024</v>
      </c>
      <c r="B1754" s="27" t="s">
        <v>118</v>
      </c>
      <c r="C1754" s="27" t="s">
        <v>14</v>
      </c>
      <c r="D1754" s="27" t="s">
        <v>16</v>
      </c>
      <c r="E1754" s="28">
        <v>21602</v>
      </c>
      <c r="F1754" s="28">
        <v>88486</v>
      </c>
      <c r="G1754" s="27" t="s">
        <v>8</v>
      </c>
      <c r="H1754" s="27" t="s">
        <v>3150</v>
      </c>
      <c r="I1754" s="27" t="s">
        <v>13</v>
      </c>
    </row>
    <row r="1755" spans="1:9" x14ac:dyDescent="0.3">
      <c r="A1755" s="26">
        <v>45024</v>
      </c>
      <c r="B1755" s="27" t="s">
        <v>118</v>
      </c>
      <c r="C1755" s="27" t="s">
        <v>14</v>
      </c>
      <c r="D1755" s="27" t="s">
        <v>19</v>
      </c>
      <c r="E1755" s="28">
        <v>85021</v>
      </c>
      <c r="F1755" s="28">
        <v>12662</v>
      </c>
      <c r="G1755" s="27" t="s">
        <v>11</v>
      </c>
      <c r="H1755" s="27" t="s">
        <v>3326</v>
      </c>
      <c r="I1755" s="27" t="s">
        <v>13</v>
      </c>
    </row>
    <row r="1756" spans="1:9" x14ac:dyDescent="0.3">
      <c r="A1756" s="26">
        <v>45024</v>
      </c>
      <c r="B1756" s="27" t="s">
        <v>118</v>
      </c>
      <c r="C1756" s="27" t="s">
        <v>6</v>
      </c>
      <c r="D1756" s="27" t="s">
        <v>21</v>
      </c>
      <c r="E1756" s="28">
        <v>93600</v>
      </c>
      <c r="F1756" s="28">
        <v>108500</v>
      </c>
      <c r="G1756" s="27" t="s">
        <v>11</v>
      </c>
      <c r="H1756" s="27" t="s">
        <v>3537</v>
      </c>
      <c r="I1756" s="27" t="s">
        <v>9</v>
      </c>
    </row>
    <row r="1757" spans="1:9" x14ac:dyDescent="0.3">
      <c r="A1757" s="26">
        <v>45024</v>
      </c>
      <c r="B1757" s="27" t="s">
        <v>118</v>
      </c>
      <c r="C1757" s="27" t="s">
        <v>6</v>
      </c>
      <c r="D1757" s="27" t="s">
        <v>7</v>
      </c>
      <c r="E1757" s="28">
        <v>104100</v>
      </c>
      <c r="F1757" s="28">
        <v>101800</v>
      </c>
      <c r="G1757" s="27" t="s">
        <v>11</v>
      </c>
      <c r="H1757" s="27" t="s">
        <v>3747</v>
      </c>
      <c r="I1757" s="27" t="s">
        <v>9</v>
      </c>
    </row>
    <row r="1758" spans="1:9" x14ac:dyDescent="0.3">
      <c r="A1758" s="26">
        <v>45024</v>
      </c>
      <c r="B1758" s="27" t="s">
        <v>118</v>
      </c>
      <c r="C1758" s="27" t="s">
        <v>6</v>
      </c>
      <c r="D1758" s="27" t="s">
        <v>7</v>
      </c>
      <c r="E1758" s="28">
        <v>148100</v>
      </c>
      <c r="F1758" s="28">
        <v>156600</v>
      </c>
      <c r="G1758" s="27" t="s">
        <v>11</v>
      </c>
      <c r="H1758" s="27" t="s">
        <v>4016</v>
      </c>
      <c r="I1758" s="27" t="s">
        <v>9</v>
      </c>
    </row>
    <row r="1759" spans="1:9" x14ac:dyDescent="0.3">
      <c r="A1759" s="26">
        <v>45024</v>
      </c>
      <c r="B1759" s="27" t="s">
        <v>118</v>
      </c>
      <c r="C1759" s="27" t="s">
        <v>6</v>
      </c>
      <c r="D1759" s="27" t="s">
        <v>24</v>
      </c>
      <c r="E1759" s="28">
        <v>179700</v>
      </c>
      <c r="F1759" s="28">
        <v>194300</v>
      </c>
      <c r="G1759" s="27" t="s">
        <v>11</v>
      </c>
      <c r="H1759" s="27" t="s">
        <v>4062</v>
      </c>
      <c r="I1759" s="27" t="s">
        <v>9</v>
      </c>
    </row>
    <row r="1760" spans="1:9" x14ac:dyDescent="0.3">
      <c r="A1760" s="26">
        <v>45024</v>
      </c>
      <c r="B1760" s="27" t="s">
        <v>118</v>
      </c>
      <c r="C1760" s="27" t="s">
        <v>6</v>
      </c>
      <c r="D1760" s="27" t="s">
        <v>24</v>
      </c>
      <c r="E1760" s="28">
        <v>220200</v>
      </c>
      <c r="F1760" s="28">
        <v>231100</v>
      </c>
      <c r="G1760" s="27" t="s">
        <v>11</v>
      </c>
      <c r="H1760" s="27" t="s">
        <v>4232</v>
      </c>
      <c r="I1760" s="27" t="s">
        <v>9</v>
      </c>
    </row>
    <row r="1761" spans="1:9" x14ac:dyDescent="0.3">
      <c r="A1761" s="26">
        <v>45024</v>
      </c>
      <c r="B1761" s="27" t="s">
        <v>118</v>
      </c>
      <c r="C1761" s="27" t="s">
        <v>6</v>
      </c>
      <c r="D1761" s="27" t="s">
        <v>21</v>
      </c>
      <c r="E1761" s="28">
        <v>189700</v>
      </c>
      <c r="F1761" s="28">
        <v>157300</v>
      </c>
      <c r="G1761" s="27" t="s">
        <v>11</v>
      </c>
      <c r="H1761" s="27" t="s">
        <v>4665</v>
      </c>
      <c r="I1761" s="27" t="s">
        <v>9</v>
      </c>
    </row>
    <row r="1762" spans="1:9" x14ac:dyDescent="0.3">
      <c r="A1762" s="26">
        <v>45024</v>
      </c>
      <c r="B1762" s="27" t="s">
        <v>118</v>
      </c>
      <c r="C1762" s="27" t="s">
        <v>6</v>
      </c>
      <c r="D1762" s="27" t="s">
        <v>21</v>
      </c>
      <c r="E1762" s="28">
        <v>129400</v>
      </c>
      <c r="F1762" s="28">
        <v>142300</v>
      </c>
      <c r="G1762" s="27" t="s">
        <v>11</v>
      </c>
      <c r="H1762" s="27" t="s">
        <v>5563</v>
      </c>
      <c r="I1762" s="27" t="s">
        <v>9</v>
      </c>
    </row>
    <row r="1763" spans="1:9" x14ac:dyDescent="0.3">
      <c r="A1763" s="26">
        <v>45024</v>
      </c>
      <c r="B1763" s="27" t="s">
        <v>118</v>
      </c>
      <c r="C1763" s="27" t="s">
        <v>6</v>
      </c>
      <c r="D1763" s="27" t="s">
        <v>24</v>
      </c>
      <c r="E1763" s="28">
        <v>166200</v>
      </c>
      <c r="F1763" s="28">
        <v>162700</v>
      </c>
      <c r="G1763" s="27" t="s">
        <v>17</v>
      </c>
      <c r="H1763" s="27" t="s">
        <v>6205</v>
      </c>
      <c r="I1763" s="27" t="s">
        <v>9</v>
      </c>
    </row>
    <row r="1764" spans="1:9" x14ac:dyDescent="0.3">
      <c r="A1764" s="26">
        <v>45024</v>
      </c>
      <c r="B1764" s="27" t="s">
        <v>118</v>
      </c>
      <c r="C1764" s="27" t="s">
        <v>93</v>
      </c>
      <c r="D1764" s="27" t="s">
        <v>21</v>
      </c>
      <c r="E1764" s="28">
        <v>59500</v>
      </c>
      <c r="F1764" s="28">
        <v>64800</v>
      </c>
      <c r="G1764" s="27" t="s">
        <v>11</v>
      </c>
      <c r="H1764" s="27" t="s">
        <v>6238</v>
      </c>
      <c r="I1764" s="27" t="s">
        <v>9</v>
      </c>
    </row>
    <row r="1765" spans="1:9" x14ac:dyDescent="0.3">
      <c r="A1765" s="26">
        <v>45024</v>
      </c>
      <c r="B1765" s="27" t="s">
        <v>118</v>
      </c>
      <c r="C1765" s="27" t="s">
        <v>6</v>
      </c>
      <c r="D1765" s="27" t="s">
        <v>21</v>
      </c>
      <c r="E1765" s="28">
        <v>123500</v>
      </c>
      <c r="F1765" s="28">
        <v>111600</v>
      </c>
      <c r="G1765" s="27" t="s">
        <v>11</v>
      </c>
      <c r="H1765" s="27" t="s">
        <v>6463</v>
      </c>
      <c r="I1765" s="27" t="s">
        <v>9</v>
      </c>
    </row>
    <row r="1766" spans="1:9" x14ac:dyDescent="0.3">
      <c r="A1766" s="26">
        <v>45024</v>
      </c>
      <c r="B1766" s="27" t="s">
        <v>118</v>
      </c>
      <c r="C1766" s="27" t="s">
        <v>6</v>
      </c>
      <c r="D1766" s="27" t="s">
        <v>16</v>
      </c>
      <c r="E1766" s="28">
        <v>144400</v>
      </c>
      <c r="F1766" s="28">
        <v>173600</v>
      </c>
      <c r="G1766" s="27" t="s">
        <v>22</v>
      </c>
      <c r="H1766" s="27" t="s">
        <v>6535</v>
      </c>
      <c r="I1766" s="27" t="s">
        <v>9</v>
      </c>
    </row>
    <row r="1767" spans="1:9" x14ac:dyDescent="0.3">
      <c r="A1767" s="26">
        <v>45024</v>
      </c>
      <c r="B1767" s="27" t="s">
        <v>118</v>
      </c>
      <c r="C1767" s="27" t="s">
        <v>93</v>
      </c>
      <c r="D1767" s="27" t="s">
        <v>19</v>
      </c>
      <c r="E1767" s="28">
        <v>272900</v>
      </c>
      <c r="F1767" s="28">
        <v>294900</v>
      </c>
      <c r="G1767" s="27" t="s">
        <v>17</v>
      </c>
      <c r="H1767" s="27" t="s">
        <v>6711</v>
      </c>
      <c r="I1767" s="27" t="s">
        <v>9</v>
      </c>
    </row>
    <row r="1768" spans="1:9" x14ac:dyDescent="0.3">
      <c r="A1768" s="26">
        <v>45025</v>
      </c>
      <c r="B1768" s="27" t="s">
        <v>118</v>
      </c>
      <c r="C1768" s="27" t="s">
        <v>20</v>
      </c>
      <c r="D1768" s="27" t="s">
        <v>19</v>
      </c>
      <c r="E1768" s="28">
        <v>20261</v>
      </c>
      <c r="F1768" s="28">
        <v>165250</v>
      </c>
      <c r="G1768" s="27" t="s">
        <v>11</v>
      </c>
      <c r="H1768" s="27" t="s">
        <v>237</v>
      </c>
      <c r="I1768" s="27" t="s">
        <v>13</v>
      </c>
    </row>
    <row r="1769" spans="1:9" x14ac:dyDescent="0.3">
      <c r="A1769" s="26">
        <v>45025</v>
      </c>
      <c r="B1769" s="27" t="s">
        <v>118</v>
      </c>
      <c r="C1769" s="27" t="s">
        <v>20</v>
      </c>
      <c r="D1769" s="27" t="s">
        <v>7</v>
      </c>
      <c r="E1769" s="28">
        <v>89035</v>
      </c>
      <c r="F1769" s="28">
        <v>46787</v>
      </c>
      <c r="G1769" s="27" t="s">
        <v>11</v>
      </c>
      <c r="H1769" s="27" t="s">
        <v>1213</v>
      </c>
      <c r="I1769" s="27" t="s">
        <v>13</v>
      </c>
    </row>
    <row r="1770" spans="1:9" x14ac:dyDescent="0.3">
      <c r="A1770" s="26">
        <v>45025</v>
      </c>
      <c r="B1770" s="27" t="s">
        <v>118</v>
      </c>
      <c r="C1770" s="27" t="s">
        <v>10</v>
      </c>
      <c r="D1770" s="27" t="s">
        <v>16</v>
      </c>
      <c r="E1770" s="28">
        <v>10661</v>
      </c>
      <c r="F1770" s="28">
        <v>85234</v>
      </c>
      <c r="G1770" s="27" t="s">
        <v>22</v>
      </c>
      <c r="H1770" s="27" t="s">
        <v>2242</v>
      </c>
      <c r="I1770" s="27" t="s">
        <v>13</v>
      </c>
    </row>
    <row r="1771" spans="1:9" x14ac:dyDescent="0.3">
      <c r="A1771" s="26">
        <v>45025</v>
      </c>
      <c r="B1771" s="27" t="s">
        <v>118</v>
      </c>
      <c r="C1771" s="27" t="s">
        <v>32</v>
      </c>
      <c r="D1771" s="27" t="s">
        <v>7</v>
      </c>
      <c r="E1771" s="28">
        <v>75657</v>
      </c>
      <c r="F1771" s="28">
        <v>79705</v>
      </c>
      <c r="G1771" s="27" t="s">
        <v>11</v>
      </c>
      <c r="H1771" s="27" t="s">
        <v>3228</v>
      </c>
      <c r="I1771" s="27" t="s">
        <v>13</v>
      </c>
    </row>
    <row r="1772" spans="1:9" x14ac:dyDescent="0.3">
      <c r="A1772" s="26">
        <v>45025</v>
      </c>
      <c r="B1772" s="27" t="s">
        <v>118</v>
      </c>
      <c r="C1772" s="27" t="s">
        <v>93</v>
      </c>
      <c r="D1772" s="27" t="s">
        <v>19</v>
      </c>
      <c r="E1772" s="28">
        <v>87700</v>
      </c>
      <c r="F1772" s="28">
        <v>61200</v>
      </c>
      <c r="G1772" s="27" t="s">
        <v>17</v>
      </c>
      <c r="H1772" s="27" t="s">
        <v>3618</v>
      </c>
      <c r="I1772" s="27" t="s">
        <v>9</v>
      </c>
    </row>
    <row r="1773" spans="1:9" x14ac:dyDescent="0.3">
      <c r="A1773" s="26">
        <v>45025</v>
      </c>
      <c r="B1773" s="27" t="s">
        <v>118</v>
      </c>
      <c r="C1773" s="27" t="s">
        <v>6</v>
      </c>
      <c r="D1773" s="27" t="s">
        <v>7</v>
      </c>
      <c r="E1773" s="28">
        <v>113200</v>
      </c>
      <c r="F1773" s="28">
        <v>124400</v>
      </c>
      <c r="G1773" s="27" t="s">
        <v>11</v>
      </c>
      <c r="H1773" s="27" t="s">
        <v>4596</v>
      </c>
      <c r="I1773" s="27" t="s">
        <v>9</v>
      </c>
    </row>
    <row r="1774" spans="1:9" x14ac:dyDescent="0.3">
      <c r="A1774" s="26">
        <v>45025</v>
      </c>
      <c r="B1774" s="27" t="s">
        <v>118</v>
      </c>
      <c r="C1774" s="27" t="s">
        <v>6</v>
      </c>
      <c r="D1774" s="27" t="s">
        <v>16</v>
      </c>
      <c r="E1774" s="28">
        <v>191300</v>
      </c>
      <c r="F1774" s="28">
        <v>243900</v>
      </c>
      <c r="G1774" s="27" t="s">
        <v>22</v>
      </c>
      <c r="H1774" s="27" t="s">
        <v>5627</v>
      </c>
      <c r="I1774" s="27" t="s">
        <v>9</v>
      </c>
    </row>
    <row r="1775" spans="1:9" x14ac:dyDescent="0.3">
      <c r="A1775" s="26">
        <v>45025</v>
      </c>
      <c r="B1775" s="27" t="s">
        <v>118</v>
      </c>
      <c r="C1775" s="27" t="s">
        <v>93</v>
      </c>
      <c r="D1775" s="27" t="s">
        <v>7</v>
      </c>
      <c r="E1775" s="28">
        <v>128900</v>
      </c>
      <c r="F1775" s="28">
        <v>154200</v>
      </c>
      <c r="G1775" s="27" t="s">
        <v>11</v>
      </c>
      <c r="H1775" s="27" t="s">
        <v>6613</v>
      </c>
      <c r="I1775" s="27" t="s">
        <v>9</v>
      </c>
    </row>
    <row r="1776" spans="1:9" x14ac:dyDescent="0.3">
      <c r="A1776" s="26">
        <v>45026</v>
      </c>
      <c r="B1776" s="27" t="s">
        <v>118</v>
      </c>
      <c r="C1776" s="27" t="s">
        <v>18</v>
      </c>
      <c r="D1776" s="27" t="s">
        <v>19</v>
      </c>
      <c r="E1776" s="28">
        <v>87666</v>
      </c>
      <c r="F1776" s="28">
        <v>58917</v>
      </c>
      <c r="G1776" s="27" t="s">
        <v>22</v>
      </c>
      <c r="H1776" s="27" t="s">
        <v>1326</v>
      </c>
      <c r="I1776" s="27" t="s">
        <v>13</v>
      </c>
    </row>
    <row r="1777" spans="1:9" x14ac:dyDescent="0.3">
      <c r="A1777" s="26">
        <v>45026</v>
      </c>
      <c r="B1777" s="27" t="s">
        <v>118</v>
      </c>
      <c r="C1777" s="27" t="s">
        <v>10</v>
      </c>
      <c r="D1777" s="27" t="s">
        <v>21</v>
      </c>
      <c r="E1777" s="28">
        <v>48690</v>
      </c>
      <c r="F1777" s="28">
        <v>143692</v>
      </c>
      <c r="G1777" s="27" t="s">
        <v>11</v>
      </c>
      <c r="H1777" s="27" t="s">
        <v>1367</v>
      </c>
      <c r="I1777" s="27" t="s">
        <v>13</v>
      </c>
    </row>
    <row r="1778" spans="1:9" x14ac:dyDescent="0.3">
      <c r="A1778" s="26">
        <v>45026</v>
      </c>
      <c r="B1778" s="27" t="s">
        <v>118</v>
      </c>
      <c r="C1778" s="27" t="s">
        <v>14</v>
      </c>
      <c r="D1778" s="27" t="s">
        <v>24</v>
      </c>
      <c r="E1778" s="28">
        <v>115932</v>
      </c>
      <c r="F1778" s="28">
        <v>28374</v>
      </c>
      <c r="G1778" s="27" t="s">
        <v>8</v>
      </c>
      <c r="H1778" s="27" t="s">
        <v>1538</v>
      </c>
      <c r="I1778" s="27" t="s">
        <v>13</v>
      </c>
    </row>
    <row r="1779" spans="1:9" x14ac:dyDescent="0.3">
      <c r="A1779" s="26">
        <v>45026</v>
      </c>
      <c r="B1779" s="27" t="s">
        <v>118</v>
      </c>
      <c r="C1779" s="27" t="s">
        <v>20</v>
      </c>
      <c r="D1779" s="27" t="s">
        <v>21</v>
      </c>
      <c r="E1779" s="28">
        <v>99643</v>
      </c>
      <c r="F1779" s="28">
        <v>153763</v>
      </c>
      <c r="G1779" s="27" t="s">
        <v>8</v>
      </c>
      <c r="H1779" s="27" t="s">
        <v>2561</v>
      </c>
      <c r="I1779" s="27" t="s">
        <v>13</v>
      </c>
    </row>
    <row r="1780" spans="1:9" x14ac:dyDescent="0.3">
      <c r="A1780" s="26">
        <v>45026</v>
      </c>
      <c r="B1780" s="27" t="s">
        <v>118</v>
      </c>
      <c r="C1780" s="27" t="s">
        <v>20</v>
      </c>
      <c r="D1780" s="27" t="s">
        <v>16</v>
      </c>
      <c r="E1780" s="28">
        <v>26487</v>
      </c>
      <c r="F1780" s="28">
        <v>137200</v>
      </c>
      <c r="G1780" s="27" t="s">
        <v>17</v>
      </c>
      <c r="H1780" s="27" t="s">
        <v>2848</v>
      </c>
      <c r="I1780" s="27" t="s">
        <v>13</v>
      </c>
    </row>
    <row r="1781" spans="1:9" x14ac:dyDescent="0.3">
      <c r="A1781" s="26">
        <v>45026</v>
      </c>
      <c r="B1781" s="27" t="s">
        <v>118</v>
      </c>
      <c r="C1781" s="27" t="s">
        <v>10</v>
      </c>
      <c r="D1781" s="27" t="s">
        <v>7</v>
      </c>
      <c r="E1781" s="28">
        <v>49225</v>
      </c>
      <c r="F1781" s="28">
        <v>115063</v>
      </c>
      <c r="G1781" s="27" t="s">
        <v>8</v>
      </c>
      <c r="H1781" s="27" t="s">
        <v>2896</v>
      </c>
      <c r="I1781" s="27" t="s">
        <v>13</v>
      </c>
    </row>
    <row r="1782" spans="1:9" x14ac:dyDescent="0.3">
      <c r="A1782" s="26">
        <v>45026</v>
      </c>
      <c r="B1782" s="27" t="s">
        <v>118</v>
      </c>
      <c r="C1782" s="27" t="s">
        <v>20</v>
      </c>
      <c r="D1782" s="27" t="s">
        <v>21</v>
      </c>
      <c r="E1782" s="28">
        <v>139976</v>
      </c>
      <c r="F1782" s="28">
        <v>75849</v>
      </c>
      <c r="G1782" s="27" t="s">
        <v>22</v>
      </c>
      <c r="H1782" s="27" t="s">
        <v>3265</v>
      </c>
      <c r="I1782" s="27" t="s">
        <v>13</v>
      </c>
    </row>
    <row r="1783" spans="1:9" x14ac:dyDescent="0.3">
      <c r="A1783" s="26">
        <v>45026</v>
      </c>
      <c r="B1783" s="27" t="s">
        <v>118</v>
      </c>
      <c r="C1783" s="27" t="s">
        <v>93</v>
      </c>
      <c r="D1783" s="27" t="s">
        <v>19</v>
      </c>
      <c r="E1783" s="28">
        <v>81700</v>
      </c>
      <c r="F1783" s="28">
        <v>62300</v>
      </c>
      <c r="G1783" s="27" t="s">
        <v>22</v>
      </c>
      <c r="H1783" s="27" t="s">
        <v>4709</v>
      </c>
      <c r="I1783" s="27" t="s">
        <v>9</v>
      </c>
    </row>
    <row r="1784" spans="1:9" x14ac:dyDescent="0.3">
      <c r="A1784" s="26">
        <v>45026</v>
      </c>
      <c r="B1784" s="27" t="s">
        <v>118</v>
      </c>
      <c r="C1784" s="27" t="s">
        <v>93</v>
      </c>
      <c r="D1784" s="27" t="s">
        <v>21</v>
      </c>
      <c r="E1784" s="28">
        <v>298300</v>
      </c>
      <c r="F1784" s="28">
        <v>282100</v>
      </c>
      <c r="G1784" s="27" t="s">
        <v>11</v>
      </c>
      <c r="H1784" s="27" t="s">
        <v>4750</v>
      </c>
      <c r="I1784" s="27" t="s">
        <v>9</v>
      </c>
    </row>
    <row r="1785" spans="1:9" x14ac:dyDescent="0.3">
      <c r="A1785" s="26">
        <v>45026</v>
      </c>
      <c r="B1785" s="27" t="s">
        <v>118</v>
      </c>
      <c r="C1785" s="27" t="s">
        <v>6</v>
      </c>
      <c r="D1785" s="27" t="s">
        <v>24</v>
      </c>
      <c r="E1785" s="28">
        <v>191600</v>
      </c>
      <c r="F1785" s="28">
        <v>202100</v>
      </c>
      <c r="G1785" s="27" t="s">
        <v>11</v>
      </c>
      <c r="H1785" s="27" t="s">
        <v>4921</v>
      </c>
      <c r="I1785" s="27" t="s">
        <v>9</v>
      </c>
    </row>
    <row r="1786" spans="1:9" x14ac:dyDescent="0.3">
      <c r="A1786" s="26">
        <v>45026</v>
      </c>
      <c r="B1786" s="27" t="s">
        <v>118</v>
      </c>
      <c r="C1786" s="27" t="s">
        <v>93</v>
      </c>
      <c r="D1786" s="27" t="s">
        <v>21</v>
      </c>
      <c r="E1786" s="28">
        <v>79700</v>
      </c>
      <c r="F1786" s="28">
        <v>89900</v>
      </c>
      <c r="G1786" s="27" t="s">
        <v>22</v>
      </c>
      <c r="H1786" s="27" t="s">
        <v>5946</v>
      </c>
      <c r="I1786" s="27" t="s">
        <v>9</v>
      </c>
    </row>
    <row r="1787" spans="1:9" x14ac:dyDescent="0.3">
      <c r="A1787" s="26">
        <v>45026</v>
      </c>
      <c r="B1787" s="27" t="s">
        <v>118</v>
      </c>
      <c r="C1787" s="27" t="s">
        <v>93</v>
      </c>
      <c r="D1787" s="27" t="s">
        <v>16</v>
      </c>
      <c r="E1787" s="28">
        <v>91900</v>
      </c>
      <c r="F1787" s="28">
        <v>88500</v>
      </c>
      <c r="G1787" s="27" t="s">
        <v>11</v>
      </c>
      <c r="H1787" s="27" t="s">
        <v>6233</v>
      </c>
      <c r="I1787" s="27" t="s">
        <v>9</v>
      </c>
    </row>
    <row r="1788" spans="1:9" x14ac:dyDescent="0.3">
      <c r="A1788" s="26">
        <v>45026</v>
      </c>
      <c r="B1788" s="27" t="s">
        <v>118</v>
      </c>
      <c r="C1788" s="27" t="s">
        <v>6</v>
      </c>
      <c r="D1788" s="27" t="s">
        <v>7</v>
      </c>
      <c r="E1788" s="28">
        <v>139500</v>
      </c>
      <c r="F1788" s="28">
        <v>131700</v>
      </c>
      <c r="G1788" s="27" t="s">
        <v>11</v>
      </c>
      <c r="H1788" s="27" t="s">
        <v>6281</v>
      </c>
      <c r="I1788" s="27" t="s">
        <v>9</v>
      </c>
    </row>
    <row r="1789" spans="1:9" x14ac:dyDescent="0.3">
      <c r="A1789" s="26">
        <v>45026</v>
      </c>
      <c r="B1789" s="27" t="s">
        <v>118</v>
      </c>
      <c r="C1789" s="27" t="s">
        <v>93</v>
      </c>
      <c r="D1789" s="27" t="s">
        <v>21</v>
      </c>
      <c r="E1789" s="28">
        <v>73300</v>
      </c>
      <c r="F1789" s="28">
        <v>99400</v>
      </c>
      <c r="G1789" s="27" t="s">
        <v>11</v>
      </c>
      <c r="H1789" s="27" t="s">
        <v>6650</v>
      </c>
      <c r="I1789" s="27" t="s">
        <v>9</v>
      </c>
    </row>
    <row r="1790" spans="1:9" x14ac:dyDescent="0.3">
      <c r="A1790" s="26">
        <v>45027</v>
      </c>
      <c r="B1790" s="27" t="s">
        <v>118</v>
      </c>
      <c r="C1790" s="27" t="s">
        <v>10</v>
      </c>
      <c r="D1790" s="27" t="s">
        <v>21</v>
      </c>
      <c r="E1790" s="28">
        <v>102195</v>
      </c>
      <c r="F1790" s="28">
        <v>121860</v>
      </c>
      <c r="G1790" s="27" t="s">
        <v>8</v>
      </c>
      <c r="H1790" s="27" t="s">
        <v>174</v>
      </c>
      <c r="I1790" s="27" t="s">
        <v>13</v>
      </c>
    </row>
    <row r="1791" spans="1:9" x14ac:dyDescent="0.3">
      <c r="A1791" s="26">
        <v>45027</v>
      </c>
      <c r="B1791" s="27" t="s">
        <v>118</v>
      </c>
      <c r="C1791" s="27" t="s">
        <v>18</v>
      </c>
      <c r="D1791" s="27" t="s">
        <v>24</v>
      </c>
      <c r="E1791" s="28">
        <v>132408</v>
      </c>
      <c r="F1791" s="28">
        <v>73777</v>
      </c>
      <c r="G1791" s="27" t="s">
        <v>8</v>
      </c>
      <c r="H1791" s="27" t="s">
        <v>306</v>
      </c>
      <c r="I1791" s="27" t="s">
        <v>13</v>
      </c>
    </row>
    <row r="1792" spans="1:9" x14ac:dyDescent="0.3">
      <c r="A1792" s="26">
        <v>45027</v>
      </c>
      <c r="B1792" s="27" t="s">
        <v>118</v>
      </c>
      <c r="C1792" s="27" t="s">
        <v>10</v>
      </c>
      <c r="D1792" s="27" t="s">
        <v>16</v>
      </c>
      <c r="E1792" s="28">
        <v>14344</v>
      </c>
      <c r="F1792" s="28">
        <v>21749</v>
      </c>
      <c r="G1792" s="27" t="s">
        <v>11</v>
      </c>
      <c r="H1792" s="27" t="s">
        <v>397</v>
      </c>
      <c r="I1792" s="27" t="s">
        <v>13</v>
      </c>
    </row>
    <row r="1793" spans="1:9" x14ac:dyDescent="0.3">
      <c r="A1793" s="26">
        <v>45027</v>
      </c>
      <c r="B1793" s="27" t="s">
        <v>118</v>
      </c>
      <c r="C1793" s="27" t="s">
        <v>20</v>
      </c>
      <c r="D1793" s="27" t="s">
        <v>24</v>
      </c>
      <c r="E1793" s="28">
        <v>18330</v>
      </c>
      <c r="F1793" s="28">
        <v>114594</v>
      </c>
      <c r="G1793" s="27" t="s">
        <v>8</v>
      </c>
      <c r="H1793" s="27" t="s">
        <v>800</v>
      </c>
      <c r="I1793" s="27" t="s">
        <v>13</v>
      </c>
    </row>
    <row r="1794" spans="1:9" x14ac:dyDescent="0.3">
      <c r="A1794" s="26">
        <v>45027</v>
      </c>
      <c r="B1794" s="27" t="s">
        <v>118</v>
      </c>
      <c r="C1794" s="27" t="s">
        <v>18</v>
      </c>
      <c r="D1794" s="27" t="s">
        <v>24</v>
      </c>
      <c r="E1794" s="28">
        <v>47123</v>
      </c>
      <c r="F1794" s="28">
        <v>165858</v>
      </c>
      <c r="G1794" s="27" t="s">
        <v>8</v>
      </c>
      <c r="H1794" s="27" t="s">
        <v>1155</v>
      </c>
      <c r="I1794" s="27" t="s">
        <v>13</v>
      </c>
    </row>
    <row r="1795" spans="1:9" x14ac:dyDescent="0.3">
      <c r="A1795" s="26">
        <v>45027</v>
      </c>
      <c r="B1795" s="27" t="s">
        <v>118</v>
      </c>
      <c r="C1795" s="27" t="s">
        <v>32</v>
      </c>
      <c r="D1795" s="27" t="s">
        <v>16</v>
      </c>
      <c r="E1795" s="28">
        <v>109320</v>
      </c>
      <c r="F1795" s="28">
        <v>69540</v>
      </c>
      <c r="G1795" s="27" t="s">
        <v>17</v>
      </c>
      <c r="H1795" s="27" t="s">
        <v>1358</v>
      </c>
      <c r="I1795" s="27" t="s">
        <v>13</v>
      </c>
    </row>
    <row r="1796" spans="1:9" x14ac:dyDescent="0.3">
      <c r="A1796" s="26">
        <v>45027</v>
      </c>
      <c r="B1796" s="27" t="s">
        <v>118</v>
      </c>
      <c r="C1796" s="27" t="s">
        <v>18</v>
      </c>
      <c r="D1796" s="27" t="s">
        <v>21</v>
      </c>
      <c r="E1796" s="28">
        <v>83649</v>
      </c>
      <c r="F1796" s="28">
        <v>138169</v>
      </c>
      <c r="G1796" s="27" t="s">
        <v>17</v>
      </c>
      <c r="H1796" s="27" t="s">
        <v>1532</v>
      </c>
      <c r="I1796" s="27" t="s">
        <v>13</v>
      </c>
    </row>
    <row r="1797" spans="1:9" x14ac:dyDescent="0.3">
      <c r="A1797" s="26">
        <v>45027</v>
      </c>
      <c r="B1797" s="27" t="s">
        <v>118</v>
      </c>
      <c r="C1797" s="27" t="s">
        <v>20</v>
      </c>
      <c r="D1797" s="27" t="s">
        <v>16</v>
      </c>
      <c r="E1797" s="28">
        <v>129998</v>
      </c>
      <c r="F1797" s="28">
        <v>73376</v>
      </c>
      <c r="G1797" s="27" t="s">
        <v>8</v>
      </c>
      <c r="H1797" s="27" t="s">
        <v>1820</v>
      </c>
      <c r="I1797" s="27" t="s">
        <v>13</v>
      </c>
    </row>
    <row r="1798" spans="1:9" x14ac:dyDescent="0.3">
      <c r="A1798" s="26">
        <v>45027</v>
      </c>
      <c r="B1798" s="27" t="s">
        <v>118</v>
      </c>
      <c r="C1798" s="27" t="s">
        <v>15</v>
      </c>
      <c r="D1798" s="27" t="s">
        <v>24</v>
      </c>
      <c r="E1798" s="28">
        <v>142412</v>
      </c>
      <c r="F1798" s="28">
        <v>91237</v>
      </c>
      <c r="G1798" s="27" t="s">
        <v>22</v>
      </c>
      <c r="H1798" s="27" t="s">
        <v>2222</v>
      </c>
      <c r="I1798" s="27" t="s">
        <v>13</v>
      </c>
    </row>
    <row r="1799" spans="1:9" x14ac:dyDescent="0.3">
      <c r="A1799" s="26">
        <v>45027</v>
      </c>
      <c r="B1799" s="27" t="s">
        <v>118</v>
      </c>
      <c r="C1799" s="27" t="s">
        <v>20</v>
      </c>
      <c r="D1799" s="27" t="s">
        <v>16</v>
      </c>
      <c r="E1799" s="28">
        <v>63707</v>
      </c>
      <c r="F1799" s="28">
        <v>162902</v>
      </c>
      <c r="G1799" s="27" t="s">
        <v>8</v>
      </c>
      <c r="H1799" s="27" t="s">
        <v>2446</v>
      </c>
      <c r="I1799" s="27" t="s">
        <v>13</v>
      </c>
    </row>
    <row r="1800" spans="1:9" x14ac:dyDescent="0.3">
      <c r="A1800" s="26">
        <v>45027</v>
      </c>
      <c r="B1800" s="27" t="s">
        <v>118</v>
      </c>
      <c r="C1800" s="27" t="s">
        <v>20</v>
      </c>
      <c r="D1800" s="27" t="s">
        <v>21</v>
      </c>
      <c r="E1800" s="28">
        <v>33391</v>
      </c>
      <c r="F1800" s="28">
        <v>33203</v>
      </c>
      <c r="G1800" s="27" t="s">
        <v>22</v>
      </c>
      <c r="H1800" s="27" t="s">
        <v>2984</v>
      </c>
      <c r="I1800" s="27" t="s">
        <v>13</v>
      </c>
    </row>
    <row r="1801" spans="1:9" x14ac:dyDescent="0.3">
      <c r="A1801" s="26">
        <v>45027</v>
      </c>
      <c r="B1801" s="27" t="s">
        <v>118</v>
      </c>
      <c r="C1801" s="27" t="s">
        <v>10</v>
      </c>
      <c r="D1801" s="27" t="s">
        <v>16</v>
      </c>
      <c r="E1801" s="28">
        <v>96575</v>
      </c>
      <c r="F1801" s="28">
        <v>30150</v>
      </c>
      <c r="G1801" s="27" t="s">
        <v>22</v>
      </c>
      <c r="H1801" s="27" t="s">
        <v>3435</v>
      </c>
      <c r="I1801" s="27" t="s">
        <v>13</v>
      </c>
    </row>
    <row r="1802" spans="1:9" x14ac:dyDescent="0.3">
      <c r="A1802" s="26">
        <v>45027</v>
      </c>
      <c r="B1802" s="27" t="s">
        <v>118</v>
      </c>
      <c r="C1802" s="27" t="s">
        <v>93</v>
      </c>
      <c r="D1802" s="27" t="s">
        <v>21</v>
      </c>
      <c r="E1802" s="28">
        <v>139500</v>
      </c>
      <c r="F1802" s="28">
        <v>141000</v>
      </c>
      <c r="G1802" s="27" t="s">
        <v>22</v>
      </c>
      <c r="H1802" s="27" t="s">
        <v>3555</v>
      </c>
      <c r="I1802" s="27" t="s">
        <v>9</v>
      </c>
    </row>
    <row r="1803" spans="1:9" x14ac:dyDescent="0.3">
      <c r="A1803" s="26">
        <v>45027</v>
      </c>
      <c r="B1803" s="27" t="s">
        <v>118</v>
      </c>
      <c r="C1803" s="27" t="s">
        <v>6</v>
      </c>
      <c r="D1803" s="27" t="s">
        <v>24</v>
      </c>
      <c r="E1803" s="28">
        <v>75300</v>
      </c>
      <c r="F1803" s="28">
        <v>92000</v>
      </c>
      <c r="G1803" s="27" t="s">
        <v>22</v>
      </c>
      <c r="H1803" s="27" t="s">
        <v>3687</v>
      </c>
      <c r="I1803" s="27" t="s">
        <v>9</v>
      </c>
    </row>
    <row r="1804" spans="1:9" x14ac:dyDescent="0.3">
      <c r="A1804" s="26">
        <v>45027</v>
      </c>
      <c r="B1804" s="27" t="s">
        <v>118</v>
      </c>
      <c r="C1804" s="27" t="s">
        <v>93</v>
      </c>
      <c r="D1804" s="27" t="s">
        <v>16</v>
      </c>
      <c r="E1804" s="28">
        <v>158200</v>
      </c>
      <c r="F1804" s="28">
        <v>149200</v>
      </c>
      <c r="G1804" s="27" t="s">
        <v>17</v>
      </c>
      <c r="H1804" s="27" t="s">
        <v>3778</v>
      </c>
      <c r="I1804" s="27" t="s">
        <v>9</v>
      </c>
    </row>
    <row r="1805" spans="1:9" x14ac:dyDescent="0.3">
      <c r="A1805" s="26">
        <v>45027</v>
      </c>
      <c r="B1805" s="27" t="s">
        <v>118</v>
      </c>
      <c r="C1805" s="27" t="s">
        <v>93</v>
      </c>
      <c r="D1805" s="27" t="s">
        <v>24</v>
      </c>
      <c r="E1805" s="28">
        <v>204500</v>
      </c>
      <c r="F1805" s="28">
        <v>168700</v>
      </c>
      <c r="G1805" s="27" t="s">
        <v>22</v>
      </c>
      <c r="H1805" s="27" t="s">
        <v>4181</v>
      </c>
      <c r="I1805" s="27" t="s">
        <v>9</v>
      </c>
    </row>
    <row r="1806" spans="1:9" x14ac:dyDescent="0.3">
      <c r="A1806" s="26">
        <v>45027</v>
      </c>
      <c r="B1806" s="27" t="s">
        <v>118</v>
      </c>
      <c r="C1806" s="27" t="s">
        <v>6</v>
      </c>
      <c r="D1806" s="27" t="s">
        <v>24</v>
      </c>
      <c r="E1806" s="28">
        <v>70600</v>
      </c>
      <c r="F1806" s="28">
        <v>75700</v>
      </c>
      <c r="G1806" s="27" t="s">
        <v>11</v>
      </c>
      <c r="H1806" s="27" t="s">
        <v>4538</v>
      </c>
      <c r="I1806" s="27" t="s">
        <v>9</v>
      </c>
    </row>
    <row r="1807" spans="1:9" x14ac:dyDescent="0.3">
      <c r="A1807" s="26">
        <v>45027</v>
      </c>
      <c r="B1807" s="27" t="s">
        <v>118</v>
      </c>
      <c r="C1807" s="27" t="s">
        <v>93</v>
      </c>
      <c r="D1807" s="27" t="s">
        <v>16</v>
      </c>
      <c r="E1807" s="28">
        <v>147700</v>
      </c>
      <c r="F1807" s="28">
        <v>120400</v>
      </c>
      <c r="G1807" s="27" t="s">
        <v>11</v>
      </c>
      <c r="H1807" s="27" t="s">
        <v>4741</v>
      </c>
      <c r="I1807" s="27" t="s">
        <v>9</v>
      </c>
    </row>
    <row r="1808" spans="1:9" x14ac:dyDescent="0.3">
      <c r="A1808" s="26">
        <v>45027</v>
      </c>
      <c r="B1808" s="27" t="s">
        <v>118</v>
      </c>
      <c r="C1808" s="27" t="s">
        <v>6</v>
      </c>
      <c r="D1808" s="27" t="s">
        <v>21</v>
      </c>
      <c r="E1808" s="28">
        <v>105900</v>
      </c>
      <c r="F1808" s="28">
        <v>105100</v>
      </c>
      <c r="G1808" s="27" t="s">
        <v>22</v>
      </c>
      <c r="H1808" s="27" t="s">
        <v>4915</v>
      </c>
      <c r="I1808" s="27" t="s">
        <v>9</v>
      </c>
    </row>
    <row r="1809" spans="1:9" x14ac:dyDescent="0.3">
      <c r="A1809" s="26">
        <v>45027</v>
      </c>
      <c r="B1809" s="27" t="s">
        <v>118</v>
      </c>
      <c r="C1809" s="27" t="s">
        <v>6</v>
      </c>
      <c r="D1809" s="27" t="s">
        <v>16</v>
      </c>
      <c r="E1809" s="28">
        <v>121300</v>
      </c>
      <c r="F1809" s="28">
        <v>144400</v>
      </c>
      <c r="G1809" s="27" t="s">
        <v>11</v>
      </c>
      <c r="H1809" s="27" t="s">
        <v>5203</v>
      </c>
      <c r="I1809" s="27" t="s">
        <v>9</v>
      </c>
    </row>
    <row r="1810" spans="1:9" x14ac:dyDescent="0.3">
      <c r="A1810" s="26">
        <v>45027</v>
      </c>
      <c r="B1810" s="27" t="s">
        <v>118</v>
      </c>
      <c r="C1810" s="27" t="s">
        <v>6</v>
      </c>
      <c r="D1810" s="27" t="s">
        <v>24</v>
      </c>
      <c r="E1810" s="28">
        <v>149100</v>
      </c>
      <c r="F1810" s="28">
        <v>128000</v>
      </c>
      <c r="G1810" s="27" t="s">
        <v>22</v>
      </c>
      <c r="H1810" s="27" t="s">
        <v>5607</v>
      </c>
      <c r="I1810" s="27" t="s">
        <v>9</v>
      </c>
    </row>
    <row r="1811" spans="1:9" x14ac:dyDescent="0.3">
      <c r="A1811" s="26">
        <v>45027</v>
      </c>
      <c r="B1811" s="27" t="s">
        <v>118</v>
      </c>
      <c r="C1811" s="27" t="s">
        <v>6</v>
      </c>
      <c r="D1811" s="27" t="s">
        <v>16</v>
      </c>
      <c r="E1811" s="28">
        <v>120100</v>
      </c>
      <c r="F1811" s="28">
        <v>158800</v>
      </c>
      <c r="G1811" s="27" t="s">
        <v>17</v>
      </c>
      <c r="H1811" s="27" t="s">
        <v>5831</v>
      </c>
      <c r="I1811" s="27" t="s">
        <v>9</v>
      </c>
    </row>
    <row r="1812" spans="1:9" x14ac:dyDescent="0.3">
      <c r="A1812" s="26">
        <v>45027</v>
      </c>
      <c r="B1812" s="27" t="s">
        <v>118</v>
      </c>
      <c r="C1812" s="27" t="s">
        <v>6</v>
      </c>
      <c r="D1812" s="27" t="s">
        <v>21</v>
      </c>
      <c r="E1812" s="28">
        <v>308900</v>
      </c>
      <c r="F1812" s="28">
        <v>204500</v>
      </c>
      <c r="G1812" s="27" t="s">
        <v>22</v>
      </c>
      <c r="H1812" s="27" t="s">
        <v>6369</v>
      </c>
      <c r="I1812" s="27" t="s">
        <v>9</v>
      </c>
    </row>
    <row r="1813" spans="1:9" x14ac:dyDescent="0.3">
      <c r="A1813" s="26">
        <v>45027</v>
      </c>
      <c r="B1813" s="27" t="s">
        <v>118</v>
      </c>
      <c r="C1813" s="27" t="s">
        <v>93</v>
      </c>
      <c r="D1813" s="27" t="s">
        <v>16</v>
      </c>
      <c r="E1813" s="28">
        <v>204700</v>
      </c>
      <c r="F1813" s="28">
        <v>246700</v>
      </c>
      <c r="G1813" s="27" t="s">
        <v>11</v>
      </c>
      <c r="H1813" s="27" t="s">
        <v>6820</v>
      </c>
      <c r="I1813" s="27" t="s">
        <v>9</v>
      </c>
    </row>
    <row r="1814" spans="1:9" x14ac:dyDescent="0.3">
      <c r="A1814" s="26">
        <v>45028</v>
      </c>
      <c r="B1814" s="27" t="s">
        <v>118</v>
      </c>
      <c r="C1814" s="27" t="s">
        <v>32</v>
      </c>
      <c r="D1814" s="27" t="s">
        <v>21</v>
      </c>
      <c r="E1814" s="28">
        <v>144078</v>
      </c>
      <c r="F1814" s="28">
        <v>83304</v>
      </c>
      <c r="G1814" s="27" t="s">
        <v>11</v>
      </c>
      <c r="H1814" s="27" t="s">
        <v>40</v>
      </c>
      <c r="I1814" s="27" t="s">
        <v>13</v>
      </c>
    </row>
    <row r="1815" spans="1:9" x14ac:dyDescent="0.3">
      <c r="A1815" s="26">
        <v>45028</v>
      </c>
      <c r="B1815" s="27" t="s">
        <v>118</v>
      </c>
      <c r="C1815" s="27" t="s">
        <v>10</v>
      </c>
      <c r="D1815" s="27" t="s">
        <v>7</v>
      </c>
      <c r="E1815" s="28">
        <v>55598</v>
      </c>
      <c r="F1815" s="28">
        <v>166320</v>
      </c>
      <c r="G1815" s="27" t="s">
        <v>17</v>
      </c>
      <c r="H1815" s="27" t="s">
        <v>1233</v>
      </c>
      <c r="I1815" s="27" t="s">
        <v>13</v>
      </c>
    </row>
    <row r="1816" spans="1:9" x14ac:dyDescent="0.3">
      <c r="A1816" s="26">
        <v>45028</v>
      </c>
      <c r="B1816" s="27" t="s">
        <v>118</v>
      </c>
      <c r="C1816" s="27" t="s">
        <v>15</v>
      </c>
      <c r="D1816" s="27" t="s">
        <v>7</v>
      </c>
      <c r="E1816" s="28">
        <v>11562</v>
      </c>
      <c r="F1816" s="28">
        <v>82920</v>
      </c>
      <c r="G1816" s="27" t="s">
        <v>11</v>
      </c>
      <c r="H1816" s="27" t="s">
        <v>1751</v>
      </c>
      <c r="I1816" s="27" t="s">
        <v>13</v>
      </c>
    </row>
    <row r="1817" spans="1:9" x14ac:dyDescent="0.3">
      <c r="A1817" s="26">
        <v>45028</v>
      </c>
      <c r="B1817" s="27" t="s">
        <v>118</v>
      </c>
      <c r="C1817" s="27" t="s">
        <v>20</v>
      </c>
      <c r="D1817" s="27" t="s">
        <v>19</v>
      </c>
      <c r="E1817" s="28">
        <v>14576</v>
      </c>
      <c r="F1817" s="28">
        <v>86240</v>
      </c>
      <c r="G1817" s="27" t="s">
        <v>11</v>
      </c>
      <c r="H1817" s="27" t="s">
        <v>2035</v>
      </c>
      <c r="I1817" s="27" t="s">
        <v>13</v>
      </c>
    </row>
    <row r="1818" spans="1:9" x14ac:dyDescent="0.3">
      <c r="A1818" s="26">
        <v>45028</v>
      </c>
      <c r="B1818" s="27" t="s">
        <v>118</v>
      </c>
      <c r="C1818" s="27" t="s">
        <v>10</v>
      </c>
      <c r="D1818" s="27" t="s">
        <v>21</v>
      </c>
      <c r="E1818" s="28">
        <v>149060</v>
      </c>
      <c r="F1818" s="28">
        <v>84644</v>
      </c>
      <c r="G1818" s="27" t="s">
        <v>11</v>
      </c>
      <c r="H1818" s="27" t="s">
        <v>2067</v>
      </c>
      <c r="I1818" s="27" t="s">
        <v>13</v>
      </c>
    </row>
    <row r="1819" spans="1:9" x14ac:dyDescent="0.3">
      <c r="A1819" s="26">
        <v>45028</v>
      </c>
      <c r="B1819" s="27" t="s">
        <v>118</v>
      </c>
      <c r="C1819" s="27" t="s">
        <v>18</v>
      </c>
      <c r="D1819" s="27" t="s">
        <v>16</v>
      </c>
      <c r="E1819" s="28">
        <v>130471</v>
      </c>
      <c r="F1819" s="28">
        <v>140490</v>
      </c>
      <c r="G1819" s="27" t="s">
        <v>11</v>
      </c>
      <c r="H1819" s="27" t="s">
        <v>2664</v>
      </c>
      <c r="I1819" s="27" t="s">
        <v>13</v>
      </c>
    </row>
    <row r="1820" spans="1:9" x14ac:dyDescent="0.3">
      <c r="A1820" s="26">
        <v>45028</v>
      </c>
      <c r="B1820" s="27" t="s">
        <v>118</v>
      </c>
      <c r="C1820" s="27" t="s">
        <v>14</v>
      </c>
      <c r="D1820" s="27" t="s">
        <v>24</v>
      </c>
      <c r="E1820" s="28">
        <v>115233</v>
      </c>
      <c r="F1820" s="28">
        <v>56718</v>
      </c>
      <c r="G1820" s="27" t="s">
        <v>22</v>
      </c>
      <c r="H1820" s="27" t="s">
        <v>2724</v>
      </c>
      <c r="I1820" s="27" t="s">
        <v>13</v>
      </c>
    </row>
    <row r="1821" spans="1:9" x14ac:dyDescent="0.3">
      <c r="A1821" s="26">
        <v>45028</v>
      </c>
      <c r="B1821" s="27" t="s">
        <v>118</v>
      </c>
      <c r="C1821" s="27" t="s">
        <v>20</v>
      </c>
      <c r="D1821" s="27" t="s">
        <v>7</v>
      </c>
      <c r="E1821" s="28">
        <v>18307</v>
      </c>
      <c r="F1821" s="28">
        <v>113147</v>
      </c>
      <c r="G1821" s="27" t="s">
        <v>8</v>
      </c>
      <c r="H1821" s="27" t="s">
        <v>3197</v>
      </c>
      <c r="I1821" s="27" t="s">
        <v>13</v>
      </c>
    </row>
    <row r="1822" spans="1:9" x14ac:dyDescent="0.3">
      <c r="A1822" s="26">
        <v>45028</v>
      </c>
      <c r="B1822" s="27" t="s">
        <v>118</v>
      </c>
      <c r="C1822" s="27" t="s">
        <v>93</v>
      </c>
      <c r="D1822" s="27" t="s">
        <v>21</v>
      </c>
      <c r="E1822" s="28">
        <v>108400</v>
      </c>
      <c r="F1822" s="28">
        <v>82900</v>
      </c>
      <c r="G1822" s="27" t="s">
        <v>11</v>
      </c>
      <c r="H1822" s="27" t="s">
        <v>3451</v>
      </c>
      <c r="I1822" s="27" t="s">
        <v>9</v>
      </c>
    </row>
    <row r="1823" spans="1:9" x14ac:dyDescent="0.3">
      <c r="A1823" s="26">
        <v>45028</v>
      </c>
      <c r="B1823" s="27" t="s">
        <v>118</v>
      </c>
      <c r="C1823" s="27" t="s">
        <v>6</v>
      </c>
      <c r="D1823" s="27" t="s">
        <v>7</v>
      </c>
      <c r="E1823" s="28">
        <v>283700</v>
      </c>
      <c r="F1823" s="28">
        <v>330900</v>
      </c>
      <c r="G1823" s="27" t="s">
        <v>22</v>
      </c>
      <c r="H1823" s="27" t="s">
        <v>4616</v>
      </c>
      <c r="I1823" s="27" t="s">
        <v>9</v>
      </c>
    </row>
    <row r="1824" spans="1:9" x14ac:dyDescent="0.3">
      <c r="A1824" s="26">
        <v>45028</v>
      </c>
      <c r="B1824" s="27" t="s">
        <v>118</v>
      </c>
      <c r="C1824" s="27" t="s">
        <v>6</v>
      </c>
      <c r="D1824" s="27" t="s">
        <v>7</v>
      </c>
      <c r="E1824" s="28">
        <v>131200</v>
      </c>
      <c r="F1824" s="28">
        <v>149300</v>
      </c>
      <c r="G1824" s="27" t="s">
        <v>11</v>
      </c>
      <c r="H1824" s="27" t="s">
        <v>5134</v>
      </c>
      <c r="I1824" s="27" t="s">
        <v>9</v>
      </c>
    </row>
    <row r="1825" spans="1:9" x14ac:dyDescent="0.3">
      <c r="A1825" s="26">
        <v>45028</v>
      </c>
      <c r="B1825" s="27" t="s">
        <v>118</v>
      </c>
      <c r="C1825" s="27" t="s">
        <v>93</v>
      </c>
      <c r="D1825" s="27" t="s">
        <v>19</v>
      </c>
      <c r="E1825" s="28">
        <v>154600</v>
      </c>
      <c r="F1825" s="28">
        <v>156400</v>
      </c>
      <c r="G1825" s="27" t="s">
        <v>11</v>
      </c>
      <c r="H1825" s="27" t="s">
        <v>5419</v>
      </c>
      <c r="I1825" s="27" t="s">
        <v>9</v>
      </c>
    </row>
    <row r="1826" spans="1:9" x14ac:dyDescent="0.3">
      <c r="A1826" s="26">
        <v>45028</v>
      </c>
      <c r="B1826" s="27" t="s">
        <v>118</v>
      </c>
      <c r="C1826" s="27" t="s">
        <v>6</v>
      </c>
      <c r="D1826" s="27" t="s">
        <v>21</v>
      </c>
      <c r="E1826" s="28">
        <v>177900</v>
      </c>
      <c r="F1826" s="28">
        <v>166100</v>
      </c>
      <c r="G1826" s="27" t="s">
        <v>22</v>
      </c>
      <c r="H1826" s="27" t="s">
        <v>5451</v>
      </c>
      <c r="I1826" s="27" t="s">
        <v>9</v>
      </c>
    </row>
    <row r="1827" spans="1:9" x14ac:dyDescent="0.3">
      <c r="A1827" s="26">
        <v>45028</v>
      </c>
      <c r="B1827" s="27" t="s">
        <v>118</v>
      </c>
      <c r="C1827" s="27" t="s">
        <v>93</v>
      </c>
      <c r="D1827" s="27" t="s">
        <v>16</v>
      </c>
      <c r="E1827" s="28">
        <v>122500</v>
      </c>
      <c r="F1827" s="28">
        <v>132200</v>
      </c>
      <c r="G1827" s="27" t="s">
        <v>22</v>
      </c>
      <c r="H1827" s="27" t="s">
        <v>6049</v>
      </c>
      <c r="I1827" s="27" t="s">
        <v>9</v>
      </c>
    </row>
    <row r="1828" spans="1:9" x14ac:dyDescent="0.3">
      <c r="A1828" s="26">
        <v>45028</v>
      </c>
      <c r="B1828" s="27" t="s">
        <v>118</v>
      </c>
      <c r="C1828" s="27" t="s">
        <v>93</v>
      </c>
      <c r="D1828" s="27" t="s">
        <v>24</v>
      </c>
      <c r="E1828" s="28">
        <v>56600</v>
      </c>
      <c r="F1828" s="28">
        <v>54000</v>
      </c>
      <c r="G1828" s="27" t="s">
        <v>11</v>
      </c>
      <c r="H1828" s="27" t="s">
        <v>6109</v>
      </c>
      <c r="I1828" s="27" t="s">
        <v>9</v>
      </c>
    </row>
    <row r="1829" spans="1:9" x14ac:dyDescent="0.3">
      <c r="A1829" s="26">
        <v>45028</v>
      </c>
      <c r="B1829" s="27" t="s">
        <v>118</v>
      </c>
      <c r="C1829" s="27" t="s">
        <v>6</v>
      </c>
      <c r="D1829" s="27" t="s">
        <v>7</v>
      </c>
      <c r="E1829" s="28">
        <v>217700</v>
      </c>
      <c r="F1829" s="28">
        <v>242600</v>
      </c>
      <c r="G1829" s="27" t="s">
        <v>22</v>
      </c>
      <c r="H1829" s="27" t="s">
        <v>6582</v>
      </c>
      <c r="I1829" s="27" t="s">
        <v>9</v>
      </c>
    </row>
    <row r="1830" spans="1:9" x14ac:dyDescent="0.3">
      <c r="A1830" s="26">
        <v>45029</v>
      </c>
      <c r="B1830" s="27" t="s">
        <v>118</v>
      </c>
      <c r="C1830" s="27" t="s">
        <v>20</v>
      </c>
      <c r="D1830" s="27" t="s">
        <v>24</v>
      </c>
      <c r="E1830" s="28">
        <v>144924</v>
      </c>
      <c r="F1830" s="28">
        <v>96563</v>
      </c>
      <c r="G1830" s="27" t="s">
        <v>8</v>
      </c>
      <c r="H1830" s="27" t="s">
        <v>402</v>
      </c>
      <c r="I1830" s="27" t="s">
        <v>13</v>
      </c>
    </row>
    <row r="1831" spans="1:9" x14ac:dyDescent="0.3">
      <c r="A1831" s="26">
        <v>45029</v>
      </c>
      <c r="B1831" s="27" t="s">
        <v>118</v>
      </c>
      <c r="C1831" s="27" t="s">
        <v>14</v>
      </c>
      <c r="D1831" s="27" t="s">
        <v>24</v>
      </c>
      <c r="E1831" s="28">
        <v>48966</v>
      </c>
      <c r="F1831" s="28">
        <v>118252</v>
      </c>
      <c r="G1831" s="27" t="s">
        <v>22</v>
      </c>
      <c r="H1831" s="27" t="s">
        <v>707</v>
      </c>
      <c r="I1831" s="27" t="s">
        <v>13</v>
      </c>
    </row>
    <row r="1832" spans="1:9" x14ac:dyDescent="0.3">
      <c r="A1832" s="26">
        <v>45029</v>
      </c>
      <c r="B1832" s="27" t="s">
        <v>118</v>
      </c>
      <c r="C1832" s="27" t="s">
        <v>15</v>
      </c>
      <c r="D1832" s="27" t="s">
        <v>16</v>
      </c>
      <c r="E1832" s="28">
        <v>116626</v>
      </c>
      <c r="F1832" s="28">
        <v>123072</v>
      </c>
      <c r="G1832" s="27" t="s">
        <v>22</v>
      </c>
      <c r="H1832" s="27" t="s">
        <v>947</v>
      </c>
      <c r="I1832" s="27" t="s">
        <v>13</v>
      </c>
    </row>
    <row r="1833" spans="1:9" x14ac:dyDescent="0.3">
      <c r="A1833" s="26">
        <v>45029</v>
      </c>
      <c r="B1833" s="27" t="s">
        <v>118</v>
      </c>
      <c r="C1833" s="27" t="s">
        <v>18</v>
      </c>
      <c r="D1833" s="27" t="s">
        <v>19</v>
      </c>
      <c r="E1833" s="28">
        <v>98601</v>
      </c>
      <c r="F1833" s="28">
        <v>18199</v>
      </c>
      <c r="G1833" s="27" t="s">
        <v>8</v>
      </c>
      <c r="H1833" s="27" t="s">
        <v>953</v>
      </c>
      <c r="I1833" s="27" t="s">
        <v>13</v>
      </c>
    </row>
    <row r="1834" spans="1:9" x14ac:dyDescent="0.3">
      <c r="A1834" s="26">
        <v>45029</v>
      </c>
      <c r="B1834" s="27" t="s">
        <v>118</v>
      </c>
      <c r="C1834" s="27" t="s">
        <v>10</v>
      </c>
      <c r="D1834" s="27" t="s">
        <v>7</v>
      </c>
      <c r="E1834" s="28">
        <v>127849</v>
      </c>
      <c r="F1834" s="28">
        <v>94189</v>
      </c>
      <c r="G1834" s="27" t="s">
        <v>17</v>
      </c>
      <c r="H1834" s="27" t="s">
        <v>1085</v>
      </c>
      <c r="I1834" s="27" t="s">
        <v>13</v>
      </c>
    </row>
    <row r="1835" spans="1:9" x14ac:dyDescent="0.3">
      <c r="A1835" s="26">
        <v>45029</v>
      </c>
      <c r="B1835" s="27" t="s">
        <v>118</v>
      </c>
      <c r="C1835" s="27" t="s">
        <v>10</v>
      </c>
      <c r="D1835" s="27" t="s">
        <v>24</v>
      </c>
      <c r="E1835" s="28">
        <v>117787</v>
      </c>
      <c r="F1835" s="28">
        <v>56617</v>
      </c>
      <c r="G1835" s="27" t="s">
        <v>8</v>
      </c>
      <c r="H1835" s="27" t="s">
        <v>1187</v>
      </c>
      <c r="I1835" s="27" t="s">
        <v>13</v>
      </c>
    </row>
    <row r="1836" spans="1:9" x14ac:dyDescent="0.3">
      <c r="A1836" s="26">
        <v>45029</v>
      </c>
      <c r="B1836" s="27" t="s">
        <v>118</v>
      </c>
      <c r="C1836" s="27" t="s">
        <v>15</v>
      </c>
      <c r="D1836" s="27" t="s">
        <v>24</v>
      </c>
      <c r="E1836" s="28">
        <v>58951</v>
      </c>
      <c r="F1836" s="28">
        <v>136298</v>
      </c>
      <c r="G1836" s="27" t="s">
        <v>11</v>
      </c>
      <c r="H1836" s="27" t="s">
        <v>1309</v>
      </c>
      <c r="I1836" s="27" t="s">
        <v>13</v>
      </c>
    </row>
    <row r="1837" spans="1:9" x14ac:dyDescent="0.3">
      <c r="A1837" s="26">
        <v>45029</v>
      </c>
      <c r="B1837" s="27" t="s">
        <v>118</v>
      </c>
      <c r="C1837" s="27" t="s">
        <v>20</v>
      </c>
      <c r="D1837" s="27" t="s">
        <v>24</v>
      </c>
      <c r="E1837" s="28">
        <v>84144</v>
      </c>
      <c r="F1837" s="28">
        <v>93211</v>
      </c>
      <c r="G1837" s="27" t="s">
        <v>8</v>
      </c>
      <c r="H1837" s="27" t="s">
        <v>1896</v>
      </c>
      <c r="I1837" s="27" t="s">
        <v>13</v>
      </c>
    </row>
    <row r="1838" spans="1:9" x14ac:dyDescent="0.3">
      <c r="A1838" s="26">
        <v>45029</v>
      </c>
      <c r="B1838" s="27" t="s">
        <v>118</v>
      </c>
      <c r="C1838" s="27" t="s">
        <v>32</v>
      </c>
      <c r="D1838" s="27" t="s">
        <v>21</v>
      </c>
      <c r="E1838" s="28">
        <v>32980</v>
      </c>
      <c r="F1838" s="28">
        <v>47401</v>
      </c>
      <c r="G1838" s="27" t="s">
        <v>17</v>
      </c>
      <c r="H1838" s="27" t="s">
        <v>2183</v>
      </c>
      <c r="I1838" s="27" t="s">
        <v>13</v>
      </c>
    </row>
    <row r="1839" spans="1:9" x14ac:dyDescent="0.3">
      <c r="A1839" s="26">
        <v>45029</v>
      </c>
      <c r="B1839" s="27" t="s">
        <v>118</v>
      </c>
      <c r="C1839" s="27" t="s">
        <v>32</v>
      </c>
      <c r="D1839" s="27" t="s">
        <v>19</v>
      </c>
      <c r="E1839" s="28">
        <v>111320</v>
      </c>
      <c r="F1839" s="28">
        <v>144646</v>
      </c>
      <c r="G1839" s="27" t="s">
        <v>17</v>
      </c>
      <c r="H1839" s="27" t="s">
        <v>2187</v>
      </c>
      <c r="I1839" s="27" t="s">
        <v>13</v>
      </c>
    </row>
    <row r="1840" spans="1:9" x14ac:dyDescent="0.3">
      <c r="A1840" s="26">
        <v>45029</v>
      </c>
      <c r="B1840" s="27" t="s">
        <v>118</v>
      </c>
      <c r="C1840" s="27" t="s">
        <v>20</v>
      </c>
      <c r="D1840" s="27" t="s">
        <v>24</v>
      </c>
      <c r="E1840" s="28">
        <v>15749</v>
      </c>
      <c r="F1840" s="28">
        <v>67003</v>
      </c>
      <c r="G1840" s="27" t="s">
        <v>17</v>
      </c>
      <c r="H1840" s="27" t="s">
        <v>2480</v>
      </c>
      <c r="I1840" s="27" t="s">
        <v>13</v>
      </c>
    </row>
    <row r="1841" spans="1:9" x14ac:dyDescent="0.3">
      <c r="A1841" s="26">
        <v>45029</v>
      </c>
      <c r="B1841" s="27" t="s">
        <v>118</v>
      </c>
      <c r="C1841" s="27" t="s">
        <v>18</v>
      </c>
      <c r="D1841" s="27" t="s">
        <v>21</v>
      </c>
      <c r="E1841" s="28">
        <v>140564</v>
      </c>
      <c r="F1841" s="28">
        <v>147407</v>
      </c>
      <c r="G1841" s="27" t="s">
        <v>17</v>
      </c>
      <c r="H1841" s="27" t="s">
        <v>2759</v>
      </c>
      <c r="I1841" s="27" t="s">
        <v>13</v>
      </c>
    </row>
    <row r="1842" spans="1:9" x14ac:dyDescent="0.3">
      <c r="A1842" s="26">
        <v>45029</v>
      </c>
      <c r="B1842" s="27" t="s">
        <v>118</v>
      </c>
      <c r="C1842" s="27" t="s">
        <v>20</v>
      </c>
      <c r="D1842" s="27" t="s">
        <v>21</v>
      </c>
      <c r="E1842" s="28">
        <v>51429</v>
      </c>
      <c r="F1842" s="28">
        <v>38979</v>
      </c>
      <c r="G1842" s="27" t="s">
        <v>8</v>
      </c>
      <c r="H1842" s="27" t="s">
        <v>2789</v>
      </c>
      <c r="I1842" s="27" t="s">
        <v>13</v>
      </c>
    </row>
    <row r="1843" spans="1:9" x14ac:dyDescent="0.3">
      <c r="A1843" s="26">
        <v>45029</v>
      </c>
      <c r="B1843" s="27" t="s">
        <v>118</v>
      </c>
      <c r="C1843" s="27" t="s">
        <v>18</v>
      </c>
      <c r="D1843" s="27" t="s">
        <v>24</v>
      </c>
      <c r="E1843" s="28">
        <v>63974</v>
      </c>
      <c r="F1843" s="28">
        <v>30423</v>
      </c>
      <c r="G1843" s="27" t="s">
        <v>8</v>
      </c>
      <c r="H1843" s="27" t="s">
        <v>2850</v>
      </c>
      <c r="I1843" s="27" t="s">
        <v>13</v>
      </c>
    </row>
    <row r="1844" spans="1:9" x14ac:dyDescent="0.3">
      <c r="A1844" s="26">
        <v>45029</v>
      </c>
      <c r="B1844" s="27" t="s">
        <v>118</v>
      </c>
      <c r="C1844" s="27" t="s">
        <v>15</v>
      </c>
      <c r="D1844" s="27" t="s">
        <v>19</v>
      </c>
      <c r="E1844" s="28">
        <v>99643</v>
      </c>
      <c r="F1844" s="28">
        <v>107257</v>
      </c>
      <c r="G1844" s="27" t="s">
        <v>17</v>
      </c>
      <c r="H1844" s="27" t="s">
        <v>2993</v>
      </c>
      <c r="I1844" s="27" t="s">
        <v>13</v>
      </c>
    </row>
    <row r="1845" spans="1:9" x14ac:dyDescent="0.3">
      <c r="A1845" s="26">
        <v>45029</v>
      </c>
      <c r="B1845" s="27" t="s">
        <v>118</v>
      </c>
      <c r="C1845" s="27" t="s">
        <v>93</v>
      </c>
      <c r="D1845" s="27" t="s">
        <v>24</v>
      </c>
      <c r="E1845" s="28">
        <v>171500</v>
      </c>
      <c r="F1845" s="28">
        <v>200700</v>
      </c>
      <c r="G1845" s="27" t="s">
        <v>22</v>
      </c>
      <c r="H1845" s="27" t="s">
        <v>3783</v>
      </c>
      <c r="I1845" s="27" t="s">
        <v>9</v>
      </c>
    </row>
    <row r="1846" spans="1:9" x14ac:dyDescent="0.3">
      <c r="A1846" s="26">
        <v>45029</v>
      </c>
      <c r="B1846" s="27" t="s">
        <v>118</v>
      </c>
      <c r="C1846" s="27" t="s">
        <v>6</v>
      </c>
      <c r="D1846" s="27" t="s">
        <v>24</v>
      </c>
      <c r="E1846" s="28">
        <v>85000</v>
      </c>
      <c r="F1846" s="28">
        <v>106800</v>
      </c>
      <c r="G1846" s="27" t="s">
        <v>11</v>
      </c>
      <c r="H1846" s="27" t="s">
        <v>4088</v>
      </c>
      <c r="I1846" s="27" t="s">
        <v>9</v>
      </c>
    </row>
    <row r="1847" spans="1:9" x14ac:dyDescent="0.3">
      <c r="A1847" s="26">
        <v>45029</v>
      </c>
      <c r="B1847" s="27" t="s">
        <v>118</v>
      </c>
      <c r="C1847" s="27" t="s">
        <v>93</v>
      </c>
      <c r="D1847" s="27" t="s">
        <v>16</v>
      </c>
      <c r="E1847" s="28">
        <v>126100</v>
      </c>
      <c r="F1847" s="28">
        <v>125800</v>
      </c>
      <c r="G1847" s="27" t="s">
        <v>11</v>
      </c>
      <c r="H1847" s="27" t="s">
        <v>4328</v>
      </c>
      <c r="I1847" s="27" t="s">
        <v>9</v>
      </c>
    </row>
    <row r="1848" spans="1:9" x14ac:dyDescent="0.3">
      <c r="A1848" s="26">
        <v>45029</v>
      </c>
      <c r="B1848" s="27" t="s">
        <v>118</v>
      </c>
      <c r="C1848" s="27" t="s">
        <v>93</v>
      </c>
      <c r="D1848" s="27" t="s">
        <v>19</v>
      </c>
      <c r="E1848" s="28">
        <v>112400</v>
      </c>
      <c r="F1848" s="28">
        <v>114500</v>
      </c>
      <c r="G1848" s="27" t="s">
        <v>22</v>
      </c>
      <c r="H1848" s="27" t="s">
        <v>4334</v>
      </c>
      <c r="I1848" s="27" t="s">
        <v>9</v>
      </c>
    </row>
    <row r="1849" spans="1:9" x14ac:dyDescent="0.3">
      <c r="A1849" s="26">
        <v>45029</v>
      </c>
      <c r="B1849" s="27" t="s">
        <v>118</v>
      </c>
      <c r="C1849" s="27" t="s">
        <v>93</v>
      </c>
      <c r="D1849" s="27" t="s">
        <v>7</v>
      </c>
      <c r="E1849" s="28">
        <v>244500</v>
      </c>
      <c r="F1849" s="28">
        <v>286600</v>
      </c>
      <c r="G1849" s="27" t="s">
        <v>11</v>
      </c>
      <c r="H1849" s="27" t="s">
        <v>4467</v>
      </c>
      <c r="I1849" s="27" t="s">
        <v>9</v>
      </c>
    </row>
    <row r="1850" spans="1:9" x14ac:dyDescent="0.3">
      <c r="A1850" s="26">
        <v>45029</v>
      </c>
      <c r="B1850" s="27" t="s">
        <v>118</v>
      </c>
      <c r="C1850" s="27" t="s">
        <v>6</v>
      </c>
      <c r="D1850" s="27" t="s">
        <v>24</v>
      </c>
      <c r="E1850" s="28">
        <v>145600</v>
      </c>
      <c r="F1850" s="28">
        <v>145000</v>
      </c>
      <c r="G1850" s="27" t="s">
        <v>11</v>
      </c>
      <c r="H1850" s="27" t="s">
        <v>4570</v>
      </c>
      <c r="I1850" s="27" t="s">
        <v>9</v>
      </c>
    </row>
    <row r="1851" spans="1:9" x14ac:dyDescent="0.3">
      <c r="A1851" s="26">
        <v>45029</v>
      </c>
      <c r="B1851" s="27" t="s">
        <v>118</v>
      </c>
      <c r="C1851" s="27" t="s">
        <v>93</v>
      </c>
      <c r="D1851" s="27" t="s">
        <v>24</v>
      </c>
      <c r="E1851" s="28">
        <v>74300</v>
      </c>
      <c r="F1851" s="28">
        <v>67300</v>
      </c>
      <c r="G1851" s="27" t="s">
        <v>11</v>
      </c>
      <c r="H1851" s="27" t="s">
        <v>4692</v>
      </c>
      <c r="I1851" s="27" t="s">
        <v>9</v>
      </c>
    </row>
    <row r="1852" spans="1:9" x14ac:dyDescent="0.3">
      <c r="A1852" s="26">
        <v>45029</v>
      </c>
      <c r="B1852" s="27" t="s">
        <v>118</v>
      </c>
      <c r="C1852" s="27" t="s">
        <v>6</v>
      </c>
      <c r="D1852" s="27" t="s">
        <v>24</v>
      </c>
      <c r="E1852" s="28">
        <v>267500</v>
      </c>
      <c r="F1852" s="28">
        <v>285100</v>
      </c>
      <c r="G1852" s="27" t="s">
        <v>22</v>
      </c>
      <c r="H1852" s="27" t="s">
        <v>5280</v>
      </c>
      <c r="I1852" s="27" t="s">
        <v>9</v>
      </c>
    </row>
    <row r="1853" spans="1:9" x14ac:dyDescent="0.3">
      <c r="A1853" s="26">
        <v>45029</v>
      </c>
      <c r="B1853" s="27" t="s">
        <v>118</v>
      </c>
      <c r="C1853" s="27" t="s">
        <v>6</v>
      </c>
      <c r="D1853" s="27" t="s">
        <v>21</v>
      </c>
      <c r="E1853" s="28">
        <v>215000</v>
      </c>
      <c r="F1853" s="28">
        <v>225400</v>
      </c>
      <c r="G1853" s="27" t="s">
        <v>11</v>
      </c>
      <c r="H1853" s="27" t="s">
        <v>5568</v>
      </c>
      <c r="I1853" s="27" t="s">
        <v>9</v>
      </c>
    </row>
    <row r="1854" spans="1:9" x14ac:dyDescent="0.3">
      <c r="A1854" s="26">
        <v>45029</v>
      </c>
      <c r="B1854" s="27" t="s">
        <v>118</v>
      </c>
      <c r="C1854" s="27" t="s">
        <v>93</v>
      </c>
      <c r="D1854" s="27" t="s">
        <v>19</v>
      </c>
      <c r="E1854" s="28">
        <v>115400</v>
      </c>
      <c r="F1854" s="28">
        <v>121300</v>
      </c>
      <c r="G1854" s="27" t="s">
        <v>11</v>
      </c>
      <c r="H1854" s="27" t="s">
        <v>5572</v>
      </c>
      <c r="I1854" s="27" t="s">
        <v>9</v>
      </c>
    </row>
    <row r="1855" spans="1:9" x14ac:dyDescent="0.3">
      <c r="A1855" s="26">
        <v>45029</v>
      </c>
      <c r="B1855" s="27" t="s">
        <v>118</v>
      </c>
      <c r="C1855" s="27" t="s">
        <v>6</v>
      </c>
      <c r="D1855" s="27" t="s">
        <v>24</v>
      </c>
      <c r="E1855" s="28">
        <v>158500</v>
      </c>
      <c r="F1855" s="28">
        <v>166400</v>
      </c>
      <c r="G1855" s="27" t="s">
        <v>11</v>
      </c>
      <c r="H1855" s="27" t="s">
        <v>5865</v>
      </c>
      <c r="I1855" s="27" t="s">
        <v>9</v>
      </c>
    </row>
    <row r="1856" spans="1:9" x14ac:dyDescent="0.3">
      <c r="A1856" s="26">
        <v>45029</v>
      </c>
      <c r="B1856" s="27" t="s">
        <v>118</v>
      </c>
      <c r="C1856" s="27" t="s">
        <v>6</v>
      </c>
      <c r="D1856" s="27" t="s">
        <v>21</v>
      </c>
      <c r="E1856" s="28">
        <v>103900</v>
      </c>
      <c r="F1856" s="28">
        <v>119300</v>
      </c>
      <c r="G1856" s="27" t="s">
        <v>22</v>
      </c>
      <c r="H1856" s="27" t="s">
        <v>6144</v>
      </c>
      <c r="I1856" s="27" t="s">
        <v>9</v>
      </c>
    </row>
    <row r="1857" spans="1:9" x14ac:dyDescent="0.3">
      <c r="A1857" s="26">
        <v>45029</v>
      </c>
      <c r="B1857" s="27" t="s">
        <v>118</v>
      </c>
      <c r="C1857" s="27" t="s">
        <v>6</v>
      </c>
      <c r="D1857" s="27" t="s">
        <v>21</v>
      </c>
      <c r="E1857" s="28">
        <v>87100</v>
      </c>
      <c r="F1857" s="28">
        <v>69400</v>
      </c>
      <c r="G1857" s="27" t="s">
        <v>11</v>
      </c>
      <c r="H1857" s="27" t="s">
        <v>6174</v>
      </c>
      <c r="I1857" s="27" t="s">
        <v>9</v>
      </c>
    </row>
    <row r="1858" spans="1:9" x14ac:dyDescent="0.3">
      <c r="A1858" s="26">
        <v>45029</v>
      </c>
      <c r="B1858" s="27" t="s">
        <v>118</v>
      </c>
      <c r="C1858" s="27" t="s">
        <v>93</v>
      </c>
      <c r="D1858" s="27" t="s">
        <v>24</v>
      </c>
      <c r="E1858" s="28">
        <v>65800</v>
      </c>
      <c r="F1858" s="28">
        <v>73100</v>
      </c>
      <c r="G1858" s="27" t="s">
        <v>22</v>
      </c>
      <c r="H1858" s="27" t="s">
        <v>6235</v>
      </c>
      <c r="I1858" s="27" t="s">
        <v>9</v>
      </c>
    </row>
    <row r="1859" spans="1:9" x14ac:dyDescent="0.3">
      <c r="A1859" s="26">
        <v>45029</v>
      </c>
      <c r="B1859" s="27" t="s">
        <v>118</v>
      </c>
      <c r="C1859" s="27" t="s">
        <v>6</v>
      </c>
      <c r="D1859" s="27" t="s">
        <v>19</v>
      </c>
      <c r="E1859" s="28">
        <v>57600</v>
      </c>
      <c r="F1859" s="28">
        <v>58100</v>
      </c>
      <c r="G1859" s="27" t="s">
        <v>22</v>
      </c>
      <c r="H1859" s="27" t="s">
        <v>6378</v>
      </c>
      <c r="I1859" s="27" t="s">
        <v>9</v>
      </c>
    </row>
    <row r="1860" spans="1:9" x14ac:dyDescent="0.3">
      <c r="A1860" s="26">
        <v>45030</v>
      </c>
      <c r="B1860" s="27" t="s">
        <v>118</v>
      </c>
      <c r="C1860" s="27" t="s">
        <v>18</v>
      </c>
      <c r="D1860" s="27" t="s">
        <v>21</v>
      </c>
      <c r="E1860" s="28">
        <v>118185</v>
      </c>
      <c r="F1860" s="28">
        <v>130907</v>
      </c>
      <c r="G1860" s="27" t="s">
        <v>8</v>
      </c>
      <c r="H1860" s="27" t="s">
        <v>159</v>
      </c>
      <c r="I1860" s="27" t="s">
        <v>13</v>
      </c>
    </row>
    <row r="1861" spans="1:9" x14ac:dyDescent="0.3">
      <c r="A1861" s="26">
        <v>45030</v>
      </c>
      <c r="B1861" s="27" t="s">
        <v>118</v>
      </c>
      <c r="C1861" s="27" t="s">
        <v>15</v>
      </c>
      <c r="D1861" s="27" t="s">
        <v>19</v>
      </c>
      <c r="E1861" s="28">
        <v>47227</v>
      </c>
      <c r="F1861" s="28">
        <v>115088</v>
      </c>
      <c r="G1861" s="27" t="s">
        <v>22</v>
      </c>
      <c r="H1861" s="27" t="s">
        <v>1248</v>
      </c>
      <c r="I1861" s="27" t="s">
        <v>13</v>
      </c>
    </row>
    <row r="1862" spans="1:9" x14ac:dyDescent="0.3">
      <c r="A1862" s="26">
        <v>45030</v>
      </c>
      <c r="B1862" s="27" t="s">
        <v>118</v>
      </c>
      <c r="C1862" s="27" t="s">
        <v>32</v>
      </c>
      <c r="D1862" s="27" t="s">
        <v>24</v>
      </c>
      <c r="E1862" s="28">
        <v>43960</v>
      </c>
      <c r="F1862" s="28">
        <v>99884</v>
      </c>
      <c r="G1862" s="27" t="s">
        <v>11</v>
      </c>
      <c r="H1862" s="27" t="s">
        <v>1677</v>
      </c>
      <c r="I1862" s="27" t="s">
        <v>13</v>
      </c>
    </row>
    <row r="1863" spans="1:9" x14ac:dyDescent="0.3">
      <c r="A1863" s="26">
        <v>45030</v>
      </c>
      <c r="B1863" s="27" t="s">
        <v>118</v>
      </c>
      <c r="C1863" s="27" t="s">
        <v>14</v>
      </c>
      <c r="D1863" s="27" t="s">
        <v>7</v>
      </c>
      <c r="E1863" s="28">
        <v>18977</v>
      </c>
      <c r="F1863" s="28">
        <v>109381</v>
      </c>
      <c r="G1863" s="27" t="s">
        <v>11</v>
      </c>
      <c r="H1863" s="27" t="s">
        <v>2080</v>
      </c>
      <c r="I1863" s="27" t="s">
        <v>13</v>
      </c>
    </row>
    <row r="1864" spans="1:9" x14ac:dyDescent="0.3">
      <c r="A1864" s="26">
        <v>45030</v>
      </c>
      <c r="B1864" s="27" t="s">
        <v>118</v>
      </c>
      <c r="C1864" s="27" t="s">
        <v>32</v>
      </c>
      <c r="D1864" s="27" t="s">
        <v>19</v>
      </c>
      <c r="E1864" s="28">
        <v>83516</v>
      </c>
      <c r="F1864" s="28">
        <v>63932</v>
      </c>
      <c r="G1864" s="27" t="s">
        <v>17</v>
      </c>
      <c r="H1864" s="27" t="s">
        <v>2181</v>
      </c>
      <c r="I1864" s="27" t="s">
        <v>13</v>
      </c>
    </row>
    <row r="1865" spans="1:9" x14ac:dyDescent="0.3">
      <c r="A1865" s="26">
        <v>45030</v>
      </c>
      <c r="B1865" s="27" t="s">
        <v>118</v>
      </c>
      <c r="C1865" s="27" t="s">
        <v>20</v>
      </c>
      <c r="D1865" s="27" t="s">
        <v>21</v>
      </c>
      <c r="E1865" s="28">
        <v>86881</v>
      </c>
      <c r="F1865" s="28">
        <v>115114</v>
      </c>
      <c r="G1865" s="27" t="s">
        <v>17</v>
      </c>
      <c r="H1865" s="27" t="s">
        <v>2811</v>
      </c>
      <c r="I1865" s="27" t="s">
        <v>13</v>
      </c>
    </row>
    <row r="1866" spans="1:9" x14ac:dyDescent="0.3">
      <c r="A1866" s="26">
        <v>45030</v>
      </c>
      <c r="B1866" s="27" t="s">
        <v>118</v>
      </c>
      <c r="C1866" s="27" t="s">
        <v>10</v>
      </c>
      <c r="D1866" s="27" t="s">
        <v>21</v>
      </c>
      <c r="E1866" s="28">
        <v>91065</v>
      </c>
      <c r="F1866" s="28">
        <v>164012</v>
      </c>
      <c r="G1866" s="27" t="s">
        <v>8</v>
      </c>
      <c r="H1866" s="27" t="s">
        <v>2970</v>
      </c>
      <c r="I1866" s="27" t="s">
        <v>13</v>
      </c>
    </row>
    <row r="1867" spans="1:9" x14ac:dyDescent="0.3">
      <c r="A1867" s="26">
        <v>45030</v>
      </c>
      <c r="B1867" s="27" t="s">
        <v>118</v>
      </c>
      <c r="C1867" s="27" t="s">
        <v>20</v>
      </c>
      <c r="D1867" s="27" t="s">
        <v>16</v>
      </c>
      <c r="E1867" s="28">
        <v>39784</v>
      </c>
      <c r="F1867" s="28">
        <v>63905</v>
      </c>
      <c r="G1867" s="27" t="s">
        <v>17</v>
      </c>
      <c r="H1867" s="27" t="s">
        <v>3343</v>
      </c>
      <c r="I1867" s="27" t="s">
        <v>13</v>
      </c>
    </row>
    <row r="1868" spans="1:9" x14ac:dyDescent="0.3">
      <c r="A1868" s="26">
        <v>45030</v>
      </c>
      <c r="B1868" s="27" t="s">
        <v>118</v>
      </c>
      <c r="C1868" s="27" t="s">
        <v>93</v>
      </c>
      <c r="D1868" s="27" t="s">
        <v>21</v>
      </c>
      <c r="E1868" s="28">
        <v>215900</v>
      </c>
      <c r="F1868" s="28">
        <v>211100</v>
      </c>
      <c r="G1868" s="27" t="s">
        <v>22</v>
      </c>
      <c r="H1868" s="27" t="s">
        <v>3540</v>
      </c>
      <c r="I1868" s="27" t="s">
        <v>9</v>
      </c>
    </row>
    <row r="1869" spans="1:9" x14ac:dyDescent="0.3">
      <c r="A1869" s="26">
        <v>45030</v>
      </c>
      <c r="B1869" s="27" t="s">
        <v>118</v>
      </c>
      <c r="C1869" s="27" t="s">
        <v>93</v>
      </c>
      <c r="D1869" s="27" t="s">
        <v>19</v>
      </c>
      <c r="E1869" s="28">
        <v>145600</v>
      </c>
      <c r="F1869" s="28">
        <v>132700</v>
      </c>
      <c r="G1869" s="27" t="s">
        <v>22</v>
      </c>
      <c r="H1869" s="27" t="s">
        <v>4631</v>
      </c>
      <c r="I1869" s="27" t="s">
        <v>9</v>
      </c>
    </row>
    <row r="1870" spans="1:9" x14ac:dyDescent="0.3">
      <c r="A1870" s="26">
        <v>45030</v>
      </c>
      <c r="B1870" s="27" t="s">
        <v>118</v>
      </c>
      <c r="C1870" s="27" t="s">
        <v>6</v>
      </c>
      <c r="D1870" s="27" t="s">
        <v>24</v>
      </c>
      <c r="E1870" s="28">
        <v>120200</v>
      </c>
      <c r="F1870" s="28">
        <v>130100</v>
      </c>
      <c r="G1870" s="27" t="s">
        <v>22</v>
      </c>
      <c r="H1870" s="27" t="s">
        <v>5060</v>
      </c>
      <c r="I1870" s="27" t="s">
        <v>9</v>
      </c>
    </row>
    <row r="1871" spans="1:9" x14ac:dyDescent="0.3">
      <c r="A1871" s="26">
        <v>45030</v>
      </c>
      <c r="B1871" s="27" t="s">
        <v>118</v>
      </c>
      <c r="C1871" s="27" t="s">
        <v>6</v>
      </c>
      <c r="D1871" s="27" t="s">
        <v>7</v>
      </c>
      <c r="E1871" s="28">
        <v>178600</v>
      </c>
      <c r="F1871" s="28">
        <v>184300</v>
      </c>
      <c r="G1871" s="27" t="s">
        <v>11</v>
      </c>
      <c r="H1871" s="27" t="s">
        <v>5464</v>
      </c>
      <c r="I1871" s="27" t="s">
        <v>9</v>
      </c>
    </row>
    <row r="1872" spans="1:9" x14ac:dyDescent="0.3">
      <c r="A1872" s="26">
        <v>45030</v>
      </c>
      <c r="B1872" s="27" t="s">
        <v>118</v>
      </c>
      <c r="C1872" s="27" t="s">
        <v>6</v>
      </c>
      <c r="D1872" s="27" t="s">
        <v>19</v>
      </c>
      <c r="E1872" s="28">
        <v>79900</v>
      </c>
      <c r="F1872" s="28">
        <v>89500</v>
      </c>
      <c r="G1872" s="27" t="s">
        <v>11</v>
      </c>
      <c r="H1872" s="27" t="s">
        <v>5566</v>
      </c>
      <c r="I1872" s="27" t="s">
        <v>9</v>
      </c>
    </row>
    <row r="1873" spans="1:9" x14ac:dyDescent="0.3">
      <c r="A1873" s="26">
        <v>45030</v>
      </c>
      <c r="B1873" s="27" t="s">
        <v>118</v>
      </c>
      <c r="C1873" s="27" t="s">
        <v>93</v>
      </c>
      <c r="D1873" s="27" t="s">
        <v>21</v>
      </c>
      <c r="E1873" s="28">
        <v>58700</v>
      </c>
      <c r="F1873" s="28">
        <v>57700</v>
      </c>
      <c r="G1873" s="27" t="s">
        <v>11</v>
      </c>
      <c r="H1873" s="27" t="s">
        <v>6196</v>
      </c>
      <c r="I1873" s="27" t="s">
        <v>9</v>
      </c>
    </row>
    <row r="1874" spans="1:9" x14ac:dyDescent="0.3">
      <c r="A1874" s="26">
        <v>45030</v>
      </c>
      <c r="B1874" s="27" t="s">
        <v>118</v>
      </c>
      <c r="C1874" s="27" t="s">
        <v>6</v>
      </c>
      <c r="D1874" s="27" t="s">
        <v>21</v>
      </c>
      <c r="E1874" s="28">
        <v>104400</v>
      </c>
      <c r="F1874" s="28">
        <v>119700</v>
      </c>
      <c r="G1874" s="27" t="s">
        <v>22</v>
      </c>
      <c r="H1874" s="27" t="s">
        <v>6355</v>
      </c>
      <c r="I1874" s="27" t="s">
        <v>9</v>
      </c>
    </row>
    <row r="1875" spans="1:9" x14ac:dyDescent="0.3">
      <c r="A1875" s="26">
        <v>45030</v>
      </c>
      <c r="B1875" s="27" t="s">
        <v>118</v>
      </c>
      <c r="C1875" s="27" t="s">
        <v>6</v>
      </c>
      <c r="D1875" s="27" t="s">
        <v>16</v>
      </c>
      <c r="E1875" s="28">
        <v>113000</v>
      </c>
      <c r="F1875" s="28">
        <v>129500</v>
      </c>
      <c r="G1875" s="27" t="s">
        <v>17</v>
      </c>
      <c r="H1875" s="27" t="s">
        <v>6728</v>
      </c>
      <c r="I1875" s="27" t="s">
        <v>9</v>
      </c>
    </row>
    <row r="1876" spans="1:9" x14ac:dyDescent="0.3">
      <c r="A1876" s="26">
        <v>45031</v>
      </c>
      <c r="B1876" s="27" t="s">
        <v>118</v>
      </c>
      <c r="C1876" s="27" t="s">
        <v>20</v>
      </c>
      <c r="D1876" s="27" t="s">
        <v>7</v>
      </c>
      <c r="E1876" s="28">
        <v>115634</v>
      </c>
      <c r="F1876" s="28">
        <v>145745</v>
      </c>
      <c r="G1876" s="27" t="s">
        <v>8</v>
      </c>
      <c r="H1876" s="27" t="s">
        <v>699</v>
      </c>
      <c r="I1876" s="27" t="s">
        <v>13</v>
      </c>
    </row>
    <row r="1877" spans="1:9" x14ac:dyDescent="0.3">
      <c r="A1877" s="26">
        <v>45031</v>
      </c>
      <c r="B1877" s="27" t="s">
        <v>118</v>
      </c>
      <c r="C1877" s="27" t="s">
        <v>14</v>
      </c>
      <c r="D1877" s="27" t="s">
        <v>24</v>
      </c>
      <c r="E1877" s="28">
        <v>32368</v>
      </c>
      <c r="F1877" s="28">
        <v>127294</v>
      </c>
      <c r="G1877" s="27" t="s">
        <v>22</v>
      </c>
      <c r="H1877" s="27" t="s">
        <v>1489</v>
      </c>
      <c r="I1877" s="27" t="s">
        <v>13</v>
      </c>
    </row>
    <row r="1878" spans="1:9" x14ac:dyDescent="0.3">
      <c r="A1878" s="26">
        <v>45031</v>
      </c>
      <c r="B1878" s="27" t="s">
        <v>118</v>
      </c>
      <c r="C1878" s="27" t="s">
        <v>32</v>
      </c>
      <c r="D1878" s="27" t="s">
        <v>19</v>
      </c>
      <c r="E1878" s="28">
        <v>107987</v>
      </c>
      <c r="F1878" s="28">
        <v>110744</v>
      </c>
      <c r="G1878" s="27" t="s">
        <v>8</v>
      </c>
      <c r="H1878" s="27" t="s">
        <v>2021</v>
      </c>
      <c r="I1878" s="27" t="s">
        <v>13</v>
      </c>
    </row>
    <row r="1879" spans="1:9" x14ac:dyDescent="0.3">
      <c r="A1879" s="26">
        <v>45031</v>
      </c>
      <c r="B1879" s="27" t="s">
        <v>118</v>
      </c>
      <c r="C1879" s="27" t="s">
        <v>14</v>
      </c>
      <c r="D1879" s="27" t="s">
        <v>21</v>
      </c>
      <c r="E1879" s="28">
        <v>59877</v>
      </c>
      <c r="F1879" s="28">
        <v>77650</v>
      </c>
      <c r="G1879" s="27" t="s">
        <v>17</v>
      </c>
      <c r="H1879" s="27" t="s">
        <v>2172</v>
      </c>
      <c r="I1879" s="27" t="s">
        <v>13</v>
      </c>
    </row>
    <row r="1880" spans="1:9" x14ac:dyDescent="0.3">
      <c r="A1880" s="26">
        <v>45031</v>
      </c>
      <c r="B1880" s="27" t="s">
        <v>118</v>
      </c>
      <c r="C1880" s="27" t="s">
        <v>14</v>
      </c>
      <c r="D1880" s="27" t="s">
        <v>24</v>
      </c>
      <c r="E1880" s="28">
        <v>100524</v>
      </c>
      <c r="F1880" s="28">
        <v>40868</v>
      </c>
      <c r="G1880" s="27" t="s">
        <v>22</v>
      </c>
      <c r="H1880" s="27" t="s">
        <v>2299</v>
      </c>
      <c r="I1880" s="27" t="s">
        <v>13</v>
      </c>
    </row>
    <row r="1881" spans="1:9" x14ac:dyDescent="0.3">
      <c r="A1881" s="26">
        <v>45031</v>
      </c>
      <c r="B1881" s="27" t="s">
        <v>118</v>
      </c>
      <c r="C1881" s="27" t="s">
        <v>10</v>
      </c>
      <c r="D1881" s="27" t="s">
        <v>21</v>
      </c>
      <c r="E1881" s="28">
        <v>139104</v>
      </c>
      <c r="F1881" s="28">
        <v>159947</v>
      </c>
      <c r="G1881" s="27" t="s">
        <v>8</v>
      </c>
      <c r="H1881" s="27" t="s">
        <v>2303</v>
      </c>
      <c r="I1881" s="27" t="s">
        <v>13</v>
      </c>
    </row>
    <row r="1882" spans="1:9" x14ac:dyDescent="0.3">
      <c r="A1882" s="26">
        <v>45031</v>
      </c>
      <c r="B1882" s="27" t="s">
        <v>118</v>
      </c>
      <c r="C1882" s="27" t="s">
        <v>15</v>
      </c>
      <c r="D1882" s="27" t="s">
        <v>21</v>
      </c>
      <c r="E1882" s="28">
        <v>92188</v>
      </c>
      <c r="F1882" s="28">
        <v>115668</v>
      </c>
      <c r="G1882" s="27" t="s">
        <v>8</v>
      </c>
      <c r="H1882" s="27" t="s">
        <v>2802</v>
      </c>
      <c r="I1882" s="27" t="s">
        <v>13</v>
      </c>
    </row>
    <row r="1883" spans="1:9" x14ac:dyDescent="0.3">
      <c r="A1883" s="26">
        <v>45031</v>
      </c>
      <c r="B1883" s="27" t="s">
        <v>118</v>
      </c>
      <c r="C1883" s="27" t="s">
        <v>93</v>
      </c>
      <c r="D1883" s="27" t="s">
        <v>7</v>
      </c>
      <c r="E1883" s="28">
        <v>93200</v>
      </c>
      <c r="F1883" s="28">
        <v>122900</v>
      </c>
      <c r="G1883" s="27" t="s">
        <v>17</v>
      </c>
      <c r="H1883" s="27" t="s">
        <v>4080</v>
      </c>
      <c r="I1883" s="27" t="s">
        <v>9</v>
      </c>
    </row>
    <row r="1884" spans="1:9" x14ac:dyDescent="0.3">
      <c r="A1884" s="26">
        <v>45031</v>
      </c>
      <c r="B1884" s="27" t="s">
        <v>118</v>
      </c>
      <c r="C1884" s="27" t="s">
        <v>6</v>
      </c>
      <c r="D1884" s="27" t="s">
        <v>24</v>
      </c>
      <c r="E1884" s="28">
        <v>121300</v>
      </c>
      <c r="F1884" s="28">
        <v>139000</v>
      </c>
      <c r="G1884" s="27" t="s">
        <v>22</v>
      </c>
      <c r="H1884" s="27" t="s">
        <v>4872</v>
      </c>
      <c r="I1884" s="27" t="s">
        <v>9</v>
      </c>
    </row>
    <row r="1885" spans="1:9" x14ac:dyDescent="0.3">
      <c r="A1885" s="26">
        <v>45031</v>
      </c>
      <c r="B1885" s="27" t="s">
        <v>118</v>
      </c>
      <c r="C1885" s="27" t="s">
        <v>93</v>
      </c>
      <c r="D1885" s="27" t="s">
        <v>19</v>
      </c>
      <c r="E1885" s="28">
        <v>52600</v>
      </c>
      <c r="F1885" s="28">
        <v>65400</v>
      </c>
      <c r="G1885" s="27" t="s">
        <v>11</v>
      </c>
      <c r="H1885" s="27" t="s">
        <v>5405</v>
      </c>
      <c r="I1885" s="27" t="s">
        <v>9</v>
      </c>
    </row>
    <row r="1886" spans="1:9" x14ac:dyDescent="0.3">
      <c r="A1886" s="26">
        <v>45031</v>
      </c>
      <c r="B1886" s="27" t="s">
        <v>118</v>
      </c>
      <c r="C1886" s="27" t="s">
        <v>6</v>
      </c>
      <c r="D1886" s="27" t="s">
        <v>21</v>
      </c>
      <c r="E1886" s="28">
        <v>199400</v>
      </c>
      <c r="F1886" s="28">
        <v>215400</v>
      </c>
      <c r="G1886" s="27" t="s">
        <v>22</v>
      </c>
      <c r="H1886" s="27" t="s">
        <v>5557</v>
      </c>
      <c r="I1886" s="27" t="s">
        <v>9</v>
      </c>
    </row>
    <row r="1887" spans="1:9" x14ac:dyDescent="0.3">
      <c r="A1887" s="26">
        <v>45031</v>
      </c>
      <c r="B1887" s="27" t="s">
        <v>118</v>
      </c>
      <c r="C1887" s="27" t="s">
        <v>6</v>
      </c>
      <c r="D1887" s="27" t="s">
        <v>24</v>
      </c>
      <c r="E1887" s="28">
        <v>92200</v>
      </c>
      <c r="F1887" s="28">
        <v>115500</v>
      </c>
      <c r="G1887" s="27" t="s">
        <v>22</v>
      </c>
      <c r="H1887" s="27" t="s">
        <v>5684</v>
      </c>
      <c r="I1887" s="27" t="s">
        <v>9</v>
      </c>
    </row>
    <row r="1888" spans="1:9" x14ac:dyDescent="0.3">
      <c r="A1888" s="26">
        <v>45031</v>
      </c>
      <c r="B1888" s="27" t="s">
        <v>118</v>
      </c>
      <c r="C1888" s="27" t="s">
        <v>6</v>
      </c>
      <c r="D1888" s="27" t="s">
        <v>21</v>
      </c>
      <c r="E1888" s="28">
        <v>170900</v>
      </c>
      <c r="F1888" s="28">
        <v>210600</v>
      </c>
      <c r="G1888" s="27" t="s">
        <v>22</v>
      </c>
      <c r="H1888" s="27" t="s">
        <v>5688</v>
      </c>
      <c r="I1888" s="27" t="s">
        <v>9</v>
      </c>
    </row>
    <row r="1889" spans="1:9" x14ac:dyDescent="0.3">
      <c r="A1889" s="26">
        <v>45031</v>
      </c>
      <c r="B1889" s="27" t="s">
        <v>118</v>
      </c>
      <c r="C1889" s="27" t="s">
        <v>6</v>
      </c>
      <c r="D1889" s="27" t="s">
        <v>21</v>
      </c>
      <c r="E1889" s="28">
        <v>100500</v>
      </c>
      <c r="F1889" s="28">
        <v>98700</v>
      </c>
      <c r="G1889" s="27" t="s">
        <v>22</v>
      </c>
      <c r="H1889" s="27" t="s">
        <v>6187</v>
      </c>
      <c r="I1889" s="27" t="s">
        <v>9</v>
      </c>
    </row>
    <row r="1890" spans="1:9" x14ac:dyDescent="0.3">
      <c r="A1890" s="26">
        <v>45032</v>
      </c>
      <c r="B1890" s="27" t="s">
        <v>118</v>
      </c>
      <c r="C1890" s="27" t="s">
        <v>20</v>
      </c>
      <c r="D1890" s="27" t="s">
        <v>21</v>
      </c>
      <c r="E1890" s="28">
        <v>85755</v>
      </c>
      <c r="F1890" s="28">
        <v>91097</v>
      </c>
      <c r="G1890" s="27" t="s">
        <v>8</v>
      </c>
      <c r="H1890" s="27" t="s">
        <v>94</v>
      </c>
      <c r="I1890" s="27" t="s">
        <v>13</v>
      </c>
    </row>
    <row r="1891" spans="1:9" x14ac:dyDescent="0.3">
      <c r="A1891" s="26">
        <v>45032</v>
      </c>
      <c r="B1891" s="27" t="s">
        <v>118</v>
      </c>
      <c r="C1891" s="27" t="s">
        <v>18</v>
      </c>
      <c r="D1891" s="27" t="s">
        <v>16</v>
      </c>
      <c r="E1891" s="28">
        <v>134488</v>
      </c>
      <c r="F1891" s="28">
        <v>42369</v>
      </c>
      <c r="G1891" s="27" t="s">
        <v>22</v>
      </c>
      <c r="H1891" s="27" t="s">
        <v>331</v>
      </c>
      <c r="I1891" s="27" t="s">
        <v>13</v>
      </c>
    </row>
    <row r="1892" spans="1:9" x14ac:dyDescent="0.3">
      <c r="A1892" s="26">
        <v>45032</v>
      </c>
      <c r="B1892" s="27" t="s">
        <v>118</v>
      </c>
      <c r="C1892" s="27" t="s">
        <v>14</v>
      </c>
      <c r="D1892" s="27" t="s">
        <v>21</v>
      </c>
      <c r="E1892" s="28">
        <v>17460</v>
      </c>
      <c r="F1892" s="28">
        <v>32174</v>
      </c>
      <c r="G1892" s="27" t="s">
        <v>8</v>
      </c>
      <c r="H1892" s="27" t="s">
        <v>754</v>
      </c>
      <c r="I1892" s="27" t="s">
        <v>13</v>
      </c>
    </row>
    <row r="1893" spans="1:9" x14ac:dyDescent="0.3">
      <c r="A1893" s="26">
        <v>45032</v>
      </c>
      <c r="B1893" s="27" t="s">
        <v>118</v>
      </c>
      <c r="C1893" s="27" t="s">
        <v>10</v>
      </c>
      <c r="D1893" s="27" t="s">
        <v>7</v>
      </c>
      <c r="E1893" s="28">
        <v>52297</v>
      </c>
      <c r="F1893" s="28">
        <v>55780</v>
      </c>
      <c r="G1893" s="27" t="s">
        <v>8</v>
      </c>
      <c r="H1893" s="27" t="s">
        <v>969</v>
      </c>
      <c r="I1893" s="27" t="s">
        <v>13</v>
      </c>
    </row>
    <row r="1894" spans="1:9" x14ac:dyDescent="0.3">
      <c r="A1894" s="26">
        <v>45032</v>
      </c>
      <c r="B1894" s="27" t="s">
        <v>118</v>
      </c>
      <c r="C1894" s="27" t="s">
        <v>20</v>
      </c>
      <c r="D1894" s="27" t="s">
        <v>16</v>
      </c>
      <c r="E1894" s="28">
        <v>77713</v>
      </c>
      <c r="F1894" s="28">
        <v>63008</v>
      </c>
      <c r="G1894" s="27" t="s">
        <v>11</v>
      </c>
      <c r="H1894" s="27" t="s">
        <v>1107</v>
      </c>
      <c r="I1894" s="27" t="s">
        <v>13</v>
      </c>
    </row>
    <row r="1895" spans="1:9" x14ac:dyDescent="0.3">
      <c r="A1895" s="26">
        <v>45032</v>
      </c>
      <c r="B1895" s="27" t="s">
        <v>118</v>
      </c>
      <c r="C1895" s="27" t="s">
        <v>18</v>
      </c>
      <c r="D1895" s="27" t="s">
        <v>21</v>
      </c>
      <c r="E1895" s="28">
        <v>112492</v>
      </c>
      <c r="F1895" s="28">
        <v>42378</v>
      </c>
      <c r="G1895" s="27" t="s">
        <v>17</v>
      </c>
      <c r="H1895" s="27" t="s">
        <v>1807</v>
      </c>
      <c r="I1895" s="27" t="s">
        <v>13</v>
      </c>
    </row>
    <row r="1896" spans="1:9" x14ac:dyDescent="0.3">
      <c r="A1896" s="26">
        <v>45032</v>
      </c>
      <c r="B1896" s="27" t="s">
        <v>118</v>
      </c>
      <c r="C1896" s="27" t="s">
        <v>20</v>
      </c>
      <c r="D1896" s="27" t="s">
        <v>24</v>
      </c>
      <c r="E1896" s="28">
        <v>80787</v>
      </c>
      <c r="F1896" s="28">
        <v>11213</v>
      </c>
      <c r="G1896" s="27" t="s">
        <v>11</v>
      </c>
      <c r="H1896" s="27" t="s">
        <v>1925</v>
      </c>
      <c r="I1896" s="27" t="s">
        <v>13</v>
      </c>
    </row>
    <row r="1897" spans="1:9" x14ac:dyDescent="0.3">
      <c r="A1897" s="26">
        <v>45032</v>
      </c>
      <c r="B1897" s="27" t="s">
        <v>118</v>
      </c>
      <c r="C1897" s="27" t="s">
        <v>32</v>
      </c>
      <c r="D1897" s="27" t="s">
        <v>24</v>
      </c>
      <c r="E1897" s="28">
        <v>129972</v>
      </c>
      <c r="F1897" s="28">
        <v>11386</v>
      </c>
      <c r="G1897" s="27" t="s">
        <v>17</v>
      </c>
      <c r="H1897" s="27" t="s">
        <v>1945</v>
      </c>
      <c r="I1897" s="27" t="s">
        <v>13</v>
      </c>
    </row>
    <row r="1898" spans="1:9" x14ac:dyDescent="0.3">
      <c r="A1898" s="26">
        <v>45032</v>
      </c>
      <c r="B1898" s="27" t="s">
        <v>118</v>
      </c>
      <c r="C1898" s="27" t="s">
        <v>14</v>
      </c>
      <c r="D1898" s="27" t="s">
        <v>21</v>
      </c>
      <c r="E1898" s="28">
        <v>132841</v>
      </c>
      <c r="F1898" s="28">
        <v>25013</v>
      </c>
      <c r="G1898" s="27" t="s">
        <v>17</v>
      </c>
      <c r="H1898" s="27" t="s">
        <v>2543</v>
      </c>
      <c r="I1898" s="27" t="s">
        <v>13</v>
      </c>
    </row>
    <row r="1899" spans="1:9" x14ac:dyDescent="0.3">
      <c r="A1899" s="26">
        <v>45032</v>
      </c>
      <c r="B1899" s="27" t="s">
        <v>118</v>
      </c>
      <c r="C1899" s="27" t="s">
        <v>14</v>
      </c>
      <c r="D1899" s="27" t="s">
        <v>24</v>
      </c>
      <c r="E1899" s="28">
        <v>107115</v>
      </c>
      <c r="F1899" s="28">
        <v>67868</v>
      </c>
      <c r="G1899" s="27" t="s">
        <v>17</v>
      </c>
      <c r="H1899" s="27" t="s">
        <v>2611</v>
      </c>
      <c r="I1899" s="27" t="s">
        <v>13</v>
      </c>
    </row>
    <row r="1900" spans="1:9" x14ac:dyDescent="0.3">
      <c r="A1900" s="26">
        <v>45032</v>
      </c>
      <c r="B1900" s="27" t="s">
        <v>118</v>
      </c>
      <c r="C1900" s="27" t="s">
        <v>18</v>
      </c>
      <c r="D1900" s="27" t="s">
        <v>19</v>
      </c>
      <c r="E1900" s="28">
        <v>90560</v>
      </c>
      <c r="F1900" s="28">
        <v>151033</v>
      </c>
      <c r="G1900" s="27" t="s">
        <v>11</v>
      </c>
      <c r="H1900" s="27" t="s">
        <v>2884</v>
      </c>
      <c r="I1900" s="27" t="s">
        <v>13</v>
      </c>
    </row>
    <row r="1901" spans="1:9" x14ac:dyDescent="0.3">
      <c r="A1901" s="26">
        <v>45032</v>
      </c>
      <c r="B1901" s="27" t="s">
        <v>118</v>
      </c>
      <c r="C1901" s="27" t="s">
        <v>10</v>
      </c>
      <c r="D1901" s="27" t="s">
        <v>21</v>
      </c>
      <c r="E1901" s="28">
        <v>115632</v>
      </c>
      <c r="F1901" s="28">
        <v>166766</v>
      </c>
      <c r="G1901" s="27" t="s">
        <v>11</v>
      </c>
      <c r="H1901" s="27" t="s">
        <v>2917</v>
      </c>
      <c r="I1901" s="27" t="s">
        <v>13</v>
      </c>
    </row>
    <row r="1902" spans="1:9" x14ac:dyDescent="0.3">
      <c r="A1902" s="26">
        <v>45032</v>
      </c>
      <c r="B1902" s="27" t="s">
        <v>118</v>
      </c>
      <c r="C1902" s="27" t="s">
        <v>20</v>
      </c>
      <c r="D1902" s="27" t="s">
        <v>24</v>
      </c>
      <c r="E1902" s="28">
        <v>78721</v>
      </c>
      <c r="F1902" s="28">
        <v>89655</v>
      </c>
      <c r="G1902" s="27" t="s">
        <v>17</v>
      </c>
      <c r="H1902" s="27" t="s">
        <v>2968</v>
      </c>
      <c r="I1902" s="27" t="s">
        <v>13</v>
      </c>
    </row>
    <row r="1903" spans="1:9" x14ac:dyDescent="0.3">
      <c r="A1903" s="26">
        <v>45032</v>
      </c>
      <c r="B1903" s="27" t="s">
        <v>118</v>
      </c>
      <c r="C1903" s="27" t="s">
        <v>14</v>
      </c>
      <c r="D1903" s="27" t="s">
        <v>19</v>
      </c>
      <c r="E1903" s="28">
        <v>36858</v>
      </c>
      <c r="F1903" s="28">
        <v>163101</v>
      </c>
      <c r="G1903" s="27" t="s">
        <v>17</v>
      </c>
      <c r="H1903" s="27" t="s">
        <v>2975</v>
      </c>
      <c r="I1903" s="27" t="s">
        <v>13</v>
      </c>
    </row>
    <row r="1904" spans="1:9" x14ac:dyDescent="0.3">
      <c r="A1904" s="26">
        <v>45032</v>
      </c>
      <c r="B1904" s="27" t="s">
        <v>118</v>
      </c>
      <c r="C1904" s="27" t="s">
        <v>93</v>
      </c>
      <c r="D1904" s="27" t="s">
        <v>21</v>
      </c>
      <c r="E1904" s="28">
        <v>110400</v>
      </c>
      <c r="F1904" s="28">
        <v>110900</v>
      </c>
      <c r="G1904" s="27" t="s">
        <v>11</v>
      </c>
      <c r="H1904" s="27" t="s">
        <v>3494</v>
      </c>
      <c r="I1904" s="27" t="s">
        <v>9</v>
      </c>
    </row>
    <row r="1905" spans="1:9" x14ac:dyDescent="0.3">
      <c r="A1905" s="26">
        <v>45032</v>
      </c>
      <c r="B1905" s="27" t="s">
        <v>118</v>
      </c>
      <c r="C1905" s="27" t="s">
        <v>6</v>
      </c>
      <c r="D1905" s="27" t="s">
        <v>16</v>
      </c>
      <c r="E1905" s="28">
        <v>104400</v>
      </c>
      <c r="F1905" s="28">
        <v>118600</v>
      </c>
      <c r="G1905" s="27" t="s">
        <v>22</v>
      </c>
      <c r="H1905" s="27" t="s">
        <v>3712</v>
      </c>
      <c r="I1905" s="27" t="s">
        <v>9</v>
      </c>
    </row>
    <row r="1906" spans="1:9" x14ac:dyDescent="0.3">
      <c r="A1906" s="26">
        <v>45032</v>
      </c>
      <c r="B1906" s="27" t="s">
        <v>118</v>
      </c>
      <c r="C1906" s="27" t="s">
        <v>93</v>
      </c>
      <c r="D1906" s="27" t="s">
        <v>21</v>
      </c>
      <c r="E1906" s="28">
        <v>112900</v>
      </c>
      <c r="F1906" s="28">
        <v>129800</v>
      </c>
      <c r="G1906" s="27" t="s">
        <v>22</v>
      </c>
      <c r="H1906" s="27" t="s">
        <v>4135</v>
      </c>
      <c r="I1906" s="27" t="s">
        <v>9</v>
      </c>
    </row>
    <row r="1907" spans="1:9" x14ac:dyDescent="0.3">
      <c r="A1907" s="26">
        <v>45032</v>
      </c>
      <c r="B1907" s="27" t="s">
        <v>118</v>
      </c>
      <c r="C1907" s="27" t="s">
        <v>93</v>
      </c>
      <c r="D1907" s="27" t="s">
        <v>7</v>
      </c>
      <c r="E1907" s="28">
        <v>61200</v>
      </c>
      <c r="F1907" s="28">
        <v>64100</v>
      </c>
      <c r="G1907" s="27" t="s">
        <v>11</v>
      </c>
      <c r="H1907" s="27" t="s">
        <v>4350</v>
      </c>
      <c r="I1907" s="27" t="s">
        <v>9</v>
      </c>
    </row>
    <row r="1908" spans="1:9" x14ac:dyDescent="0.3">
      <c r="A1908" s="26">
        <v>45032</v>
      </c>
      <c r="B1908" s="27" t="s">
        <v>118</v>
      </c>
      <c r="C1908" s="27" t="s">
        <v>6</v>
      </c>
      <c r="D1908" s="27" t="s">
        <v>16</v>
      </c>
      <c r="E1908" s="28">
        <v>126700</v>
      </c>
      <c r="F1908" s="28">
        <v>135500</v>
      </c>
      <c r="G1908" s="27" t="s">
        <v>11</v>
      </c>
      <c r="H1908" s="27" t="s">
        <v>4490</v>
      </c>
      <c r="I1908" s="27" t="s">
        <v>9</v>
      </c>
    </row>
    <row r="1909" spans="1:9" x14ac:dyDescent="0.3">
      <c r="A1909" s="26">
        <v>45032</v>
      </c>
      <c r="B1909" s="27" t="s">
        <v>118</v>
      </c>
      <c r="C1909" s="27" t="s">
        <v>6</v>
      </c>
      <c r="D1909" s="27" t="s">
        <v>21</v>
      </c>
      <c r="E1909" s="28">
        <v>119600</v>
      </c>
      <c r="F1909" s="28">
        <v>92700</v>
      </c>
      <c r="G1909" s="27" t="s">
        <v>11</v>
      </c>
      <c r="H1909" s="27" t="s">
        <v>5190</v>
      </c>
      <c r="I1909" s="27" t="s">
        <v>9</v>
      </c>
    </row>
    <row r="1910" spans="1:9" x14ac:dyDescent="0.3">
      <c r="A1910" s="26">
        <v>45032</v>
      </c>
      <c r="B1910" s="27" t="s">
        <v>118</v>
      </c>
      <c r="C1910" s="27" t="s">
        <v>6</v>
      </c>
      <c r="D1910" s="27" t="s">
        <v>24</v>
      </c>
      <c r="E1910" s="28">
        <v>67000</v>
      </c>
      <c r="F1910" s="28">
        <v>80400</v>
      </c>
      <c r="G1910" s="27" t="s">
        <v>11</v>
      </c>
      <c r="H1910" s="27" t="s">
        <v>5309</v>
      </c>
      <c r="I1910" s="27" t="s">
        <v>9</v>
      </c>
    </row>
    <row r="1911" spans="1:9" x14ac:dyDescent="0.3">
      <c r="A1911" s="26">
        <v>45032</v>
      </c>
      <c r="B1911" s="27" t="s">
        <v>118</v>
      </c>
      <c r="C1911" s="27" t="s">
        <v>6</v>
      </c>
      <c r="D1911" s="27" t="s">
        <v>24</v>
      </c>
      <c r="E1911" s="28">
        <v>214800</v>
      </c>
      <c r="F1911" s="28">
        <v>230100</v>
      </c>
      <c r="G1911" s="27" t="s">
        <v>11</v>
      </c>
      <c r="H1911" s="27" t="s">
        <v>5329</v>
      </c>
      <c r="I1911" s="27" t="s">
        <v>9</v>
      </c>
    </row>
    <row r="1912" spans="1:9" x14ac:dyDescent="0.3">
      <c r="A1912" s="26">
        <v>45032</v>
      </c>
      <c r="B1912" s="27" t="s">
        <v>118</v>
      </c>
      <c r="C1912" s="27" t="s">
        <v>93</v>
      </c>
      <c r="D1912" s="27" t="s">
        <v>21</v>
      </c>
      <c r="E1912" s="28">
        <v>180700</v>
      </c>
      <c r="F1912" s="28">
        <v>180500</v>
      </c>
      <c r="G1912" s="27" t="s">
        <v>22</v>
      </c>
      <c r="H1912" s="27" t="s">
        <v>5928</v>
      </c>
      <c r="I1912" s="27" t="s">
        <v>9</v>
      </c>
    </row>
    <row r="1913" spans="1:9" x14ac:dyDescent="0.3">
      <c r="A1913" s="26">
        <v>45032</v>
      </c>
      <c r="B1913" s="27" t="s">
        <v>118</v>
      </c>
      <c r="C1913" s="27" t="s">
        <v>6</v>
      </c>
      <c r="D1913" s="27" t="s">
        <v>24</v>
      </c>
      <c r="E1913" s="28">
        <v>140000</v>
      </c>
      <c r="F1913" s="28">
        <v>190400</v>
      </c>
      <c r="G1913" s="27" t="s">
        <v>17</v>
      </c>
      <c r="H1913" s="27" t="s">
        <v>5996</v>
      </c>
      <c r="I1913" s="27" t="s">
        <v>9</v>
      </c>
    </row>
    <row r="1914" spans="1:9" x14ac:dyDescent="0.3">
      <c r="A1914" s="26">
        <v>45032</v>
      </c>
      <c r="B1914" s="27" t="s">
        <v>118</v>
      </c>
      <c r="C1914" s="27" t="s">
        <v>6</v>
      </c>
      <c r="D1914" s="27" t="s">
        <v>19</v>
      </c>
      <c r="E1914" s="28">
        <v>174500</v>
      </c>
      <c r="F1914" s="28">
        <v>129300</v>
      </c>
      <c r="G1914" s="27" t="s">
        <v>17</v>
      </c>
      <c r="H1914" s="27" t="s">
        <v>6269</v>
      </c>
      <c r="I1914" s="27" t="s">
        <v>9</v>
      </c>
    </row>
    <row r="1915" spans="1:9" x14ac:dyDescent="0.3">
      <c r="A1915" s="26">
        <v>45032</v>
      </c>
      <c r="B1915" s="27" t="s">
        <v>118</v>
      </c>
      <c r="C1915" s="27" t="s">
        <v>6</v>
      </c>
      <c r="D1915" s="27" t="s">
        <v>21</v>
      </c>
      <c r="E1915" s="28">
        <v>74400</v>
      </c>
      <c r="F1915" s="28">
        <v>76400</v>
      </c>
      <c r="G1915" s="27" t="s">
        <v>22</v>
      </c>
      <c r="H1915" s="27" t="s">
        <v>6302</v>
      </c>
      <c r="I1915" s="27" t="s">
        <v>9</v>
      </c>
    </row>
    <row r="1916" spans="1:9" x14ac:dyDescent="0.3">
      <c r="A1916" s="26">
        <v>45032</v>
      </c>
      <c r="B1916" s="27" t="s">
        <v>118</v>
      </c>
      <c r="C1916" s="27" t="s">
        <v>6</v>
      </c>
      <c r="D1916" s="27" t="s">
        <v>24</v>
      </c>
      <c r="E1916" s="28">
        <v>139700</v>
      </c>
      <c r="F1916" s="28">
        <v>121500</v>
      </c>
      <c r="G1916" s="27" t="s">
        <v>11</v>
      </c>
      <c r="H1916" s="27" t="s">
        <v>6353</v>
      </c>
      <c r="I1916" s="27" t="s">
        <v>9</v>
      </c>
    </row>
    <row r="1917" spans="1:9" x14ac:dyDescent="0.3">
      <c r="A1917" s="26">
        <v>45032</v>
      </c>
      <c r="B1917" s="27" t="s">
        <v>118</v>
      </c>
      <c r="C1917" s="27" t="s">
        <v>6</v>
      </c>
      <c r="D1917" s="27" t="s">
        <v>19</v>
      </c>
      <c r="E1917" s="28">
        <v>65000</v>
      </c>
      <c r="F1917" s="28">
        <v>79400</v>
      </c>
      <c r="G1917" s="27" t="s">
        <v>11</v>
      </c>
      <c r="H1917" s="27" t="s">
        <v>6360</v>
      </c>
      <c r="I1917" s="27" t="s">
        <v>9</v>
      </c>
    </row>
    <row r="1918" spans="1:9" x14ac:dyDescent="0.3">
      <c r="A1918" s="26">
        <v>45033</v>
      </c>
      <c r="B1918" s="27" t="s">
        <v>118</v>
      </c>
      <c r="C1918" s="27" t="s">
        <v>15</v>
      </c>
      <c r="D1918" s="27" t="s">
        <v>7</v>
      </c>
      <c r="E1918" s="28">
        <v>118229</v>
      </c>
      <c r="F1918" s="28">
        <v>93824</v>
      </c>
      <c r="G1918" s="27" t="s">
        <v>11</v>
      </c>
      <c r="H1918" s="27" t="s">
        <v>594</v>
      </c>
      <c r="I1918" s="27" t="s">
        <v>13</v>
      </c>
    </row>
    <row r="1919" spans="1:9" x14ac:dyDescent="0.3">
      <c r="A1919" s="26">
        <v>45033</v>
      </c>
      <c r="B1919" s="27" t="s">
        <v>118</v>
      </c>
      <c r="C1919" s="27" t="s">
        <v>32</v>
      </c>
      <c r="D1919" s="27" t="s">
        <v>7</v>
      </c>
      <c r="E1919" s="28">
        <v>67125</v>
      </c>
      <c r="F1919" s="28">
        <v>24597</v>
      </c>
      <c r="G1919" s="27" t="s">
        <v>11</v>
      </c>
      <c r="H1919" s="27" t="s">
        <v>611</v>
      </c>
      <c r="I1919" s="27" t="s">
        <v>13</v>
      </c>
    </row>
    <row r="1920" spans="1:9" x14ac:dyDescent="0.3">
      <c r="A1920" s="26">
        <v>45033</v>
      </c>
      <c r="B1920" s="27" t="s">
        <v>118</v>
      </c>
      <c r="C1920" s="27" t="s">
        <v>14</v>
      </c>
      <c r="D1920" s="27" t="s">
        <v>19</v>
      </c>
      <c r="E1920" s="28">
        <v>47306</v>
      </c>
      <c r="F1920" s="28">
        <v>38617</v>
      </c>
      <c r="G1920" s="27" t="s">
        <v>11</v>
      </c>
      <c r="H1920" s="27" t="s">
        <v>806</v>
      </c>
      <c r="I1920" s="27" t="s">
        <v>13</v>
      </c>
    </row>
    <row r="1921" spans="1:9" x14ac:dyDescent="0.3">
      <c r="A1921" s="26">
        <v>45033</v>
      </c>
      <c r="B1921" s="27" t="s">
        <v>118</v>
      </c>
      <c r="C1921" s="27" t="s">
        <v>15</v>
      </c>
      <c r="D1921" s="27" t="s">
        <v>24</v>
      </c>
      <c r="E1921" s="28">
        <v>85861</v>
      </c>
      <c r="F1921" s="28">
        <v>64557</v>
      </c>
      <c r="G1921" s="27" t="s">
        <v>22</v>
      </c>
      <c r="H1921" s="27" t="s">
        <v>874</v>
      </c>
      <c r="I1921" s="27" t="s">
        <v>13</v>
      </c>
    </row>
    <row r="1922" spans="1:9" x14ac:dyDescent="0.3">
      <c r="A1922" s="26">
        <v>45033</v>
      </c>
      <c r="B1922" s="27" t="s">
        <v>118</v>
      </c>
      <c r="C1922" s="27" t="s">
        <v>20</v>
      </c>
      <c r="D1922" s="27" t="s">
        <v>7</v>
      </c>
      <c r="E1922" s="28">
        <v>15505</v>
      </c>
      <c r="F1922" s="28">
        <v>44534</v>
      </c>
      <c r="G1922" s="27" t="s">
        <v>22</v>
      </c>
      <c r="H1922" s="27" t="s">
        <v>955</v>
      </c>
      <c r="I1922" s="27" t="s">
        <v>13</v>
      </c>
    </row>
    <row r="1923" spans="1:9" x14ac:dyDescent="0.3">
      <c r="A1923" s="26">
        <v>45033</v>
      </c>
      <c r="B1923" s="27" t="s">
        <v>118</v>
      </c>
      <c r="C1923" s="27" t="s">
        <v>14</v>
      </c>
      <c r="D1923" s="27" t="s">
        <v>19</v>
      </c>
      <c r="E1923" s="28">
        <v>40617</v>
      </c>
      <c r="F1923" s="28">
        <v>82130</v>
      </c>
      <c r="G1923" s="27" t="s">
        <v>22</v>
      </c>
      <c r="H1923" s="27" t="s">
        <v>992</v>
      </c>
      <c r="I1923" s="27" t="s">
        <v>13</v>
      </c>
    </row>
    <row r="1924" spans="1:9" x14ac:dyDescent="0.3">
      <c r="A1924" s="26">
        <v>45033</v>
      </c>
      <c r="B1924" s="27" t="s">
        <v>118</v>
      </c>
      <c r="C1924" s="27" t="s">
        <v>10</v>
      </c>
      <c r="D1924" s="27" t="s">
        <v>16</v>
      </c>
      <c r="E1924" s="28">
        <v>80623</v>
      </c>
      <c r="F1924" s="28">
        <v>32486</v>
      </c>
      <c r="G1924" s="27" t="s">
        <v>22</v>
      </c>
      <c r="H1924" s="27" t="s">
        <v>1579</v>
      </c>
      <c r="I1924" s="27" t="s">
        <v>13</v>
      </c>
    </row>
    <row r="1925" spans="1:9" x14ac:dyDescent="0.3">
      <c r="A1925" s="26">
        <v>45033</v>
      </c>
      <c r="B1925" s="27" t="s">
        <v>118</v>
      </c>
      <c r="C1925" s="27" t="s">
        <v>15</v>
      </c>
      <c r="D1925" s="27" t="s">
        <v>24</v>
      </c>
      <c r="E1925" s="28">
        <v>120967</v>
      </c>
      <c r="F1925" s="28">
        <v>14758</v>
      </c>
      <c r="G1925" s="27" t="s">
        <v>22</v>
      </c>
      <c r="H1925" s="27" t="s">
        <v>1984</v>
      </c>
      <c r="I1925" s="27" t="s">
        <v>13</v>
      </c>
    </row>
    <row r="1926" spans="1:9" x14ac:dyDescent="0.3">
      <c r="A1926" s="26">
        <v>45033</v>
      </c>
      <c r="B1926" s="27" t="s">
        <v>118</v>
      </c>
      <c r="C1926" s="27" t="s">
        <v>10</v>
      </c>
      <c r="D1926" s="27" t="s">
        <v>19</v>
      </c>
      <c r="E1926" s="28">
        <v>77647</v>
      </c>
      <c r="F1926" s="28">
        <v>166118</v>
      </c>
      <c r="G1926" s="27" t="s">
        <v>11</v>
      </c>
      <c r="H1926" s="27" t="s">
        <v>2586</v>
      </c>
      <c r="I1926" s="27" t="s">
        <v>13</v>
      </c>
    </row>
    <row r="1927" spans="1:9" x14ac:dyDescent="0.3">
      <c r="A1927" s="26">
        <v>45033</v>
      </c>
      <c r="B1927" s="27" t="s">
        <v>118</v>
      </c>
      <c r="C1927" s="27" t="s">
        <v>6</v>
      </c>
      <c r="D1927" s="27" t="s">
        <v>7</v>
      </c>
      <c r="E1927" s="28">
        <v>105200</v>
      </c>
      <c r="F1927" s="28">
        <v>137900</v>
      </c>
      <c r="G1927" s="27" t="s">
        <v>11</v>
      </c>
      <c r="H1927" s="27" t="s">
        <v>3975</v>
      </c>
      <c r="I1927" s="27" t="s">
        <v>9</v>
      </c>
    </row>
    <row r="1928" spans="1:9" x14ac:dyDescent="0.3">
      <c r="A1928" s="26">
        <v>45033</v>
      </c>
      <c r="B1928" s="27" t="s">
        <v>118</v>
      </c>
      <c r="C1928" s="27" t="s">
        <v>93</v>
      </c>
      <c r="D1928" s="27" t="s">
        <v>7</v>
      </c>
      <c r="E1928" s="28">
        <v>126200</v>
      </c>
      <c r="F1928" s="28">
        <v>104500</v>
      </c>
      <c r="G1928" s="27" t="s">
        <v>11</v>
      </c>
      <c r="H1928" s="27" t="s">
        <v>3992</v>
      </c>
      <c r="I1928" s="27" t="s">
        <v>9</v>
      </c>
    </row>
    <row r="1929" spans="1:9" x14ac:dyDescent="0.3">
      <c r="A1929" s="26">
        <v>45033</v>
      </c>
      <c r="B1929" s="27" t="s">
        <v>118</v>
      </c>
      <c r="C1929" s="27" t="s">
        <v>93</v>
      </c>
      <c r="D1929" s="27" t="s">
        <v>19</v>
      </c>
      <c r="E1929" s="28">
        <v>122300</v>
      </c>
      <c r="F1929" s="28">
        <v>120000</v>
      </c>
      <c r="G1929" s="27" t="s">
        <v>11</v>
      </c>
      <c r="H1929" s="27" t="s">
        <v>4187</v>
      </c>
      <c r="I1929" s="27" t="s">
        <v>9</v>
      </c>
    </row>
    <row r="1930" spans="1:9" x14ac:dyDescent="0.3">
      <c r="A1930" s="26">
        <v>45033</v>
      </c>
      <c r="B1930" s="27" t="s">
        <v>118</v>
      </c>
      <c r="C1930" s="27" t="s">
        <v>93</v>
      </c>
      <c r="D1930" s="27" t="s">
        <v>24</v>
      </c>
      <c r="E1930" s="28">
        <v>125400</v>
      </c>
      <c r="F1930" s="28">
        <v>126900</v>
      </c>
      <c r="G1930" s="27" t="s">
        <v>22</v>
      </c>
      <c r="H1930" s="27" t="s">
        <v>4255</v>
      </c>
      <c r="I1930" s="27" t="s">
        <v>9</v>
      </c>
    </row>
    <row r="1931" spans="1:9" x14ac:dyDescent="0.3">
      <c r="A1931" s="26">
        <v>45033</v>
      </c>
      <c r="B1931" s="27" t="s">
        <v>118</v>
      </c>
      <c r="C1931" s="27" t="s">
        <v>6</v>
      </c>
      <c r="D1931" s="27" t="s">
        <v>7</v>
      </c>
      <c r="E1931" s="28">
        <v>84800</v>
      </c>
      <c r="F1931" s="28">
        <v>117900</v>
      </c>
      <c r="G1931" s="27" t="s">
        <v>17</v>
      </c>
      <c r="H1931" s="27" t="s">
        <v>4336</v>
      </c>
      <c r="I1931" s="27" t="s">
        <v>9</v>
      </c>
    </row>
    <row r="1932" spans="1:9" x14ac:dyDescent="0.3">
      <c r="A1932" s="26">
        <v>45033</v>
      </c>
      <c r="B1932" s="27" t="s">
        <v>118</v>
      </c>
      <c r="C1932" s="27" t="s">
        <v>93</v>
      </c>
      <c r="D1932" s="27" t="s">
        <v>19</v>
      </c>
      <c r="E1932" s="28">
        <v>97100</v>
      </c>
      <c r="F1932" s="28">
        <v>106700</v>
      </c>
      <c r="G1932" s="27" t="s">
        <v>22</v>
      </c>
      <c r="H1932" s="27" t="s">
        <v>4373</v>
      </c>
      <c r="I1932" s="27" t="s">
        <v>9</v>
      </c>
    </row>
    <row r="1933" spans="1:9" x14ac:dyDescent="0.3">
      <c r="A1933" s="26">
        <v>45033</v>
      </c>
      <c r="B1933" s="27" t="s">
        <v>118</v>
      </c>
      <c r="C1933" s="27" t="s">
        <v>93</v>
      </c>
      <c r="D1933" s="27" t="s">
        <v>16</v>
      </c>
      <c r="E1933" s="28">
        <v>105300</v>
      </c>
      <c r="F1933" s="28">
        <v>130600</v>
      </c>
      <c r="G1933" s="27" t="s">
        <v>22</v>
      </c>
      <c r="H1933" s="27" t="s">
        <v>4962</v>
      </c>
      <c r="I1933" s="27" t="s">
        <v>9</v>
      </c>
    </row>
    <row r="1934" spans="1:9" x14ac:dyDescent="0.3">
      <c r="A1934" s="26">
        <v>45033</v>
      </c>
      <c r="B1934" s="27" t="s">
        <v>118</v>
      </c>
      <c r="C1934" s="27" t="s">
        <v>6</v>
      </c>
      <c r="D1934" s="27" t="s">
        <v>24</v>
      </c>
      <c r="E1934" s="28">
        <v>269600</v>
      </c>
      <c r="F1934" s="28">
        <v>383500</v>
      </c>
      <c r="G1934" s="27" t="s">
        <v>22</v>
      </c>
      <c r="H1934" s="27" t="s">
        <v>5368</v>
      </c>
      <c r="I1934" s="27" t="s">
        <v>9</v>
      </c>
    </row>
    <row r="1935" spans="1:9" x14ac:dyDescent="0.3">
      <c r="A1935" s="26">
        <v>45033</v>
      </c>
      <c r="B1935" s="27" t="s">
        <v>118</v>
      </c>
      <c r="C1935" s="27" t="s">
        <v>93</v>
      </c>
      <c r="D1935" s="27" t="s">
        <v>19</v>
      </c>
      <c r="E1935" s="28">
        <v>143100</v>
      </c>
      <c r="F1935" s="28">
        <v>158600</v>
      </c>
      <c r="G1935" s="27" t="s">
        <v>17</v>
      </c>
      <c r="H1935" s="27" t="s">
        <v>5971</v>
      </c>
      <c r="I1935" s="27" t="s">
        <v>9</v>
      </c>
    </row>
    <row r="1936" spans="1:9" x14ac:dyDescent="0.3">
      <c r="A1936" s="26">
        <v>45034</v>
      </c>
      <c r="B1936" s="27" t="s">
        <v>118</v>
      </c>
      <c r="C1936" s="27" t="s">
        <v>10</v>
      </c>
      <c r="D1936" s="27" t="s">
        <v>7</v>
      </c>
      <c r="E1936" s="28">
        <v>31153</v>
      </c>
      <c r="F1936" s="28">
        <v>13530</v>
      </c>
      <c r="G1936" s="27" t="s">
        <v>11</v>
      </c>
      <c r="H1936" s="27" t="s">
        <v>161</v>
      </c>
      <c r="I1936" s="27" t="s">
        <v>13</v>
      </c>
    </row>
    <row r="1937" spans="1:9" x14ac:dyDescent="0.3">
      <c r="A1937" s="26">
        <v>45034</v>
      </c>
      <c r="B1937" s="27" t="s">
        <v>118</v>
      </c>
      <c r="C1937" s="27" t="s">
        <v>20</v>
      </c>
      <c r="D1937" s="27" t="s">
        <v>24</v>
      </c>
      <c r="E1937" s="28">
        <v>66125</v>
      </c>
      <c r="F1937" s="28">
        <v>11817</v>
      </c>
      <c r="G1937" s="27" t="s">
        <v>17</v>
      </c>
      <c r="H1937" s="27" t="s">
        <v>302</v>
      </c>
      <c r="I1937" s="27" t="s">
        <v>13</v>
      </c>
    </row>
    <row r="1938" spans="1:9" x14ac:dyDescent="0.3">
      <c r="A1938" s="26">
        <v>45034</v>
      </c>
      <c r="B1938" s="27" t="s">
        <v>118</v>
      </c>
      <c r="C1938" s="27" t="s">
        <v>15</v>
      </c>
      <c r="D1938" s="27" t="s">
        <v>7</v>
      </c>
      <c r="E1938" s="28">
        <v>126304</v>
      </c>
      <c r="F1938" s="28">
        <v>66311</v>
      </c>
      <c r="G1938" s="27" t="s">
        <v>17</v>
      </c>
      <c r="H1938" s="27" t="s">
        <v>426</v>
      </c>
      <c r="I1938" s="27" t="s">
        <v>13</v>
      </c>
    </row>
    <row r="1939" spans="1:9" x14ac:dyDescent="0.3">
      <c r="A1939" s="26">
        <v>45034</v>
      </c>
      <c r="B1939" s="27" t="s">
        <v>118</v>
      </c>
      <c r="C1939" s="27" t="s">
        <v>14</v>
      </c>
      <c r="D1939" s="27" t="s">
        <v>21</v>
      </c>
      <c r="E1939" s="28">
        <v>147706</v>
      </c>
      <c r="F1939" s="28">
        <v>130429</v>
      </c>
      <c r="G1939" s="27" t="s">
        <v>11</v>
      </c>
      <c r="H1939" s="27" t="s">
        <v>596</v>
      </c>
      <c r="I1939" s="27" t="s">
        <v>13</v>
      </c>
    </row>
    <row r="1940" spans="1:9" x14ac:dyDescent="0.3">
      <c r="A1940" s="26">
        <v>45034</v>
      </c>
      <c r="B1940" s="27" t="s">
        <v>118</v>
      </c>
      <c r="C1940" s="27" t="s">
        <v>14</v>
      </c>
      <c r="D1940" s="27" t="s">
        <v>16</v>
      </c>
      <c r="E1940" s="28">
        <v>69999</v>
      </c>
      <c r="F1940" s="28">
        <v>132046</v>
      </c>
      <c r="G1940" s="27" t="s">
        <v>11</v>
      </c>
      <c r="H1940" s="27" t="s">
        <v>1278</v>
      </c>
      <c r="I1940" s="27" t="s">
        <v>13</v>
      </c>
    </row>
    <row r="1941" spans="1:9" x14ac:dyDescent="0.3">
      <c r="A1941" s="26">
        <v>45034</v>
      </c>
      <c r="B1941" s="27" t="s">
        <v>118</v>
      </c>
      <c r="C1941" s="27" t="s">
        <v>32</v>
      </c>
      <c r="D1941" s="27" t="s">
        <v>24</v>
      </c>
      <c r="E1941" s="28">
        <v>70490</v>
      </c>
      <c r="F1941" s="28">
        <v>76959</v>
      </c>
      <c r="G1941" s="27" t="s">
        <v>8</v>
      </c>
      <c r="H1941" s="27" t="s">
        <v>1531</v>
      </c>
      <c r="I1941" s="27" t="s">
        <v>13</v>
      </c>
    </row>
    <row r="1942" spans="1:9" x14ac:dyDescent="0.3">
      <c r="A1942" s="26">
        <v>45034</v>
      </c>
      <c r="B1942" s="27" t="s">
        <v>118</v>
      </c>
      <c r="C1942" s="27" t="s">
        <v>32</v>
      </c>
      <c r="D1942" s="27" t="s">
        <v>21</v>
      </c>
      <c r="E1942" s="28">
        <v>31481</v>
      </c>
      <c r="F1942" s="28">
        <v>50483</v>
      </c>
      <c r="G1942" s="27" t="s">
        <v>17</v>
      </c>
      <c r="H1942" s="27" t="s">
        <v>2056</v>
      </c>
      <c r="I1942" s="27" t="s">
        <v>13</v>
      </c>
    </row>
    <row r="1943" spans="1:9" x14ac:dyDescent="0.3">
      <c r="A1943" s="26">
        <v>45034</v>
      </c>
      <c r="B1943" s="27" t="s">
        <v>118</v>
      </c>
      <c r="C1943" s="27" t="s">
        <v>10</v>
      </c>
      <c r="D1943" s="27" t="s">
        <v>24</v>
      </c>
      <c r="E1943" s="28">
        <v>122174</v>
      </c>
      <c r="F1943" s="28">
        <v>145061</v>
      </c>
      <c r="G1943" s="27" t="s">
        <v>11</v>
      </c>
      <c r="H1943" s="27" t="s">
        <v>2170</v>
      </c>
      <c r="I1943" s="27" t="s">
        <v>13</v>
      </c>
    </row>
    <row r="1944" spans="1:9" x14ac:dyDescent="0.3">
      <c r="A1944" s="26">
        <v>45034</v>
      </c>
      <c r="B1944" s="27" t="s">
        <v>118</v>
      </c>
      <c r="C1944" s="27" t="s">
        <v>20</v>
      </c>
      <c r="D1944" s="27" t="s">
        <v>7</v>
      </c>
      <c r="E1944" s="28">
        <v>103324</v>
      </c>
      <c r="F1944" s="28">
        <v>30755</v>
      </c>
      <c r="G1944" s="27" t="s">
        <v>22</v>
      </c>
      <c r="H1944" s="27" t="s">
        <v>2390</v>
      </c>
      <c r="I1944" s="27" t="s">
        <v>13</v>
      </c>
    </row>
    <row r="1945" spans="1:9" x14ac:dyDescent="0.3">
      <c r="A1945" s="26">
        <v>45034</v>
      </c>
      <c r="B1945" s="27" t="s">
        <v>118</v>
      </c>
      <c r="C1945" s="27" t="s">
        <v>14</v>
      </c>
      <c r="D1945" s="27" t="s">
        <v>24</v>
      </c>
      <c r="E1945" s="28">
        <v>91094</v>
      </c>
      <c r="F1945" s="28">
        <v>103734</v>
      </c>
      <c r="G1945" s="27" t="s">
        <v>22</v>
      </c>
      <c r="H1945" s="27" t="s">
        <v>2618</v>
      </c>
      <c r="I1945" s="27" t="s">
        <v>13</v>
      </c>
    </row>
    <row r="1946" spans="1:9" x14ac:dyDescent="0.3">
      <c r="A1946" s="26">
        <v>45034</v>
      </c>
      <c r="B1946" s="27" t="s">
        <v>118</v>
      </c>
      <c r="C1946" s="27" t="s">
        <v>18</v>
      </c>
      <c r="D1946" s="27" t="s">
        <v>19</v>
      </c>
      <c r="E1946" s="28">
        <v>146452</v>
      </c>
      <c r="F1946" s="28">
        <v>113947</v>
      </c>
      <c r="G1946" s="27" t="s">
        <v>22</v>
      </c>
      <c r="H1946" s="27" t="s">
        <v>2836</v>
      </c>
      <c r="I1946" s="27" t="s">
        <v>13</v>
      </c>
    </row>
    <row r="1947" spans="1:9" x14ac:dyDescent="0.3">
      <c r="A1947" s="26">
        <v>45034</v>
      </c>
      <c r="B1947" s="27" t="s">
        <v>118</v>
      </c>
      <c r="C1947" s="27" t="s">
        <v>10</v>
      </c>
      <c r="D1947" s="27" t="s">
        <v>24</v>
      </c>
      <c r="E1947" s="28">
        <v>70538</v>
      </c>
      <c r="F1947" s="28">
        <v>51379</v>
      </c>
      <c r="G1947" s="27" t="s">
        <v>11</v>
      </c>
      <c r="H1947" s="27" t="s">
        <v>2938</v>
      </c>
      <c r="I1947" s="27" t="s">
        <v>13</v>
      </c>
    </row>
    <row r="1948" spans="1:9" x14ac:dyDescent="0.3">
      <c r="A1948" s="26">
        <v>45034</v>
      </c>
      <c r="B1948" s="27" t="s">
        <v>118</v>
      </c>
      <c r="C1948" s="27" t="s">
        <v>10</v>
      </c>
      <c r="D1948" s="27" t="s">
        <v>24</v>
      </c>
      <c r="E1948" s="28">
        <v>146993</v>
      </c>
      <c r="F1948" s="28">
        <v>102850</v>
      </c>
      <c r="G1948" s="27" t="s">
        <v>17</v>
      </c>
      <c r="H1948" s="27" t="s">
        <v>3001</v>
      </c>
      <c r="I1948" s="27" t="s">
        <v>13</v>
      </c>
    </row>
    <row r="1949" spans="1:9" x14ac:dyDescent="0.3">
      <c r="A1949" s="26">
        <v>45034</v>
      </c>
      <c r="B1949" s="27" t="s">
        <v>118</v>
      </c>
      <c r="C1949" s="27" t="s">
        <v>32</v>
      </c>
      <c r="D1949" s="27" t="s">
        <v>21</v>
      </c>
      <c r="E1949" s="28">
        <v>55601</v>
      </c>
      <c r="F1949" s="28">
        <v>169244</v>
      </c>
      <c r="G1949" s="27" t="s">
        <v>11</v>
      </c>
      <c r="H1949" s="27" t="s">
        <v>3052</v>
      </c>
      <c r="I1949" s="27" t="s">
        <v>13</v>
      </c>
    </row>
    <row r="1950" spans="1:9" x14ac:dyDescent="0.3">
      <c r="A1950" s="26">
        <v>45034</v>
      </c>
      <c r="B1950" s="27" t="s">
        <v>118</v>
      </c>
      <c r="C1950" s="27" t="s">
        <v>20</v>
      </c>
      <c r="D1950" s="27" t="s">
        <v>16</v>
      </c>
      <c r="E1950" s="28">
        <v>118909</v>
      </c>
      <c r="F1950" s="28">
        <v>156803</v>
      </c>
      <c r="G1950" s="27" t="s">
        <v>22</v>
      </c>
      <c r="H1950" s="27" t="s">
        <v>3372</v>
      </c>
      <c r="I1950" s="27" t="s">
        <v>13</v>
      </c>
    </row>
    <row r="1951" spans="1:9" x14ac:dyDescent="0.3">
      <c r="A1951" s="26">
        <v>45034</v>
      </c>
      <c r="B1951" s="27" t="s">
        <v>118</v>
      </c>
      <c r="C1951" s="27" t="s">
        <v>93</v>
      </c>
      <c r="D1951" s="27" t="s">
        <v>7</v>
      </c>
      <c r="E1951" s="28">
        <v>97000</v>
      </c>
      <c r="F1951" s="28">
        <v>91600</v>
      </c>
      <c r="G1951" s="27" t="s">
        <v>11</v>
      </c>
      <c r="H1951" s="27" t="s">
        <v>3542</v>
      </c>
      <c r="I1951" s="27" t="s">
        <v>9</v>
      </c>
    </row>
    <row r="1952" spans="1:9" x14ac:dyDescent="0.3">
      <c r="A1952" s="26">
        <v>45034</v>
      </c>
      <c r="B1952" s="27" t="s">
        <v>118</v>
      </c>
      <c r="C1952" s="27" t="s">
        <v>93</v>
      </c>
      <c r="D1952" s="27" t="s">
        <v>24</v>
      </c>
      <c r="E1952" s="28">
        <v>114200</v>
      </c>
      <c r="F1952" s="28">
        <v>109700</v>
      </c>
      <c r="G1952" s="27" t="s">
        <v>22</v>
      </c>
      <c r="H1952" s="27" t="s">
        <v>3683</v>
      </c>
      <c r="I1952" s="27" t="s">
        <v>9</v>
      </c>
    </row>
    <row r="1953" spans="1:9" x14ac:dyDescent="0.3">
      <c r="A1953" s="26">
        <v>45034</v>
      </c>
      <c r="B1953" s="27" t="s">
        <v>118</v>
      </c>
      <c r="C1953" s="27" t="s">
        <v>6</v>
      </c>
      <c r="D1953" s="27" t="s">
        <v>7</v>
      </c>
      <c r="E1953" s="28">
        <v>145500</v>
      </c>
      <c r="F1953" s="28">
        <v>122200</v>
      </c>
      <c r="G1953" s="27" t="s">
        <v>11</v>
      </c>
      <c r="H1953" s="27" t="s">
        <v>3807</v>
      </c>
      <c r="I1953" s="27" t="s">
        <v>9</v>
      </c>
    </row>
    <row r="1954" spans="1:9" x14ac:dyDescent="0.3">
      <c r="A1954" s="26">
        <v>45034</v>
      </c>
      <c r="B1954" s="27" t="s">
        <v>118</v>
      </c>
      <c r="C1954" s="27" t="s">
        <v>6</v>
      </c>
      <c r="D1954" s="27" t="s">
        <v>21</v>
      </c>
      <c r="E1954" s="28">
        <v>226100</v>
      </c>
      <c r="F1954" s="28">
        <v>238900</v>
      </c>
      <c r="G1954" s="27" t="s">
        <v>22</v>
      </c>
      <c r="H1954" s="27" t="s">
        <v>3977</v>
      </c>
      <c r="I1954" s="27" t="s">
        <v>9</v>
      </c>
    </row>
    <row r="1955" spans="1:9" x14ac:dyDescent="0.3">
      <c r="A1955" s="26">
        <v>45034</v>
      </c>
      <c r="B1955" s="27" t="s">
        <v>118</v>
      </c>
      <c r="C1955" s="27" t="s">
        <v>93</v>
      </c>
      <c r="D1955" s="27" t="s">
        <v>16</v>
      </c>
      <c r="E1955" s="28">
        <v>274300</v>
      </c>
      <c r="F1955" s="28">
        <v>243300</v>
      </c>
      <c r="G1955" s="27" t="s">
        <v>11</v>
      </c>
      <c r="H1955" s="27" t="s">
        <v>4661</v>
      </c>
      <c r="I1955" s="27" t="s">
        <v>9</v>
      </c>
    </row>
    <row r="1956" spans="1:9" x14ac:dyDescent="0.3">
      <c r="A1956" s="26">
        <v>45034</v>
      </c>
      <c r="B1956" s="27" t="s">
        <v>118</v>
      </c>
      <c r="C1956" s="27" t="s">
        <v>6</v>
      </c>
      <c r="D1956" s="27" t="s">
        <v>24</v>
      </c>
      <c r="E1956" s="28">
        <v>69600</v>
      </c>
      <c r="F1956" s="28">
        <v>90900</v>
      </c>
      <c r="G1956" s="27" t="s">
        <v>22</v>
      </c>
      <c r="H1956" s="27" t="s">
        <v>4914</v>
      </c>
      <c r="I1956" s="27" t="s">
        <v>9</v>
      </c>
    </row>
    <row r="1957" spans="1:9" x14ac:dyDescent="0.3">
      <c r="A1957" s="26">
        <v>45034</v>
      </c>
      <c r="B1957" s="27" t="s">
        <v>118</v>
      </c>
      <c r="C1957" s="27" t="s">
        <v>6</v>
      </c>
      <c r="D1957" s="27" t="s">
        <v>21</v>
      </c>
      <c r="E1957" s="28">
        <v>77200</v>
      </c>
      <c r="F1957" s="28">
        <v>90200</v>
      </c>
      <c r="G1957" s="27" t="s">
        <v>11</v>
      </c>
      <c r="H1957" s="27" t="s">
        <v>5440</v>
      </c>
      <c r="I1957" s="27" t="s">
        <v>9</v>
      </c>
    </row>
    <row r="1958" spans="1:9" x14ac:dyDescent="0.3">
      <c r="A1958" s="26">
        <v>45034</v>
      </c>
      <c r="B1958" s="27" t="s">
        <v>118</v>
      </c>
      <c r="C1958" s="27" t="s">
        <v>6</v>
      </c>
      <c r="D1958" s="27" t="s">
        <v>24</v>
      </c>
      <c r="E1958" s="28">
        <v>171800</v>
      </c>
      <c r="F1958" s="28">
        <v>190200</v>
      </c>
      <c r="G1958" s="27" t="s">
        <v>22</v>
      </c>
      <c r="H1958" s="27" t="s">
        <v>5555</v>
      </c>
      <c r="I1958" s="27" t="s">
        <v>9</v>
      </c>
    </row>
    <row r="1959" spans="1:9" x14ac:dyDescent="0.3">
      <c r="A1959" s="26">
        <v>45034</v>
      </c>
      <c r="B1959" s="27" t="s">
        <v>118</v>
      </c>
      <c r="C1959" s="27" t="s">
        <v>93</v>
      </c>
      <c r="D1959" s="27" t="s">
        <v>7</v>
      </c>
      <c r="E1959" s="28">
        <v>79800</v>
      </c>
      <c r="F1959" s="28">
        <v>85000</v>
      </c>
      <c r="G1959" s="27" t="s">
        <v>11</v>
      </c>
      <c r="H1959" s="27" t="s">
        <v>5775</v>
      </c>
      <c r="I1959" s="27" t="s">
        <v>9</v>
      </c>
    </row>
    <row r="1960" spans="1:9" x14ac:dyDescent="0.3">
      <c r="A1960" s="26">
        <v>45034</v>
      </c>
      <c r="B1960" s="27" t="s">
        <v>118</v>
      </c>
      <c r="C1960" s="27" t="s">
        <v>93</v>
      </c>
      <c r="D1960" s="27" t="s">
        <v>24</v>
      </c>
      <c r="E1960" s="28">
        <v>125300</v>
      </c>
      <c r="F1960" s="28">
        <v>121200</v>
      </c>
      <c r="G1960" s="27" t="s">
        <v>17</v>
      </c>
      <c r="H1960" s="27" t="s">
        <v>6003</v>
      </c>
      <c r="I1960" s="27" t="s">
        <v>9</v>
      </c>
    </row>
    <row r="1961" spans="1:9" x14ac:dyDescent="0.3">
      <c r="A1961" s="26">
        <v>45034</v>
      </c>
      <c r="B1961" s="27" t="s">
        <v>118</v>
      </c>
      <c r="C1961" s="27" t="s">
        <v>93</v>
      </c>
      <c r="D1961" s="27" t="s">
        <v>19</v>
      </c>
      <c r="E1961" s="28">
        <v>101000</v>
      </c>
      <c r="F1961" s="28">
        <v>115500</v>
      </c>
      <c r="G1961" s="27" t="s">
        <v>11</v>
      </c>
      <c r="H1961" s="27" t="s">
        <v>6221</v>
      </c>
      <c r="I1961" s="27" t="s">
        <v>9</v>
      </c>
    </row>
    <row r="1962" spans="1:9" x14ac:dyDescent="0.3">
      <c r="A1962" s="26">
        <v>45034</v>
      </c>
      <c r="B1962" s="27" t="s">
        <v>118</v>
      </c>
      <c r="C1962" s="27" t="s">
        <v>6</v>
      </c>
      <c r="D1962" s="27" t="s">
        <v>24</v>
      </c>
      <c r="E1962" s="28">
        <v>53400</v>
      </c>
      <c r="F1962" s="28">
        <v>52700</v>
      </c>
      <c r="G1962" s="27" t="s">
        <v>22</v>
      </c>
      <c r="H1962" s="27" t="s">
        <v>6323</v>
      </c>
      <c r="I1962" s="27" t="s">
        <v>9</v>
      </c>
    </row>
    <row r="1963" spans="1:9" x14ac:dyDescent="0.3">
      <c r="A1963" s="26">
        <v>45034</v>
      </c>
      <c r="B1963" s="27" t="s">
        <v>118</v>
      </c>
      <c r="C1963" s="27" t="s">
        <v>93</v>
      </c>
      <c r="D1963" s="27" t="s">
        <v>24</v>
      </c>
      <c r="E1963" s="28">
        <v>147200</v>
      </c>
      <c r="F1963" s="28">
        <v>147400</v>
      </c>
      <c r="G1963" s="27" t="s">
        <v>11</v>
      </c>
      <c r="H1963" s="27" t="s">
        <v>6386</v>
      </c>
      <c r="I1963" s="27" t="s">
        <v>9</v>
      </c>
    </row>
    <row r="1964" spans="1:9" x14ac:dyDescent="0.3">
      <c r="A1964" s="26">
        <v>45034</v>
      </c>
      <c r="B1964" s="27" t="s">
        <v>118</v>
      </c>
      <c r="C1964" s="27" t="s">
        <v>93</v>
      </c>
      <c r="D1964" s="27" t="s">
        <v>21</v>
      </c>
      <c r="E1964" s="28">
        <v>183500</v>
      </c>
      <c r="F1964" s="28">
        <v>208200</v>
      </c>
      <c r="G1964" s="27" t="s">
        <v>11</v>
      </c>
      <c r="H1964" s="27" t="s">
        <v>6437</v>
      </c>
      <c r="I1964" s="27" t="s">
        <v>9</v>
      </c>
    </row>
    <row r="1965" spans="1:9" x14ac:dyDescent="0.3">
      <c r="A1965" s="26">
        <v>45034</v>
      </c>
      <c r="B1965" s="27" t="s">
        <v>118</v>
      </c>
      <c r="C1965" s="27" t="s">
        <v>6</v>
      </c>
      <c r="D1965" s="27" t="s">
        <v>16</v>
      </c>
      <c r="E1965" s="28">
        <v>99100</v>
      </c>
      <c r="F1965" s="28">
        <v>105400</v>
      </c>
      <c r="G1965" s="27" t="s">
        <v>11</v>
      </c>
      <c r="H1965" s="27" t="s">
        <v>6757</v>
      </c>
      <c r="I1965" s="27" t="s">
        <v>9</v>
      </c>
    </row>
    <row r="1966" spans="1:9" x14ac:dyDescent="0.3">
      <c r="A1966" s="26">
        <v>45035</v>
      </c>
      <c r="B1966" s="27" t="s">
        <v>118</v>
      </c>
      <c r="C1966" s="27" t="s">
        <v>14</v>
      </c>
      <c r="D1966" s="27" t="s">
        <v>16</v>
      </c>
      <c r="E1966" s="28">
        <v>89114</v>
      </c>
      <c r="F1966" s="28">
        <v>20147</v>
      </c>
      <c r="G1966" s="27" t="s">
        <v>11</v>
      </c>
      <c r="H1966" s="27" t="s">
        <v>1311</v>
      </c>
      <c r="I1966" s="27" t="s">
        <v>13</v>
      </c>
    </row>
    <row r="1967" spans="1:9" x14ac:dyDescent="0.3">
      <c r="A1967" s="26">
        <v>45035</v>
      </c>
      <c r="B1967" s="27" t="s">
        <v>118</v>
      </c>
      <c r="C1967" s="27" t="s">
        <v>10</v>
      </c>
      <c r="D1967" s="27" t="s">
        <v>16</v>
      </c>
      <c r="E1967" s="28">
        <v>130306</v>
      </c>
      <c r="F1967" s="28">
        <v>168878</v>
      </c>
      <c r="G1967" s="27" t="s">
        <v>17</v>
      </c>
      <c r="H1967" s="27" t="s">
        <v>1638</v>
      </c>
      <c r="I1967" s="27" t="s">
        <v>13</v>
      </c>
    </row>
    <row r="1968" spans="1:9" x14ac:dyDescent="0.3">
      <c r="A1968" s="26">
        <v>45035</v>
      </c>
      <c r="B1968" s="27" t="s">
        <v>118</v>
      </c>
      <c r="C1968" s="27" t="s">
        <v>14</v>
      </c>
      <c r="D1968" s="27" t="s">
        <v>19</v>
      </c>
      <c r="E1968" s="28">
        <v>99809</v>
      </c>
      <c r="F1968" s="28">
        <v>25126</v>
      </c>
      <c r="G1968" s="27" t="s">
        <v>11</v>
      </c>
      <c r="H1968" s="27" t="s">
        <v>2025</v>
      </c>
      <c r="I1968" s="27" t="s">
        <v>13</v>
      </c>
    </row>
    <row r="1969" spans="1:9" x14ac:dyDescent="0.3">
      <c r="A1969" s="26">
        <v>45035</v>
      </c>
      <c r="B1969" s="27" t="s">
        <v>118</v>
      </c>
      <c r="C1969" s="27" t="s">
        <v>20</v>
      </c>
      <c r="D1969" s="27" t="s">
        <v>7</v>
      </c>
      <c r="E1969" s="28">
        <v>73871</v>
      </c>
      <c r="F1969" s="28">
        <v>93966</v>
      </c>
      <c r="G1969" s="27" t="s">
        <v>11</v>
      </c>
      <c r="H1969" s="27" t="s">
        <v>2026</v>
      </c>
      <c r="I1969" s="27" t="s">
        <v>13</v>
      </c>
    </row>
    <row r="1970" spans="1:9" x14ac:dyDescent="0.3">
      <c r="A1970" s="26">
        <v>45035</v>
      </c>
      <c r="B1970" s="27" t="s">
        <v>118</v>
      </c>
      <c r="C1970" s="27" t="s">
        <v>10</v>
      </c>
      <c r="D1970" s="27" t="s">
        <v>19</v>
      </c>
      <c r="E1970" s="28">
        <v>76334</v>
      </c>
      <c r="F1970" s="28">
        <v>150867</v>
      </c>
      <c r="G1970" s="27" t="s">
        <v>17</v>
      </c>
      <c r="H1970" s="27" t="s">
        <v>2073</v>
      </c>
      <c r="I1970" s="27" t="s">
        <v>13</v>
      </c>
    </row>
    <row r="1971" spans="1:9" x14ac:dyDescent="0.3">
      <c r="A1971" s="26">
        <v>45035</v>
      </c>
      <c r="B1971" s="27" t="s">
        <v>118</v>
      </c>
      <c r="C1971" s="27" t="s">
        <v>32</v>
      </c>
      <c r="D1971" s="27" t="s">
        <v>21</v>
      </c>
      <c r="E1971" s="28">
        <v>64681</v>
      </c>
      <c r="F1971" s="28">
        <v>30000</v>
      </c>
      <c r="G1971" s="27" t="s">
        <v>11</v>
      </c>
      <c r="H1971" s="27" t="s">
        <v>2361</v>
      </c>
      <c r="I1971" s="27" t="s">
        <v>13</v>
      </c>
    </row>
    <row r="1972" spans="1:9" x14ac:dyDescent="0.3">
      <c r="A1972" s="26">
        <v>45035</v>
      </c>
      <c r="B1972" s="27" t="s">
        <v>118</v>
      </c>
      <c r="C1972" s="27" t="s">
        <v>14</v>
      </c>
      <c r="D1972" s="27" t="s">
        <v>16</v>
      </c>
      <c r="E1972" s="28">
        <v>102500</v>
      </c>
      <c r="F1972" s="28">
        <v>168388</v>
      </c>
      <c r="G1972" s="27" t="s">
        <v>8</v>
      </c>
      <c r="H1972" s="27" t="s">
        <v>2396</v>
      </c>
      <c r="I1972" s="27" t="s">
        <v>13</v>
      </c>
    </row>
    <row r="1973" spans="1:9" x14ac:dyDescent="0.3">
      <c r="A1973" s="26">
        <v>45035</v>
      </c>
      <c r="B1973" s="27" t="s">
        <v>118</v>
      </c>
      <c r="C1973" s="27" t="s">
        <v>20</v>
      </c>
      <c r="D1973" s="27" t="s">
        <v>24</v>
      </c>
      <c r="E1973" s="28">
        <v>142922</v>
      </c>
      <c r="F1973" s="28">
        <v>119479</v>
      </c>
      <c r="G1973" s="27" t="s">
        <v>17</v>
      </c>
      <c r="H1973" s="27" t="s">
        <v>2452</v>
      </c>
      <c r="I1973" s="27" t="s">
        <v>13</v>
      </c>
    </row>
    <row r="1974" spans="1:9" x14ac:dyDescent="0.3">
      <c r="A1974" s="26">
        <v>45035</v>
      </c>
      <c r="B1974" s="27" t="s">
        <v>118</v>
      </c>
      <c r="C1974" s="27" t="s">
        <v>32</v>
      </c>
      <c r="D1974" s="27" t="s">
        <v>21</v>
      </c>
      <c r="E1974" s="28">
        <v>13566</v>
      </c>
      <c r="F1974" s="28">
        <v>31699</v>
      </c>
      <c r="G1974" s="27" t="s">
        <v>8</v>
      </c>
      <c r="H1974" s="27" t="s">
        <v>2616</v>
      </c>
      <c r="I1974" s="27" t="s">
        <v>13</v>
      </c>
    </row>
    <row r="1975" spans="1:9" x14ac:dyDescent="0.3">
      <c r="A1975" s="26">
        <v>45035</v>
      </c>
      <c r="B1975" s="27" t="s">
        <v>118</v>
      </c>
      <c r="C1975" s="27" t="s">
        <v>20</v>
      </c>
      <c r="D1975" s="27" t="s">
        <v>24</v>
      </c>
      <c r="E1975" s="28">
        <v>146057</v>
      </c>
      <c r="F1975" s="28">
        <v>106357</v>
      </c>
      <c r="G1975" s="27" t="s">
        <v>22</v>
      </c>
      <c r="H1975" s="27" t="s">
        <v>2914</v>
      </c>
      <c r="I1975" s="27" t="s">
        <v>13</v>
      </c>
    </row>
    <row r="1976" spans="1:9" x14ac:dyDescent="0.3">
      <c r="A1976" s="26">
        <v>45035</v>
      </c>
      <c r="B1976" s="27" t="s">
        <v>118</v>
      </c>
      <c r="C1976" s="27" t="s">
        <v>20</v>
      </c>
      <c r="D1976" s="27" t="s">
        <v>7</v>
      </c>
      <c r="E1976" s="28">
        <v>17078</v>
      </c>
      <c r="F1976" s="28">
        <v>148856</v>
      </c>
      <c r="G1976" s="27" t="s">
        <v>22</v>
      </c>
      <c r="H1976" s="27" t="s">
        <v>3049</v>
      </c>
      <c r="I1976" s="27" t="s">
        <v>13</v>
      </c>
    </row>
    <row r="1977" spans="1:9" x14ac:dyDescent="0.3">
      <c r="A1977" s="26">
        <v>45035</v>
      </c>
      <c r="B1977" s="27" t="s">
        <v>118</v>
      </c>
      <c r="C1977" s="27" t="s">
        <v>93</v>
      </c>
      <c r="D1977" s="27" t="s">
        <v>16</v>
      </c>
      <c r="E1977" s="28">
        <v>98800</v>
      </c>
      <c r="F1977" s="28">
        <v>120500</v>
      </c>
      <c r="G1977" s="27" t="s">
        <v>11</v>
      </c>
      <c r="H1977" s="27" t="s">
        <v>4694</v>
      </c>
      <c r="I1977" s="27" t="s">
        <v>9</v>
      </c>
    </row>
    <row r="1978" spans="1:9" x14ac:dyDescent="0.3">
      <c r="A1978" s="26">
        <v>45035</v>
      </c>
      <c r="B1978" s="27" t="s">
        <v>118</v>
      </c>
      <c r="C1978" s="27" t="s">
        <v>6</v>
      </c>
      <c r="D1978" s="27" t="s">
        <v>16</v>
      </c>
      <c r="E1978" s="28">
        <v>148000</v>
      </c>
      <c r="F1978" s="28">
        <v>153400</v>
      </c>
      <c r="G1978" s="27" t="s">
        <v>11</v>
      </c>
      <c r="H1978" s="27" t="s">
        <v>5021</v>
      </c>
      <c r="I1978" s="27" t="s">
        <v>9</v>
      </c>
    </row>
    <row r="1979" spans="1:9" x14ac:dyDescent="0.3">
      <c r="A1979" s="26">
        <v>45035</v>
      </c>
      <c r="B1979" s="27" t="s">
        <v>118</v>
      </c>
      <c r="C1979" s="27" t="s">
        <v>6</v>
      </c>
      <c r="D1979" s="27" t="s">
        <v>19</v>
      </c>
      <c r="E1979" s="28">
        <v>229000</v>
      </c>
      <c r="F1979" s="28">
        <v>260800</v>
      </c>
      <c r="G1979" s="27" t="s">
        <v>11</v>
      </c>
      <c r="H1979" s="27" t="s">
        <v>5409</v>
      </c>
      <c r="I1979" s="27" t="s">
        <v>9</v>
      </c>
    </row>
    <row r="1980" spans="1:9" x14ac:dyDescent="0.3">
      <c r="A1980" s="26">
        <v>45035</v>
      </c>
      <c r="B1980" s="27" t="s">
        <v>118</v>
      </c>
      <c r="C1980" s="27" t="s">
        <v>93</v>
      </c>
      <c r="D1980" s="27" t="s">
        <v>7</v>
      </c>
      <c r="E1980" s="28">
        <v>232200</v>
      </c>
      <c r="F1980" s="28">
        <v>263900</v>
      </c>
      <c r="G1980" s="27" t="s">
        <v>22</v>
      </c>
      <c r="H1980" s="27" t="s">
        <v>5410</v>
      </c>
      <c r="I1980" s="27" t="s">
        <v>9</v>
      </c>
    </row>
    <row r="1981" spans="1:9" x14ac:dyDescent="0.3">
      <c r="A1981" s="26">
        <v>45035</v>
      </c>
      <c r="B1981" s="27" t="s">
        <v>118</v>
      </c>
      <c r="C1981" s="27" t="s">
        <v>93</v>
      </c>
      <c r="D1981" s="27" t="s">
        <v>19</v>
      </c>
      <c r="E1981" s="28">
        <v>90400</v>
      </c>
      <c r="F1981" s="28">
        <v>77100</v>
      </c>
      <c r="G1981" s="27" t="s">
        <v>11</v>
      </c>
      <c r="H1981" s="27" t="s">
        <v>5457</v>
      </c>
      <c r="I1981" s="27" t="s">
        <v>9</v>
      </c>
    </row>
    <row r="1982" spans="1:9" x14ac:dyDescent="0.3">
      <c r="A1982" s="26">
        <v>45035</v>
      </c>
      <c r="B1982" s="27" t="s">
        <v>118</v>
      </c>
      <c r="C1982" s="27" t="s">
        <v>6</v>
      </c>
      <c r="D1982" s="27" t="s">
        <v>21</v>
      </c>
      <c r="E1982" s="28">
        <v>107600</v>
      </c>
      <c r="F1982" s="28">
        <v>139000</v>
      </c>
      <c r="G1982" s="27" t="s">
        <v>11</v>
      </c>
      <c r="H1982" s="27" t="s">
        <v>5746</v>
      </c>
      <c r="I1982" s="27" t="s">
        <v>9</v>
      </c>
    </row>
    <row r="1983" spans="1:9" x14ac:dyDescent="0.3">
      <c r="A1983" s="26">
        <v>45035</v>
      </c>
      <c r="B1983" s="27" t="s">
        <v>118</v>
      </c>
      <c r="C1983" s="27" t="s">
        <v>93</v>
      </c>
      <c r="D1983" s="27" t="s">
        <v>16</v>
      </c>
      <c r="E1983" s="28">
        <v>198400</v>
      </c>
      <c r="F1983" s="28">
        <v>192900</v>
      </c>
      <c r="G1983" s="27" t="s">
        <v>22</v>
      </c>
      <c r="H1983" s="27" t="s">
        <v>5781</v>
      </c>
      <c r="I1983" s="27" t="s">
        <v>9</v>
      </c>
    </row>
    <row r="1984" spans="1:9" x14ac:dyDescent="0.3">
      <c r="A1984" s="26">
        <v>45035</v>
      </c>
      <c r="B1984" s="27" t="s">
        <v>118</v>
      </c>
      <c r="C1984" s="27" t="s">
        <v>6</v>
      </c>
      <c r="D1984" s="27" t="s">
        <v>24</v>
      </c>
      <c r="E1984" s="28">
        <v>140900</v>
      </c>
      <c r="F1984" s="28">
        <v>105900</v>
      </c>
      <c r="G1984" s="27" t="s">
        <v>11</v>
      </c>
      <c r="H1984" s="27" t="s">
        <v>5837</v>
      </c>
      <c r="I1984" s="27" t="s">
        <v>9</v>
      </c>
    </row>
    <row r="1985" spans="1:9" x14ac:dyDescent="0.3">
      <c r="A1985" s="26">
        <v>45035</v>
      </c>
      <c r="B1985" s="27" t="s">
        <v>118</v>
      </c>
      <c r="C1985" s="27" t="s">
        <v>93</v>
      </c>
      <c r="D1985" s="27" t="s">
        <v>21</v>
      </c>
      <c r="E1985" s="28">
        <v>73700</v>
      </c>
      <c r="F1985" s="28">
        <v>81300</v>
      </c>
      <c r="G1985" s="27" t="s">
        <v>22</v>
      </c>
      <c r="H1985" s="27" t="s">
        <v>6001</v>
      </c>
      <c r="I1985" s="27" t="s">
        <v>9</v>
      </c>
    </row>
    <row r="1986" spans="1:9" x14ac:dyDescent="0.3">
      <c r="A1986" s="26">
        <v>45035</v>
      </c>
      <c r="B1986" s="27" t="s">
        <v>118</v>
      </c>
      <c r="C1986" s="27" t="s">
        <v>6</v>
      </c>
      <c r="D1986" s="27" t="s">
        <v>24</v>
      </c>
      <c r="E1986" s="28">
        <v>83800</v>
      </c>
      <c r="F1986" s="28">
        <v>96400</v>
      </c>
      <c r="G1986" s="27" t="s">
        <v>11</v>
      </c>
      <c r="H1986" s="27" t="s">
        <v>6299</v>
      </c>
      <c r="I1986" s="27" t="s">
        <v>9</v>
      </c>
    </row>
    <row r="1987" spans="1:9" x14ac:dyDescent="0.3">
      <c r="A1987" s="26">
        <v>45035</v>
      </c>
      <c r="B1987" s="27" t="s">
        <v>118</v>
      </c>
      <c r="C1987" s="27" t="s">
        <v>6</v>
      </c>
      <c r="D1987" s="27" t="s">
        <v>7</v>
      </c>
      <c r="E1987" s="28">
        <v>120300</v>
      </c>
      <c r="F1987" s="28">
        <v>153700</v>
      </c>
      <c r="G1987" s="27" t="s">
        <v>11</v>
      </c>
      <c r="H1987" s="27" t="s">
        <v>6434</v>
      </c>
      <c r="I1987" s="27" t="s">
        <v>9</v>
      </c>
    </row>
    <row r="1988" spans="1:9" x14ac:dyDescent="0.3">
      <c r="A1988" s="26">
        <v>45036</v>
      </c>
      <c r="B1988" s="27" t="s">
        <v>118</v>
      </c>
      <c r="C1988" s="27" t="s">
        <v>18</v>
      </c>
      <c r="D1988" s="27" t="s">
        <v>21</v>
      </c>
      <c r="E1988" s="28">
        <v>32497</v>
      </c>
      <c r="F1988" s="28">
        <v>117637</v>
      </c>
      <c r="G1988" s="27" t="s">
        <v>17</v>
      </c>
      <c r="H1988" s="27" t="s">
        <v>886</v>
      </c>
      <c r="I1988" s="27" t="s">
        <v>13</v>
      </c>
    </row>
    <row r="1989" spans="1:9" x14ac:dyDescent="0.3">
      <c r="A1989" s="26">
        <v>45036</v>
      </c>
      <c r="B1989" s="27" t="s">
        <v>118</v>
      </c>
      <c r="C1989" s="27" t="s">
        <v>10</v>
      </c>
      <c r="D1989" s="27" t="s">
        <v>24</v>
      </c>
      <c r="E1989" s="28">
        <v>143264</v>
      </c>
      <c r="F1989" s="28">
        <v>96284</v>
      </c>
      <c r="G1989" s="27" t="s">
        <v>17</v>
      </c>
      <c r="H1989" s="27" t="s">
        <v>991</v>
      </c>
      <c r="I1989" s="27" t="s">
        <v>13</v>
      </c>
    </row>
    <row r="1990" spans="1:9" x14ac:dyDescent="0.3">
      <c r="A1990" s="26">
        <v>45036</v>
      </c>
      <c r="B1990" s="27" t="s">
        <v>118</v>
      </c>
      <c r="C1990" s="27" t="s">
        <v>18</v>
      </c>
      <c r="D1990" s="27" t="s">
        <v>7</v>
      </c>
      <c r="E1990" s="28">
        <v>88359</v>
      </c>
      <c r="F1990" s="28">
        <v>94037</v>
      </c>
      <c r="G1990" s="27" t="s">
        <v>22</v>
      </c>
      <c r="H1990" s="27" t="s">
        <v>1144</v>
      </c>
      <c r="I1990" s="27" t="s">
        <v>13</v>
      </c>
    </row>
    <row r="1991" spans="1:9" x14ac:dyDescent="0.3">
      <c r="A1991" s="26">
        <v>45036</v>
      </c>
      <c r="B1991" s="27" t="s">
        <v>118</v>
      </c>
      <c r="C1991" s="27" t="s">
        <v>32</v>
      </c>
      <c r="D1991" s="27" t="s">
        <v>24</v>
      </c>
      <c r="E1991" s="28">
        <v>106617</v>
      </c>
      <c r="F1991" s="28">
        <v>169129</v>
      </c>
      <c r="G1991" s="27" t="s">
        <v>11</v>
      </c>
      <c r="H1991" s="27" t="s">
        <v>1666</v>
      </c>
      <c r="I1991" s="27" t="s">
        <v>13</v>
      </c>
    </row>
    <row r="1992" spans="1:9" x14ac:dyDescent="0.3">
      <c r="A1992" s="26">
        <v>45036</v>
      </c>
      <c r="B1992" s="27" t="s">
        <v>118</v>
      </c>
      <c r="C1992" s="27" t="s">
        <v>20</v>
      </c>
      <c r="D1992" s="27" t="s">
        <v>7</v>
      </c>
      <c r="E1992" s="28">
        <v>72176</v>
      </c>
      <c r="F1992" s="28">
        <v>108945</v>
      </c>
      <c r="G1992" s="27" t="s">
        <v>17</v>
      </c>
      <c r="H1992" s="27" t="s">
        <v>1768</v>
      </c>
      <c r="I1992" s="27" t="s">
        <v>13</v>
      </c>
    </row>
    <row r="1993" spans="1:9" x14ac:dyDescent="0.3">
      <c r="A1993" s="26">
        <v>45036</v>
      </c>
      <c r="B1993" s="27" t="s">
        <v>118</v>
      </c>
      <c r="C1993" s="27" t="s">
        <v>14</v>
      </c>
      <c r="D1993" s="27" t="s">
        <v>7</v>
      </c>
      <c r="E1993" s="28">
        <v>134900</v>
      </c>
      <c r="F1993" s="28">
        <v>29014</v>
      </c>
      <c r="G1993" s="27" t="s">
        <v>11</v>
      </c>
      <c r="H1993" s="27" t="s">
        <v>1847</v>
      </c>
      <c r="I1993" s="27" t="s">
        <v>13</v>
      </c>
    </row>
    <row r="1994" spans="1:9" x14ac:dyDescent="0.3">
      <c r="A1994" s="26">
        <v>45036</v>
      </c>
      <c r="B1994" s="27" t="s">
        <v>118</v>
      </c>
      <c r="C1994" s="27" t="s">
        <v>20</v>
      </c>
      <c r="D1994" s="27" t="s">
        <v>21</v>
      </c>
      <c r="E1994" s="28">
        <v>137245</v>
      </c>
      <c r="F1994" s="28">
        <v>136452</v>
      </c>
      <c r="G1994" s="27" t="s">
        <v>8</v>
      </c>
      <c r="H1994" s="27" t="s">
        <v>2076</v>
      </c>
      <c r="I1994" s="27" t="s">
        <v>13</v>
      </c>
    </row>
    <row r="1995" spans="1:9" x14ac:dyDescent="0.3">
      <c r="A1995" s="26">
        <v>45036</v>
      </c>
      <c r="B1995" s="27" t="s">
        <v>118</v>
      </c>
      <c r="C1995" s="27" t="s">
        <v>20</v>
      </c>
      <c r="D1995" s="27" t="s">
        <v>19</v>
      </c>
      <c r="E1995" s="28">
        <v>63490</v>
      </c>
      <c r="F1995" s="28">
        <v>84848</v>
      </c>
      <c r="G1995" s="27" t="s">
        <v>22</v>
      </c>
      <c r="H1995" s="27" t="s">
        <v>3243</v>
      </c>
      <c r="I1995" s="27" t="s">
        <v>13</v>
      </c>
    </row>
    <row r="1996" spans="1:9" x14ac:dyDescent="0.3">
      <c r="A1996" s="26">
        <v>45036</v>
      </c>
      <c r="B1996" s="27" t="s">
        <v>118</v>
      </c>
      <c r="C1996" s="27" t="s">
        <v>93</v>
      </c>
      <c r="D1996" s="27" t="s">
        <v>21</v>
      </c>
      <c r="E1996" s="28">
        <v>180900</v>
      </c>
      <c r="F1996" s="28">
        <v>202300</v>
      </c>
      <c r="G1996" s="27" t="s">
        <v>22</v>
      </c>
      <c r="H1996" s="27" t="s">
        <v>4267</v>
      </c>
      <c r="I1996" s="27" t="s">
        <v>9</v>
      </c>
    </row>
    <row r="1997" spans="1:9" x14ac:dyDescent="0.3">
      <c r="A1997" s="26">
        <v>45036</v>
      </c>
      <c r="B1997" s="27" t="s">
        <v>118</v>
      </c>
      <c r="C1997" s="27" t="s">
        <v>93</v>
      </c>
      <c r="D1997" s="27" t="s">
        <v>24</v>
      </c>
      <c r="E1997" s="28">
        <v>97400</v>
      </c>
      <c r="F1997" s="28">
        <v>103400</v>
      </c>
      <c r="G1997" s="27" t="s">
        <v>22</v>
      </c>
      <c r="H1997" s="27" t="s">
        <v>4372</v>
      </c>
      <c r="I1997" s="27" t="s">
        <v>9</v>
      </c>
    </row>
    <row r="1998" spans="1:9" x14ac:dyDescent="0.3">
      <c r="A1998" s="26">
        <v>45036</v>
      </c>
      <c r="B1998" s="27" t="s">
        <v>118</v>
      </c>
      <c r="C1998" s="27" t="s">
        <v>6</v>
      </c>
      <c r="D1998" s="27" t="s">
        <v>7</v>
      </c>
      <c r="E1998" s="28">
        <v>89100</v>
      </c>
      <c r="F1998" s="28">
        <v>96200</v>
      </c>
      <c r="G1998" s="27" t="s">
        <v>22</v>
      </c>
      <c r="H1998" s="27" t="s">
        <v>4527</v>
      </c>
      <c r="I1998" s="27" t="s">
        <v>9</v>
      </c>
    </row>
    <row r="1999" spans="1:9" x14ac:dyDescent="0.3">
      <c r="A1999" s="26">
        <v>45036</v>
      </c>
      <c r="B1999" s="27" t="s">
        <v>118</v>
      </c>
      <c r="C1999" s="27" t="s">
        <v>6</v>
      </c>
      <c r="D1999" s="27" t="s">
        <v>24</v>
      </c>
      <c r="E1999" s="28">
        <v>163400</v>
      </c>
      <c r="F1999" s="28">
        <v>155900</v>
      </c>
      <c r="G1999" s="27" t="s">
        <v>11</v>
      </c>
      <c r="H1999" s="27" t="s">
        <v>5049</v>
      </c>
      <c r="I1999" s="27" t="s">
        <v>9</v>
      </c>
    </row>
    <row r="2000" spans="1:9" x14ac:dyDescent="0.3">
      <c r="A2000" s="26">
        <v>45036</v>
      </c>
      <c r="B2000" s="27" t="s">
        <v>118</v>
      </c>
      <c r="C2000" s="27" t="s">
        <v>93</v>
      </c>
      <c r="D2000" s="27" t="s">
        <v>7</v>
      </c>
      <c r="E2000" s="28">
        <v>154100</v>
      </c>
      <c r="F2000" s="28">
        <v>173400</v>
      </c>
      <c r="G2000" s="27" t="s">
        <v>11</v>
      </c>
      <c r="H2000" s="27" t="s">
        <v>5151</v>
      </c>
      <c r="I2000" s="27" t="s">
        <v>9</v>
      </c>
    </row>
    <row r="2001" spans="1:9" x14ac:dyDescent="0.3">
      <c r="A2001" s="26">
        <v>45036</v>
      </c>
      <c r="B2001" s="27" t="s">
        <v>118</v>
      </c>
      <c r="C2001" s="27" t="s">
        <v>6</v>
      </c>
      <c r="D2001" s="27" t="s">
        <v>7</v>
      </c>
      <c r="E2001" s="28">
        <v>158900</v>
      </c>
      <c r="F2001" s="28">
        <v>201600</v>
      </c>
      <c r="G2001" s="27" t="s">
        <v>11</v>
      </c>
      <c r="H2001" s="27" t="s">
        <v>5230</v>
      </c>
      <c r="I2001" s="27" t="s">
        <v>9</v>
      </c>
    </row>
    <row r="2002" spans="1:9" x14ac:dyDescent="0.3">
      <c r="A2002" s="26">
        <v>45036</v>
      </c>
      <c r="B2002" s="27" t="s">
        <v>118</v>
      </c>
      <c r="C2002" s="27" t="s">
        <v>6</v>
      </c>
      <c r="D2002" s="27" t="s">
        <v>21</v>
      </c>
      <c r="E2002" s="28">
        <v>207100</v>
      </c>
      <c r="F2002" s="28">
        <v>155000</v>
      </c>
      <c r="G2002" s="27" t="s">
        <v>17</v>
      </c>
      <c r="H2002" s="27" t="s">
        <v>5460</v>
      </c>
      <c r="I2002" s="27" t="s">
        <v>9</v>
      </c>
    </row>
    <row r="2003" spans="1:9" x14ac:dyDescent="0.3">
      <c r="A2003" s="26">
        <v>45036</v>
      </c>
      <c r="B2003" s="27" t="s">
        <v>118</v>
      </c>
      <c r="C2003" s="27" t="s">
        <v>6</v>
      </c>
      <c r="D2003" s="27" t="s">
        <v>19</v>
      </c>
      <c r="E2003" s="28">
        <v>116000</v>
      </c>
      <c r="F2003" s="28">
        <v>110300</v>
      </c>
      <c r="G2003" s="27" t="s">
        <v>22</v>
      </c>
      <c r="H2003" s="27" t="s">
        <v>6628</v>
      </c>
      <c r="I2003" s="27" t="s">
        <v>9</v>
      </c>
    </row>
    <row r="2004" spans="1:9" x14ac:dyDescent="0.3">
      <c r="A2004" s="26">
        <v>45037</v>
      </c>
      <c r="B2004" s="27" t="s">
        <v>118</v>
      </c>
      <c r="C2004" s="27" t="s">
        <v>15</v>
      </c>
      <c r="D2004" s="27" t="s">
        <v>21</v>
      </c>
      <c r="E2004" s="28">
        <v>28879</v>
      </c>
      <c r="F2004" s="28">
        <v>154557</v>
      </c>
      <c r="G2004" s="27" t="s">
        <v>22</v>
      </c>
      <c r="H2004" s="27" t="s">
        <v>41</v>
      </c>
      <c r="I2004" s="27" t="s">
        <v>13</v>
      </c>
    </row>
    <row r="2005" spans="1:9" x14ac:dyDescent="0.3">
      <c r="A2005" s="26">
        <v>45037</v>
      </c>
      <c r="B2005" s="27" t="s">
        <v>118</v>
      </c>
      <c r="C2005" s="27" t="s">
        <v>20</v>
      </c>
      <c r="D2005" s="27" t="s">
        <v>24</v>
      </c>
      <c r="E2005" s="28">
        <v>67540</v>
      </c>
      <c r="F2005" s="28">
        <v>132172</v>
      </c>
      <c r="G2005" s="27" t="s">
        <v>17</v>
      </c>
      <c r="H2005" s="27" t="s">
        <v>821</v>
      </c>
      <c r="I2005" s="27" t="s">
        <v>13</v>
      </c>
    </row>
    <row r="2006" spans="1:9" x14ac:dyDescent="0.3">
      <c r="A2006" s="26">
        <v>45037</v>
      </c>
      <c r="B2006" s="27" t="s">
        <v>118</v>
      </c>
      <c r="C2006" s="27" t="s">
        <v>14</v>
      </c>
      <c r="D2006" s="27" t="s">
        <v>24</v>
      </c>
      <c r="E2006" s="28">
        <v>50954</v>
      </c>
      <c r="F2006" s="28">
        <v>10794</v>
      </c>
      <c r="G2006" s="27" t="s">
        <v>17</v>
      </c>
      <c r="H2006" s="27" t="s">
        <v>1500</v>
      </c>
      <c r="I2006" s="27" t="s">
        <v>13</v>
      </c>
    </row>
    <row r="2007" spans="1:9" x14ac:dyDescent="0.3">
      <c r="A2007" s="26">
        <v>45037</v>
      </c>
      <c r="B2007" s="27" t="s">
        <v>118</v>
      </c>
      <c r="C2007" s="27" t="s">
        <v>10</v>
      </c>
      <c r="D2007" s="27" t="s">
        <v>24</v>
      </c>
      <c r="E2007" s="28">
        <v>17817</v>
      </c>
      <c r="F2007" s="28">
        <v>157104</v>
      </c>
      <c r="G2007" s="27" t="s">
        <v>8</v>
      </c>
      <c r="H2007" s="27" t="s">
        <v>1540</v>
      </c>
      <c r="I2007" s="27" t="s">
        <v>13</v>
      </c>
    </row>
    <row r="2008" spans="1:9" x14ac:dyDescent="0.3">
      <c r="A2008" s="26">
        <v>45037</v>
      </c>
      <c r="B2008" s="27" t="s">
        <v>118</v>
      </c>
      <c r="C2008" s="27" t="s">
        <v>20</v>
      </c>
      <c r="D2008" s="27" t="s">
        <v>24</v>
      </c>
      <c r="E2008" s="28">
        <v>115620</v>
      </c>
      <c r="F2008" s="28">
        <v>88223</v>
      </c>
      <c r="G2008" s="27" t="s">
        <v>11</v>
      </c>
      <c r="H2008" s="27" t="s">
        <v>1682</v>
      </c>
      <c r="I2008" s="27" t="s">
        <v>13</v>
      </c>
    </row>
    <row r="2009" spans="1:9" x14ac:dyDescent="0.3">
      <c r="A2009" s="26">
        <v>45037</v>
      </c>
      <c r="B2009" s="27" t="s">
        <v>118</v>
      </c>
      <c r="C2009" s="27" t="s">
        <v>32</v>
      </c>
      <c r="D2009" s="27" t="s">
        <v>7</v>
      </c>
      <c r="E2009" s="28">
        <v>111059</v>
      </c>
      <c r="F2009" s="28">
        <v>134119</v>
      </c>
      <c r="G2009" s="27" t="s">
        <v>11</v>
      </c>
      <c r="H2009" s="27" t="s">
        <v>1863</v>
      </c>
      <c r="I2009" s="27" t="s">
        <v>13</v>
      </c>
    </row>
    <row r="2010" spans="1:9" x14ac:dyDescent="0.3">
      <c r="A2010" s="26">
        <v>45037</v>
      </c>
      <c r="B2010" s="27" t="s">
        <v>118</v>
      </c>
      <c r="C2010" s="27" t="s">
        <v>10</v>
      </c>
      <c r="D2010" s="27" t="s">
        <v>7</v>
      </c>
      <c r="E2010" s="28">
        <v>38691</v>
      </c>
      <c r="F2010" s="28">
        <v>74192</v>
      </c>
      <c r="G2010" s="27" t="s">
        <v>11</v>
      </c>
      <c r="H2010" s="27" t="s">
        <v>2713</v>
      </c>
      <c r="I2010" s="27" t="s">
        <v>13</v>
      </c>
    </row>
    <row r="2011" spans="1:9" x14ac:dyDescent="0.3">
      <c r="A2011" s="26">
        <v>45037</v>
      </c>
      <c r="B2011" s="27" t="s">
        <v>118</v>
      </c>
      <c r="C2011" s="27" t="s">
        <v>20</v>
      </c>
      <c r="D2011" s="27" t="s">
        <v>24</v>
      </c>
      <c r="E2011" s="28">
        <v>61538</v>
      </c>
      <c r="F2011" s="28">
        <v>16357</v>
      </c>
      <c r="G2011" s="27" t="s">
        <v>22</v>
      </c>
      <c r="H2011" s="27" t="s">
        <v>2760</v>
      </c>
      <c r="I2011" s="27" t="s">
        <v>13</v>
      </c>
    </row>
    <row r="2012" spans="1:9" x14ac:dyDescent="0.3">
      <c r="A2012" s="26">
        <v>45037</v>
      </c>
      <c r="B2012" s="27" t="s">
        <v>118</v>
      </c>
      <c r="C2012" s="27" t="s">
        <v>18</v>
      </c>
      <c r="D2012" s="27" t="s">
        <v>7</v>
      </c>
      <c r="E2012" s="28">
        <v>117478</v>
      </c>
      <c r="F2012" s="28">
        <v>142038</v>
      </c>
      <c r="G2012" s="27" t="s">
        <v>22</v>
      </c>
      <c r="H2012" s="27" t="s">
        <v>3030</v>
      </c>
      <c r="I2012" s="27" t="s">
        <v>13</v>
      </c>
    </row>
    <row r="2013" spans="1:9" x14ac:dyDescent="0.3">
      <c r="A2013" s="26">
        <v>45037</v>
      </c>
      <c r="B2013" s="27" t="s">
        <v>118</v>
      </c>
      <c r="C2013" s="27" t="s">
        <v>20</v>
      </c>
      <c r="D2013" s="27" t="s">
        <v>24</v>
      </c>
      <c r="E2013" s="28">
        <v>29819</v>
      </c>
      <c r="F2013" s="28">
        <v>107270</v>
      </c>
      <c r="G2013" s="27" t="s">
        <v>17</v>
      </c>
      <c r="H2013" s="27" t="s">
        <v>3191</v>
      </c>
      <c r="I2013" s="27" t="s">
        <v>13</v>
      </c>
    </row>
    <row r="2014" spans="1:9" x14ac:dyDescent="0.3">
      <c r="A2014" s="26">
        <v>45037</v>
      </c>
      <c r="B2014" s="27" t="s">
        <v>118</v>
      </c>
      <c r="C2014" s="27" t="s">
        <v>20</v>
      </c>
      <c r="D2014" s="27" t="s">
        <v>16</v>
      </c>
      <c r="E2014" s="28">
        <v>87277</v>
      </c>
      <c r="F2014" s="28">
        <v>112487</v>
      </c>
      <c r="G2014" s="27" t="s">
        <v>17</v>
      </c>
      <c r="H2014" s="27" t="s">
        <v>3418</v>
      </c>
      <c r="I2014" s="27" t="s">
        <v>13</v>
      </c>
    </row>
    <row r="2015" spans="1:9" x14ac:dyDescent="0.3">
      <c r="A2015" s="26">
        <v>45037</v>
      </c>
      <c r="B2015" s="27" t="s">
        <v>118</v>
      </c>
      <c r="C2015" s="27" t="s">
        <v>93</v>
      </c>
      <c r="D2015" s="27" t="s">
        <v>21</v>
      </c>
      <c r="E2015" s="28">
        <v>72800</v>
      </c>
      <c r="F2015" s="28">
        <v>84300</v>
      </c>
      <c r="G2015" s="27" t="s">
        <v>11</v>
      </c>
      <c r="H2015" s="27" t="s">
        <v>3452</v>
      </c>
      <c r="I2015" s="27" t="s">
        <v>9</v>
      </c>
    </row>
    <row r="2016" spans="1:9" x14ac:dyDescent="0.3">
      <c r="A2016" s="26">
        <v>45037</v>
      </c>
      <c r="B2016" s="27" t="s">
        <v>118</v>
      </c>
      <c r="C2016" s="27" t="s">
        <v>6</v>
      </c>
      <c r="D2016" s="27" t="s">
        <v>24</v>
      </c>
      <c r="E2016" s="28">
        <v>148300</v>
      </c>
      <c r="F2016" s="28">
        <v>155300</v>
      </c>
      <c r="G2016" s="27" t="s">
        <v>11</v>
      </c>
      <c r="H2016" s="27" t="s">
        <v>4202</v>
      </c>
      <c r="I2016" s="27" t="s">
        <v>9</v>
      </c>
    </row>
    <row r="2017" spans="1:9" x14ac:dyDescent="0.3">
      <c r="A2017" s="26">
        <v>45037</v>
      </c>
      <c r="B2017" s="27" t="s">
        <v>118</v>
      </c>
      <c r="C2017" s="27" t="s">
        <v>6</v>
      </c>
      <c r="D2017" s="27" t="s">
        <v>24</v>
      </c>
      <c r="E2017" s="28">
        <v>125900</v>
      </c>
      <c r="F2017" s="28">
        <v>139800</v>
      </c>
      <c r="G2017" s="27" t="s">
        <v>17</v>
      </c>
      <c r="H2017" s="27" t="s">
        <v>4883</v>
      </c>
      <c r="I2017" s="27" t="s">
        <v>9</v>
      </c>
    </row>
    <row r="2018" spans="1:9" x14ac:dyDescent="0.3">
      <c r="A2018" s="26">
        <v>45037</v>
      </c>
      <c r="B2018" s="27" t="s">
        <v>118</v>
      </c>
      <c r="C2018" s="27" t="s">
        <v>93</v>
      </c>
      <c r="D2018" s="27" t="s">
        <v>24</v>
      </c>
      <c r="E2018" s="28">
        <v>153700</v>
      </c>
      <c r="F2018" s="28">
        <v>181500</v>
      </c>
      <c r="G2018" s="27" t="s">
        <v>11</v>
      </c>
      <c r="H2018" s="27" t="s">
        <v>4923</v>
      </c>
      <c r="I2018" s="27" t="s">
        <v>9</v>
      </c>
    </row>
    <row r="2019" spans="1:9" x14ac:dyDescent="0.3">
      <c r="A2019" s="26">
        <v>45037</v>
      </c>
      <c r="B2019" s="27" t="s">
        <v>118</v>
      </c>
      <c r="C2019" s="27" t="s">
        <v>6</v>
      </c>
      <c r="D2019" s="27" t="s">
        <v>24</v>
      </c>
      <c r="E2019" s="28">
        <v>107400</v>
      </c>
      <c r="F2019" s="28">
        <v>88500</v>
      </c>
      <c r="G2019" s="27" t="s">
        <v>22</v>
      </c>
      <c r="H2019" s="27" t="s">
        <v>5065</v>
      </c>
      <c r="I2019" s="27" t="s">
        <v>9</v>
      </c>
    </row>
    <row r="2020" spans="1:9" x14ac:dyDescent="0.3">
      <c r="A2020" s="26">
        <v>45037</v>
      </c>
      <c r="B2020" s="27" t="s">
        <v>118</v>
      </c>
      <c r="C2020" s="27" t="s">
        <v>6</v>
      </c>
      <c r="D2020" s="27" t="s">
        <v>7</v>
      </c>
      <c r="E2020" s="28">
        <v>170400</v>
      </c>
      <c r="F2020" s="28">
        <v>183100</v>
      </c>
      <c r="G2020" s="27" t="s">
        <v>11</v>
      </c>
      <c r="H2020" s="27" t="s">
        <v>5247</v>
      </c>
      <c r="I2020" s="27" t="s">
        <v>9</v>
      </c>
    </row>
    <row r="2021" spans="1:9" x14ac:dyDescent="0.3">
      <c r="A2021" s="26">
        <v>45037</v>
      </c>
      <c r="B2021" s="27" t="s">
        <v>118</v>
      </c>
      <c r="C2021" s="27" t="s">
        <v>6</v>
      </c>
      <c r="D2021" s="27" t="s">
        <v>7</v>
      </c>
      <c r="E2021" s="28">
        <v>112200</v>
      </c>
      <c r="F2021" s="28">
        <v>112000</v>
      </c>
      <c r="G2021" s="27" t="s">
        <v>11</v>
      </c>
      <c r="H2021" s="27" t="s">
        <v>6098</v>
      </c>
      <c r="I2021" s="27" t="s">
        <v>9</v>
      </c>
    </row>
    <row r="2022" spans="1:9" x14ac:dyDescent="0.3">
      <c r="A2022" s="26">
        <v>45037</v>
      </c>
      <c r="B2022" s="27" t="s">
        <v>118</v>
      </c>
      <c r="C2022" s="27" t="s">
        <v>93</v>
      </c>
      <c r="D2022" s="27" t="s">
        <v>24</v>
      </c>
      <c r="E2022" s="28">
        <v>156500</v>
      </c>
      <c r="F2022" s="28">
        <v>159800</v>
      </c>
      <c r="G2022" s="27" t="s">
        <v>17</v>
      </c>
      <c r="H2022" s="27" t="s">
        <v>6145</v>
      </c>
      <c r="I2022" s="27" t="s">
        <v>9</v>
      </c>
    </row>
    <row r="2023" spans="1:9" x14ac:dyDescent="0.3">
      <c r="A2023" s="26">
        <v>45037</v>
      </c>
      <c r="B2023" s="27" t="s">
        <v>118</v>
      </c>
      <c r="C2023" s="27" t="s">
        <v>93</v>
      </c>
      <c r="D2023" s="27" t="s">
        <v>7</v>
      </c>
      <c r="E2023" s="28">
        <v>146300</v>
      </c>
      <c r="F2023" s="28">
        <v>150600</v>
      </c>
      <c r="G2023" s="27" t="s">
        <v>22</v>
      </c>
      <c r="H2023" s="27" t="s">
        <v>6415</v>
      </c>
      <c r="I2023" s="27" t="s">
        <v>9</v>
      </c>
    </row>
    <row r="2024" spans="1:9" x14ac:dyDescent="0.3">
      <c r="A2024" s="26">
        <v>45037</v>
      </c>
      <c r="B2024" s="27" t="s">
        <v>118</v>
      </c>
      <c r="C2024" s="27" t="s">
        <v>6</v>
      </c>
      <c r="D2024" s="27" t="s">
        <v>24</v>
      </c>
      <c r="E2024" s="28">
        <v>167900</v>
      </c>
      <c r="F2024" s="28">
        <v>176100</v>
      </c>
      <c r="G2024" s="27" t="s">
        <v>22</v>
      </c>
      <c r="H2024" s="27" t="s">
        <v>6576</v>
      </c>
      <c r="I2024" s="27" t="s">
        <v>9</v>
      </c>
    </row>
    <row r="2025" spans="1:9" x14ac:dyDescent="0.3">
      <c r="A2025" s="26">
        <v>45037</v>
      </c>
      <c r="B2025" s="27" t="s">
        <v>118</v>
      </c>
      <c r="C2025" s="27" t="s">
        <v>6</v>
      </c>
      <c r="D2025" s="27" t="s">
        <v>16</v>
      </c>
      <c r="E2025" s="28">
        <v>107200</v>
      </c>
      <c r="F2025" s="28">
        <v>149100</v>
      </c>
      <c r="G2025" s="27" t="s">
        <v>11</v>
      </c>
      <c r="H2025" s="27" t="s">
        <v>6803</v>
      </c>
      <c r="I2025" s="27" t="s">
        <v>9</v>
      </c>
    </row>
    <row r="2026" spans="1:9" x14ac:dyDescent="0.3">
      <c r="A2026" s="26">
        <v>45038</v>
      </c>
      <c r="B2026" s="27" t="s">
        <v>118</v>
      </c>
      <c r="C2026" s="27" t="s">
        <v>32</v>
      </c>
      <c r="D2026" s="27" t="s">
        <v>7</v>
      </c>
      <c r="E2026" s="28">
        <v>111542</v>
      </c>
      <c r="F2026" s="28">
        <v>17366</v>
      </c>
      <c r="G2026" s="27" t="s">
        <v>11</v>
      </c>
      <c r="H2026" s="27" t="s">
        <v>640</v>
      </c>
      <c r="I2026" s="27" t="s">
        <v>13</v>
      </c>
    </row>
    <row r="2027" spans="1:9" x14ac:dyDescent="0.3">
      <c r="A2027" s="26">
        <v>45038</v>
      </c>
      <c r="B2027" s="27" t="s">
        <v>118</v>
      </c>
      <c r="C2027" s="27" t="s">
        <v>20</v>
      </c>
      <c r="D2027" s="27" t="s">
        <v>24</v>
      </c>
      <c r="E2027" s="28">
        <v>126575</v>
      </c>
      <c r="F2027" s="28">
        <v>44615</v>
      </c>
      <c r="G2027" s="27" t="s">
        <v>8</v>
      </c>
      <c r="H2027" s="27" t="s">
        <v>833</v>
      </c>
      <c r="I2027" s="27" t="s">
        <v>13</v>
      </c>
    </row>
    <row r="2028" spans="1:9" x14ac:dyDescent="0.3">
      <c r="A2028" s="26">
        <v>45038</v>
      </c>
      <c r="B2028" s="27" t="s">
        <v>118</v>
      </c>
      <c r="C2028" s="27" t="s">
        <v>10</v>
      </c>
      <c r="D2028" s="27" t="s">
        <v>24</v>
      </c>
      <c r="E2028" s="28">
        <v>129788</v>
      </c>
      <c r="F2028" s="28">
        <v>57373</v>
      </c>
      <c r="G2028" s="27" t="s">
        <v>8</v>
      </c>
      <c r="H2028" s="27" t="s">
        <v>837</v>
      </c>
      <c r="I2028" s="27" t="s">
        <v>13</v>
      </c>
    </row>
    <row r="2029" spans="1:9" x14ac:dyDescent="0.3">
      <c r="A2029" s="26">
        <v>45038</v>
      </c>
      <c r="B2029" s="27" t="s">
        <v>118</v>
      </c>
      <c r="C2029" s="27" t="s">
        <v>15</v>
      </c>
      <c r="D2029" s="27" t="s">
        <v>16</v>
      </c>
      <c r="E2029" s="28">
        <v>15949</v>
      </c>
      <c r="F2029" s="28">
        <v>9307</v>
      </c>
      <c r="G2029" s="27" t="s">
        <v>22</v>
      </c>
      <c r="H2029" s="27" t="s">
        <v>1174</v>
      </c>
      <c r="I2029" s="27" t="s">
        <v>13</v>
      </c>
    </row>
    <row r="2030" spans="1:9" x14ac:dyDescent="0.3">
      <c r="A2030" s="26">
        <v>45038</v>
      </c>
      <c r="B2030" s="27" t="s">
        <v>118</v>
      </c>
      <c r="C2030" s="27" t="s">
        <v>32</v>
      </c>
      <c r="D2030" s="27" t="s">
        <v>16</v>
      </c>
      <c r="E2030" s="28">
        <v>143795</v>
      </c>
      <c r="F2030" s="28">
        <v>77507</v>
      </c>
      <c r="G2030" s="27" t="s">
        <v>11</v>
      </c>
      <c r="H2030" s="27" t="s">
        <v>2082</v>
      </c>
      <c r="I2030" s="27" t="s">
        <v>13</v>
      </c>
    </row>
    <row r="2031" spans="1:9" x14ac:dyDescent="0.3">
      <c r="A2031" s="26">
        <v>45038</v>
      </c>
      <c r="B2031" s="27" t="s">
        <v>118</v>
      </c>
      <c r="C2031" s="27" t="s">
        <v>18</v>
      </c>
      <c r="D2031" s="27" t="s">
        <v>16</v>
      </c>
      <c r="E2031" s="28">
        <v>58339</v>
      </c>
      <c r="F2031" s="28">
        <v>159191</v>
      </c>
      <c r="G2031" s="27" t="s">
        <v>17</v>
      </c>
      <c r="H2031" s="27" t="s">
        <v>2157</v>
      </c>
      <c r="I2031" s="27" t="s">
        <v>13</v>
      </c>
    </row>
    <row r="2032" spans="1:9" x14ac:dyDescent="0.3">
      <c r="A2032" s="26">
        <v>45038</v>
      </c>
      <c r="B2032" s="27" t="s">
        <v>118</v>
      </c>
      <c r="C2032" s="27" t="s">
        <v>14</v>
      </c>
      <c r="D2032" s="27" t="s">
        <v>21</v>
      </c>
      <c r="E2032" s="28">
        <v>123264</v>
      </c>
      <c r="F2032" s="28">
        <v>22095</v>
      </c>
      <c r="G2032" s="27" t="s">
        <v>11</v>
      </c>
      <c r="H2032" s="27" t="s">
        <v>2234</v>
      </c>
      <c r="I2032" s="27" t="s">
        <v>13</v>
      </c>
    </row>
    <row r="2033" spans="1:9" x14ac:dyDescent="0.3">
      <c r="A2033" s="26">
        <v>45038</v>
      </c>
      <c r="B2033" s="27" t="s">
        <v>118</v>
      </c>
      <c r="C2033" s="27" t="s">
        <v>20</v>
      </c>
      <c r="D2033" s="27" t="s">
        <v>16</v>
      </c>
      <c r="E2033" s="28">
        <v>120317</v>
      </c>
      <c r="F2033" s="28">
        <v>75200</v>
      </c>
      <c r="G2033" s="27" t="s">
        <v>22</v>
      </c>
      <c r="H2033" s="27" t="s">
        <v>2519</v>
      </c>
      <c r="I2033" s="27" t="s">
        <v>13</v>
      </c>
    </row>
    <row r="2034" spans="1:9" x14ac:dyDescent="0.3">
      <c r="A2034" s="26">
        <v>45038</v>
      </c>
      <c r="B2034" s="27" t="s">
        <v>118</v>
      </c>
      <c r="C2034" s="27" t="s">
        <v>6</v>
      </c>
      <c r="D2034" s="27" t="s">
        <v>7</v>
      </c>
      <c r="E2034" s="28">
        <v>92100</v>
      </c>
      <c r="F2034" s="28">
        <v>93000</v>
      </c>
      <c r="G2034" s="27" t="s">
        <v>11</v>
      </c>
      <c r="H2034" s="27" t="s">
        <v>4021</v>
      </c>
      <c r="I2034" s="27" t="s">
        <v>9</v>
      </c>
    </row>
    <row r="2035" spans="1:9" x14ac:dyDescent="0.3">
      <c r="A2035" s="26">
        <v>45038</v>
      </c>
      <c r="B2035" s="27" t="s">
        <v>118</v>
      </c>
      <c r="C2035" s="27" t="s">
        <v>93</v>
      </c>
      <c r="D2035" s="27" t="s">
        <v>24</v>
      </c>
      <c r="E2035" s="28">
        <v>95800</v>
      </c>
      <c r="F2035" s="28">
        <v>109700</v>
      </c>
      <c r="G2035" s="27" t="s">
        <v>17</v>
      </c>
      <c r="H2035" s="27" t="s">
        <v>4214</v>
      </c>
      <c r="I2035" s="27" t="s">
        <v>9</v>
      </c>
    </row>
    <row r="2036" spans="1:9" x14ac:dyDescent="0.3">
      <c r="A2036" s="26">
        <v>45038</v>
      </c>
      <c r="B2036" s="27" t="s">
        <v>118</v>
      </c>
      <c r="C2036" s="27" t="s">
        <v>93</v>
      </c>
      <c r="D2036" s="27" t="s">
        <v>24</v>
      </c>
      <c r="E2036" s="28">
        <v>125200</v>
      </c>
      <c r="F2036" s="28">
        <v>148300</v>
      </c>
      <c r="G2036" s="27" t="s">
        <v>11</v>
      </c>
      <c r="H2036" s="27" t="s">
        <v>4218</v>
      </c>
      <c r="I2036" s="27" t="s">
        <v>9</v>
      </c>
    </row>
    <row r="2037" spans="1:9" x14ac:dyDescent="0.3">
      <c r="A2037" s="26">
        <v>45038</v>
      </c>
      <c r="B2037" s="27" t="s">
        <v>118</v>
      </c>
      <c r="C2037" s="27" t="s">
        <v>6</v>
      </c>
      <c r="D2037" s="27" t="s">
        <v>16</v>
      </c>
      <c r="E2037" s="28">
        <v>105000</v>
      </c>
      <c r="F2037" s="28">
        <v>97200</v>
      </c>
      <c r="G2037" s="27" t="s">
        <v>22</v>
      </c>
      <c r="H2037" s="27" t="s">
        <v>4557</v>
      </c>
      <c r="I2037" s="27" t="s">
        <v>9</v>
      </c>
    </row>
    <row r="2038" spans="1:9" x14ac:dyDescent="0.3">
      <c r="A2038" s="26">
        <v>45038</v>
      </c>
      <c r="B2038" s="27" t="s">
        <v>118</v>
      </c>
      <c r="C2038" s="27" t="s">
        <v>6</v>
      </c>
      <c r="D2038" s="27" t="s">
        <v>16</v>
      </c>
      <c r="E2038" s="28">
        <v>126400</v>
      </c>
      <c r="F2038" s="28">
        <v>152400</v>
      </c>
      <c r="G2038" s="27" t="s">
        <v>22</v>
      </c>
      <c r="H2038" s="27" t="s">
        <v>5466</v>
      </c>
      <c r="I2038" s="27" t="s">
        <v>9</v>
      </c>
    </row>
    <row r="2039" spans="1:9" x14ac:dyDescent="0.3">
      <c r="A2039" s="26">
        <v>45038</v>
      </c>
      <c r="B2039" s="27" t="s">
        <v>118</v>
      </c>
      <c r="C2039" s="27" t="s">
        <v>93</v>
      </c>
      <c r="D2039" s="27" t="s">
        <v>16</v>
      </c>
      <c r="E2039" s="28">
        <v>90500</v>
      </c>
      <c r="F2039" s="28">
        <v>82400</v>
      </c>
      <c r="G2039" s="27" t="s">
        <v>22</v>
      </c>
      <c r="H2039" s="27" t="s">
        <v>5542</v>
      </c>
      <c r="I2039" s="27" t="s">
        <v>9</v>
      </c>
    </row>
    <row r="2040" spans="1:9" x14ac:dyDescent="0.3">
      <c r="A2040" s="26">
        <v>45038</v>
      </c>
      <c r="B2040" s="27" t="s">
        <v>118</v>
      </c>
      <c r="C2040" s="27" t="s">
        <v>93</v>
      </c>
      <c r="D2040" s="27" t="s">
        <v>21</v>
      </c>
      <c r="E2040" s="28">
        <v>64900</v>
      </c>
      <c r="F2040" s="28">
        <v>61500</v>
      </c>
      <c r="G2040" s="27" t="s">
        <v>11</v>
      </c>
      <c r="H2040" s="27" t="s">
        <v>5619</v>
      </c>
      <c r="I2040" s="27" t="s">
        <v>9</v>
      </c>
    </row>
    <row r="2041" spans="1:9" x14ac:dyDescent="0.3">
      <c r="A2041" s="26">
        <v>45038</v>
      </c>
      <c r="B2041" s="27" t="s">
        <v>118</v>
      </c>
      <c r="C2041" s="27" t="s">
        <v>93</v>
      </c>
      <c r="D2041" s="27" t="s">
        <v>16</v>
      </c>
      <c r="E2041" s="28">
        <v>179500</v>
      </c>
      <c r="F2041" s="28">
        <v>163100</v>
      </c>
      <c r="G2041" s="27" t="s">
        <v>11</v>
      </c>
      <c r="H2041" s="27" t="s">
        <v>5904</v>
      </c>
      <c r="I2041" s="27" t="s">
        <v>9</v>
      </c>
    </row>
    <row r="2042" spans="1:9" x14ac:dyDescent="0.3">
      <c r="A2042" s="26">
        <v>45039</v>
      </c>
      <c r="B2042" s="27" t="s">
        <v>118</v>
      </c>
      <c r="C2042" s="27" t="s">
        <v>18</v>
      </c>
      <c r="D2042" s="27" t="s">
        <v>19</v>
      </c>
      <c r="E2042" s="28">
        <v>107238</v>
      </c>
      <c r="F2042" s="28">
        <v>86590</v>
      </c>
      <c r="G2042" s="27" t="s">
        <v>22</v>
      </c>
      <c r="H2042" s="27" t="s">
        <v>321</v>
      </c>
      <c r="I2042" s="27" t="s">
        <v>13</v>
      </c>
    </row>
    <row r="2043" spans="1:9" x14ac:dyDescent="0.3">
      <c r="A2043" s="26">
        <v>45039</v>
      </c>
      <c r="B2043" s="27" t="s">
        <v>118</v>
      </c>
      <c r="C2043" s="27" t="s">
        <v>14</v>
      </c>
      <c r="D2043" s="27" t="s">
        <v>24</v>
      </c>
      <c r="E2043" s="28">
        <v>21593</v>
      </c>
      <c r="F2043" s="28">
        <v>59812</v>
      </c>
      <c r="G2043" s="27" t="s">
        <v>17</v>
      </c>
      <c r="H2043" s="27" t="s">
        <v>1250</v>
      </c>
      <c r="I2043" s="27" t="s">
        <v>13</v>
      </c>
    </row>
    <row r="2044" spans="1:9" x14ac:dyDescent="0.3">
      <c r="A2044" s="26">
        <v>45039</v>
      </c>
      <c r="B2044" s="27" t="s">
        <v>118</v>
      </c>
      <c r="C2044" s="27" t="s">
        <v>14</v>
      </c>
      <c r="D2044" s="27" t="s">
        <v>7</v>
      </c>
      <c r="E2044" s="28">
        <v>59349</v>
      </c>
      <c r="F2044" s="28">
        <v>81972</v>
      </c>
      <c r="G2044" s="27" t="s">
        <v>22</v>
      </c>
      <c r="H2044" s="27" t="s">
        <v>1728</v>
      </c>
      <c r="I2044" s="27" t="s">
        <v>13</v>
      </c>
    </row>
    <row r="2045" spans="1:9" x14ac:dyDescent="0.3">
      <c r="A2045" s="26">
        <v>45039</v>
      </c>
      <c r="B2045" s="27" t="s">
        <v>118</v>
      </c>
      <c r="C2045" s="27" t="s">
        <v>32</v>
      </c>
      <c r="D2045" s="27" t="s">
        <v>19</v>
      </c>
      <c r="E2045" s="28">
        <v>87745</v>
      </c>
      <c r="F2045" s="28">
        <v>48619</v>
      </c>
      <c r="G2045" s="27" t="s">
        <v>11</v>
      </c>
      <c r="H2045" s="27" t="s">
        <v>1883</v>
      </c>
      <c r="I2045" s="27" t="s">
        <v>13</v>
      </c>
    </row>
    <row r="2046" spans="1:9" x14ac:dyDescent="0.3">
      <c r="A2046" s="26">
        <v>45039</v>
      </c>
      <c r="B2046" s="27" t="s">
        <v>118</v>
      </c>
      <c r="C2046" s="27" t="s">
        <v>15</v>
      </c>
      <c r="D2046" s="27" t="s">
        <v>21</v>
      </c>
      <c r="E2046" s="28">
        <v>44237</v>
      </c>
      <c r="F2046" s="28">
        <v>153920</v>
      </c>
      <c r="G2046" s="27" t="s">
        <v>22</v>
      </c>
      <c r="H2046" s="27" t="s">
        <v>2146</v>
      </c>
      <c r="I2046" s="27" t="s">
        <v>13</v>
      </c>
    </row>
    <row r="2047" spans="1:9" x14ac:dyDescent="0.3">
      <c r="A2047" s="26">
        <v>45039</v>
      </c>
      <c r="B2047" s="27" t="s">
        <v>118</v>
      </c>
      <c r="C2047" s="27" t="s">
        <v>10</v>
      </c>
      <c r="D2047" s="27" t="s">
        <v>16</v>
      </c>
      <c r="E2047" s="28">
        <v>30704</v>
      </c>
      <c r="F2047" s="28">
        <v>92266</v>
      </c>
      <c r="G2047" s="27" t="s">
        <v>22</v>
      </c>
      <c r="H2047" s="27" t="s">
        <v>2264</v>
      </c>
      <c r="I2047" s="27" t="s">
        <v>13</v>
      </c>
    </row>
    <row r="2048" spans="1:9" x14ac:dyDescent="0.3">
      <c r="A2048" s="26">
        <v>45039</v>
      </c>
      <c r="B2048" s="27" t="s">
        <v>118</v>
      </c>
      <c r="C2048" s="27" t="s">
        <v>20</v>
      </c>
      <c r="D2048" s="27" t="s">
        <v>19</v>
      </c>
      <c r="E2048" s="28">
        <v>101777</v>
      </c>
      <c r="F2048" s="28">
        <v>55238</v>
      </c>
      <c r="G2048" s="27" t="s">
        <v>8</v>
      </c>
      <c r="H2048" s="27" t="s">
        <v>2349</v>
      </c>
      <c r="I2048" s="27" t="s">
        <v>13</v>
      </c>
    </row>
    <row r="2049" spans="1:9" x14ac:dyDescent="0.3">
      <c r="A2049" s="26">
        <v>45039</v>
      </c>
      <c r="B2049" s="27" t="s">
        <v>118</v>
      </c>
      <c r="C2049" s="27" t="s">
        <v>20</v>
      </c>
      <c r="D2049" s="27" t="s">
        <v>21</v>
      </c>
      <c r="E2049" s="28">
        <v>120996</v>
      </c>
      <c r="F2049" s="28">
        <v>30701</v>
      </c>
      <c r="G2049" s="27" t="s">
        <v>8</v>
      </c>
      <c r="H2049" s="27" t="s">
        <v>2530</v>
      </c>
      <c r="I2049" s="27" t="s">
        <v>13</v>
      </c>
    </row>
    <row r="2050" spans="1:9" x14ac:dyDescent="0.3">
      <c r="A2050" s="26">
        <v>45039</v>
      </c>
      <c r="B2050" s="27" t="s">
        <v>118</v>
      </c>
      <c r="C2050" s="27" t="s">
        <v>6</v>
      </c>
      <c r="D2050" s="27" t="s">
        <v>19</v>
      </c>
      <c r="E2050" s="28">
        <v>187100</v>
      </c>
      <c r="F2050" s="28">
        <v>171200</v>
      </c>
      <c r="G2050" s="27" t="s">
        <v>22</v>
      </c>
      <c r="H2050" s="27" t="s">
        <v>3702</v>
      </c>
      <c r="I2050" s="27" t="s">
        <v>9</v>
      </c>
    </row>
    <row r="2051" spans="1:9" x14ac:dyDescent="0.3">
      <c r="A2051" s="26">
        <v>45039</v>
      </c>
      <c r="B2051" s="27" t="s">
        <v>118</v>
      </c>
      <c r="C2051" s="27" t="s">
        <v>93</v>
      </c>
      <c r="D2051" s="27" t="s">
        <v>24</v>
      </c>
      <c r="E2051" s="28">
        <v>108200</v>
      </c>
      <c r="F2051" s="28">
        <v>64900</v>
      </c>
      <c r="G2051" s="27" t="s">
        <v>11</v>
      </c>
      <c r="H2051" s="27" t="s">
        <v>4633</v>
      </c>
      <c r="I2051" s="27" t="s">
        <v>9</v>
      </c>
    </row>
    <row r="2052" spans="1:9" x14ac:dyDescent="0.3">
      <c r="A2052" s="26">
        <v>45039</v>
      </c>
      <c r="B2052" s="27" t="s">
        <v>118</v>
      </c>
      <c r="C2052" s="27" t="s">
        <v>93</v>
      </c>
      <c r="D2052" s="27" t="s">
        <v>7</v>
      </c>
      <c r="E2052" s="28">
        <v>136200</v>
      </c>
      <c r="F2052" s="28">
        <v>164400</v>
      </c>
      <c r="G2052" s="27" t="s">
        <v>17</v>
      </c>
      <c r="H2052" s="27" t="s">
        <v>5111</v>
      </c>
      <c r="I2052" s="27" t="s">
        <v>9</v>
      </c>
    </row>
    <row r="2053" spans="1:9" x14ac:dyDescent="0.3">
      <c r="A2053" s="26">
        <v>45039</v>
      </c>
      <c r="B2053" s="27" t="s">
        <v>118</v>
      </c>
      <c r="C2053" s="27" t="s">
        <v>93</v>
      </c>
      <c r="D2053" s="27" t="s">
        <v>19</v>
      </c>
      <c r="E2053" s="28">
        <v>157500</v>
      </c>
      <c r="F2053" s="28">
        <v>156000</v>
      </c>
      <c r="G2053" s="27" t="s">
        <v>11</v>
      </c>
      <c r="H2053" s="27" t="s">
        <v>5267</v>
      </c>
      <c r="I2053" s="27" t="s">
        <v>9</v>
      </c>
    </row>
    <row r="2054" spans="1:9" x14ac:dyDescent="0.3">
      <c r="A2054" s="26">
        <v>45039</v>
      </c>
      <c r="B2054" s="27" t="s">
        <v>118</v>
      </c>
      <c r="C2054" s="27" t="s">
        <v>6</v>
      </c>
      <c r="D2054" s="27" t="s">
        <v>21</v>
      </c>
      <c r="E2054" s="28">
        <v>64200</v>
      </c>
      <c r="F2054" s="28">
        <v>53400</v>
      </c>
      <c r="G2054" s="27" t="s">
        <v>17</v>
      </c>
      <c r="H2054" s="27" t="s">
        <v>5531</v>
      </c>
      <c r="I2054" s="27" t="s">
        <v>9</v>
      </c>
    </row>
    <row r="2055" spans="1:9" x14ac:dyDescent="0.3">
      <c r="A2055" s="26">
        <v>45039</v>
      </c>
      <c r="B2055" s="27" t="s">
        <v>118</v>
      </c>
      <c r="C2055" s="27" t="s">
        <v>93</v>
      </c>
      <c r="D2055" s="27" t="s">
        <v>16</v>
      </c>
      <c r="E2055" s="28">
        <v>107000</v>
      </c>
      <c r="F2055" s="28">
        <v>106600</v>
      </c>
      <c r="G2055" s="27" t="s">
        <v>11</v>
      </c>
      <c r="H2055" s="27" t="s">
        <v>5649</v>
      </c>
      <c r="I2055" s="27" t="s">
        <v>9</v>
      </c>
    </row>
    <row r="2056" spans="1:9" x14ac:dyDescent="0.3">
      <c r="A2056" s="26">
        <v>45039</v>
      </c>
      <c r="B2056" s="27" t="s">
        <v>118</v>
      </c>
      <c r="C2056" s="27" t="s">
        <v>6</v>
      </c>
      <c r="D2056" s="27" t="s">
        <v>19</v>
      </c>
      <c r="E2056" s="28">
        <v>145800</v>
      </c>
      <c r="F2056" s="28">
        <v>169300</v>
      </c>
      <c r="G2056" s="27" t="s">
        <v>11</v>
      </c>
      <c r="H2056" s="27" t="s">
        <v>5734</v>
      </c>
      <c r="I2056" s="27" t="s">
        <v>9</v>
      </c>
    </row>
    <row r="2057" spans="1:9" x14ac:dyDescent="0.3">
      <c r="A2057" s="26">
        <v>45039</v>
      </c>
      <c r="B2057" s="27" t="s">
        <v>118</v>
      </c>
      <c r="C2057" s="27" t="s">
        <v>6</v>
      </c>
      <c r="D2057" s="27" t="s">
        <v>21</v>
      </c>
      <c r="E2057" s="28">
        <v>97500</v>
      </c>
      <c r="F2057" s="28">
        <v>101200</v>
      </c>
      <c r="G2057" s="27" t="s">
        <v>11</v>
      </c>
      <c r="H2057" s="27" t="s">
        <v>5915</v>
      </c>
      <c r="I2057" s="27" t="s">
        <v>9</v>
      </c>
    </row>
    <row r="2058" spans="1:9" x14ac:dyDescent="0.3">
      <c r="A2058" s="26">
        <v>45040</v>
      </c>
      <c r="B2058" s="27" t="s">
        <v>118</v>
      </c>
      <c r="C2058" s="27" t="s">
        <v>14</v>
      </c>
      <c r="D2058" s="27" t="s">
        <v>24</v>
      </c>
      <c r="E2058" s="28">
        <v>80791</v>
      </c>
      <c r="F2058" s="28">
        <v>84357</v>
      </c>
      <c r="G2058" s="27" t="s">
        <v>17</v>
      </c>
      <c r="H2058" s="27" t="s">
        <v>358</v>
      </c>
      <c r="I2058" s="27" t="s">
        <v>13</v>
      </c>
    </row>
    <row r="2059" spans="1:9" x14ac:dyDescent="0.3">
      <c r="A2059" s="26">
        <v>45040</v>
      </c>
      <c r="B2059" s="27" t="s">
        <v>118</v>
      </c>
      <c r="C2059" s="27" t="s">
        <v>15</v>
      </c>
      <c r="D2059" s="27" t="s">
        <v>19</v>
      </c>
      <c r="E2059" s="28">
        <v>100507</v>
      </c>
      <c r="F2059" s="28">
        <v>99546</v>
      </c>
      <c r="G2059" s="27" t="s">
        <v>17</v>
      </c>
      <c r="H2059" s="27" t="s">
        <v>600</v>
      </c>
      <c r="I2059" s="27" t="s">
        <v>13</v>
      </c>
    </row>
    <row r="2060" spans="1:9" x14ac:dyDescent="0.3">
      <c r="A2060" s="26">
        <v>45040</v>
      </c>
      <c r="B2060" s="27" t="s">
        <v>118</v>
      </c>
      <c r="C2060" s="27" t="s">
        <v>10</v>
      </c>
      <c r="D2060" s="27" t="s">
        <v>16</v>
      </c>
      <c r="E2060" s="28">
        <v>98768</v>
      </c>
      <c r="F2060" s="28">
        <v>119009</v>
      </c>
      <c r="G2060" s="27" t="s">
        <v>22</v>
      </c>
      <c r="H2060" s="27" t="s">
        <v>1113</v>
      </c>
      <c r="I2060" s="27" t="s">
        <v>13</v>
      </c>
    </row>
    <row r="2061" spans="1:9" x14ac:dyDescent="0.3">
      <c r="A2061" s="26">
        <v>45040</v>
      </c>
      <c r="B2061" s="27" t="s">
        <v>118</v>
      </c>
      <c r="C2061" s="27" t="s">
        <v>18</v>
      </c>
      <c r="D2061" s="27" t="s">
        <v>19</v>
      </c>
      <c r="E2061" s="28">
        <v>46499</v>
      </c>
      <c r="F2061" s="28">
        <v>158393</v>
      </c>
      <c r="G2061" s="27" t="s">
        <v>8</v>
      </c>
      <c r="H2061" s="27" t="s">
        <v>1263</v>
      </c>
      <c r="I2061" s="27" t="s">
        <v>13</v>
      </c>
    </row>
    <row r="2062" spans="1:9" x14ac:dyDescent="0.3">
      <c r="A2062" s="26">
        <v>45040</v>
      </c>
      <c r="B2062" s="27" t="s">
        <v>118</v>
      </c>
      <c r="C2062" s="27" t="s">
        <v>10</v>
      </c>
      <c r="D2062" s="27" t="s">
        <v>16</v>
      </c>
      <c r="E2062" s="28">
        <v>106872</v>
      </c>
      <c r="F2062" s="28">
        <v>57567</v>
      </c>
      <c r="G2062" s="27" t="s">
        <v>11</v>
      </c>
      <c r="H2062" s="27" t="s">
        <v>1447</v>
      </c>
      <c r="I2062" s="27" t="s">
        <v>13</v>
      </c>
    </row>
    <row r="2063" spans="1:9" x14ac:dyDescent="0.3">
      <c r="A2063" s="26">
        <v>45040</v>
      </c>
      <c r="B2063" s="27" t="s">
        <v>118</v>
      </c>
      <c r="C2063" s="27" t="s">
        <v>20</v>
      </c>
      <c r="D2063" s="27" t="s">
        <v>24</v>
      </c>
      <c r="E2063" s="28">
        <v>93093</v>
      </c>
      <c r="F2063" s="28">
        <v>156934</v>
      </c>
      <c r="G2063" s="27" t="s">
        <v>8</v>
      </c>
      <c r="H2063" s="27" t="s">
        <v>1510</v>
      </c>
      <c r="I2063" s="27" t="s">
        <v>13</v>
      </c>
    </row>
    <row r="2064" spans="1:9" x14ac:dyDescent="0.3">
      <c r="A2064" s="26">
        <v>45040</v>
      </c>
      <c r="B2064" s="27" t="s">
        <v>118</v>
      </c>
      <c r="C2064" s="27" t="s">
        <v>18</v>
      </c>
      <c r="D2064" s="27" t="s">
        <v>24</v>
      </c>
      <c r="E2064" s="28">
        <v>149418</v>
      </c>
      <c r="F2064" s="28">
        <v>56101</v>
      </c>
      <c r="G2064" s="27" t="s">
        <v>17</v>
      </c>
      <c r="H2064" s="27" t="s">
        <v>1622</v>
      </c>
      <c r="I2064" s="27" t="s">
        <v>13</v>
      </c>
    </row>
    <row r="2065" spans="1:9" x14ac:dyDescent="0.3">
      <c r="A2065" s="26">
        <v>45040</v>
      </c>
      <c r="B2065" s="27" t="s">
        <v>118</v>
      </c>
      <c r="C2065" s="27" t="s">
        <v>20</v>
      </c>
      <c r="D2065" s="27" t="s">
        <v>21</v>
      </c>
      <c r="E2065" s="28">
        <v>108272</v>
      </c>
      <c r="F2065" s="28">
        <v>148458</v>
      </c>
      <c r="G2065" s="27" t="s">
        <v>8</v>
      </c>
      <c r="H2065" s="27" t="s">
        <v>2289</v>
      </c>
      <c r="I2065" s="27" t="s">
        <v>13</v>
      </c>
    </row>
    <row r="2066" spans="1:9" x14ac:dyDescent="0.3">
      <c r="A2066" s="26">
        <v>45040</v>
      </c>
      <c r="B2066" s="27" t="s">
        <v>118</v>
      </c>
      <c r="C2066" s="27" t="s">
        <v>15</v>
      </c>
      <c r="D2066" s="27" t="s">
        <v>19</v>
      </c>
      <c r="E2066" s="28">
        <v>21563</v>
      </c>
      <c r="F2066" s="28">
        <v>100424</v>
      </c>
      <c r="G2066" s="27" t="s">
        <v>22</v>
      </c>
      <c r="H2066" s="27" t="s">
        <v>2373</v>
      </c>
      <c r="I2066" s="27" t="s">
        <v>13</v>
      </c>
    </row>
    <row r="2067" spans="1:9" x14ac:dyDescent="0.3">
      <c r="A2067" s="26">
        <v>45040</v>
      </c>
      <c r="B2067" s="27" t="s">
        <v>118</v>
      </c>
      <c r="C2067" s="27" t="s">
        <v>32</v>
      </c>
      <c r="D2067" s="27" t="s">
        <v>7</v>
      </c>
      <c r="E2067" s="28">
        <v>14043</v>
      </c>
      <c r="F2067" s="28">
        <v>76094</v>
      </c>
      <c r="G2067" s="27" t="s">
        <v>8</v>
      </c>
      <c r="H2067" s="27" t="s">
        <v>2688</v>
      </c>
      <c r="I2067" s="27" t="s">
        <v>13</v>
      </c>
    </row>
    <row r="2068" spans="1:9" x14ac:dyDescent="0.3">
      <c r="A2068" s="26">
        <v>45040</v>
      </c>
      <c r="B2068" s="27" t="s">
        <v>118</v>
      </c>
      <c r="C2068" s="27" t="s">
        <v>32</v>
      </c>
      <c r="D2068" s="27" t="s">
        <v>7</v>
      </c>
      <c r="E2068" s="28">
        <v>70585</v>
      </c>
      <c r="F2068" s="28">
        <v>61893</v>
      </c>
      <c r="G2068" s="27" t="s">
        <v>11</v>
      </c>
      <c r="H2068" s="27" t="s">
        <v>3117</v>
      </c>
      <c r="I2068" s="27" t="s">
        <v>13</v>
      </c>
    </row>
    <row r="2069" spans="1:9" x14ac:dyDescent="0.3">
      <c r="A2069" s="26">
        <v>45040</v>
      </c>
      <c r="B2069" s="27" t="s">
        <v>118</v>
      </c>
      <c r="C2069" s="27" t="s">
        <v>10</v>
      </c>
      <c r="D2069" s="27" t="s">
        <v>21</v>
      </c>
      <c r="E2069" s="28">
        <v>90624</v>
      </c>
      <c r="F2069" s="28">
        <v>42929</v>
      </c>
      <c r="G2069" s="27" t="s">
        <v>8</v>
      </c>
      <c r="H2069" s="27" t="s">
        <v>3283</v>
      </c>
      <c r="I2069" s="27" t="s">
        <v>13</v>
      </c>
    </row>
    <row r="2070" spans="1:9" x14ac:dyDescent="0.3">
      <c r="A2070" s="26">
        <v>45040</v>
      </c>
      <c r="B2070" s="27" t="s">
        <v>118</v>
      </c>
      <c r="C2070" s="27" t="s">
        <v>93</v>
      </c>
      <c r="D2070" s="27" t="s">
        <v>24</v>
      </c>
      <c r="E2070" s="28">
        <v>117600</v>
      </c>
      <c r="F2070" s="28">
        <v>114500</v>
      </c>
      <c r="G2070" s="27" t="s">
        <v>17</v>
      </c>
      <c r="H2070" s="27" t="s">
        <v>3739</v>
      </c>
      <c r="I2070" s="27" t="s">
        <v>9</v>
      </c>
    </row>
    <row r="2071" spans="1:9" x14ac:dyDescent="0.3">
      <c r="A2071" s="26">
        <v>45040</v>
      </c>
      <c r="B2071" s="27" t="s">
        <v>118</v>
      </c>
      <c r="C2071" s="27" t="s">
        <v>93</v>
      </c>
      <c r="D2071" s="27" t="s">
        <v>19</v>
      </c>
      <c r="E2071" s="28">
        <v>95400</v>
      </c>
      <c r="F2071" s="28">
        <v>92600</v>
      </c>
      <c r="G2071" s="27" t="s">
        <v>11</v>
      </c>
      <c r="H2071" s="27" t="s">
        <v>3981</v>
      </c>
      <c r="I2071" s="27" t="s">
        <v>9</v>
      </c>
    </row>
    <row r="2072" spans="1:9" x14ac:dyDescent="0.3">
      <c r="A2072" s="26">
        <v>45040</v>
      </c>
      <c r="B2072" s="27" t="s">
        <v>118</v>
      </c>
      <c r="C2072" s="27" t="s">
        <v>6</v>
      </c>
      <c r="D2072" s="27" t="s">
        <v>16</v>
      </c>
      <c r="E2072" s="28">
        <v>180600</v>
      </c>
      <c r="F2072" s="28">
        <v>219400</v>
      </c>
      <c r="G2072" s="27" t="s">
        <v>11</v>
      </c>
      <c r="H2072" s="27" t="s">
        <v>4496</v>
      </c>
      <c r="I2072" s="27" t="s">
        <v>9</v>
      </c>
    </row>
    <row r="2073" spans="1:9" x14ac:dyDescent="0.3">
      <c r="A2073" s="26">
        <v>45040</v>
      </c>
      <c r="B2073" s="27" t="s">
        <v>118</v>
      </c>
      <c r="C2073" s="27" t="s">
        <v>6</v>
      </c>
      <c r="D2073" s="27" t="s">
        <v>19</v>
      </c>
      <c r="E2073" s="28">
        <v>36200</v>
      </c>
      <c r="F2073" s="28">
        <v>30800</v>
      </c>
      <c r="G2073" s="27" t="s">
        <v>11</v>
      </c>
      <c r="H2073" s="27" t="s">
        <v>4646</v>
      </c>
      <c r="I2073" s="27" t="s">
        <v>9</v>
      </c>
    </row>
    <row r="2074" spans="1:9" x14ac:dyDescent="0.3">
      <c r="A2074" s="26">
        <v>45040</v>
      </c>
      <c r="B2074" s="27" t="s">
        <v>118</v>
      </c>
      <c r="C2074" s="27" t="s">
        <v>93</v>
      </c>
      <c r="D2074" s="27" t="s">
        <v>16</v>
      </c>
      <c r="E2074" s="28">
        <v>127600</v>
      </c>
      <c r="F2074" s="28">
        <v>115600</v>
      </c>
      <c r="G2074" s="27" t="s">
        <v>22</v>
      </c>
      <c r="H2074" s="27" t="s">
        <v>4830</v>
      </c>
      <c r="I2074" s="27" t="s">
        <v>9</v>
      </c>
    </row>
    <row r="2075" spans="1:9" x14ac:dyDescent="0.3">
      <c r="A2075" s="26">
        <v>45040</v>
      </c>
      <c r="B2075" s="27" t="s">
        <v>118</v>
      </c>
      <c r="C2075" s="27" t="s">
        <v>6</v>
      </c>
      <c r="D2075" s="27" t="s">
        <v>24</v>
      </c>
      <c r="E2075" s="28">
        <v>196600</v>
      </c>
      <c r="F2075" s="28">
        <v>268800</v>
      </c>
      <c r="G2075" s="27" t="s">
        <v>11</v>
      </c>
      <c r="H2075" s="27" t="s">
        <v>4893</v>
      </c>
      <c r="I2075" s="27" t="s">
        <v>9</v>
      </c>
    </row>
    <row r="2076" spans="1:9" x14ac:dyDescent="0.3">
      <c r="A2076" s="26">
        <v>45040</v>
      </c>
      <c r="B2076" s="27" t="s">
        <v>118</v>
      </c>
      <c r="C2076" s="27" t="s">
        <v>6</v>
      </c>
      <c r="D2076" s="27" t="s">
        <v>24</v>
      </c>
      <c r="E2076" s="28">
        <v>141000</v>
      </c>
      <c r="F2076" s="28">
        <v>140500</v>
      </c>
      <c r="G2076" s="27" t="s">
        <v>22</v>
      </c>
      <c r="H2076" s="27" t="s">
        <v>5005</v>
      </c>
      <c r="I2076" s="27" t="s">
        <v>9</v>
      </c>
    </row>
    <row r="2077" spans="1:9" x14ac:dyDescent="0.3">
      <c r="A2077" s="26">
        <v>45040</v>
      </c>
      <c r="B2077" s="27" t="s">
        <v>118</v>
      </c>
      <c r="C2077" s="27" t="s">
        <v>93</v>
      </c>
      <c r="D2077" s="27" t="s">
        <v>21</v>
      </c>
      <c r="E2077" s="28">
        <v>161100</v>
      </c>
      <c r="F2077" s="28">
        <v>192300</v>
      </c>
      <c r="G2077" s="27" t="s">
        <v>11</v>
      </c>
      <c r="H2077" s="27" t="s">
        <v>5674</v>
      </c>
      <c r="I2077" s="27" t="s">
        <v>9</v>
      </c>
    </row>
    <row r="2078" spans="1:9" x14ac:dyDescent="0.3">
      <c r="A2078" s="26">
        <v>45040</v>
      </c>
      <c r="B2078" s="27" t="s">
        <v>118</v>
      </c>
      <c r="C2078" s="27" t="s">
        <v>93</v>
      </c>
      <c r="D2078" s="27" t="s">
        <v>19</v>
      </c>
      <c r="E2078" s="28">
        <v>93900</v>
      </c>
      <c r="F2078" s="28">
        <v>97400</v>
      </c>
      <c r="G2078" s="27" t="s">
        <v>22</v>
      </c>
      <c r="H2078" s="27" t="s">
        <v>5758</v>
      </c>
      <c r="I2078" s="27" t="s">
        <v>9</v>
      </c>
    </row>
    <row r="2079" spans="1:9" x14ac:dyDescent="0.3">
      <c r="A2079" s="26">
        <v>45040</v>
      </c>
      <c r="B2079" s="27" t="s">
        <v>118</v>
      </c>
      <c r="C2079" s="27" t="s">
        <v>6</v>
      </c>
      <c r="D2079" s="27" t="s">
        <v>7</v>
      </c>
      <c r="E2079" s="28">
        <v>52200</v>
      </c>
      <c r="F2079" s="28">
        <v>59000</v>
      </c>
      <c r="G2079" s="27" t="s">
        <v>22</v>
      </c>
      <c r="H2079" s="27" t="s">
        <v>6073</v>
      </c>
      <c r="I2079" s="27" t="s">
        <v>9</v>
      </c>
    </row>
    <row r="2080" spans="1:9" x14ac:dyDescent="0.3">
      <c r="A2080" s="26">
        <v>45040</v>
      </c>
      <c r="B2080" s="27" t="s">
        <v>118</v>
      </c>
      <c r="C2080" s="27" t="s">
        <v>93</v>
      </c>
      <c r="D2080" s="27" t="s">
        <v>7</v>
      </c>
      <c r="E2080" s="28">
        <v>56300</v>
      </c>
      <c r="F2080" s="28">
        <v>61600</v>
      </c>
      <c r="G2080" s="27" t="s">
        <v>17</v>
      </c>
      <c r="H2080" s="27" t="s">
        <v>6502</v>
      </c>
      <c r="I2080" s="27" t="s">
        <v>9</v>
      </c>
    </row>
    <row r="2081" spans="1:9" x14ac:dyDescent="0.3">
      <c r="A2081" s="26">
        <v>45040</v>
      </c>
      <c r="B2081" s="27" t="s">
        <v>118</v>
      </c>
      <c r="C2081" s="27" t="s">
        <v>6</v>
      </c>
      <c r="D2081" s="27" t="s">
        <v>21</v>
      </c>
      <c r="E2081" s="28">
        <v>98000</v>
      </c>
      <c r="F2081" s="28">
        <v>91500</v>
      </c>
      <c r="G2081" s="27" t="s">
        <v>22</v>
      </c>
      <c r="H2081" s="27" t="s">
        <v>6668</v>
      </c>
      <c r="I2081" s="27" t="s">
        <v>9</v>
      </c>
    </row>
    <row r="2082" spans="1:9" x14ac:dyDescent="0.3">
      <c r="A2082" s="26">
        <v>45041</v>
      </c>
      <c r="B2082" s="27" t="s">
        <v>118</v>
      </c>
      <c r="C2082" s="27" t="s">
        <v>32</v>
      </c>
      <c r="D2082" s="27" t="s">
        <v>7</v>
      </c>
      <c r="E2082" s="28">
        <v>105979</v>
      </c>
      <c r="F2082" s="28">
        <v>167484</v>
      </c>
      <c r="G2082" s="27" t="s">
        <v>22</v>
      </c>
      <c r="H2082" s="27" t="s">
        <v>332</v>
      </c>
      <c r="I2082" s="27" t="s">
        <v>13</v>
      </c>
    </row>
    <row r="2083" spans="1:9" x14ac:dyDescent="0.3">
      <c r="A2083" s="26">
        <v>45041</v>
      </c>
      <c r="B2083" s="27" t="s">
        <v>118</v>
      </c>
      <c r="C2083" s="27" t="s">
        <v>10</v>
      </c>
      <c r="D2083" s="27" t="s">
        <v>19</v>
      </c>
      <c r="E2083" s="28">
        <v>31277</v>
      </c>
      <c r="F2083" s="28">
        <v>169961</v>
      </c>
      <c r="G2083" s="27" t="s">
        <v>22</v>
      </c>
      <c r="H2083" s="27" t="s">
        <v>746</v>
      </c>
      <c r="I2083" s="27" t="s">
        <v>13</v>
      </c>
    </row>
    <row r="2084" spans="1:9" x14ac:dyDescent="0.3">
      <c r="A2084" s="26">
        <v>45041</v>
      </c>
      <c r="B2084" s="27" t="s">
        <v>118</v>
      </c>
      <c r="C2084" s="27" t="s">
        <v>15</v>
      </c>
      <c r="D2084" s="27" t="s">
        <v>21</v>
      </c>
      <c r="E2084" s="28">
        <v>81679</v>
      </c>
      <c r="F2084" s="28">
        <v>97318</v>
      </c>
      <c r="G2084" s="27" t="s">
        <v>11</v>
      </c>
      <c r="H2084" s="27" t="s">
        <v>884</v>
      </c>
      <c r="I2084" s="27" t="s">
        <v>13</v>
      </c>
    </row>
    <row r="2085" spans="1:9" x14ac:dyDescent="0.3">
      <c r="A2085" s="26">
        <v>45041</v>
      </c>
      <c r="B2085" s="27" t="s">
        <v>118</v>
      </c>
      <c r="C2085" s="27" t="s">
        <v>14</v>
      </c>
      <c r="D2085" s="27" t="s">
        <v>7</v>
      </c>
      <c r="E2085" s="28">
        <v>102672</v>
      </c>
      <c r="F2085" s="28">
        <v>59267</v>
      </c>
      <c r="G2085" s="27" t="s">
        <v>11</v>
      </c>
      <c r="H2085" s="27" t="s">
        <v>1362</v>
      </c>
      <c r="I2085" s="27" t="s">
        <v>13</v>
      </c>
    </row>
    <row r="2086" spans="1:9" x14ac:dyDescent="0.3">
      <c r="A2086" s="26">
        <v>45041</v>
      </c>
      <c r="B2086" s="27" t="s">
        <v>118</v>
      </c>
      <c r="C2086" s="27" t="s">
        <v>15</v>
      </c>
      <c r="D2086" s="27" t="s">
        <v>24</v>
      </c>
      <c r="E2086" s="28">
        <v>100883</v>
      </c>
      <c r="F2086" s="28">
        <v>144028</v>
      </c>
      <c r="G2086" s="27" t="s">
        <v>11</v>
      </c>
      <c r="H2086" s="27" t="s">
        <v>1372</v>
      </c>
      <c r="I2086" s="27" t="s">
        <v>13</v>
      </c>
    </row>
    <row r="2087" spans="1:9" x14ac:dyDescent="0.3">
      <c r="A2087" s="26">
        <v>45041</v>
      </c>
      <c r="B2087" s="27" t="s">
        <v>118</v>
      </c>
      <c r="C2087" s="27" t="s">
        <v>20</v>
      </c>
      <c r="D2087" s="27" t="s">
        <v>16</v>
      </c>
      <c r="E2087" s="28">
        <v>149627</v>
      </c>
      <c r="F2087" s="28">
        <v>135585</v>
      </c>
      <c r="G2087" s="27" t="s">
        <v>17</v>
      </c>
      <c r="H2087" s="27" t="s">
        <v>1557</v>
      </c>
      <c r="I2087" s="27" t="s">
        <v>13</v>
      </c>
    </row>
    <row r="2088" spans="1:9" x14ac:dyDescent="0.3">
      <c r="A2088" s="26">
        <v>45041</v>
      </c>
      <c r="B2088" s="27" t="s">
        <v>118</v>
      </c>
      <c r="C2088" s="27" t="s">
        <v>14</v>
      </c>
      <c r="D2088" s="27" t="s">
        <v>19</v>
      </c>
      <c r="E2088" s="28">
        <v>13316</v>
      </c>
      <c r="F2088" s="28">
        <v>9083</v>
      </c>
      <c r="G2088" s="27" t="s">
        <v>22</v>
      </c>
      <c r="H2088" s="27" t="s">
        <v>1910</v>
      </c>
      <c r="I2088" s="27" t="s">
        <v>13</v>
      </c>
    </row>
    <row r="2089" spans="1:9" x14ac:dyDescent="0.3">
      <c r="A2089" s="26">
        <v>45041</v>
      </c>
      <c r="B2089" s="27" t="s">
        <v>118</v>
      </c>
      <c r="C2089" s="27" t="s">
        <v>20</v>
      </c>
      <c r="D2089" s="27" t="s">
        <v>16</v>
      </c>
      <c r="E2089" s="28">
        <v>94073</v>
      </c>
      <c r="F2089" s="28">
        <v>162719</v>
      </c>
      <c r="G2089" s="27" t="s">
        <v>22</v>
      </c>
      <c r="H2089" s="27" t="s">
        <v>2092</v>
      </c>
      <c r="I2089" s="27" t="s">
        <v>13</v>
      </c>
    </row>
    <row r="2090" spans="1:9" x14ac:dyDescent="0.3">
      <c r="A2090" s="26">
        <v>45041</v>
      </c>
      <c r="B2090" s="27" t="s">
        <v>118</v>
      </c>
      <c r="C2090" s="27" t="s">
        <v>15</v>
      </c>
      <c r="D2090" s="27" t="s">
        <v>16</v>
      </c>
      <c r="E2090" s="28">
        <v>22984</v>
      </c>
      <c r="F2090" s="28">
        <v>35220</v>
      </c>
      <c r="G2090" s="27" t="s">
        <v>11</v>
      </c>
      <c r="H2090" s="27" t="s">
        <v>2347</v>
      </c>
      <c r="I2090" s="27" t="s">
        <v>13</v>
      </c>
    </row>
    <row r="2091" spans="1:9" x14ac:dyDescent="0.3">
      <c r="A2091" s="26">
        <v>45041</v>
      </c>
      <c r="B2091" s="27" t="s">
        <v>118</v>
      </c>
      <c r="C2091" s="27" t="s">
        <v>20</v>
      </c>
      <c r="D2091" s="27" t="s">
        <v>19</v>
      </c>
      <c r="E2091" s="28">
        <v>98490</v>
      </c>
      <c r="F2091" s="28">
        <v>65642</v>
      </c>
      <c r="G2091" s="27" t="s">
        <v>22</v>
      </c>
      <c r="H2091" s="27" t="s">
        <v>2862</v>
      </c>
      <c r="I2091" s="27" t="s">
        <v>13</v>
      </c>
    </row>
    <row r="2092" spans="1:9" x14ac:dyDescent="0.3">
      <c r="A2092" s="26">
        <v>45041</v>
      </c>
      <c r="B2092" s="27" t="s">
        <v>118</v>
      </c>
      <c r="C2092" s="27" t="s">
        <v>10</v>
      </c>
      <c r="D2092" s="27" t="s">
        <v>19</v>
      </c>
      <c r="E2092" s="28">
        <v>125433</v>
      </c>
      <c r="F2092" s="28">
        <v>165998</v>
      </c>
      <c r="G2092" s="27" t="s">
        <v>17</v>
      </c>
      <c r="H2092" s="27" t="s">
        <v>2878</v>
      </c>
      <c r="I2092" s="27" t="s">
        <v>13</v>
      </c>
    </row>
    <row r="2093" spans="1:9" x14ac:dyDescent="0.3">
      <c r="A2093" s="26">
        <v>45041</v>
      </c>
      <c r="B2093" s="27" t="s">
        <v>118</v>
      </c>
      <c r="C2093" s="27" t="s">
        <v>93</v>
      </c>
      <c r="D2093" s="27" t="s">
        <v>7</v>
      </c>
      <c r="E2093" s="28">
        <v>160600</v>
      </c>
      <c r="F2093" s="28">
        <v>153400</v>
      </c>
      <c r="G2093" s="27" t="s">
        <v>11</v>
      </c>
      <c r="H2093" s="27" t="s">
        <v>3713</v>
      </c>
      <c r="I2093" s="27" t="s">
        <v>9</v>
      </c>
    </row>
    <row r="2094" spans="1:9" x14ac:dyDescent="0.3">
      <c r="A2094" s="26">
        <v>45041</v>
      </c>
      <c r="B2094" s="27" t="s">
        <v>118</v>
      </c>
      <c r="C2094" s="27" t="s">
        <v>93</v>
      </c>
      <c r="D2094" s="27" t="s">
        <v>19</v>
      </c>
      <c r="E2094" s="28">
        <v>104600</v>
      </c>
      <c r="F2094" s="28">
        <v>99200</v>
      </c>
      <c r="G2094" s="27" t="s">
        <v>11</v>
      </c>
      <c r="H2094" s="27" t="s">
        <v>4127</v>
      </c>
      <c r="I2094" s="27" t="s">
        <v>9</v>
      </c>
    </row>
    <row r="2095" spans="1:9" x14ac:dyDescent="0.3">
      <c r="A2095" s="26">
        <v>45041</v>
      </c>
      <c r="B2095" s="27" t="s">
        <v>118</v>
      </c>
      <c r="C2095" s="27" t="s">
        <v>6</v>
      </c>
      <c r="D2095" s="27" t="s">
        <v>21</v>
      </c>
      <c r="E2095" s="28">
        <v>76200</v>
      </c>
      <c r="F2095" s="28">
        <v>78700</v>
      </c>
      <c r="G2095" s="27" t="s">
        <v>11</v>
      </c>
      <c r="H2095" s="27" t="s">
        <v>4265</v>
      </c>
      <c r="I2095" s="27" t="s">
        <v>9</v>
      </c>
    </row>
    <row r="2096" spans="1:9" x14ac:dyDescent="0.3">
      <c r="A2096" s="26">
        <v>45041</v>
      </c>
      <c r="B2096" s="27" t="s">
        <v>118</v>
      </c>
      <c r="C2096" s="27" t="s">
        <v>6</v>
      </c>
      <c r="D2096" s="27" t="s">
        <v>7</v>
      </c>
      <c r="E2096" s="28">
        <v>72500</v>
      </c>
      <c r="F2096" s="28">
        <v>79600</v>
      </c>
      <c r="G2096" s="27" t="s">
        <v>22</v>
      </c>
      <c r="H2096" s="27" t="s">
        <v>4745</v>
      </c>
      <c r="I2096" s="27" t="s">
        <v>9</v>
      </c>
    </row>
    <row r="2097" spans="1:9" x14ac:dyDescent="0.3">
      <c r="A2097" s="26">
        <v>45041</v>
      </c>
      <c r="B2097" s="27" t="s">
        <v>118</v>
      </c>
      <c r="C2097" s="27" t="s">
        <v>6</v>
      </c>
      <c r="D2097" s="27" t="s">
        <v>24</v>
      </c>
      <c r="E2097" s="28">
        <v>99200</v>
      </c>
      <c r="F2097" s="28">
        <v>92600</v>
      </c>
      <c r="G2097" s="27" t="s">
        <v>22</v>
      </c>
      <c r="H2097" s="27" t="s">
        <v>4755</v>
      </c>
      <c r="I2097" s="27" t="s">
        <v>9</v>
      </c>
    </row>
    <row r="2098" spans="1:9" x14ac:dyDescent="0.3">
      <c r="A2098" s="26">
        <v>45041</v>
      </c>
      <c r="B2098" s="27" t="s">
        <v>118</v>
      </c>
      <c r="C2098" s="27" t="s">
        <v>93</v>
      </c>
      <c r="D2098" s="27" t="s">
        <v>16</v>
      </c>
      <c r="E2098" s="28">
        <v>81300</v>
      </c>
      <c r="F2098" s="28">
        <v>82600</v>
      </c>
      <c r="G2098" s="27" t="s">
        <v>11</v>
      </c>
      <c r="H2098" s="27" t="s">
        <v>4940</v>
      </c>
      <c r="I2098" s="27" t="s">
        <v>9</v>
      </c>
    </row>
    <row r="2099" spans="1:9" x14ac:dyDescent="0.3">
      <c r="A2099" s="26">
        <v>45041</v>
      </c>
      <c r="B2099" s="27" t="s">
        <v>118</v>
      </c>
      <c r="C2099" s="27" t="s">
        <v>93</v>
      </c>
      <c r="D2099" s="27" t="s">
        <v>19</v>
      </c>
      <c r="E2099" s="28">
        <v>103400</v>
      </c>
      <c r="F2099" s="28">
        <v>95800</v>
      </c>
      <c r="G2099" s="27" t="s">
        <v>22</v>
      </c>
      <c r="H2099" s="27" t="s">
        <v>5294</v>
      </c>
      <c r="I2099" s="27" t="s">
        <v>9</v>
      </c>
    </row>
    <row r="2100" spans="1:9" x14ac:dyDescent="0.3">
      <c r="A2100" s="26">
        <v>45041</v>
      </c>
      <c r="B2100" s="27" t="s">
        <v>118</v>
      </c>
      <c r="C2100" s="27" t="s">
        <v>6</v>
      </c>
      <c r="D2100" s="27" t="s">
        <v>16</v>
      </c>
      <c r="E2100" s="28">
        <v>100100</v>
      </c>
      <c r="F2100" s="28">
        <v>114400</v>
      </c>
      <c r="G2100" s="27" t="s">
        <v>11</v>
      </c>
      <c r="H2100" s="27" t="s">
        <v>5476</v>
      </c>
      <c r="I2100" s="27" t="s">
        <v>9</v>
      </c>
    </row>
    <row r="2101" spans="1:9" x14ac:dyDescent="0.3">
      <c r="A2101" s="26">
        <v>45041</v>
      </c>
      <c r="B2101" s="27" t="s">
        <v>118</v>
      </c>
      <c r="C2101" s="27" t="s">
        <v>6</v>
      </c>
      <c r="D2101" s="27" t="s">
        <v>16</v>
      </c>
      <c r="E2101" s="28">
        <v>60600</v>
      </c>
      <c r="F2101" s="28">
        <v>80600</v>
      </c>
      <c r="G2101" s="27" t="s">
        <v>22</v>
      </c>
      <c r="H2101" s="27" t="s">
        <v>5732</v>
      </c>
      <c r="I2101" s="27" t="s">
        <v>9</v>
      </c>
    </row>
    <row r="2102" spans="1:9" x14ac:dyDescent="0.3">
      <c r="A2102" s="26">
        <v>45041</v>
      </c>
      <c r="B2102" s="27" t="s">
        <v>118</v>
      </c>
      <c r="C2102" s="27" t="s">
        <v>6</v>
      </c>
      <c r="D2102" s="27" t="s">
        <v>19</v>
      </c>
      <c r="E2102" s="28">
        <v>105900</v>
      </c>
      <c r="F2102" s="28">
        <v>95800</v>
      </c>
      <c r="G2102" s="27" t="s">
        <v>22</v>
      </c>
      <c r="H2102" s="27" t="s">
        <v>6247</v>
      </c>
      <c r="I2102" s="27" t="s">
        <v>9</v>
      </c>
    </row>
    <row r="2103" spans="1:9" x14ac:dyDescent="0.3">
      <c r="A2103" s="26">
        <v>45041</v>
      </c>
      <c r="B2103" s="27" t="s">
        <v>118</v>
      </c>
      <c r="C2103" s="27" t="s">
        <v>93</v>
      </c>
      <c r="D2103" s="27" t="s">
        <v>19</v>
      </c>
      <c r="E2103" s="28">
        <v>96600</v>
      </c>
      <c r="F2103" s="28">
        <v>75800</v>
      </c>
      <c r="G2103" s="27" t="s">
        <v>11</v>
      </c>
      <c r="H2103" s="27" t="s">
        <v>6263</v>
      </c>
      <c r="I2103" s="27" t="s">
        <v>9</v>
      </c>
    </row>
    <row r="2104" spans="1:9" x14ac:dyDescent="0.3">
      <c r="A2104" s="26">
        <v>45042</v>
      </c>
      <c r="B2104" s="27" t="s">
        <v>118</v>
      </c>
      <c r="C2104" s="27" t="s">
        <v>32</v>
      </c>
      <c r="D2104" s="27" t="s">
        <v>24</v>
      </c>
      <c r="E2104" s="28">
        <v>78570</v>
      </c>
      <c r="F2104" s="28">
        <v>29139</v>
      </c>
      <c r="G2104" s="27" t="s">
        <v>8</v>
      </c>
      <c r="H2104" s="27" t="s">
        <v>716</v>
      </c>
      <c r="I2104" s="27" t="s">
        <v>13</v>
      </c>
    </row>
    <row r="2105" spans="1:9" x14ac:dyDescent="0.3">
      <c r="A2105" s="26">
        <v>45042</v>
      </c>
      <c r="B2105" s="27" t="s">
        <v>118</v>
      </c>
      <c r="C2105" s="27" t="s">
        <v>20</v>
      </c>
      <c r="D2105" s="27" t="s">
        <v>16</v>
      </c>
      <c r="E2105" s="28">
        <v>119809</v>
      </c>
      <c r="F2105" s="28">
        <v>129590</v>
      </c>
      <c r="G2105" s="27" t="s">
        <v>8</v>
      </c>
      <c r="H2105" s="27" t="s">
        <v>761</v>
      </c>
      <c r="I2105" s="27" t="s">
        <v>13</v>
      </c>
    </row>
    <row r="2106" spans="1:9" x14ac:dyDescent="0.3">
      <c r="A2106" s="26">
        <v>45042</v>
      </c>
      <c r="B2106" s="27" t="s">
        <v>118</v>
      </c>
      <c r="C2106" s="27" t="s">
        <v>20</v>
      </c>
      <c r="D2106" s="27" t="s">
        <v>24</v>
      </c>
      <c r="E2106" s="28">
        <v>62994</v>
      </c>
      <c r="F2106" s="28">
        <v>81532</v>
      </c>
      <c r="G2106" s="27" t="s">
        <v>8</v>
      </c>
      <c r="H2106" s="27" t="s">
        <v>1148</v>
      </c>
      <c r="I2106" s="27" t="s">
        <v>13</v>
      </c>
    </row>
    <row r="2107" spans="1:9" x14ac:dyDescent="0.3">
      <c r="A2107" s="26">
        <v>45042</v>
      </c>
      <c r="B2107" s="27" t="s">
        <v>118</v>
      </c>
      <c r="C2107" s="27" t="s">
        <v>10</v>
      </c>
      <c r="D2107" s="27" t="s">
        <v>7</v>
      </c>
      <c r="E2107" s="28">
        <v>52980</v>
      </c>
      <c r="F2107" s="28">
        <v>161770</v>
      </c>
      <c r="G2107" s="27" t="s">
        <v>11</v>
      </c>
      <c r="H2107" s="27" t="s">
        <v>1565</v>
      </c>
      <c r="I2107" s="27" t="s">
        <v>13</v>
      </c>
    </row>
    <row r="2108" spans="1:9" x14ac:dyDescent="0.3">
      <c r="A2108" s="26">
        <v>45042</v>
      </c>
      <c r="B2108" s="27" t="s">
        <v>118</v>
      </c>
      <c r="C2108" s="27" t="s">
        <v>10</v>
      </c>
      <c r="D2108" s="27" t="s">
        <v>21</v>
      </c>
      <c r="E2108" s="28">
        <v>64386</v>
      </c>
      <c r="F2108" s="28">
        <v>106239</v>
      </c>
      <c r="G2108" s="27" t="s">
        <v>22</v>
      </c>
      <c r="H2108" s="27" t="s">
        <v>2018</v>
      </c>
      <c r="I2108" s="27" t="s">
        <v>13</v>
      </c>
    </row>
    <row r="2109" spans="1:9" x14ac:dyDescent="0.3">
      <c r="A2109" s="26">
        <v>45042</v>
      </c>
      <c r="B2109" s="27" t="s">
        <v>118</v>
      </c>
      <c r="C2109" s="27" t="s">
        <v>10</v>
      </c>
      <c r="D2109" s="27" t="s">
        <v>21</v>
      </c>
      <c r="E2109" s="28">
        <v>141361</v>
      </c>
      <c r="F2109" s="28">
        <v>137524</v>
      </c>
      <c r="G2109" s="27" t="s">
        <v>22</v>
      </c>
      <c r="H2109" s="27" t="s">
        <v>2274</v>
      </c>
      <c r="I2109" s="27" t="s">
        <v>13</v>
      </c>
    </row>
    <row r="2110" spans="1:9" x14ac:dyDescent="0.3">
      <c r="A2110" s="26">
        <v>45042</v>
      </c>
      <c r="B2110" s="27" t="s">
        <v>118</v>
      </c>
      <c r="C2110" s="27" t="s">
        <v>20</v>
      </c>
      <c r="D2110" s="27" t="s">
        <v>7</v>
      </c>
      <c r="E2110" s="28">
        <v>75055</v>
      </c>
      <c r="F2110" s="28">
        <v>139648</v>
      </c>
      <c r="G2110" s="27" t="s">
        <v>17</v>
      </c>
      <c r="H2110" s="27" t="s">
        <v>2761</v>
      </c>
      <c r="I2110" s="27" t="s">
        <v>13</v>
      </c>
    </row>
    <row r="2111" spans="1:9" x14ac:dyDescent="0.3">
      <c r="A2111" s="26">
        <v>45042</v>
      </c>
      <c r="B2111" s="27" t="s">
        <v>118</v>
      </c>
      <c r="C2111" s="27" t="s">
        <v>14</v>
      </c>
      <c r="D2111" s="27" t="s">
        <v>16</v>
      </c>
      <c r="E2111" s="28">
        <v>34656</v>
      </c>
      <c r="F2111" s="28">
        <v>89825</v>
      </c>
      <c r="G2111" s="27" t="s">
        <v>8</v>
      </c>
      <c r="H2111" s="27" t="s">
        <v>3251</v>
      </c>
      <c r="I2111" s="27" t="s">
        <v>13</v>
      </c>
    </row>
    <row r="2112" spans="1:9" x14ac:dyDescent="0.3">
      <c r="A2112" s="26">
        <v>45042</v>
      </c>
      <c r="B2112" s="27" t="s">
        <v>118</v>
      </c>
      <c r="C2112" s="27" t="s">
        <v>10</v>
      </c>
      <c r="D2112" s="27" t="s">
        <v>24</v>
      </c>
      <c r="E2112" s="28">
        <v>68332</v>
      </c>
      <c r="F2112" s="28">
        <v>38184</v>
      </c>
      <c r="G2112" s="27" t="s">
        <v>22</v>
      </c>
      <c r="H2112" s="27" t="s">
        <v>3393</v>
      </c>
      <c r="I2112" s="27" t="s">
        <v>13</v>
      </c>
    </row>
    <row r="2113" spans="1:9" x14ac:dyDescent="0.3">
      <c r="A2113" s="26">
        <v>45042</v>
      </c>
      <c r="B2113" s="27" t="s">
        <v>118</v>
      </c>
      <c r="C2113" s="27" t="s">
        <v>6</v>
      </c>
      <c r="D2113" s="27" t="s">
        <v>24</v>
      </c>
      <c r="E2113" s="28">
        <v>91700</v>
      </c>
      <c r="F2113" s="28">
        <v>107100</v>
      </c>
      <c r="G2113" s="27" t="s">
        <v>22</v>
      </c>
      <c r="H2113" s="27" t="s">
        <v>4097</v>
      </c>
      <c r="I2113" s="27" t="s">
        <v>9</v>
      </c>
    </row>
    <row r="2114" spans="1:9" x14ac:dyDescent="0.3">
      <c r="A2114" s="26">
        <v>45042</v>
      </c>
      <c r="B2114" s="27" t="s">
        <v>118</v>
      </c>
      <c r="C2114" s="27" t="s">
        <v>93</v>
      </c>
      <c r="D2114" s="27" t="s">
        <v>16</v>
      </c>
      <c r="E2114" s="28">
        <v>228000</v>
      </c>
      <c r="F2114" s="28">
        <v>303100</v>
      </c>
      <c r="G2114" s="27" t="s">
        <v>11</v>
      </c>
      <c r="H2114" s="27" t="s">
        <v>4142</v>
      </c>
      <c r="I2114" s="27" t="s">
        <v>9</v>
      </c>
    </row>
    <row r="2115" spans="1:9" x14ac:dyDescent="0.3">
      <c r="A2115" s="26">
        <v>45042</v>
      </c>
      <c r="B2115" s="27" t="s">
        <v>118</v>
      </c>
      <c r="C2115" s="27" t="s">
        <v>6</v>
      </c>
      <c r="D2115" s="27" t="s">
        <v>24</v>
      </c>
      <c r="E2115" s="28">
        <v>92800</v>
      </c>
      <c r="F2115" s="28">
        <v>114200</v>
      </c>
      <c r="G2115" s="27" t="s">
        <v>22</v>
      </c>
      <c r="H2115" s="27" t="s">
        <v>4531</v>
      </c>
      <c r="I2115" s="27" t="s">
        <v>9</v>
      </c>
    </row>
    <row r="2116" spans="1:9" x14ac:dyDescent="0.3">
      <c r="A2116" s="26">
        <v>45042</v>
      </c>
      <c r="B2116" s="27" t="s">
        <v>118</v>
      </c>
      <c r="C2116" s="27" t="s">
        <v>93</v>
      </c>
      <c r="D2116" s="27" t="s">
        <v>7</v>
      </c>
      <c r="E2116" s="28">
        <v>72100</v>
      </c>
      <c r="F2116" s="28">
        <v>74200</v>
      </c>
      <c r="G2116" s="27" t="s">
        <v>11</v>
      </c>
      <c r="H2116" s="27" t="s">
        <v>4948</v>
      </c>
      <c r="I2116" s="27" t="s">
        <v>9</v>
      </c>
    </row>
    <row r="2117" spans="1:9" x14ac:dyDescent="0.3">
      <c r="A2117" s="26">
        <v>45042</v>
      </c>
      <c r="B2117" s="27" t="s">
        <v>118</v>
      </c>
      <c r="C2117" s="27" t="s">
        <v>6</v>
      </c>
      <c r="D2117" s="27" t="s">
        <v>21</v>
      </c>
      <c r="E2117" s="28">
        <v>139200</v>
      </c>
      <c r="F2117" s="28">
        <v>147500</v>
      </c>
      <c r="G2117" s="27" t="s">
        <v>22</v>
      </c>
      <c r="H2117" s="27" t="s">
        <v>5402</v>
      </c>
      <c r="I2117" s="27" t="s">
        <v>9</v>
      </c>
    </row>
    <row r="2118" spans="1:9" x14ac:dyDescent="0.3">
      <c r="A2118" s="26">
        <v>45042</v>
      </c>
      <c r="B2118" s="27" t="s">
        <v>118</v>
      </c>
      <c r="C2118" s="27" t="s">
        <v>6</v>
      </c>
      <c r="D2118" s="27" t="s">
        <v>21</v>
      </c>
      <c r="E2118" s="28">
        <v>54400</v>
      </c>
      <c r="F2118" s="28">
        <v>52400</v>
      </c>
      <c r="G2118" s="27" t="s">
        <v>22</v>
      </c>
      <c r="H2118" s="27" t="s">
        <v>5659</v>
      </c>
      <c r="I2118" s="27" t="s">
        <v>9</v>
      </c>
    </row>
    <row r="2119" spans="1:9" x14ac:dyDescent="0.3">
      <c r="A2119" s="26">
        <v>45042</v>
      </c>
      <c r="B2119" s="27" t="s">
        <v>118</v>
      </c>
      <c r="C2119" s="27" t="s">
        <v>6</v>
      </c>
      <c r="D2119" s="27" t="s">
        <v>7</v>
      </c>
      <c r="E2119" s="28">
        <v>124300</v>
      </c>
      <c r="F2119" s="28">
        <v>133500</v>
      </c>
      <c r="G2119" s="27" t="s">
        <v>11</v>
      </c>
      <c r="H2119" s="27" t="s">
        <v>6146</v>
      </c>
      <c r="I2119" s="27" t="s">
        <v>9</v>
      </c>
    </row>
    <row r="2120" spans="1:9" x14ac:dyDescent="0.3">
      <c r="A2120" s="26">
        <v>45042</v>
      </c>
      <c r="B2120" s="27" t="s">
        <v>118</v>
      </c>
      <c r="C2120" s="27" t="s">
        <v>6</v>
      </c>
      <c r="D2120" s="27" t="s">
        <v>16</v>
      </c>
      <c r="E2120" s="28">
        <v>62100</v>
      </c>
      <c r="F2120" s="28">
        <v>63800</v>
      </c>
      <c r="G2120" s="27" t="s">
        <v>11</v>
      </c>
      <c r="H2120" s="27" t="s">
        <v>6636</v>
      </c>
      <c r="I2120" s="27" t="s">
        <v>9</v>
      </c>
    </row>
    <row r="2121" spans="1:9" x14ac:dyDescent="0.3">
      <c r="A2121" s="26">
        <v>45042</v>
      </c>
      <c r="B2121" s="27" t="s">
        <v>118</v>
      </c>
      <c r="C2121" s="27" t="s">
        <v>6</v>
      </c>
      <c r="D2121" s="27" t="s">
        <v>24</v>
      </c>
      <c r="E2121" s="28">
        <v>97900</v>
      </c>
      <c r="F2121" s="28">
        <v>69300</v>
      </c>
      <c r="G2121" s="27" t="s">
        <v>11</v>
      </c>
      <c r="H2121" s="27" t="s">
        <v>6778</v>
      </c>
      <c r="I2121" s="27" t="s">
        <v>9</v>
      </c>
    </row>
    <row r="2122" spans="1:9" x14ac:dyDescent="0.3">
      <c r="A2122" s="26">
        <v>45043</v>
      </c>
      <c r="B2122" s="27" t="s">
        <v>118</v>
      </c>
      <c r="C2122" s="27" t="s">
        <v>15</v>
      </c>
      <c r="D2122" s="27" t="s">
        <v>19</v>
      </c>
      <c r="E2122" s="28">
        <v>20410</v>
      </c>
      <c r="F2122" s="28">
        <v>49738</v>
      </c>
      <c r="G2122" s="27" t="s">
        <v>8</v>
      </c>
      <c r="H2122" s="27" t="s">
        <v>329</v>
      </c>
      <c r="I2122" s="27" t="s">
        <v>13</v>
      </c>
    </row>
    <row r="2123" spans="1:9" x14ac:dyDescent="0.3">
      <c r="A2123" s="26">
        <v>45043</v>
      </c>
      <c r="B2123" s="27" t="s">
        <v>118</v>
      </c>
      <c r="C2123" s="27" t="s">
        <v>32</v>
      </c>
      <c r="D2123" s="27" t="s">
        <v>21</v>
      </c>
      <c r="E2123" s="28">
        <v>41346</v>
      </c>
      <c r="F2123" s="28">
        <v>77141</v>
      </c>
      <c r="G2123" s="27" t="s">
        <v>8</v>
      </c>
      <c r="H2123" s="27" t="s">
        <v>943</v>
      </c>
      <c r="I2123" s="27" t="s">
        <v>13</v>
      </c>
    </row>
    <row r="2124" spans="1:9" x14ac:dyDescent="0.3">
      <c r="A2124" s="26">
        <v>45043</v>
      </c>
      <c r="B2124" s="27" t="s">
        <v>118</v>
      </c>
      <c r="C2124" s="27" t="s">
        <v>32</v>
      </c>
      <c r="D2124" s="27" t="s">
        <v>7</v>
      </c>
      <c r="E2124" s="28">
        <v>144952</v>
      </c>
      <c r="F2124" s="28">
        <v>103022</v>
      </c>
      <c r="G2124" s="27" t="s">
        <v>17</v>
      </c>
      <c r="H2124" s="27" t="s">
        <v>1015</v>
      </c>
      <c r="I2124" s="27" t="s">
        <v>13</v>
      </c>
    </row>
    <row r="2125" spans="1:9" x14ac:dyDescent="0.3">
      <c r="A2125" s="26">
        <v>45043</v>
      </c>
      <c r="B2125" s="27" t="s">
        <v>118</v>
      </c>
      <c r="C2125" s="27" t="s">
        <v>32</v>
      </c>
      <c r="D2125" s="27" t="s">
        <v>21</v>
      </c>
      <c r="E2125" s="28">
        <v>89527</v>
      </c>
      <c r="F2125" s="28">
        <v>75034</v>
      </c>
      <c r="G2125" s="27" t="s">
        <v>17</v>
      </c>
      <c r="H2125" s="27" t="s">
        <v>1574</v>
      </c>
      <c r="I2125" s="27" t="s">
        <v>13</v>
      </c>
    </row>
    <row r="2126" spans="1:9" x14ac:dyDescent="0.3">
      <c r="A2126" s="26">
        <v>45043</v>
      </c>
      <c r="B2126" s="27" t="s">
        <v>118</v>
      </c>
      <c r="C2126" s="27" t="s">
        <v>10</v>
      </c>
      <c r="D2126" s="27" t="s">
        <v>16</v>
      </c>
      <c r="E2126" s="28">
        <v>78275</v>
      </c>
      <c r="F2126" s="28">
        <v>99162</v>
      </c>
      <c r="G2126" s="27" t="s">
        <v>17</v>
      </c>
      <c r="H2126" s="27" t="s">
        <v>2957</v>
      </c>
      <c r="I2126" s="27" t="s">
        <v>13</v>
      </c>
    </row>
    <row r="2127" spans="1:9" x14ac:dyDescent="0.3">
      <c r="A2127" s="26">
        <v>45043</v>
      </c>
      <c r="B2127" s="27" t="s">
        <v>118</v>
      </c>
      <c r="C2127" s="27" t="s">
        <v>10</v>
      </c>
      <c r="D2127" s="27" t="s">
        <v>21</v>
      </c>
      <c r="E2127" s="28">
        <v>106199</v>
      </c>
      <c r="F2127" s="28">
        <v>88388</v>
      </c>
      <c r="G2127" s="27" t="s">
        <v>11</v>
      </c>
      <c r="H2127" s="27" t="s">
        <v>3399</v>
      </c>
      <c r="I2127" s="27" t="s">
        <v>13</v>
      </c>
    </row>
    <row r="2128" spans="1:9" x14ac:dyDescent="0.3">
      <c r="A2128" s="26">
        <v>45043</v>
      </c>
      <c r="B2128" s="27" t="s">
        <v>118</v>
      </c>
      <c r="C2128" s="27" t="s">
        <v>6</v>
      </c>
      <c r="D2128" s="27" t="s">
        <v>19</v>
      </c>
      <c r="E2128" s="28">
        <v>121000</v>
      </c>
      <c r="F2128" s="28">
        <v>133800</v>
      </c>
      <c r="G2128" s="27" t="s">
        <v>17</v>
      </c>
      <c r="H2128" s="27" t="s">
        <v>3710</v>
      </c>
      <c r="I2128" s="27" t="s">
        <v>9</v>
      </c>
    </row>
    <row r="2129" spans="1:9" x14ac:dyDescent="0.3">
      <c r="A2129" s="26">
        <v>45043</v>
      </c>
      <c r="B2129" s="27" t="s">
        <v>118</v>
      </c>
      <c r="C2129" s="27" t="s">
        <v>6</v>
      </c>
      <c r="D2129" s="27" t="s">
        <v>21</v>
      </c>
      <c r="E2129" s="28">
        <v>52900</v>
      </c>
      <c r="F2129" s="28">
        <v>67900</v>
      </c>
      <c r="G2129" s="27" t="s">
        <v>22</v>
      </c>
      <c r="H2129" s="27" t="s">
        <v>4324</v>
      </c>
      <c r="I2129" s="27" t="s">
        <v>9</v>
      </c>
    </row>
    <row r="2130" spans="1:9" x14ac:dyDescent="0.3">
      <c r="A2130" s="26">
        <v>45043</v>
      </c>
      <c r="B2130" s="27" t="s">
        <v>118</v>
      </c>
      <c r="C2130" s="27" t="s">
        <v>6</v>
      </c>
      <c r="D2130" s="27" t="s">
        <v>7</v>
      </c>
      <c r="E2130" s="28">
        <v>87500</v>
      </c>
      <c r="F2130" s="28">
        <v>81600</v>
      </c>
      <c r="G2130" s="27" t="s">
        <v>11</v>
      </c>
      <c r="H2130" s="27" t="s">
        <v>4397</v>
      </c>
      <c r="I2130" s="27" t="s">
        <v>9</v>
      </c>
    </row>
    <row r="2131" spans="1:9" x14ac:dyDescent="0.3">
      <c r="A2131" s="26">
        <v>45043</v>
      </c>
      <c r="B2131" s="27" t="s">
        <v>118</v>
      </c>
      <c r="C2131" s="27" t="s">
        <v>6</v>
      </c>
      <c r="D2131" s="27" t="s">
        <v>21</v>
      </c>
      <c r="E2131" s="28">
        <v>194500</v>
      </c>
      <c r="F2131" s="28">
        <v>198200</v>
      </c>
      <c r="G2131" s="27" t="s">
        <v>11</v>
      </c>
      <c r="H2131" s="27" t="s">
        <v>4957</v>
      </c>
      <c r="I2131" s="27" t="s">
        <v>9</v>
      </c>
    </row>
    <row r="2132" spans="1:9" x14ac:dyDescent="0.3">
      <c r="A2132" s="26">
        <v>45043</v>
      </c>
      <c r="B2132" s="27" t="s">
        <v>118</v>
      </c>
      <c r="C2132" s="27" t="s">
        <v>93</v>
      </c>
      <c r="D2132" s="27" t="s">
        <v>16</v>
      </c>
      <c r="E2132" s="28">
        <v>73800</v>
      </c>
      <c r="F2132" s="28">
        <v>74200</v>
      </c>
      <c r="G2132" s="27" t="s">
        <v>11</v>
      </c>
      <c r="H2132" s="27" t="s">
        <v>6342</v>
      </c>
      <c r="I2132" s="27" t="s">
        <v>9</v>
      </c>
    </row>
    <row r="2133" spans="1:9" x14ac:dyDescent="0.3">
      <c r="A2133" s="26">
        <v>45043</v>
      </c>
      <c r="B2133" s="27" t="s">
        <v>118</v>
      </c>
      <c r="C2133" s="27" t="s">
        <v>93</v>
      </c>
      <c r="D2133" s="27" t="s">
        <v>21</v>
      </c>
      <c r="E2133" s="28">
        <v>176600</v>
      </c>
      <c r="F2133" s="28">
        <v>176700</v>
      </c>
      <c r="G2133" s="27" t="s">
        <v>22</v>
      </c>
      <c r="H2133" s="27" t="s">
        <v>6784</v>
      </c>
      <c r="I2133" s="27" t="s">
        <v>9</v>
      </c>
    </row>
    <row r="2134" spans="1:9" x14ac:dyDescent="0.3">
      <c r="A2134" s="26">
        <v>45044</v>
      </c>
      <c r="B2134" s="27" t="s">
        <v>118</v>
      </c>
      <c r="C2134" s="27" t="s">
        <v>14</v>
      </c>
      <c r="D2134" s="27" t="s">
        <v>16</v>
      </c>
      <c r="E2134" s="28">
        <v>146238</v>
      </c>
      <c r="F2134" s="28">
        <v>111235</v>
      </c>
      <c r="G2134" s="27" t="s">
        <v>22</v>
      </c>
      <c r="H2134" s="27" t="s">
        <v>297</v>
      </c>
      <c r="I2134" s="27" t="s">
        <v>13</v>
      </c>
    </row>
    <row r="2135" spans="1:9" x14ac:dyDescent="0.3">
      <c r="A2135" s="26">
        <v>45044</v>
      </c>
      <c r="B2135" s="27" t="s">
        <v>118</v>
      </c>
      <c r="C2135" s="27" t="s">
        <v>20</v>
      </c>
      <c r="D2135" s="27" t="s">
        <v>16</v>
      </c>
      <c r="E2135" s="28">
        <v>126584</v>
      </c>
      <c r="F2135" s="28">
        <v>143536</v>
      </c>
      <c r="G2135" s="27" t="s">
        <v>8</v>
      </c>
      <c r="H2135" s="27" t="s">
        <v>853</v>
      </c>
      <c r="I2135" s="27" t="s">
        <v>13</v>
      </c>
    </row>
    <row r="2136" spans="1:9" x14ac:dyDescent="0.3">
      <c r="A2136" s="26">
        <v>45044</v>
      </c>
      <c r="B2136" s="27" t="s">
        <v>118</v>
      </c>
      <c r="C2136" s="27" t="s">
        <v>15</v>
      </c>
      <c r="D2136" s="27" t="s">
        <v>24</v>
      </c>
      <c r="E2136" s="28">
        <v>47783</v>
      </c>
      <c r="F2136" s="28">
        <v>10670</v>
      </c>
      <c r="G2136" s="27" t="s">
        <v>17</v>
      </c>
      <c r="H2136" s="27" t="s">
        <v>1083</v>
      </c>
      <c r="I2136" s="27" t="s">
        <v>13</v>
      </c>
    </row>
    <row r="2137" spans="1:9" x14ac:dyDescent="0.3">
      <c r="A2137" s="26">
        <v>45044</v>
      </c>
      <c r="B2137" s="27" t="s">
        <v>118</v>
      </c>
      <c r="C2137" s="27" t="s">
        <v>10</v>
      </c>
      <c r="D2137" s="27" t="s">
        <v>16</v>
      </c>
      <c r="E2137" s="28">
        <v>50727</v>
      </c>
      <c r="F2137" s="28">
        <v>124676</v>
      </c>
      <c r="G2137" s="27" t="s">
        <v>22</v>
      </c>
      <c r="H2137" s="27" t="s">
        <v>1211</v>
      </c>
      <c r="I2137" s="27" t="s">
        <v>13</v>
      </c>
    </row>
    <row r="2138" spans="1:9" x14ac:dyDescent="0.3">
      <c r="A2138" s="26">
        <v>45044</v>
      </c>
      <c r="B2138" s="27" t="s">
        <v>118</v>
      </c>
      <c r="C2138" s="27" t="s">
        <v>10</v>
      </c>
      <c r="D2138" s="27" t="s">
        <v>16</v>
      </c>
      <c r="E2138" s="28">
        <v>108517</v>
      </c>
      <c r="F2138" s="28">
        <v>42294</v>
      </c>
      <c r="G2138" s="27" t="s">
        <v>22</v>
      </c>
      <c r="H2138" s="27" t="s">
        <v>1567</v>
      </c>
      <c r="I2138" s="27" t="s">
        <v>13</v>
      </c>
    </row>
    <row r="2139" spans="1:9" x14ac:dyDescent="0.3">
      <c r="A2139" s="26">
        <v>45044</v>
      </c>
      <c r="B2139" s="27" t="s">
        <v>118</v>
      </c>
      <c r="C2139" s="27" t="s">
        <v>20</v>
      </c>
      <c r="D2139" s="27" t="s">
        <v>21</v>
      </c>
      <c r="E2139" s="28">
        <v>73636</v>
      </c>
      <c r="F2139" s="28">
        <v>122755</v>
      </c>
      <c r="G2139" s="27" t="s">
        <v>17</v>
      </c>
      <c r="H2139" s="27" t="s">
        <v>1746</v>
      </c>
      <c r="I2139" s="27" t="s">
        <v>13</v>
      </c>
    </row>
    <row r="2140" spans="1:9" x14ac:dyDescent="0.3">
      <c r="A2140" s="26">
        <v>45044</v>
      </c>
      <c r="B2140" s="27" t="s">
        <v>118</v>
      </c>
      <c r="C2140" s="27" t="s">
        <v>18</v>
      </c>
      <c r="D2140" s="27" t="s">
        <v>24</v>
      </c>
      <c r="E2140" s="28">
        <v>102274</v>
      </c>
      <c r="F2140" s="28">
        <v>62917</v>
      </c>
      <c r="G2140" s="27" t="s">
        <v>22</v>
      </c>
      <c r="H2140" s="27" t="s">
        <v>1780</v>
      </c>
      <c r="I2140" s="27" t="s">
        <v>13</v>
      </c>
    </row>
    <row r="2141" spans="1:9" x14ac:dyDescent="0.3">
      <c r="A2141" s="26">
        <v>45044</v>
      </c>
      <c r="B2141" s="27" t="s">
        <v>118</v>
      </c>
      <c r="C2141" s="27" t="s">
        <v>10</v>
      </c>
      <c r="D2141" s="27" t="s">
        <v>16</v>
      </c>
      <c r="E2141" s="28">
        <v>79578</v>
      </c>
      <c r="F2141" s="28">
        <v>19634</v>
      </c>
      <c r="G2141" s="27" t="s">
        <v>8</v>
      </c>
      <c r="H2141" s="27" t="s">
        <v>1795</v>
      </c>
      <c r="I2141" s="27" t="s">
        <v>13</v>
      </c>
    </row>
    <row r="2142" spans="1:9" x14ac:dyDescent="0.3">
      <c r="A2142" s="26">
        <v>45044</v>
      </c>
      <c r="B2142" s="27" t="s">
        <v>118</v>
      </c>
      <c r="C2142" s="27" t="s">
        <v>20</v>
      </c>
      <c r="D2142" s="27" t="s">
        <v>7</v>
      </c>
      <c r="E2142" s="28">
        <v>110892</v>
      </c>
      <c r="F2142" s="28">
        <v>21135</v>
      </c>
      <c r="G2142" s="27" t="s">
        <v>11</v>
      </c>
      <c r="H2142" s="27" t="s">
        <v>1929</v>
      </c>
      <c r="I2142" s="27" t="s">
        <v>13</v>
      </c>
    </row>
    <row r="2143" spans="1:9" x14ac:dyDescent="0.3">
      <c r="A2143" s="26">
        <v>45044</v>
      </c>
      <c r="B2143" s="27" t="s">
        <v>118</v>
      </c>
      <c r="C2143" s="27" t="s">
        <v>20</v>
      </c>
      <c r="D2143" s="27" t="s">
        <v>7</v>
      </c>
      <c r="E2143" s="28">
        <v>144534</v>
      </c>
      <c r="F2143" s="28">
        <v>100419</v>
      </c>
      <c r="G2143" s="27" t="s">
        <v>8</v>
      </c>
      <c r="H2143" s="27" t="s">
        <v>2074</v>
      </c>
      <c r="I2143" s="27" t="s">
        <v>13</v>
      </c>
    </row>
    <row r="2144" spans="1:9" x14ac:dyDescent="0.3">
      <c r="A2144" s="26">
        <v>45044</v>
      </c>
      <c r="B2144" s="27" t="s">
        <v>118</v>
      </c>
      <c r="C2144" s="27" t="s">
        <v>20</v>
      </c>
      <c r="D2144" s="27" t="s">
        <v>24</v>
      </c>
      <c r="E2144" s="28">
        <v>82135</v>
      </c>
      <c r="F2144" s="28">
        <v>9240</v>
      </c>
      <c r="G2144" s="27" t="s">
        <v>11</v>
      </c>
      <c r="H2144" s="27" t="s">
        <v>2692</v>
      </c>
      <c r="I2144" s="27" t="s">
        <v>13</v>
      </c>
    </row>
    <row r="2145" spans="1:9" x14ac:dyDescent="0.3">
      <c r="A2145" s="26">
        <v>45044</v>
      </c>
      <c r="B2145" s="27" t="s">
        <v>118</v>
      </c>
      <c r="C2145" s="27" t="s">
        <v>18</v>
      </c>
      <c r="D2145" s="27" t="s">
        <v>24</v>
      </c>
      <c r="E2145" s="28">
        <v>140329</v>
      </c>
      <c r="F2145" s="28">
        <v>143940</v>
      </c>
      <c r="G2145" s="27" t="s">
        <v>17</v>
      </c>
      <c r="H2145" s="27" t="s">
        <v>3095</v>
      </c>
      <c r="I2145" s="27" t="s">
        <v>13</v>
      </c>
    </row>
    <row r="2146" spans="1:9" x14ac:dyDescent="0.3">
      <c r="A2146" s="26">
        <v>45044</v>
      </c>
      <c r="B2146" s="27" t="s">
        <v>118</v>
      </c>
      <c r="C2146" s="27" t="s">
        <v>15</v>
      </c>
      <c r="D2146" s="27" t="s">
        <v>7</v>
      </c>
      <c r="E2146" s="28">
        <v>59149</v>
      </c>
      <c r="F2146" s="28">
        <v>168346</v>
      </c>
      <c r="G2146" s="27" t="s">
        <v>11</v>
      </c>
      <c r="H2146" s="27" t="s">
        <v>3227</v>
      </c>
      <c r="I2146" s="27" t="s">
        <v>13</v>
      </c>
    </row>
    <row r="2147" spans="1:9" x14ac:dyDescent="0.3">
      <c r="A2147" s="26">
        <v>45044</v>
      </c>
      <c r="B2147" s="27" t="s">
        <v>118</v>
      </c>
      <c r="C2147" s="27" t="s">
        <v>6</v>
      </c>
      <c r="D2147" s="27" t="s">
        <v>16</v>
      </c>
      <c r="E2147" s="28">
        <v>37600</v>
      </c>
      <c r="F2147" s="28">
        <v>34000</v>
      </c>
      <c r="G2147" s="27" t="s">
        <v>22</v>
      </c>
      <c r="H2147" s="27" t="s">
        <v>3678</v>
      </c>
      <c r="I2147" s="27" t="s">
        <v>9</v>
      </c>
    </row>
    <row r="2148" spans="1:9" x14ac:dyDescent="0.3">
      <c r="A2148" s="26">
        <v>45044</v>
      </c>
      <c r="B2148" s="27" t="s">
        <v>118</v>
      </c>
      <c r="C2148" s="27" t="s">
        <v>6</v>
      </c>
      <c r="D2148" s="27" t="s">
        <v>16</v>
      </c>
      <c r="E2148" s="28">
        <v>78400</v>
      </c>
      <c r="F2148" s="28">
        <v>59600</v>
      </c>
      <c r="G2148" s="27" t="s">
        <v>11</v>
      </c>
      <c r="H2148" s="27" t="s">
        <v>4234</v>
      </c>
      <c r="I2148" s="27" t="s">
        <v>9</v>
      </c>
    </row>
    <row r="2149" spans="1:9" x14ac:dyDescent="0.3">
      <c r="A2149" s="26">
        <v>45044</v>
      </c>
      <c r="B2149" s="27" t="s">
        <v>118</v>
      </c>
      <c r="C2149" s="27" t="s">
        <v>93</v>
      </c>
      <c r="D2149" s="27" t="s">
        <v>24</v>
      </c>
      <c r="E2149" s="28">
        <v>172100</v>
      </c>
      <c r="F2149" s="28">
        <v>154100</v>
      </c>
      <c r="G2149" s="27" t="s">
        <v>22</v>
      </c>
      <c r="H2149" s="27" t="s">
        <v>4465</v>
      </c>
      <c r="I2149" s="27" t="s">
        <v>9</v>
      </c>
    </row>
    <row r="2150" spans="1:9" x14ac:dyDescent="0.3">
      <c r="A2150" s="26">
        <v>45044</v>
      </c>
      <c r="B2150" s="27" t="s">
        <v>118</v>
      </c>
      <c r="C2150" s="27" t="s">
        <v>6</v>
      </c>
      <c r="D2150" s="27" t="s">
        <v>16</v>
      </c>
      <c r="E2150" s="28">
        <v>140600</v>
      </c>
      <c r="F2150" s="28">
        <v>169700</v>
      </c>
      <c r="G2150" s="27" t="s">
        <v>11</v>
      </c>
      <c r="H2150" s="27" t="s">
        <v>4594</v>
      </c>
      <c r="I2150" s="27" t="s">
        <v>9</v>
      </c>
    </row>
    <row r="2151" spans="1:9" x14ac:dyDescent="0.3">
      <c r="A2151" s="26">
        <v>45044</v>
      </c>
      <c r="B2151" s="27" t="s">
        <v>118</v>
      </c>
      <c r="C2151" s="27" t="s">
        <v>6</v>
      </c>
      <c r="D2151" s="27" t="s">
        <v>16</v>
      </c>
      <c r="E2151" s="28">
        <v>157900</v>
      </c>
      <c r="F2151" s="28">
        <v>183300</v>
      </c>
      <c r="G2151" s="27" t="s">
        <v>11</v>
      </c>
      <c r="H2151" s="27" t="s">
        <v>4950</v>
      </c>
      <c r="I2151" s="27" t="s">
        <v>9</v>
      </c>
    </row>
    <row r="2152" spans="1:9" x14ac:dyDescent="0.3">
      <c r="A2152" s="26">
        <v>45044</v>
      </c>
      <c r="B2152" s="27" t="s">
        <v>118</v>
      </c>
      <c r="C2152" s="27" t="s">
        <v>93</v>
      </c>
      <c r="D2152" s="27" t="s">
        <v>21</v>
      </c>
      <c r="E2152" s="28">
        <v>92700</v>
      </c>
      <c r="F2152" s="28">
        <v>87600</v>
      </c>
      <c r="G2152" s="27" t="s">
        <v>11</v>
      </c>
      <c r="H2152" s="27" t="s">
        <v>5129</v>
      </c>
      <c r="I2152" s="27" t="s">
        <v>9</v>
      </c>
    </row>
    <row r="2153" spans="1:9" x14ac:dyDescent="0.3">
      <c r="A2153" s="26">
        <v>45044</v>
      </c>
      <c r="B2153" s="27" t="s">
        <v>118</v>
      </c>
      <c r="C2153" s="27" t="s">
        <v>6</v>
      </c>
      <c r="D2153" s="27" t="s">
        <v>24</v>
      </c>
      <c r="E2153" s="28">
        <v>294400</v>
      </c>
      <c r="F2153" s="28">
        <v>247600</v>
      </c>
      <c r="G2153" s="27" t="s">
        <v>22</v>
      </c>
      <c r="H2153" s="27" t="s">
        <v>5163</v>
      </c>
      <c r="I2153" s="27" t="s">
        <v>9</v>
      </c>
    </row>
    <row r="2154" spans="1:9" x14ac:dyDescent="0.3">
      <c r="A2154" s="26">
        <v>45044</v>
      </c>
      <c r="B2154" s="27" t="s">
        <v>118</v>
      </c>
      <c r="C2154" s="27" t="s">
        <v>93</v>
      </c>
      <c r="D2154" s="27" t="s">
        <v>16</v>
      </c>
      <c r="E2154" s="28">
        <v>129700</v>
      </c>
      <c r="F2154" s="28">
        <v>185600</v>
      </c>
      <c r="G2154" s="27" t="s">
        <v>11</v>
      </c>
      <c r="H2154" s="27" t="s">
        <v>5178</v>
      </c>
      <c r="I2154" s="27" t="s">
        <v>9</v>
      </c>
    </row>
    <row r="2155" spans="1:9" x14ac:dyDescent="0.3">
      <c r="A2155" s="26">
        <v>45044</v>
      </c>
      <c r="B2155" s="27" t="s">
        <v>118</v>
      </c>
      <c r="C2155" s="27" t="s">
        <v>93</v>
      </c>
      <c r="D2155" s="27" t="s">
        <v>7</v>
      </c>
      <c r="E2155" s="28">
        <v>124800</v>
      </c>
      <c r="F2155" s="28">
        <v>138400</v>
      </c>
      <c r="G2155" s="27" t="s">
        <v>11</v>
      </c>
      <c r="H2155" s="27" t="s">
        <v>5313</v>
      </c>
      <c r="I2155" s="27" t="s">
        <v>9</v>
      </c>
    </row>
    <row r="2156" spans="1:9" x14ac:dyDescent="0.3">
      <c r="A2156" s="26">
        <v>45044</v>
      </c>
      <c r="B2156" s="27" t="s">
        <v>118</v>
      </c>
      <c r="C2156" s="27" t="s">
        <v>6</v>
      </c>
      <c r="D2156" s="27" t="s">
        <v>7</v>
      </c>
      <c r="E2156" s="28">
        <v>69900</v>
      </c>
      <c r="F2156" s="28">
        <v>70900</v>
      </c>
      <c r="G2156" s="27" t="s">
        <v>11</v>
      </c>
      <c r="H2156" s="27" t="s">
        <v>5458</v>
      </c>
      <c r="I2156" s="27" t="s">
        <v>9</v>
      </c>
    </row>
    <row r="2157" spans="1:9" x14ac:dyDescent="0.3">
      <c r="A2157" s="26">
        <v>45044</v>
      </c>
      <c r="B2157" s="27" t="s">
        <v>118</v>
      </c>
      <c r="C2157" s="27" t="s">
        <v>93</v>
      </c>
      <c r="D2157" s="27" t="s">
        <v>24</v>
      </c>
      <c r="E2157" s="28">
        <v>104300</v>
      </c>
      <c r="F2157" s="28">
        <v>114400</v>
      </c>
      <c r="G2157" s="27" t="s">
        <v>11</v>
      </c>
      <c r="H2157" s="27" t="s">
        <v>6077</v>
      </c>
      <c r="I2157" s="27" t="s">
        <v>9</v>
      </c>
    </row>
    <row r="2158" spans="1:9" x14ac:dyDescent="0.3">
      <c r="A2158" s="26">
        <v>45044</v>
      </c>
      <c r="B2158" s="27" t="s">
        <v>118</v>
      </c>
      <c r="C2158" s="27" t="s">
        <v>93</v>
      </c>
      <c r="D2158" s="27" t="s">
        <v>24</v>
      </c>
      <c r="E2158" s="28">
        <v>144700</v>
      </c>
      <c r="F2158" s="28">
        <v>130800</v>
      </c>
      <c r="G2158" s="27" t="s">
        <v>22</v>
      </c>
      <c r="H2158" s="27" t="s">
        <v>6480</v>
      </c>
      <c r="I2158" s="27" t="s">
        <v>9</v>
      </c>
    </row>
    <row r="2159" spans="1:9" x14ac:dyDescent="0.3">
      <c r="A2159" s="26">
        <v>45044</v>
      </c>
      <c r="B2159" s="27" t="s">
        <v>118</v>
      </c>
      <c r="C2159" s="27" t="s">
        <v>93</v>
      </c>
      <c r="D2159" s="27" t="s">
        <v>7</v>
      </c>
      <c r="E2159" s="28">
        <v>105200</v>
      </c>
      <c r="F2159" s="28">
        <v>135400</v>
      </c>
      <c r="G2159" s="27" t="s">
        <v>11</v>
      </c>
      <c r="H2159" s="27" t="s">
        <v>6612</v>
      </c>
      <c r="I2159" s="27" t="s">
        <v>9</v>
      </c>
    </row>
    <row r="2160" spans="1:9" x14ac:dyDescent="0.3">
      <c r="A2160" s="26">
        <v>45045</v>
      </c>
      <c r="B2160" s="27" t="s">
        <v>118</v>
      </c>
      <c r="C2160" s="27" t="s">
        <v>32</v>
      </c>
      <c r="D2160" s="27" t="s">
        <v>24</v>
      </c>
      <c r="E2160" s="28">
        <v>26147</v>
      </c>
      <c r="F2160" s="28">
        <v>91537</v>
      </c>
      <c r="G2160" s="27" t="s">
        <v>8</v>
      </c>
      <c r="H2160" s="27" t="s">
        <v>202</v>
      </c>
      <c r="I2160" s="27" t="s">
        <v>13</v>
      </c>
    </row>
    <row r="2161" spans="1:9" x14ac:dyDescent="0.3">
      <c r="A2161" s="26">
        <v>45045</v>
      </c>
      <c r="B2161" s="27" t="s">
        <v>118</v>
      </c>
      <c r="C2161" s="27" t="s">
        <v>10</v>
      </c>
      <c r="D2161" s="27" t="s">
        <v>19</v>
      </c>
      <c r="E2161" s="28">
        <v>20497</v>
      </c>
      <c r="F2161" s="28">
        <v>53191</v>
      </c>
      <c r="G2161" s="27" t="s">
        <v>22</v>
      </c>
      <c r="H2161" s="27" t="s">
        <v>388</v>
      </c>
      <c r="I2161" s="27" t="s">
        <v>13</v>
      </c>
    </row>
    <row r="2162" spans="1:9" x14ac:dyDescent="0.3">
      <c r="A2162" s="26">
        <v>45045</v>
      </c>
      <c r="B2162" s="27" t="s">
        <v>118</v>
      </c>
      <c r="C2162" s="27" t="s">
        <v>20</v>
      </c>
      <c r="D2162" s="27" t="s">
        <v>19</v>
      </c>
      <c r="E2162" s="28">
        <v>51026</v>
      </c>
      <c r="F2162" s="28">
        <v>136599</v>
      </c>
      <c r="G2162" s="27" t="s">
        <v>8</v>
      </c>
      <c r="H2162" s="27" t="s">
        <v>534</v>
      </c>
      <c r="I2162" s="27" t="s">
        <v>13</v>
      </c>
    </row>
    <row r="2163" spans="1:9" x14ac:dyDescent="0.3">
      <c r="A2163" s="26">
        <v>45045</v>
      </c>
      <c r="B2163" s="27" t="s">
        <v>118</v>
      </c>
      <c r="C2163" s="27" t="s">
        <v>14</v>
      </c>
      <c r="D2163" s="27" t="s">
        <v>24</v>
      </c>
      <c r="E2163" s="28">
        <v>133912</v>
      </c>
      <c r="F2163" s="28">
        <v>87826</v>
      </c>
      <c r="G2163" s="27" t="s">
        <v>22</v>
      </c>
      <c r="H2163" s="27" t="s">
        <v>1359</v>
      </c>
      <c r="I2163" s="27" t="s">
        <v>13</v>
      </c>
    </row>
    <row r="2164" spans="1:9" x14ac:dyDescent="0.3">
      <c r="A2164" s="26">
        <v>45045</v>
      </c>
      <c r="B2164" s="27" t="s">
        <v>118</v>
      </c>
      <c r="C2164" s="27" t="s">
        <v>15</v>
      </c>
      <c r="D2164" s="27" t="s">
        <v>24</v>
      </c>
      <c r="E2164" s="28">
        <v>132372</v>
      </c>
      <c r="F2164" s="28">
        <v>118712</v>
      </c>
      <c r="G2164" s="27" t="s">
        <v>11</v>
      </c>
      <c r="H2164" s="27" t="s">
        <v>1369</v>
      </c>
      <c r="I2164" s="27" t="s">
        <v>13</v>
      </c>
    </row>
    <row r="2165" spans="1:9" x14ac:dyDescent="0.3">
      <c r="A2165" s="26">
        <v>45045</v>
      </c>
      <c r="B2165" s="27" t="s">
        <v>118</v>
      </c>
      <c r="C2165" s="27" t="s">
        <v>10</v>
      </c>
      <c r="D2165" s="27" t="s">
        <v>16</v>
      </c>
      <c r="E2165" s="28">
        <v>67593</v>
      </c>
      <c r="F2165" s="28">
        <v>119965</v>
      </c>
      <c r="G2165" s="27" t="s">
        <v>11</v>
      </c>
      <c r="H2165" s="27" t="s">
        <v>1391</v>
      </c>
      <c r="I2165" s="27" t="s">
        <v>13</v>
      </c>
    </row>
    <row r="2166" spans="1:9" x14ac:dyDescent="0.3">
      <c r="A2166" s="26">
        <v>45045</v>
      </c>
      <c r="B2166" s="27" t="s">
        <v>118</v>
      </c>
      <c r="C2166" s="27" t="s">
        <v>32</v>
      </c>
      <c r="D2166" s="27" t="s">
        <v>19</v>
      </c>
      <c r="E2166" s="28">
        <v>116856</v>
      </c>
      <c r="F2166" s="28">
        <v>18539</v>
      </c>
      <c r="G2166" s="27" t="s">
        <v>11</v>
      </c>
      <c r="H2166" s="27" t="s">
        <v>1455</v>
      </c>
      <c r="I2166" s="27" t="s">
        <v>13</v>
      </c>
    </row>
    <row r="2167" spans="1:9" x14ac:dyDescent="0.3">
      <c r="A2167" s="26">
        <v>45045</v>
      </c>
      <c r="B2167" s="27" t="s">
        <v>118</v>
      </c>
      <c r="C2167" s="27" t="s">
        <v>10</v>
      </c>
      <c r="D2167" s="27" t="s">
        <v>19</v>
      </c>
      <c r="E2167" s="28">
        <v>144643</v>
      </c>
      <c r="F2167" s="28">
        <v>151071</v>
      </c>
      <c r="G2167" s="27" t="s">
        <v>11</v>
      </c>
      <c r="H2167" s="27" t="s">
        <v>1492</v>
      </c>
      <c r="I2167" s="27" t="s">
        <v>13</v>
      </c>
    </row>
    <row r="2168" spans="1:9" x14ac:dyDescent="0.3">
      <c r="A2168" s="26">
        <v>45045</v>
      </c>
      <c r="B2168" s="27" t="s">
        <v>118</v>
      </c>
      <c r="C2168" s="27" t="s">
        <v>18</v>
      </c>
      <c r="D2168" s="27" t="s">
        <v>21</v>
      </c>
      <c r="E2168" s="28">
        <v>37683</v>
      </c>
      <c r="F2168" s="28">
        <v>33499</v>
      </c>
      <c r="G2168" s="27" t="s">
        <v>22</v>
      </c>
      <c r="H2168" s="27" t="s">
        <v>1979</v>
      </c>
      <c r="I2168" s="27" t="s">
        <v>13</v>
      </c>
    </row>
    <row r="2169" spans="1:9" x14ac:dyDescent="0.3">
      <c r="A2169" s="26">
        <v>45045</v>
      </c>
      <c r="B2169" s="27" t="s">
        <v>118</v>
      </c>
      <c r="C2169" s="27" t="s">
        <v>32</v>
      </c>
      <c r="D2169" s="27" t="s">
        <v>19</v>
      </c>
      <c r="E2169" s="28">
        <v>115152</v>
      </c>
      <c r="F2169" s="28">
        <v>155772</v>
      </c>
      <c r="G2169" s="27" t="s">
        <v>11</v>
      </c>
      <c r="H2169" s="27" t="s">
        <v>2277</v>
      </c>
      <c r="I2169" s="27" t="s">
        <v>13</v>
      </c>
    </row>
    <row r="2170" spans="1:9" x14ac:dyDescent="0.3">
      <c r="A2170" s="26">
        <v>45045</v>
      </c>
      <c r="B2170" s="27" t="s">
        <v>118</v>
      </c>
      <c r="C2170" s="27" t="s">
        <v>18</v>
      </c>
      <c r="D2170" s="27" t="s">
        <v>24</v>
      </c>
      <c r="E2170" s="28">
        <v>18814</v>
      </c>
      <c r="F2170" s="28">
        <v>106517</v>
      </c>
      <c r="G2170" s="27" t="s">
        <v>8</v>
      </c>
      <c r="H2170" s="27" t="s">
        <v>2423</v>
      </c>
      <c r="I2170" s="27" t="s">
        <v>13</v>
      </c>
    </row>
    <row r="2171" spans="1:9" x14ac:dyDescent="0.3">
      <c r="A2171" s="26">
        <v>45045</v>
      </c>
      <c r="B2171" s="27" t="s">
        <v>118</v>
      </c>
      <c r="C2171" s="27" t="s">
        <v>18</v>
      </c>
      <c r="D2171" s="27" t="s">
        <v>16</v>
      </c>
      <c r="E2171" s="28">
        <v>62266</v>
      </c>
      <c r="F2171" s="28">
        <v>168471</v>
      </c>
      <c r="G2171" s="27" t="s">
        <v>8</v>
      </c>
      <c r="H2171" s="27" t="s">
        <v>2460</v>
      </c>
      <c r="I2171" s="27" t="s">
        <v>13</v>
      </c>
    </row>
    <row r="2172" spans="1:9" x14ac:dyDescent="0.3">
      <c r="A2172" s="26">
        <v>45045</v>
      </c>
      <c r="B2172" s="27" t="s">
        <v>118</v>
      </c>
      <c r="C2172" s="27" t="s">
        <v>10</v>
      </c>
      <c r="D2172" s="27" t="s">
        <v>16</v>
      </c>
      <c r="E2172" s="28">
        <v>24741</v>
      </c>
      <c r="F2172" s="28">
        <v>9481</v>
      </c>
      <c r="G2172" s="27" t="s">
        <v>11</v>
      </c>
      <c r="H2172" s="27" t="s">
        <v>2464</v>
      </c>
      <c r="I2172" s="27" t="s">
        <v>13</v>
      </c>
    </row>
    <row r="2173" spans="1:9" x14ac:dyDescent="0.3">
      <c r="A2173" s="26">
        <v>45045</v>
      </c>
      <c r="B2173" s="27" t="s">
        <v>118</v>
      </c>
      <c r="C2173" s="27" t="s">
        <v>15</v>
      </c>
      <c r="D2173" s="27" t="s">
        <v>24</v>
      </c>
      <c r="E2173" s="28">
        <v>57141</v>
      </c>
      <c r="F2173" s="28">
        <v>146169</v>
      </c>
      <c r="G2173" s="27" t="s">
        <v>11</v>
      </c>
      <c r="H2173" s="27" t="s">
        <v>2680</v>
      </c>
      <c r="I2173" s="27" t="s">
        <v>13</v>
      </c>
    </row>
    <row r="2174" spans="1:9" x14ac:dyDescent="0.3">
      <c r="A2174" s="26">
        <v>45045</v>
      </c>
      <c r="B2174" s="27" t="s">
        <v>118</v>
      </c>
      <c r="C2174" s="27" t="s">
        <v>32</v>
      </c>
      <c r="D2174" s="27" t="s">
        <v>19</v>
      </c>
      <c r="E2174" s="28">
        <v>136421</v>
      </c>
      <c r="F2174" s="28">
        <v>91125</v>
      </c>
      <c r="G2174" s="27" t="s">
        <v>8</v>
      </c>
      <c r="H2174" s="27" t="s">
        <v>2714</v>
      </c>
      <c r="I2174" s="27" t="s">
        <v>13</v>
      </c>
    </row>
    <row r="2175" spans="1:9" x14ac:dyDescent="0.3">
      <c r="A2175" s="26">
        <v>45045</v>
      </c>
      <c r="B2175" s="27" t="s">
        <v>118</v>
      </c>
      <c r="C2175" s="27" t="s">
        <v>14</v>
      </c>
      <c r="D2175" s="27" t="s">
        <v>7</v>
      </c>
      <c r="E2175" s="28">
        <v>60712</v>
      </c>
      <c r="F2175" s="28">
        <v>158786</v>
      </c>
      <c r="G2175" s="27" t="s">
        <v>8</v>
      </c>
      <c r="H2175" s="27" t="s">
        <v>3059</v>
      </c>
      <c r="I2175" s="27" t="s">
        <v>13</v>
      </c>
    </row>
    <row r="2176" spans="1:9" x14ac:dyDescent="0.3">
      <c r="A2176" s="26">
        <v>45045</v>
      </c>
      <c r="B2176" s="27" t="s">
        <v>118</v>
      </c>
      <c r="C2176" s="27" t="s">
        <v>32</v>
      </c>
      <c r="D2176" s="27" t="s">
        <v>7</v>
      </c>
      <c r="E2176" s="28">
        <v>98164</v>
      </c>
      <c r="F2176" s="28">
        <v>133242</v>
      </c>
      <c r="G2176" s="27" t="s">
        <v>22</v>
      </c>
      <c r="H2176" s="27" t="s">
        <v>3182</v>
      </c>
      <c r="I2176" s="27" t="s">
        <v>13</v>
      </c>
    </row>
    <row r="2177" spans="1:9" x14ac:dyDescent="0.3">
      <c r="A2177" s="26">
        <v>45045</v>
      </c>
      <c r="B2177" s="27" t="s">
        <v>118</v>
      </c>
      <c r="C2177" s="27" t="s">
        <v>6</v>
      </c>
      <c r="D2177" s="27" t="s">
        <v>24</v>
      </c>
      <c r="E2177" s="28">
        <v>82200</v>
      </c>
      <c r="F2177" s="28">
        <v>97400</v>
      </c>
      <c r="G2177" s="27" t="s">
        <v>11</v>
      </c>
      <c r="H2177" s="27" t="s">
        <v>3583</v>
      </c>
      <c r="I2177" s="27" t="s">
        <v>9</v>
      </c>
    </row>
    <row r="2178" spans="1:9" x14ac:dyDescent="0.3">
      <c r="A2178" s="26">
        <v>45045</v>
      </c>
      <c r="B2178" s="27" t="s">
        <v>118</v>
      </c>
      <c r="C2178" s="27" t="s">
        <v>93</v>
      </c>
      <c r="D2178" s="27" t="s">
        <v>19</v>
      </c>
      <c r="E2178" s="28">
        <v>106100</v>
      </c>
      <c r="F2178" s="28">
        <v>132000</v>
      </c>
      <c r="G2178" s="27" t="s">
        <v>11</v>
      </c>
      <c r="H2178" s="27" t="s">
        <v>3769</v>
      </c>
      <c r="I2178" s="27" t="s">
        <v>9</v>
      </c>
    </row>
    <row r="2179" spans="1:9" x14ac:dyDescent="0.3">
      <c r="A2179" s="26">
        <v>45045</v>
      </c>
      <c r="B2179" s="27" t="s">
        <v>118</v>
      </c>
      <c r="C2179" s="27" t="s">
        <v>6</v>
      </c>
      <c r="D2179" s="27" t="s">
        <v>19</v>
      </c>
      <c r="E2179" s="28">
        <v>165600</v>
      </c>
      <c r="F2179" s="28">
        <v>202000</v>
      </c>
      <c r="G2179" s="27" t="s">
        <v>11</v>
      </c>
      <c r="H2179" s="27" t="s">
        <v>3915</v>
      </c>
      <c r="I2179" s="27" t="s">
        <v>9</v>
      </c>
    </row>
    <row r="2180" spans="1:9" x14ac:dyDescent="0.3">
      <c r="A2180" s="26">
        <v>45045</v>
      </c>
      <c r="B2180" s="27" t="s">
        <v>118</v>
      </c>
      <c r="C2180" s="27" t="s">
        <v>6</v>
      </c>
      <c r="D2180" s="27" t="s">
        <v>24</v>
      </c>
      <c r="E2180" s="28">
        <v>103000</v>
      </c>
      <c r="F2180" s="28">
        <v>125300</v>
      </c>
      <c r="G2180" s="27" t="s">
        <v>11</v>
      </c>
      <c r="H2180" s="27" t="s">
        <v>4742</v>
      </c>
      <c r="I2180" s="27" t="s">
        <v>9</v>
      </c>
    </row>
    <row r="2181" spans="1:9" x14ac:dyDescent="0.3">
      <c r="A2181" s="26">
        <v>45045</v>
      </c>
      <c r="B2181" s="27" t="s">
        <v>118</v>
      </c>
      <c r="C2181" s="27" t="s">
        <v>6</v>
      </c>
      <c r="D2181" s="27" t="s">
        <v>24</v>
      </c>
      <c r="E2181" s="28">
        <v>183700</v>
      </c>
      <c r="F2181" s="28">
        <v>218000</v>
      </c>
      <c r="G2181" s="27" t="s">
        <v>17</v>
      </c>
      <c r="H2181" s="27" t="s">
        <v>4752</v>
      </c>
      <c r="I2181" s="27" t="s">
        <v>9</v>
      </c>
    </row>
    <row r="2182" spans="1:9" x14ac:dyDescent="0.3">
      <c r="A2182" s="26">
        <v>45045</v>
      </c>
      <c r="B2182" s="27" t="s">
        <v>118</v>
      </c>
      <c r="C2182" s="27" t="s">
        <v>93</v>
      </c>
      <c r="D2182" s="27" t="s">
        <v>16</v>
      </c>
      <c r="E2182" s="28">
        <v>125100</v>
      </c>
      <c r="F2182" s="28">
        <v>97300</v>
      </c>
      <c r="G2182" s="27" t="s">
        <v>11</v>
      </c>
      <c r="H2182" s="27" t="s">
        <v>4774</v>
      </c>
      <c r="I2182" s="27" t="s">
        <v>9</v>
      </c>
    </row>
    <row r="2183" spans="1:9" x14ac:dyDescent="0.3">
      <c r="A2183" s="26">
        <v>45045</v>
      </c>
      <c r="B2183" s="27" t="s">
        <v>118</v>
      </c>
      <c r="C2183" s="27" t="s">
        <v>6</v>
      </c>
      <c r="D2183" s="27" t="s">
        <v>19</v>
      </c>
      <c r="E2183" s="28">
        <v>82400</v>
      </c>
      <c r="F2183" s="28">
        <v>86500</v>
      </c>
      <c r="G2183" s="27" t="s">
        <v>11</v>
      </c>
      <c r="H2183" s="27" t="s">
        <v>4838</v>
      </c>
      <c r="I2183" s="27" t="s">
        <v>9</v>
      </c>
    </row>
    <row r="2184" spans="1:9" x14ac:dyDescent="0.3">
      <c r="A2184" s="26">
        <v>45045</v>
      </c>
      <c r="B2184" s="27" t="s">
        <v>118</v>
      </c>
      <c r="C2184" s="27" t="s">
        <v>6</v>
      </c>
      <c r="D2184" s="27" t="s">
        <v>19</v>
      </c>
      <c r="E2184" s="28">
        <v>92400</v>
      </c>
      <c r="F2184" s="28">
        <v>89500</v>
      </c>
      <c r="G2184" s="27" t="s">
        <v>11</v>
      </c>
      <c r="H2184" s="27" t="s">
        <v>4875</v>
      </c>
      <c r="I2184" s="27" t="s">
        <v>9</v>
      </c>
    </row>
    <row r="2185" spans="1:9" x14ac:dyDescent="0.3">
      <c r="A2185" s="26">
        <v>45045</v>
      </c>
      <c r="B2185" s="27" t="s">
        <v>118</v>
      </c>
      <c r="C2185" s="27" t="s">
        <v>6</v>
      </c>
      <c r="D2185" s="27" t="s">
        <v>21</v>
      </c>
      <c r="E2185" s="28">
        <v>129900</v>
      </c>
      <c r="F2185" s="28">
        <v>135700</v>
      </c>
      <c r="G2185" s="27" t="s">
        <v>11</v>
      </c>
      <c r="H2185" s="27" t="s">
        <v>5363</v>
      </c>
      <c r="I2185" s="27" t="s">
        <v>9</v>
      </c>
    </row>
    <row r="2186" spans="1:9" x14ac:dyDescent="0.3">
      <c r="A2186" s="26">
        <v>45045</v>
      </c>
      <c r="B2186" s="27" t="s">
        <v>118</v>
      </c>
      <c r="C2186" s="27" t="s">
        <v>6</v>
      </c>
      <c r="D2186" s="27" t="s">
        <v>19</v>
      </c>
      <c r="E2186" s="28">
        <v>109500</v>
      </c>
      <c r="F2186" s="28">
        <v>94700</v>
      </c>
      <c r="G2186" s="27" t="s">
        <v>22</v>
      </c>
      <c r="H2186" s="27" t="s">
        <v>5662</v>
      </c>
      <c r="I2186" s="27" t="s">
        <v>9</v>
      </c>
    </row>
    <row r="2187" spans="1:9" x14ac:dyDescent="0.3">
      <c r="A2187" s="26">
        <v>45045</v>
      </c>
      <c r="B2187" s="27" t="s">
        <v>118</v>
      </c>
      <c r="C2187" s="27" t="s">
        <v>6</v>
      </c>
      <c r="D2187" s="27" t="s">
        <v>24</v>
      </c>
      <c r="E2187" s="28">
        <v>125500</v>
      </c>
      <c r="F2187" s="28">
        <v>141200</v>
      </c>
      <c r="G2187" s="27" t="s">
        <v>11</v>
      </c>
      <c r="H2187" s="27" t="s">
        <v>5808</v>
      </c>
      <c r="I2187" s="27" t="s">
        <v>9</v>
      </c>
    </row>
    <row r="2188" spans="1:9" x14ac:dyDescent="0.3">
      <c r="A2188" s="26">
        <v>45045</v>
      </c>
      <c r="B2188" s="27" t="s">
        <v>118</v>
      </c>
      <c r="C2188" s="27" t="s">
        <v>6</v>
      </c>
      <c r="D2188" s="27" t="s">
        <v>16</v>
      </c>
      <c r="E2188" s="28">
        <v>214300</v>
      </c>
      <c r="F2188" s="28">
        <v>166200</v>
      </c>
      <c r="G2188" s="27" t="s">
        <v>17</v>
      </c>
      <c r="H2188" s="27" t="s">
        <v>5845</v>
      </c>
      <c r="I2188" s="27" t="s">
        <v>9</v>
      </c>
    </row>
    <row r="2189" spans="1:9" x14ac:dyDescent="0.3">
      <c r="A2189" s="26">
        <v>45045</v>
      </c>
      <c r="B2189" s="27" t="s">
        <v>118</v>
      </c>
      <c r="C2189" s="27" t="s">
        <v>93</v>
      </c>
      <c r="D2189" s="27" t="s">
        <v>16</v>
      </c>
      <c r="E2189" s="28">
        <v>88400</v>
      </c>
      <c r="F2189" s="28">
        <v>91200</v>
      </c>
      <c r="G2189" s="27" t="s">
        <v>17</v>
      </c>
      <c r="H2189" s="27" t="s">
        <v>5849</v>
      </c>
      <c r="I2189" s="27" t="s">
        <v>9</v>
      </c>
    </row>
    <row r="2190" spans="1:9" x14ac:dyDescent="0.3">
      <c r="A2190" s="26">
        <v>45045</v>
      </c>
      <c r="B2190" s="27" t="s">
        <v>118</v>
      </c>
      <c r="C2190" s="27" t="s">
        <v>6</v>
      </c>
      <c r="D2190" s="27" t="s">
        <v>24</v>
      </c>
      <c r="E2190" s="28">
        <v>140100</v>
      </c>
      <c r="F2190" s="28">
        <v>188200</v>
      </c>
      <c r="G2190" s="27" t="s">
        <v>22</v>
      </c>
      <c r="H2190" s="27" t="s">
        <v>6065</v>
      </c>
      <c r="I2190" s="27" t="s">
        <v>9</v>
      </c>
    </row>
    <row r="2191" spans="1:9" x14ac:dyDescent="0.3">
      <c r="A2191" s="26">
        <v>45045</v>
      </c>
      <c r="B2191" s="27" t="s">
        <v>118</v>
      </c>
      <c r="C2191" s="27" t="s">
        <v>93</v>
      </c>
      <c r="D2191" s="27" t="s">
        <v>19</v>
      </c>
      <c r="E2191" s="28">
        <v>71400</v>
      </c>
      <c r="F2191" s="28">
        <v>81600</v>
      </c>
      <c r="G2191" s="27" t="s">
        <v>11</v>
      </c>
      <c r="H2191" s="27" t="s">
        <v>6099</v>
      </c>
      <c r="I2191" s="27" t="s">
        <v>9</v>
      </c>
    </row>
    <row r="2192" spans="1:9" x14ac:dyDescent="0.3">
      <c r="A2192" s="26">
        <v>45045</v>
      </c>
      <c r="B2192" s="27" t="s">
        <v>118</v>
      </c>
      <c r="C2192" s="27" t="s">
        <v>93</v>
      </c>
      <c r="D2192" s="27" t="s">
        <v>7</v>
      </c>
      <c r="E2192" s="28">
        <v>222400</v>
      </c>
      <c r="F2192" s="28">
        <v>234600</v>
      </c>
      <c r="G2192" s="27" t="s">
        <v>11</v>
      </c>
      <c r="H2192" s="27" t="s">
        <v>6444</v>
      </c>
      <c r="I2192" s="27" t="s">
        <v>9</v>
      </c>
    </row>
    <row r="2193" spans="1:9" x14ac:dyDescent="0.3">
      <c r="A2193" s="26">
        <v>45045</v>
      </c>
      <c r="B2193" s="27" t="s">
        <v>118</v>
      </c>
      <c r="C2193" s="27" t="s">
        <v>93</v>
      </c>
      <c r="D2193" s="27" t="s">
        <v>7</v>
      </c>
      <c r="E2193" s="28">
        <v>376800</v>
      </c>
      <c r="F2193" s="28">
        <v>438300</v>
      </c>
      <c r="G2193" s="27" t="s">
        <v>11</v>
      </c>
      <c r="H2193" s="27" t="s">
        <v>6567</v>
      </c>
      <c r="I2193" s="27" t="s">
        <v>9</v>
      </c>
    </row>
    <row r="2194" spans="1:9" x14ac:dyDescent="0.3">
      <c r="A2194" s="26">
        <v>45046</v>
      </c>
      <c r="B2194" s="27" t="s">
        <v>118</v>
      </c>
      <c r="C2194" s="27" t="s">
        <v>20</v>
      </c>
      <c r="D2194" s="27" t="s">
        <v>16</v>
      </c>
      <c r="E2194" s="28">
        <v>144480</v>
      </c>
      <c r="F2194" s="28">
        <v>163015</v>
      </c>
      <c r="G2194" s="27" t="s">
        <v>17</v>
      </c>
      <c r="H2194" s="27" t="s">
        <v>489</v>
      </c>
      <c r="I2194" s="27" t="s">
        <v>13</v>
      </c>
    </row>
    <row r="2195" spans="1:9" x14ac:dyDescent="0.3">
      <c r="A2195" s="26">
        <v>45046</v>
      </c>
      <c r="B2195" s="27" t="s">
        <v>118</v>
      </c>
      <c r="C2195" s="27" t="s">
        <v>15</v>
      </c>
      <c r="D2195" s="27" t="s">
        <v>24</v>
      </c>
      <c r="E2195" s="28">
        <v>139940</v>
      </c>
      <c r="F2195" s="28">
        <v>124815</v>
      </c>
      <c r="G2195" s="27" t="s">
        <v>17</v>
      </c>
      <c r="H2195" s="27" t="s">
        <v>934</v>
      </c>
      <c r="I2195" s="27" t="s">
        <v>13</v>
      </c>
    </row>
    <row r="2196" spans="1:9" x14ac:dyDescent="0.3">
      <c r="A2196" s="26">
        <v>45046</v>
      </c>
      <c r="B2196" s="27" t="s">
        <v>118</v>
      </c>
      <c r="C2196" s="27" t="s">
        <v>10</v>
      </c>
      <c r="D2196" s="27" t="s">
        <v>21</v>
      </c>
      <c r="E2196" s="28">
        <v>81461</v>
      </c>
      <c r="F2196" s="28">
        <v>13570</v>
      </c>
      <c r="G2196" s="27" t="s">
        <v>22</v>
      </c>
      <c r="H2196" s="27" t="s">
        <v>1021</v>
      </c>
      <c r="I2196" s="27" t="s">
        <v>13</v>
      </c>
    </row>
    <row r="2197" spans="1:9" x14ac:dyDescent="0.3">
      <c r="A2197" s="26">
        <v>45046</v>
      </c>
      <c r="B2197" s="27" t="s">
        <v>118</v>
      </c>
      <c r="C2197" s="27" t="s">
        <v>10</v>
      </c>
      <c r="D2197" s="27" t="s">
        <v>7</v>
      </c>
      <c r="E2197" s="28">
        <v>34091</v>
      </c>
      <c r="F2197" s="28">
        <v>145310</v>
      </c>
      <c r="G2197" s="27" t="s">
        <v>8</v>
      </c>
      <c r="H2197" s="27" t="s">
        <v>1652</v>
      </c>
      <c r="I2197" s="27" t="s">
        <v>13</v>
      </c>
    </row>
    <row r="2198" spans="1:9" x14ac:dyDescent="0.3">
      <c r="A2198" s="26">
        <v>45046</v>
      </c>
      <c r="B2198" s="27" t="s">
        <v>118</v>
      </c>
      <c r="C2198" s="27" t="s">
        <v>20</v>
      </c>
      <c r="D2198" s="27" t="s">
        <v>24</v>
      </c>
      <c r="E2198" s="28">
        <v>140967</v>
      </c>
      <c r="F2198" s="28">
        <v>54788</v>
      </c>
      <c r="G2198" s="27" t="s">
        <v>11</v>
      </c>
      <c r="H2198" s="27" t="s">
        <v>1653</v>
      </c>
      <c r="I2198" s="27" t="s">
        <v>13</v>
      </c>
    </row>
    <row r="2199" spans="1:9" x14ac:dyDescent="0.3">
      <c r="A2199" s="26">
        <v>45046</v>
      </c>
      <c r="B2199" s="27" t="s">
        <v>118</v>
      </c>
      <c r="C2199" s="27" t="s">
        <v>32</v>
      </c>
      <c r="D2199" s="27" t="s">
        <v>19</v>
      </c>
      <c r="E2199" s="28">
        <v>117443</v>
      </c>
      <c r="F2199" s="28">
        <v>159922</v>
      </c>
      <c r="G2199" s="27" t="s">
        <v>17</v>
      </c>
      <c r="H2199" s="27" t="s">
        <v>1858</v>
      </c>
      <c r="I2199" s="27" t="s">
        <v>13</v>
      </c>
    </row>
    <row r="2200" spans="1:9" x14ac:dyDescent="0.3">
      <c r="A2200" s="26">
        <v>45046</v>
      </c>
      <c r="B2200" s="27" t="s">
        <v>118</v>
      </c>
      <c r="C2200" s="27" t="s">
        <v>10</v>
      </c>
      <c r="D2200" s="27" t="s">
        <v>21</v>
      </c>
      <c r="E2200" s="28">
        <v>60203</v>
      </c>
      <c r="F2200" s="28">
        <v>127162</v>
      </c>
      <c r="G2200" s="27" t="s">
        <v>22</v>
      </c>
      <c r="H2200" s="27" t="s">
        <v>2283</v>
      </c>
      <c r="I2200" s="27" t="s">
        <v>13</v>
      </c>
    </row>
    <row r="2201" spans="1:9" x14ac:dyDescent="0.3">
      <c r="A2201" s="26">
        <v>45046</v>
      </c>
      <c r="B2201" s="27" t="s">
        <v>118</v>
      </c>
      <c r="C2201" s="27" t="s">
        <v>10</v>
      </c>
      <c r="D2201" s="27" t="s">
        <v>16</v>
      </c>
      <c r="E2201" s="28">
        <v>124960</v>
      </c>
      <c r="F2201" s="28">
        <v>107613</v>
      </c>
      <c r="G2201" s="27" t="s">
        <v>17</v>
      </c>
      <c r="H2201" s="27" t="s">
        <v>2495</v>
      </c>
      <c r="I2201" s="27" t="s">
        <v>13</v>
      </c>
    </row>
    <row r="2202" spans="1:9" x14ac:dyDescent="0.3">
      <c r="A2202" s="26">
        <v>45046</v>
      </c>
      <c r="B2202" s="27" t="s">
        <v>118</v>
      </c>
      <c r="C2202" s="27" t="s">
        <v>10</v>
      </c>
      <c r="D2202" s="27" t="s">
        <v>16</v>
      </c>
      <c r="E2202" s="28">
        <v>40659</v>
      </c>
      <c r="F2202" s="28">
        <v>156957</v>
      </c>
      <c r="G2202" s="27" t="s">
        <v>8</v>
      </c>
      <c r="H2202" s="27" t="s">
        <v>2518</v>
      </c>
      <c r="I2202" s="27" t="s">
        <v>13</v>
      </c>
    </row>
    <row r="2203" spans="1:9" x14ac:dyDescent="0.3">
      <c r="A2203" s="26">
        <v>45046</v>
      </c>
      <c r="B2203" s="27" t="s">
        <v>118</v>
      </c>
      <c r="C2203" s="27" t="s">
        <v>20</v>
      </c>
      <c r="D2203" s="27" t="s">
        <v>19</v>
      </c>
      <c r="E2203" s="28">
        <v>131190</v>
      </c>
      <c r="F2203" s="28">
        <v>37838</v>
      </c>
      <c r="G2203" s="27" t="s">
        <v>8</v>
      </c>
      <c r="H2203" s="27" t="s">
        <v>2560</v>
      </c>
      <c r="I2203" s="27" t="s">
        <v>13</v>
      </c>
    </row>
    <row r="2204" spans="1:9" x14ac:dyDescent="0.3">
      <c r="A2204" s="26">
        <v>45046</v>
      </c>
      <c r="B2204" s="27" t="s">
        <v>118</v>
      </c>
      <c r="C2204" s="27" t="s">
        <v>20</v>
      </c>
      <c r="D2204" s="27" t="s">
        <v>7</v>
      </c>
      <c r="E2204" s="28">
        <v>42649</v>
      </c>
      <c r="F2204" s="28">
        <v>102775</v>
      </c>
      <c r="G2204" s="27" t="s">
        <v>11</v>
      </c>
      <c r="H2204" s="27" t="s">
        <v>2788</v>
      </c>
      <c r="I2204" s="27" t="s">
        <v>13</v>
      </c>
    </row>
    <row r="2205" spans="1:9" x14ac:dyDescent="0.3">
      <c r="A2205" s="26">
        <v>45046</v>
      </c>
      <c r="B2205" s="27" t="s">
        <v>118</v>
      </c>
      <c r="C2205" s="27" t="s">
        <v>10</v>
      </c>
      <c r="D2205" s="27" t="s">
        <v>16</v>
      </c>
      <c r="E2205" s="28">
        <v>50584</v>
      </c>
      <c r="F2205" s="28">
        <v>144589</v>
      </c>
      <c r="G2205" s="27" t="s">
        <v>8</v>
      </c>
      <c r="H2205" s="27" t="s">
        <v>2819</v>
      </c>
      <c r="I2205" s="27" t="s">
        <v>13</v>
      </c>
    </row>
    <row r="2206" spans="1:9" x14ac:dyDescent="0.3">
      <c r="A2206" s="26">
        <v>45046</v>
      </c>
      <c r="B2206" s="27" t="s">
        <v>118</v>
      </c>
      <c r="C2206" s="27" t="s">
        <v>14</v>
      </c>
      <c r="D2206" s="27" t="s">
        <v>7</v>
      </c>
      <c r="E2206" s="28">
        <v>112941</v>
      </c>
      <c r="F2206" s="28">
        <v>26699</v>
      </c>
      <c r="G2206" s="27" t="s">
        <v>17</v>
      </c>
      <c r="H2206" s="27" t="s">
        <v>3115</v>
      </c>
      <c r="I2206" s="27" t="s">
        <v>13</v>
      </c>
    </row>
    <row r="2207" spans="1:9" x14ac:dyDescent="0.3">
      <c r="A2207" s="26">
        <v>45046</v>
      </c>
      <c r="B2207" s="27" t="s">
        <v>118</v>
      </c>
      <c r="C2207" s="27" t="s">
        <v>93</v>
      </c>
      <c r="D2207" s="27" t="s">
        <v>16</v>
      </c>
      <c r="E2207" s="28">
        <v>66800</v>
      </c>
      <c r="F2207" s="28">
        <v>70400</v>
      </c>
      <c r="G2207" s="27" t="s">
        <v>11</v>
      </c>
      <c r="H2207" s="27" t="s">
        <v>3870</v>
      </c>
      <c r="I2207" s="27" t="s">
        <v>9</v>
      </c>
    </row>
    <row r="2208" spans="1:9" x14ac:dyDescent="0.3">
      <c r="A2208" s="26">
        <v>45046</v>
      </c>
      <c r="B2208" s="27" t="s">
        <v>118</v>
      </c>
      <c r="C2208" s="27" t="s">
        <v>6</v>
      </c>
      <c r="D2208" s="27" t="s">
        <v>24</v>
      </c>
      <c r="E2208" s="28">
        <v>97500</v>
      </c>
      <c r="F2208" s="28">
        <v>97500</v>
      </c>
      <c r="G2208" s="27" t="s">
        <v>22</v>
      </c>
      <c r="H2208" s="27" t="s">
        <v>4315</v>
      </c>
      <c r="I2208" s="27" t="s">
        <v>9</v>
      </c>
    </row>
    <row r="2209" spans="1:9" x14ac:dyDescent="0.3">
      <c r="A2209" s="26">
        <v>45046</v>
      </c>
      <c r="B2209" s="27" t="s">
        <v>118</v>
      </c>
      <c r="C2209" s="27" t="s">
        <v>93</v>
      </c>
      <c r="D2209" s="27" t="s">
        <v>21</v>
      </c>
      <c r="E2209" s="28">
        <v>91000</v>
      </c>
      <c r="F2209" s="28">
        <v>55900</v>
      </c>
      <c r="G2209" s="27" t="s">
        <v>11</v>
      </c>
      <c r="H2209" s="27" t="s">
        <v>4403</v>
      </c>
      <c r="I2209" s="27" t="s">
        <v>9</v>
      </c>
    </row>
    <row r="2210" spans="1:9" x14ac:dyDescent="0.3">
      <c r="A2210" s="26">
        <v>45046</v>
      </c>
      <c r="B2210" s="27" t="s">
        <v>118</v>
      </c>
      <c r="C2210" s="27" t="s">
        <v>6</v>
      </c>
      <c r="D2210" s="27" t="s">
        <v>7</v>
      </c>
      <c r="E2210" s="28">
        <v>196800</v>
      </c>
      <c r="F2210" s="28">
        <v>220200</v>
      </c>
      <c r="G2210" s="27" t="s">
        <v>11</v>
      </c>
      <c r="H2210" s="27" t="s">
        <v>5035</v>
      </c>
      <c r="I2210" s="27" t="s">
        <v>9</v>
      </c>
    </row>
    <row r="2211" spans="1:9" x14ac:dyDescent="0.3">
      <c r="A2211" s="26">
        <v>45046</v>
      </c>
      <c r="B2211" s="27" t="s">
        <v>118</v>
      </c>
      <c r="C2211" s="27" t="s">
        <v>6</v>
      </c>
      <c r="D2211" s="27" t="s">
        <v>24</v>
      </c>
      <c r="E2211" s="28">
        <v>99200</v>
      </c>
      <c r="F2211" s="28">
        <v>89200</v>
      </c>
      <c r="G2211" s="27" t="s">
        <v>11</v>
      </c>
      <c r="H2211" s="27" t="s">
        <v>5036</v>
      </c>
      <c r="I2211" s="27" t="s">
        <v>9</v>
      </c>
    </row>
    <row r="2212" spans="1:9" x14ac:dyDescent="0.3">
      <c r="A2212" s="26">
        <v>45046</v>
      </c>
      <c r="B2212" s="27" t="s">
        <v>118</v>
      </c>
      <c r="C2212" s="27" t="s">
        <v>93</v>
      </c>
      <c r="D2212" s="27" t="s">
        <v>19</v>
      </c>
      <c r="E2212" s="28">
        <v>153700</v>
      </c>
      <c r="F2212" s="28">
        <v>169800</v>
      </c>
      <c r="G2212" s="27" t="s">
        <v>11</v>
      </c>
      <c r="H2212" s="27" t="s">
        <v>5242</v>
      </c>
      <c r="I2212" s="27" t="s">
        <v>9</v>
      </c>
    </row>
    <row r="2213" spans="1:9" x14ac:dyDescent="0.3">
      <c r="A2213" s="26">
        <v>45046</v>
      </c>
      <c r="B2213" s="27" t="s">
        <v>118</v>
      </c>
      <c r="C2213" s="27" t="s">
        <v>93</v>
      </c>
      <c r="D2213" s="27" t="s">
        <v>21</v>
      </c>
      <c r="E2213" s="28">
        <v>96700</v>
      </c>
      <c r="F2213" s="28">
        <v>68400</v>
      </c>
      <c r="G2213" s="27" t="s">
        <v>17</v>
      </c>
      <c r="H2213" s="27" t="s">
        <v>5668</v>
      </c>
      <c r="I2213" s="27" t="s">
        <v>9</v>
      </c>
    </row>
    <row r="2214" spans="1:9" x14ac:dyDescent="0.3">
      <c r="A2214" s="26">
        <v>45046</v>
      </c>
      <c r="B2214" s="27" t="s">
        <v>118</v>
      </c>
      <c r="C2214" s="27" t="s">
        <v>6</v>
      </c>
      <c r="D2214" s="27" t="s">
        <v>16</v>
      </c>
      <c r="E2214" s="28">
        <v>84400</v>
      </c>
      <c r="F2214" s="28">
        <v>79700</v>
      </c>
      <c r="G2214" s="27" t="s">
        <v>11</v>
      </c>
      <c r="H2214" s="27" t="s">
        <v>5880</v>
      </c>
      <c r="I2214" s="27" t="s">
        <v>9</v>
      </c>
    </row>
    <row r="2215" spans="1:9" x14ac:dyDescent="0.3">
      <c r="A2215" s="26">
        <v>45046</v>
      </c>
      <c r="B2215" s="27" t="s">
        <v>118</v>
      </c>
      <c r="C2215" s="27" t="s">
        <v>6</v>
      </c>
      <c r="D2215" s="27" t="s">
        <v>16</v>
      </c>
      <c r="E2215" s="28">
        <v>141400</v>
      </c>
      <c r="F2215" s="28">
        <v>138100</v>
      </c>
      <c r="G2215" s="27" t="s">
        <v>11</v>
      </c>
      <c r="H2215" s="27" t="s">
        <v>5903</v>
      </c>
      <c r="I2215" s="27" t="s">
        <v>9</v>
      </c>
    </row>
    <row r="2216" spans="1:9" x14ac:dyDescent="0.3">
      <c r="A2216" s="26">
        <v>45046</v>
      </c>
      <c r="B2216" s="27" t="s">
        <v>118</v>
      </c>
      <c r="C2216" s="27" t="s">
        <v>93</v>
      </c>
      <c r="D2216" s="27" t="s">
        <v>19</v>
      </c>
      <c r="E2216" s="28">
        <v>170200</v>
      </c>
      <c r="F2216" s="28">
        <v>205900</v>
      </c>
      <c r="G2216" s="27" t="s">
        <v>11</v>
      </c>
      <c r="H2216" s="27" t="s">
        <v>5945</v>
      </c>
      <c r="I2216" s="27" t="s">
        <v>9</v>
      </c>
    </row>
    <row r="2217" spans="1:9" x14ac:dyDescent="0.3">
      <c r="A2217" s="26">
        <v>45046</v>
      </c>
      <c r="B2217" s="27" t="s">
        <v>118</v>
      </c>
      <c r="C2217" s="27" t="s">
        <v>6</v>
      </c>
      <c r="D2217" s="27" t="s">
        <v>7</v>
      </c>
      <c r="E2217" s="28">
        <v>105200</v>
      </c>
      <c r="F2217" s="28">
        <v>104100</v>
      </c>
      <c r="G2217" s="27" t="s">
        <v>17</v>
      </c>
      <c r="H2217" s="27" t="s">
        <v>6173</v>
      </c>
      <c r="I2217" s="27" t="s">
        <v>9</v>
      </c>
    </row>
    <row r="2218" spans="1:9" x14ac:dyDescent="0.3">
      <c r="A2218" s="26">
        <v>45046</v>
      </c>
      <c r="B2218" s="27" t="s">
        <v>118</v>
      </c>
      <c r="C2218" s="27" t="s">
        <v>93</v>
      </c>
      <c r="D2218" s="27" t="s">
        <v>16</v>
      </c>
      <c r="E2218" s="28">
        <v>124100</v>
      </c>
      <c r="F2218" s="28">
        <v>113900</v>
      </c>
      <c r="G2218" s="27" t="s">
        <v>11</v>
      </c>
      <c r="H2218" s="27" t="s">
        <v>6204</v>
      </c>
      <c r="I2218" s="27" t="s">
        <v>9</v>
      </c>
    </row>
    <row r="2219" spans="1:9" x14ac:dyDescent="0.3">
      <c r="A2219" s="26">
        <v>45046</v>
      </c>
      <c r="B2219" s="27" t="s">
        <v>118</v>
      </c>
      <c r="C2219" s="27" t="s">
        <v>6</v>
      </c>
      <c r="D2219" s="27" t="s">
        <v>7</v>
      </c>
      <c r="E2219" s="28">
        <v>182500</v>
      </c>
      <c r="F2219" s="28">
        <v>195300</v>
      </c>
      <c r="G2219" s="27" t="s">
        <v>11</v>
      </c>
      <c r="H2219" s="27" t="s">
        <v>6500</v>
      </c>
      <c r="I2219" s="27" t="s">
        <v>9</v>
      </c>
    </row>
    <row r="2220" spans="1:9" x14ac:dyDescent="0.3">
      <c r="A2220" s="26">
        <v>45047</v>
      </c>
      <c r="B2220" s="27" t="s">
        <v>119</v>
      </c>
      <c r="C2220" s="27" t="s">
        <v>32</v>
      </c>
      <c r="D2220" s="27" t="s">
        <v>16</v>
      </c>
      <c r="E2220" s="28">
        <v>45517</v>
      </c>
      <c r="F2220" s="28">
        <v>60420</v>
      </c>
      <c r="G2220" s="27" t="s">
        <v>22</v>
      </c>
      <c r="H2220" s="27" t="s">
        <v>217</v>
      </c>
      <c r="I2220" s="27" t="s">
        <v>13</v>
      </c>
    </row>
    <row r="2221" spans="1:9" x14ac:dyDescent="0.3">
      <c r="A2221" s="26">
        <v>45047</v>
      </c>
      <c r="B2221" s="27" t="s">
        <v>119</v>
      </c>
      <c r="C2221" s="27" t="s">
        <v>18</v>
      </c>
      <c r="D2221" s="27" t="s">
        <v>16</v>
      </c>
      <c r="E2221" s="28">
        <v>111359</v>
      </c>
      <c r="F2221" s="28">
        <v>19159</v>
      </c>
      <c r="G2221" s="27" t="s">
        <v>8</v>
      </c>
      <c r="H2221" s="27" t="s">
        <v>341</v>
      </c>
      <c r="I2221" s="27" t="s">
        <v>13</v>
      </c>
    </row>
    <row r="2222" spans="1:9" x14ac:dyDescent="0.3">
      <c r="A2222" s="26">
        <v>45047</v>
      </c>
      <c r="B2222" s="27" t="s">
        <v>119</v>
      </c>
      <c r="C2222" s="27" t="s">
        <v>10</v>
      </c>
      <c r="D2222" s="27" t="s">
        <v>21</v>
      </c>
      <c r="E2222" s="28">
        <v>131535</v>
      </c>
      <c r="F2222" s="28">
        <v>18357</v>
      </c>
      <c r="G2222" s="27" t="s">
        <v>17</v>
      </c>
      <c r="H2222" s="27" t="s">
        <v>631</v>
      </c>
      <c r="I2222" s="27" t="s">
        <v>13</v>
      </c>
    </row>
    <row r="2223" spans="1:9" x14ac:dyDescent="0.3">
      <c r="A2223" s="26">
        <v>45047</v>
      </c>
      <c r="B2223" s="27" t="s">
        <v>119</v>
      </c>
      <c r="C2223" s="27" t="s">
        <v>18</v>
      </c>
      <c r="D2223" s="27" t="s">
        <v>16</v>
      </c>
      <c r="E2223" s="28">
        <v>45523</v>
      </c>
      <c r="F2223" s="28">
        <v>83793</v>
      </c>
      <c r="G2223" s="27" t="s">
        <v>22</v>
      </c>
      <c r="H2223" s="27" t="s">
        <v>1133</v>
      </c>
      <c r="I2223" s="27" t="s">
        <v>13</v>
      </c>
    </row>
    <row r="2224" spans="1:9" x14ac:dyDescent="0.3">
      <c r="A2224" s="26">
        <v>45047</v>
      </c>
      <c r="B2224" s="27" t="s">
        <v>119</v>
      </c>
      <c r="C2224" s="27" t="s">
        <v>18</v>
      </c>
      <c r="D2224" s="27" t="s">
        <v>16</v>
      </c>
      <c r="E2224" s="28">
        <v>115991</v>
      </c>
      <c r="F2224" s="28">
        <v>120440</v>
      </c>
      <c r="G2224" s="27" t="s">
        <v>17</v>
      </c>
      <c r="H2224" s="27" t="s">
        <v>3153</v>
      </c>
      <c r="I2224" s="27" t="s">
        <v>13</v>
      </c>
    </row>
    <row r="2225" spans="1:9" x14ac:dyDescent="0.3">
      <c r="A2225" s="26">
        <v>45047</v>
      </c>
      <c r="B2225" s="27" t="s">
        <v>119</v>
      </c>
      <c r="C2225" s="27" t="s">
        <v>32</v>
      </c>
      <c r="D2225" s="27" t="s">
        <v>16</v>
      </c>
      <c r="E2225" s="28">
        <v>23739</v>
      </c>
      <c r="F2225" s="28">
        <v>121248</v>
      </c>
      <c r="G2225" s="27" t="s">
        <v>11</v>
      </c>
      <c r="H2225" s="27" t="s">
        <v>3200</v>
      </c>
      <c r="I2225" s="27" t="s">
        <v>13</v>
      </c>
    </row>
    <row r="2226" spans="1:9" x14ac:dyDescent="0.3">
      <c r="A2226" s="26">
        <v>45047</v>
      </c>
      <c r="B2226" s="27" t="s">
        <v>119</v>
      </c>
      <c r="C2226" s="27" t="s">
        <v>20</v>
      </c>
      <c r="D2226" s="27" t="s">
        <v>19</v>
      </c>
      <c r="E2226" s="28">
        <v>145533</v>
      </c>
      <c r="F2226" s="28">
        <v>26780</v>
      </c>
      <c r="G2226" s="27" t="s">
        <v>17</v>
      </c>
      <c r="H2226" s="27" t="s">
        <v>3371</v>
      </c>
      <c r="I2226" s="27" t="s">
        <v>13</v>
      </c>
    </row>
    <row r="2227" spans="1:9" x14ac:dyDescent="0.3">
      <c r="A2227" s="26">
        <v>45047</v>
      </c>
      <c r="B2227" s="27" t="s">
        <v>119</v>
      </c>
      <c r="C2227" s="27" t="s">
        <v>93</v>
      </c>
      <c r="D2227" s="27" t="s">
        <v>16</v>
      </c>
      <c r="E2227" s="28">
        <v>112700</v>
      </c>
      <c r="F2227" s="28">
        <v>135300</v>
      </c>
      <c r="G2227" s="27" t="s">
        <v>22</v>
      </c>
      <c r="H2227" s="27" t="s">
        <v>3598</v>
      </c>
      <c r="I2227" s="27" t="s">
        <v>9</v>
      </c>
    </row>
    <row r="2228" spans="1:9" x14ac:dyDescent="0.3">
      <c r="A2228" s="26">
        <v>45047</v>
      </c>
      <c r="B2228" s="27" t="s">
        <v>119</v>
      </c>
      <c r="C2228" s="27" t="s">
        <v>6</v>
      </c>
      <c r="D2228" s="27" t="s">
        <v>16</v>
      </c>
      <c r="E2228" s="28">
        <v>98300</v>
      </c>
      <c r="F2228" s="28">
        <v>118200</v>
      </c>
      <c r="G2228" s="27" t="s">
        <v>22</v>
      </c>
      <c r="H2228" s="27" t="s">
        <v>3722</v>
      </c>
      <c r="I2228" s="27" t="s">
        <v>9</v>
      </c>
    </row>
    <row r="2229" spans="1:9" x14ac:dyDescent="0.3">
      <c r="A2229" s="26">
        <v>45047</v>
      </c>
      <c r="B2229" s="27" t="s">
        <v>119</v>
      </c>
      <c r="C2229" s="27" t="s">
        <v>93</v>
      </c>
      <c r="D2229" s="27" t="s">
        <v>21</v>
      </c>
      <c r="E2229" s="28">
        <v>132500</v>
      </c>
      <c r="F2229" s="28">
        <v>151400</v>
      </c>
      <c r="G2229" s="27" t="s">
        <v>11</v>
      </c>
      <c r="H2229" s="27" t="s">
        <v>4012</v>
      </c>
      <c r="I2229" s="27" t="s">
        <v>9</v>
      </c>
    </row>
    <row r="2230" spans="1:9" x14ac:dyDescent="0.3">
      <c r="A2230" s="26">
        <v>45047</v>
      </c>
      <c r="B2230" s="27" t="s">
        <v>119</v>
      </c>
      <c r="C2230" s="27" t="s">
        <v>6</v>
      </c>
      <c r="D2230" s="27" t="s">
        <v>16</v>
      </c>
      <c r="E2230" s="28">
        <v>60800</v>
      </c>
      <c r="F2230" s="28">
        <v>77900</v>
      </c>
      <c r="G2230" s="27" t="s">
        <v>11</v>
      </c>
      <c r="H2230" s="27" t="s">
        <v>4516</v>
      </c>
      <c r="I2230" s="27" t="s">
        <v>9</v>
      </c>
    </row>
    <row r="2231" spans="1:9" x14ac:dyDescent="0.3">
      <c r="A2231" s="26">
        <v>45047</v>
      </c>
      <c r="B2231" s="27" t="s">
        <v>119</v>
      </c>
      <c r="C2231" s="27" t="s">
        <v>6</v>
      </c>
      <c r="D2231" s="27" t="s">
        <v>16</v>
      </c>
      <c r="E2231" s="28">
        <v>105400</v>
      </c>
      <c r="F2231" s="28">
        <v>118200</v>
      </c>
      <c r="G2231" s="27" t="s">
        <v>22</v>
      </c>
      <c r="H2231" s="27" t="s">
        <v>6538</v>
      </c>
      <c r="I2231" s="27" t="s">
        <v>9</v>
      </c>
    </row>
    <row r="2232" spans="1:9" x14ac:dyDescent="0.3">
      <c r="A2232" s="26">
        <v>45047</v>
      </c>
      <c r="B2232" s="27" t="s">
        <v>119</v>
      </c>
      <c r="C2232" s="27" t="s">
        <v>93</v>
      </c>
      <c r="D2232" s="27" t="s">
        <v>16</v>
      </c>
      <c r="E2232" s="28">
        <v>68600</v>
      </c>
      <c r="F2232" s="28">
        <v>78800</v>
      </c>
      <c r="G2232" s="27" t="s">
        <v>22</v>
      </c>
      <c r="H2232" s="27" t="s">
        <v>6585</v>
      </c>
      <c r="I2232" s="27" t="s">
        <v>9</v>
      </c>
    </row>
    <row r="2233" spans="1:9" x14ac:dyDescent="0.3">
      <c r="A2233" s="26">
        <v>45047</v>
      </c>
      <c r="B2233" s="27" t="s">
        <v>119</v>
      </c>
      <c r="C2233" s="27" t="s">
        <v>6</v>
      </c>
      <c r="D2233" s="27" t="s">
        <v>19</v>
      </c>
      <c r="E2233" s="28">
        <v>158100</v>
      </c>
      <c r="F2233" s="28">
        <v>161700</v>
      </c>
      <c r="G2233" s="27" t="s">
        <v>11</v>
      </c>
      <c r="H2233" s="27" t="s">
        <v>6756</v>
      </c>
      <c r="I2233" s="27" t="s">
        <v>9</v>
      </c>
    </row>
    <row r="2234" spans="1:9" x14ac:dyDescent="0.3">
      <c r="A2234" s="26">
        <v>45048</v>
      </c>
      <c r="B2234" s="27" t="s">
        <v>119</v>
      </c>
      <c r="C2234" s="27" t="s">
        <v>32</v>
      </c>
      <c r="D2234" s="27" t="s">
        <v>16</v>
      </c>
      <c r="E2234" s="28">
        <v>87049</v>
      </c>
      <c r="F2234" s="28">
        <v>136272</v>
      </c>
      <c r="G2234" s="27" t="s">
        <v>8</v>
      </c>
      <c r="H2234" s="27" t="s">
        <v>198</v>
      </c>
      <c r="I2234" s="27" t="s">
        <v>13</v>
      </c>
    </row>
    <row r="2235" spans="1:9" x14ac:dyDescent="0.3">
      <c r="A2235" s="26">
        <v>45048</v>
      </c>
      <c r="B2235" s="27" t="s">
        <v>119</v>
      </c>
      <c r="C2235" s="27" t="s">
        <v>14</v>
      </c>
      <c r="D2235" s="27" t="s">
        <v>21</v>
      </c>
      <c r="E2235" s="28">
        <v>107193</v>
      </c>
      <c r="F2235" s="28">
        <v>155445</v>
      </c>
      <c r="G2235" s="27" t="s">
        <v>17</v>
      </c>
      <c r="H2235" s="27" t="s">
        <v>1428</v>
      </c>
      <c r="I2235" s="27" t="s">
        <v>13</v>
      </c>
    </row>
    <row r="2236" spans="1:9" x14ac:dyDescent="0.3">
      <c r="A2236" s="26">
        <v>45048</v>
      </c>
      <c r="B2236" s="27" t="s">
        <v>119</v>
      </c>
      <c r="C2236" s="27" t="s">
        <v>20</v>
      </c>
      <c r="D2236" s="27" t="s">
        <v>7</v>
      </c>
      <c r="E2236" s="28">
        <v>116234</v>
      </c>
      <c r="F2236" s="28">
        <v>52330</v>
      </c>
      <c r="G2236" s="27" t="s">
        <v>11</v>
      </c>
      <c r="H2236" s="27" t="s">
        <v>1430</v>
      </c>
      <c r="I2236" s="27" t="s">
        <v>13</v>
      </c>
    </row>
    <row r="2237" spans="1:9" x14ac:dyDescent="0.3">
      <c r="A2237" s="26">
        <v>45048</v>
      </c>
      <c r="B2237" s="27" t="s">
        <v>119</v>
      </c>
      <c r="C2237" s="27" t="s">
        <v>15</v>
      </c>
      <c r="D2237" s="27" t="s">
        <v>7</v>
      </c>
      <c r="E2237" s="28">
        <v>140323</v>
      </c>
      <c r="F2237" s="28">
        <v>52976</v>
      </c>
      <c r="G2237" s="27" t="s">
        <v>11</v>
      </c>
      <c r="H2237" s="27" t="s">
        <v>1582</v>
      </c>
      <c r="I2237" s="27" t="s">
        <v>13</v>
      </c>
    </row>
    <row r="2238" spans="1:9" x14ac:dyDescent="0.3">
      <c r="A2238" s="26">
        <v>45048</v>
      </c>
      <c r="B2238" s="27" t="s">
        <v>119</v>
      </c>
      <c r="C2238" s="27" t="s">
        <v>20</v>
      </c>
      <c r="D2238" s="27" t="s">
        <v>7</v>
      </c>
      <c r="E2238" s="28">
        <v>84323</v>
      </c>
      <c r="F2238" s="28">
        <v>93854</v>
      </c>
      <c r="G2238" s="27" t="s">
        <v>22</v>
      </c>
      <c r="H2238" s="27" t="s">
        <v>1708</v>
      </c>
      <c r="I2238" s="27" t="s">
        <v>13</v>
      </c>
    </row>
    <row r="2239" spans="1:9" x14ac:dyDescent="0.3">
      <c r="A2239" s="26">
        <v>45048</v>
      </c>
      <c r="B2239" s="27" t="s">
        <v>119</v>
      </c>
      <c r="C2239" s="27" t="s">
        <v>32</v>
      </c>
      <c r="D2239" s="27" t="s">
        <v>16</v>
      </c>
      <c r="E2239" s="28">
        <v>120976</v>
      </c>
      <c r="F2239" s="28">
        <v>96205</v>
      </c>
      <c r="G2239" s="27" t="s">
        <v>11</v>
      </c>
      <c r="H2239" s="27" t="s">
        <v>2388</v>
      </c>
      <c r="I2239" s="27" t="s">
        <v>13</v>
      </c>
    </row>
    <row r="2240" spans="1:9" x14ac:dyDescent="0.3">
      <c r="A2240" s="26">
        <v>45048</v>
      </c>
      <c r="B2240" s="27" t="s">
        <v>119</v>
      </c>
      <c r="C2240" s="27" t="s">
        <v>20</v>
      </c>
      <c r="D2240" s="27" t="s">
        <v>21</v>
      </c>
      <c r="E2240" s="28">
        <v>35209</v>
      </c>
      <c r="F2240" s="28">
        <v>155345</v>
      </c>
      <c r="G2240" s="27" t="s">
        <v>22</v>
      </c>
      <c r="H2240" s="27" t="s">
        <v>2542</v>
      </c>
      <c r="I2240" s="27" t="s">
        <v>13</v>
      </c>
    </row>
    <row r="2241" spans="1:9" x14ac:dyDescent="0.3">
      <c r="A2241" s="26">
        <v>45048</v>
      </c>
      <c r="B2241" s="27" t="s">
        <v>119</v>
      </c>
      <c r="C2241" s="27" t="s">
        <v>18</v>
      </c>
      <c r="D2241" s="27" t="s">
        <v>21</v>
      </c>
      <c r="E2241" s="28">
        <v>128297</v>
      </c>
      <c r="F2241" s="28">
        <v>119679</v>
      </c>
      <c r="G2241" s="27" t="s">
        <v>11</v>
      </c>
      <c r="H2241" s="27" t="s">
        <v>2936</v>
      </c>
      <c r="I2241" s="27" t="s">
        <v>13</v>
      </c>
    </row>
    <row r="2242" spans="1:9" x14ac:dyDescent="0.3">
      <c r="A2242" s="26">
        <v>45048</v>
      </c>
      <c r="B2242" s="27" t="s">
        <v>119</v>
      </c>
      <c r="C2242" s="27" t="s">
        <v>6</v>
      </c>
      <c r="D2242" s="27" t="s">
        <v>16</v>
      </c>
      <c r="E2242" s="28">
        <v>114300</v>
      </c>
      <c r="F2242" s="28">
        <v>99900</v>
      </c>
      <c r="G2242" s="27" t="s">
        <v>11</v>
      </c>
      <c r="H2242" s="27" t="s">
        <v>3579</v>
      </c>
      <c r="I2242" s="27" t="s">
        <v>9</v>
      </c>
    </row>
    <row r="2243" spans="1:9" x14ac:dyDescent="0.3">
      <c r="A2243" s="26">
        <v>45048</v>
      </c>
      <c r="B2243" s="27" t="s">
        <v>119</v>
      </c>
      <c r="C2243" s="27" t="s">
        <v>6</v>
      </c>
      <c r="D2243" s="27" t="s">
        <v>21</v>
      </c>
      <c r="E2243" s="28">
        <v>73400</v>
      </c>
      <c r="F2243" s="28">
        <v>70100</v>
      </c>
      <c r="G2243" s="27" t="s">
        <v>11</v>
      </c>
      <c r="H2243" s="27" t="s">
        <v>4811</v>
      </c>
      <c r="I2243" s="27" t="s">
        <v>9</v>
      </c>
    </row>
    <row r="2244" spans="1:9" x14ac:dyDescent="0.3">
      <c r="A2244" s="26">
        <v>45048</v>
      </c>
      <c r="B2244" s="27" t="s">
        <v>119</v>
      </c>
      <c r="C2244" s="27" t="s">
        <v>93</v>
      </c>
      <c r="D2244" s="27" t="s">
        <v>7</v>
      </c>
      <c r="E2244" s="28">
        <v>115400</v>
      </c>
      <c r="F2244" s="28">
        <v>107300</v>
      </c>
      <c r="G2244" s="27" t="s">
        <v>11</v>
      </c>
      <c r="H2244" s="27" t="s">
        <v>4813</v>
      </c>
      <c r="I2244" s="27" t="s">
        <v>9</v>
      </c>
    </row>
    <row r="2245" spans="1:9" x14ac:dyDescent="0.3">
      <c r="A2245" s="26">
        <v>45048</v>
      </c>
      <c r="B2245" s="27" t="s">
        <v>119</v>
      </c>
      <c r="C2245" s="27" t="s">
        <v>6</v>
      </c>
      <c r="D2245" s="27" t="s">
        <v>7</v>
      </c>
      <c r="E2245" s="28">
        <v>150800</v>
      </c>
      <c r="F2245" s="28">
        <v>175100</v>
      </c>
      <c r="G2245" s="27" t="s">
        <v>11</v>
      </c>
      <c r="H2245" s="27" t="s">
        <v>4965</v>
      </c>
      <c r="I2245" s="27" t="s">
        <v>9</v>
      </c>
    </row>
    <row r="2246" spans="1:9" x14ac:dyDescent="0.3">
      <c r="A2246" s="26">
        <v>45048</v>
      </c>
      <c r="B2246" s="27" t="s">
        <v>119</v>
      </c>
      <c r="C2246" s="27" t="s">
        <v>6</v>
      </c>
      <c r="D2246" s="27" t="s">
        <v>7</v>
      </c>
      <c r="E2246" s="28">
        <v>59900</v>
      </c>
      <c r="F2246" s="28">
        <v>48400</v>
      </c>
      <c r="G2246" s="27" t="s">
        <v>11</v>
      </c>
      <c r="H2246" s="27" t="s">
        <v>5091</v>
      </c>
      <c r="I2246" s="27" t="s">
        <v>9</v>
      </c>
    </row>
    <row r="2247" spans="1:9" x14ac:dyDescent="0.3">
      <c r="A2247" s="26">
        <v>45048</v>
      </c>
      <c r="B2247" s="27" t="s">
        <v>119</v>
      </c>
      <c r="C2247" s="27" t="s">
        <v>6</v>
      </c>
      <c r="D2247" s="27" t="s">
        <v>16</v>
      </c>
      <c r="E2247" s="28">
        <v>184300</v>
      </c>
      <c r="F2247" s="28">
        <v>211200</v>
      </c>
      <c r="G2247" s="27" t="s">
        <v>11</v>
      </c>
      <c r="H2247" s="27" t="s">
        <v>5773</v>
      </c>
      <c r="I2247" s="27" t="s">
        <v>9</v>
      </c>
    </row>
    <row r="2248" spans="1:9" x14ac:dyDescent="0.3">
      <c r="A2248" s="26">
        <v>45048</v>
      </c>
      <c r="B2248" s="27" t="s">
        <v>119</v>
      </c>
      <c r="C2248" s="27" t="s">
        <v>6</v>
      </c>
      <c r="D2248" s="27" t="s">
        <v>21</v>
      </c>
      <c r="E2248" s="28">
        <v>102900</v>
      </c>
      <c r="F2248" s="28">
        <v>86700</v>
      </c>
      <c r="G2248" s="27" t="s">
        <v>22</v>
      </c>
      <c r="H2248" s="27" t="s">
        <v>5927</v>
      </c>
      <c r="I2248" s="27" t="s">
        <v>9</v>
      </c>
    </row>
    <row r="2249" spans="1:9" x14ac:dyDescent="0.3">
      <c r="A2249" s="26">
        <v>45048</v>
      </c>
      <c r="B2249" s="27" t="s">
        <v>119</v>
      </c>
      <c r="C2249" s="27" t="s">
        <v>6</v>
      </c>
      <c r="D2249" s="27" t="s">
        <v>21</v>
      </c>
      <c r="E2249" s="28">
        <v>156200</v>
      </c>
      <c r="F2249" s="28">
        <v>202400</v>
      </c>
      <c r="G2249" s="27" t="s">
        <v>11</v>
      </c>
      <c r="H2249" s="27" t="s">
        <v>6321</v>
      </c>
      <c r="I2249" s="27" t="s">
        <v>9</v>
      </c>
    </row>
    <row r="2250" spans="1:9" x14ac:dyDescent="0.3">
      <c r="A2250" s="26">
        <v>45049</v>
      </c>
      <c r="B2250" s="27" t="s">
        <v>119</v>
      </c>
      <c r="C2250" s="27" t="s">
        <v>15</v>
      </c>
      <c r="D2250" s="27" t="s">
        <v>16</v>
      </c>
      <c r="E2250" s="28">
        <v>128560</v>
      </c>
      <c r="F2250" s="28">
        <v>110305</v>
      </c>
      <c r="G2250" s="27" t="s">
        <v>11</v>
      </c>
      <c r="H2250" s="27" t="s">
        <v>269</v>
      </c>
      <c r="I2250" s="27" t="s">
        <v>13</v>
      </c>
    </row>
    <row r="2251" spans="1:9" x14ac:dyDescent="0.3">
      <c r="A2251" s="26">
        <v>45049</v>
      </c>
      <c r="B2251" s="27" t="s">
        <v>119</v>
      </c>
      <c r="C2251" s="27" t="s">
        <v>20</v>
      </c>
      <c r="D2251" s="27" t="s">
        <v>21</v>
      </c>
      <c r="E2251" s="28">
        <v>94650</v>
      </c>
      <c r="F2251" s="28">
        <v>90994</v>
      </c>
      <c r="G2251" s="27" t="s">
        <v>11</v>
      </c>
      <c r="H2251" s="27" t="s">
        <v>283</v>
      </c>
      <c r="I2251" s="27" t="s">
        <v>13</v>
      </c>
    </row>
    <row r="2252" spans="1:9" x14ac:dyDescent="0.3">
      <c r="A2252" s="26">
        <v>45049</v>
      </c>
      <c r="B2252" s="27" t="s">
        <v>119</v>
      </c>
      <c r="C2252" s="27" t="s">
        <v>18</v>
      </c>
      <c r="D2252" s="27" t="s">
        <v>21</v>
      </c>
      <c r="E2252" s="28">
        <v>51452</v>
      </c>
      <c r="F2252" s="28">
        <v>156217</v>
      </c>
      <c r="G2252" s="27" t="s">
        <v>17</v>
      </c>
      <c r="H2252" s="27" t="s">
        <v>827</v>
      </c>
      <c r="I2252" s="27" t="s">
        <v>13</v>
      </c>
    </row>
    <row r="2253" spans="1:9" x14ac:dyDescent="0.3">
      <c r="A2253" s="26">
        <v>45049</v>
      </c>
      <c r="B2253" s="27" t="s">
        <v>119</v>
      </c>
      <c r="C2253" s="27" t="s">
        <v>32</v>
      </c>
      <c r="D2253" s="27" t="s">
        <v>19</v>
      </c>
      <c r="E2253" s="28">
        <v>60570</v>
      </c>
      <c r="F2253" s="28">
        <v>58450</v>
      </c>
      <c r="G2253" s="27" t="s">
        <v>22</v>
      </c>
      <c r="H2253" s="27" t="s">
        <v>834</v>
      </c>
      <c r="I2253" s="27" t="s">
        <v>13</v>
      </c>
    </row>
    <row r="2254" spans="1:9" x14ac:dyDescent="0.3">
      <c r="A2254" s="26">
        <v>45049</v>
      </c>
      <c r="B2254" s="27" t="s">
        <v>119</v>
      </c>
      <c r="C2254" s="27" t="s">
        <v>32</v>
      </c>
      <c r="D2254" s="27" t="s">
        <v>7</v>
      </c>
      <c r="E2254" s="28">
        <v>16202</v>
      </c>
      <c r="F2254" s="28">
        <v>116485</v>
      </c>
      <c r="G2254" s="27" t="s">
        <v>8</v>
      </c>
      <c r="H2254" s="27" t="s">
        <v>1191</v>
      </c>
      <c r="I2254" s="27" t="s">
        <v>13</v>
      </c>
    </row>
    <row r="2255" spans="1:9" x14ac:dyDescent="0.3">
      <c r="A2255" s="26">
        <v>45049</v>
      </c>
      <c r="B2255" s="27" t="s">
        <v>119</v>
      </c>
      <c r="C2255" s="27" t="s">
        <v>10</v>
      </c>
      <c r="D2255" s="27" t="s">
        <v>7</v>
      </c>
      <c r="E2255" s="28">
        <v>69672</v>
      </c>
      <c r="F2255" s="28">
        <v>44317</v>
      </c>
      <c r="G2255" s="27" t="s">
        <v>22</v>
      </c>
      <c r="H2255" s="27" t="s">
        <v>1776</v>
      </c>
      <c r="I2255" s="27" t="s">
        <v>13</v>
      </c>
    </row>
    <row r="2256" spans="1:9" x14ac:dyDescent="0.3">
      <c r="A2256" s="26">
        <v>45049</v>
      </c>
      <c r="B2256" s="27" t="s">
        <v>119</v>
      </c>
      <c r="C2256" s="27" t="s">
        <v>18</v>
      </c>
      <c r="D2256" s="27" t="s">
        <v>7</v>
      </c>
      <c r="E2256" s="28">
        <v>79467</v>
      </c>
      <c r="F2256" s="28">
        <v>37107</v>
      </c>
      <c r="G2256" s="27" t="s">
        <v>17</v>
      </c>
      <c r="H2256" s="27" t="s">
        <v>2069</v>
      </c>
      <c r="I2256" s="27" t="s">
        <v>13</v>
      </c>
    </row>
    <row r="2257" spans="1:9" x14ac:dyDescent="0.3">
      <c r="A2257" s="26">
        <v>45049</v>
      </c>
      <c r="B2257" s="27" t="s">
        <v>119</v>
      </c>
      <c r="C2257" s="27" t="s">
        <v>32</v>
      </c>
      <c r="D2257" s="27" t="s">
        <v>24</v>
      </c>
      <c r="E2257" s="28">
        <v>57388</v>
      </c>
      <c r="F2257" s="28">
        <v>156158</v>
      </c>
      <c r="G2257" s="27" t="s">
        <v>17</v>
      </c>
      <c r="H2257" s="27" t="s">
        <v>2332</v>
      </c>
      <c r="I2257" s="27" t="s">
        <v>13</v>
      </c>
    </row>
    <row r="2258" spans="1:9" x14ac:dyDescent="0.3">
      <c r="A2258" s="26">
        <v>45049</v>
      </c>
      <c r="B2258" s="27" t="s">
        <v>119</v>
      </c>
      <c r="C2258" s="27" t="s">
        <v>10</v>
      </c>
      <c r="D2258" s="27" t="s">
        <v>24</v>
      </c>
      <c r="E2258" s="28">
        <v>59283</v>
      </c>
      <c r="F2258" s="28">
        <v>16949</v>
      </c>
      <c r="G2258" s="27" t="s">
        <v>22</v>
      </c>
      <c r="H2258" s="27" t="s">
        <v>2734</v>
      </c>
      <c r="I2258" s="27" t="s">
        <v>13</v>
      </c>
    </row>
    <row r="2259" spans="1:9" x14ac:dyDescent="0.3">
      <c r="A2259" s="26">
        <v>45049</v>
      </c>
      <c r="B2259" s="27" t="s">
        <v>119</v>
      </c>
      <c r="C2259" s="27" t="s">
        <v>6</v>
      </c>
      <c r="D2259" s="27" t="s">
        <v>16</v>
      </c>
      <c r="E2259" s="28">
        <v>88800</v>
      </c>
      <c r="F2259" s="28">
        <v>115200</v>
      </c>
      <c r="G2259" s="27" t="s">
        <v>11</v>
      </c>
      <c r="H2259" s="27" t="s">
        <v>3650</v>
      </c>
      <c r="I2259" s="27" t="s">
        <v>9</v>
      </c>
    </row>
    <row r="2260" spans="1:9" x14ac:dyDescent="0.3">
      <c r="A2260" s="26">
        <v>45049</v>
      </c>
      <c r="B2260" s="27" t="s">
        <v>119</v>
      </c>
      <c r="C2260" s="27" t="s">
        <v>93</v>
      </c>
      <c r="D2260" s="27" t="s">
        <v>21</v>
      </c>
      <c r="E2260" s="28">
        <v>71300</v>
      </c>
      <c r="F2260" s="28">
        <v>73900</v>
      </c>
      <c r="G2260" s="27" t="s">
        <v>22</v>
      </c>
      <c r="H2260" s="27" t="s">
        <v>3664</v>
      </c>
      <c r="I2260" s="27" t="s">
        <v>9</v>
      </c>
    </row>
    <row r="2261" spans="1:9" x14ac:dyDescent="0.3">
      <c r="A2261" s="26">
        <v>45049</v>
      </c>
      <c r="B2261" s="27" t="s">
        <v>119</v>
      </c>
      <c r="C2261" s="27" t="s">
        <v>93</v>
      </c>
      <c r="D2261" s="27" t="s">
        <v>21</v>
      </c>
      <c r="E2261" s="28">
        <v>52400</v>
      </c>
      <c r="F2261" s="28">
        <v>50200</v>
      </c>
      <c r="G2261" s="27" t="s">
        <v>11</v>
      </c>
      <c r="H2261" s="27" t="s">
        <v>4208</v>
      </c>
      <c r="I2261" s="27" t="s">
        <v>9</v>
      </c>
    </row>
    <row r="2262" spans="1:9" x14ac:dyDescent="0.3">
      <c r="A2262" s="26">
        <v>45049</v>
      </c>
      <c r="B2262" s="27" t="s">
        <v>119</v>
      </c>
      <c r="C2262" s="27" t="s">
        <v>93</v>
      </c>
      <c r="D2262" s="27" t="s">
        <v>19</v>
      </c>
      <c r="E2262" s="28">
        <v>181800</v>
      </c>
      <c r="F2262" s="28">
        <v>231700</v>
      </c>
      <c r="G2262" s="27" t="s">
        <v>11</v>
      </c>
      <c r="H2262" s="27" t="s">
        <v>4215</v>
      </c>
      <c r="I2262" s="27" t="s">
        <v>9</v>
      </c>
    </row>
    <row r="2263" spans="1:9" x14ac:dyDescent="0.3">
      <c r="A2263" s="26">
        <v>45049</v>
      </c>
      <c r="B2263" s="27" t="s">
        <v>119</v>
      </c>
      <c r="C2263" s="27" t="s">
        <v>6</v>
      </c>
      <c r="D2263" s="27" t="s">
        <v>7</v>
      </c>
      <c r="E2263" s="28">
        <v>138300</v>
      </c>
      <c r="F2263" s="28">
        <v>109100</v>
      </c>
      <c r="G2263" s="27" t="s">
        <v>11</v>
      </c>
      <c r="H2263" s="27" t="s">
        <v>4574</v>
      </c>
      <c r="I2263" s="27" t="s">
        <v>9</v>
      </c>
    </row>
    <row r="2264" spans="1:9" x14ac:dyDescent="0.3">
      <c r="A2264" s="26">
        <v>45049</v>
      </c>
      <c r="B2264" s="27" t="s">
        <v>119</v>
      </c>
      <c r="C2264" s="27" t="s">
        <v>6</v>
      </c>
      <c r="D2264" s="27" t="s">
        <v>7</v>
      </c>
      <c r="E2264" s="28">
        <v>83000</v>
      </c>
      <c r="F2264" s="28">
        <v>77200</v>
      </c>
      <c r="G2264" s="27" t="s">
        <v>22</v>
      </c>
      <c r="H2264" s="27" t="s">
        <v>5159</v>
      </c>
      <c r="I2264" s="27" t="s">
        <v>9</v>
      </c>
    </row>
    <row r="2265" spans="1:9" x14ac:dyDescent="0.3">
      <c r="A2265" s="26">
        <v>45049</v>
      </c>
      <c r="B2265" s="27" t="s">
        <v>119</v>
      </c>
      <c r="C2265" s="27" t="s">
        <v>6</v>
      </c>
      <c r="D2265" s="27" t="s">
        <v>7</v>
      </c>
      <c r="E2265" s="28">
        <v>106300</v>
      </c>
      <c r="F2265" s="28">
        <v>110500</v>
      </c>
      <c r="G2265" s="27" t="s">
        <v>11</v>
      </c>
      <c r="H2265" s="27" t="s">
        <v>5453</v>
      </c>
      <c r="I2265" s="27" t="s">
        <v>9</v>
      </c>
    </row>
    <row r="2266" spans="1:9" x14ac:dyDescent="0.3">
      <c r="A2266" s="26">
        <v>45049</v>
      </c>
      <c r="B2266" s="27" t="s">
        <v>119</v>
      </c>
      <c r="C2266" s="27" t="s">
        <v>93</v>
      </c>
      <c r="D2266" s="27" t="s">
        <v>24</v>
      </c>
      <c r="E2266" s="28">
        <v>107500</v>
      </c>
      <c r="F2266" s="28">
        <v>96100</v>
      </c>
      <c r="G2266" s="27" t="s">
        <v>11</v>
      </c>
      <c r="H2266" s="27" t="s">
        <v>5717</v>
      </c>
      <c r="I2266" s="27" t="s">
        <v>9</v>
      </c>
    </row>
    <row r="2267" spans="1:9" x14ac:dyDescent="0.3">
      <c r="A2267" s="26">
        <v>45049</v>
      </c>
      <c r="B2267" s="27" t="s">
        <v>119</v>
      </c>
      <c r="C2267" s="27" t="s">
        <v>93</v>
      </c>
      <c r="D2267" s="27" t="s">
        <v>24</v>
      </c>
      <c r="E2267" s="28">
        <v>158500</v>
      </c>
      <c r="F2267" s="28">
        <v>190100</v>
      </c>
      <c r="G2267" s="27" t="s">
        <v>11</v>
      </c>
      <c r="H2267" s="27" t="s">
        <v>6119</v>
      </c>
      <c r="I2267" s="27" t="s">
        <v>9</v>
      </c>
    </row>
    <row r="2268" spans="1:9" x14ac:dyDescent="0.3">
      <c r="A2268" s="26">
        <v>45050</v>
      </c>
      <c r="B2268" s="27" t="s">
        <v>119</v>
      </c>
      <c r="C2268" s="27" t="s">
        <v>14</v>
      </c>
      <c r="D2268" s="27" t="s">
        <v>24</v>
      </c>
      <c r="E2268" s="28">
        <v>96023</v>
      </c>
      <c r="F2268" s="28">
        <v>126901</v>
      </c>
      <c r="G2268" s="27" t="s">
        <v>22</v>
      </c>
      <c r="H2268" s="27" t="s">
        <v>150</v>
      </c>
      <c r="I2268" s="27" t="s">
        <v>13</v>
      </c>
    </row>
    <row r="2269" spans="1:9" x14ac:dyDescent="0.3">
      <c r="A2269" s="26">
        <v>45050</v>
      </c>
      <c r="B2269" s="27" t="s">
        <v>119</v>
      </c>
      <c r="C2269" s="27" t="s">
        <v>32</v>
      </c>
      <c r="D2269" s="27" t="s">
        <v>21</v>
      </c>
      <c r="E2269" s="28">
        <v>75236</v>
      </c>
      <c r="F2269" s="28">
        <v>17811</v>
      </c>
      <c r="G2269" s="27" t="s">
        <v>22</v>
      </c>
      <c r="H2269" s="27" t="s">
        <v>160</v>
      </c>
      <c r="I2269" s="27" t="s">
        <v>13</v>
      </c>
    </row>
    <row r="2270" spans="1:9" x14ac:dyDescent="0.3">
      <c r="A2270" s="26">
        <v>45050</v>
      </c>
      <c r="B2270" s="27" t="s">
        <v>119</v>
      </c>
      <c r="C2270" s="27" t="s">
        <v>14</v>
      </c>
      <c r="D2270" s="27" t="s">
        <v>24</v>
      </c>
      <c r="E2270" s="28">
        <v>138877</v>
      </c>
      <c r="F2270" s="28">
        <v>27235</v>
      </c>
      <c r="G2270" s="27" t="s">
        <v>17</v>
      </c>
      <c r="H2270" s="27" t="s">
        <v>423</v>
      </c>
      <c r="I2270" s="27" t="s">
        <v>13</v>
      </c>
    </row>
    <row r="2271" spans="1:9" x14ac:dyDescent="0.3">
      <c r="A2271" s="26">
        <v>45050</v>
      </c>
      <c r="B2271" s="27" t="s">
        <v>119</v>
      </c>
      <c r="C2271" s="27" t="s">
        <v>32</v>
      </c>
      <c r="D2271" s="27" t="s">
        <v>16</v>
      </c>
      <c r="E2271" s="28">
        <v>51113</v>
      </c>
      <c r="F2271" s="28">
        <v>85528</v>
      </c>
      <c r="G2271" s="27" t="s">
        <v>22</v>
      </c>
      <c r="H2271" s="27" t="s">
        <v>914</v>
      </c>
      <c r="I2271" s="27" t="s">
        <v>13</v>
      </c>
    </row>
    <row r="2272" spans="1:9" x14ac:dyDescent="0.3">
      <c r="A2272" s="26">
        <v>45050</v>
      </c>
      <c r="B2272" s="27" t="s">
        <v>119</v>
      </c>
      <c r="C2272" s="27" t="s">
        <v>15</v>
      </c>
      <c r="D2272" s="27" t="s">
        <v>21</v>
      </c>
      <c r="E2272" s="28">
        <v>97482</v>
      </c>
      <c r="F2272" s="28">
        <v>61405</v>
      </c>
      <c r="G2272" s="27" t="s">
        <v>8</v>
      </c>
      <c r="H2272" s="27" t="s">
        <v>1871</v>
      </c>
      <c r="I2272" s="27" t="s">
        <v>13</v>
      </c>
    </row>
    <row r="2273" spans="1:9" x14ac:dyDescent="0.3">
      <c r="A2273" s="26">
        <v>45050</v>
      </c>
      <c r="B2273" s="27" t="s">
        <v>119</v>
      </c>
      <c r="C2273" s="27" t="s">
        <v>15</v>
      </c>
      <c r="D2273" s="27" t="s">
        <v>16</v>
      </c>
      <c r="E2273" s="28">
        <v>49338</v>
      </c>
      <c r="F2273" s="28">
        <v>90549</v>
      </c>
      <c r="G2273" s="27" t="s">
        <v>22</v>
      </c>
      <c r="H2273" s="27" t="s">
        <v>1954</v>
      </c>
      <c r="I2273" s="27" t="s">
        <v>13</v>
      </c>
    </row>
    <row r="2274" spans="1:9" x14ac:dyDescent="0.3">
      <c r="A2274" s="26">
        <v>45050</v>
      </c>
      <c r="B2274" s="27" t="s">
        <v>119</v>
      </c>
      <c r="C2274" s="27" t="s">
        <v>14</v>
      </c>
      <c r="D2274" s="27" t="s">
        <v>21</v>
      </c>
      <c r="E2274" s="28">
        <v>68364</v>
      </c>
      <c r="F2274" s="28">
        <v>108570</v>
      </c>
      <c r="G2274" s="27" t="s">
        <v>8</v>
      </c>
      <c r="H2274" s="27" t="s">
        <v>1995</v>
      </c>
      <c r="I2274" s="27" t="s">
        <v>13</v>
      </c>
    </row>
    <row r="2275" spans="1:9" x14ac:dyDescent="0.3">
      <c r="A2275" s="26">
        <v>45050</v>
      </c>
      <c r="B2275" s="27" t="s">
        <v>119</v>
      </c>
      <c r="C2275" s="27" t="s">
        <v>15</v>
      </c>
      <c r="D2275" s="27" t="s">
        <v>16</v>
      </c>
      <c r="E2275" s="28">
        <v>16553</v>
      </c>
      <c r="F2275" s="28">
        <v>67799</v>
      </c>
      <c r="G2275" s="27" t="s">
        <v>8</v>
      </c>
      <c r="H2275" s="27" t="s">
        <v>2533</v>
      </c>
      <c r="I2275" s="27" t="s">
        <v>13</v>
      </c>
    </row>
    <row r="2276" spans="1:9" x14ac:dyDescent="0.3">
      <c r="A2276" s="26">
        <v>45050</v>
      </c>
      <c r="B2276" s="27" t="s">
        <v>119</v>
      </c>
      <c r="C2276" s="27" t="s">
        <v>20</v>
      </c>
      <c r="D2276" s="27" t="s">
        <v>7</v>
      </c>
      <c r="E2276" s="28">
        <v>135764</v>
      </c>
      <c r="F2276" s="28">
        <v>166205</v>
      </c>
      <c r="G2276" s="27" t="s">
        <v>8</v>
      </c>
      <c r="H2276" s="27" t="s">
        <v>2776</v>
      </c>
      <c r="I2276" s="27" t="s">
        <v>13</v>
      </c>
    </row>
    <row r="2277" spans="1:9" x14ac:dyDescent="0.3">
      <c r="A2277" s="26">
        <v>45050</v>
      </c>
      <c r="B2277" s="27" t="s">
        <v>119</v>
      </c>
      <c r="C2277" s="27" t="s">
        <v>6</v>
      </c>
      <c r="D2277" s="27" t="s">
        <v>24</v>
      </c>
      <c r="E2277" s="28">
        <v>82700</v>
      </c>
      <c r="F2277" s="28">
        <v>62300</v>
      </c>
      <c r="G2277" s="27" t="s">
        <v>22</v>
      </c>
      <c r="H2277" s="27" t="s">
        <v>3531</v>
      </c>
      <c r="I2277" s="27" t="s">
        <v>9</v>
      </c>
    </row>
    <row r="2278" spans="1:9" x14ac:dyDescent="0.3">
      <c r="A2278" s="26">
        <v>45050</v>
      </c>
      <c r="B2278" s="27" t="s">
        <v>119</v>
      </c>
      <c r="C2278" s="27" t="s">
        <v>6</v>
      </c>
      <c r="D2278" s="27" t="s">
        <v>21</v>
      </c>
      <c r="E2278" s="28">
        <v>189600</v>
      </c>
      <c r="F2278" s="28">
        <v>288600</v>
      </c>
      <c r="G2278" s="27" t="s">
        <v>17</v>
      </c>
      <c r="H2278" s="27" t="s">
        <v>3541</v>
      </c>
      <c r="I2278" s="27" t="s">
        <v>9</v>
      </c>
    </row>
    <row r="2279" spans="1:9" x14ac:dyDescent="0.3">
      <c r="A2279" s="26">
        <v>45050</v>
      </c>
      <c r="B2279" s="27" t="s">
        <v>119</v>
      </c>
      <c r="C2279" s="27" t="s">
        <v>6</v>
      </c>
      <c r="D2279" s="27" t="s">
        <v>24</v>
      </c>
      <c r="E2279" s="28">
        <v>101900</v>
      </c>
      <c r="F2279" s="28">
        <v>92400</v>
      </c>
      <c r="G2279" s="27" t="s">
        <v>11</v>
      </c>
      <c r="H2279" s="27" t="s">
        <v>3804</v>
      </c>
      <c r="I2279" s="27" t="s">
        <v>9</v>
      </c>
    </row>
    <row r="2280" spans="1:9" x14ac:dyDescent="0.3">
      <c r="A2280" s="26">
        <v>45050</v>
      </c>
      <c r="B2280" s="27" t="s">
        <v>119</v>
      </c>
      <c r="C2280" s="27" t="s">
        <v>93</v>
      </c>
      <c r="D2280" s="27" t="s">
        <v>16</v>
      </c>
      <c r="E2280" s="28">
        <v>121000</v>
      </c>
      <c r="F2280" s="28">
        <v>123800</v>
      </c>
      <c r="G2280" s="27" t="s">
        <v>22</v>
      </c>
      <c r="H2280" s="27" t="s">
        <v>4295</v>
      </c>
      <c r="I2280" s="27" t="s">
        <v>9</v>
      </c>
    </row>
    <row r="2281" spans="1:9" x14ac:dyDescent="0.3">
      <c r="A2281" s="26">
        <v>45050</v>
      </c>
      <c r="B2281" s="27" t="s">
        <v>119</v>
      </c>
      <c r="C2281" s="27" t="s">
        <v>93</v>
      </c>
      <c r="D2281" s="27" t="s">
        <v>21</v>
      </c>
      <c r="E2281" s="28">
        <v>112400</v>
      </c>
      <c r="F2281" s="28">
        <v>122200</v>
      </c>
      <c r="G2281" s="27" t="s">
        <v>11</v>
      </c>
      <c r="H2281" s="27" t="s">
        <v>5255</v>
      </c>
      <c r="I2281" s="27" t="s">
        <v>9</v>
      </c>
    </row>
    <row r="2282" spans="1:9" x14ac:dyDescent="0.3">
      <c r="A2282" s="26">
        <v>45050</v>
      </c>
      <c r="B2282" s="27" t="s">
        <v>119</v>
      </c>
      <c r="C2282" s="27" t="s">
        <v>6</v>
      </c>
      <c r="D2282" s="27" t="s">
        <v>16</v>
      </c>
      <c r="E2282" s="28">
        <v>62000</v>
      </c>
      <c r="F2282" s="28">
        <v>61600</v>
      </c>
      <c r="G2282" s="27" t="s">
        <v>11</v>
      </c>
      <c r="H2282" s="27" t="s">
        <v>5338</v>
      </c>
      <c r="I2282" s="27" t="s">
        <v>9</v>
      </c>
    </row>
    <row r="2283" spans="1:9" x14ac:dyDescent="0.3">
      <c r="A2283" s="26">
        <v>45050</v>
      </c>
      <c r="B2283" s="27" t="s">
        <v>119</v>
      </c>
      <c r="C2283" s="27" t="s">
        <v>6</v>
      </c>
      <c r="D2283" s="27" t="s">
        <v>21</v>
      </c>
      <c r="E2283" s="28">
        <v>119700</v>
      </c>
      <c r="F2283" s="28">
        <v>115000</v>
      </c>
      <c r="G2283" s="27" t="s">
        <v>22</v>
      </c>
      <c r="H2283" s="27" t="s">
        <v>5379</v>
      </c>
      <c r="I2283" s="27" t="s">
        <v>9</v>
      </c>
    </row>
    <row r="2284" spans="1:9" x14ac:dyDescent="0.3">
      <c r="A2284" s="26">
        <v>45050</v>
      </c>
      <c r="B2284" s="27" t="s">
        <v>119</v>
      </c>
      <c r="C2284" s="27" t="s">
        <v>93</v>
      </c>
      <c r="D2284" s="27" t="s">
        <v>16</v>
      </c>
      <c r="E2284" s="28">
        <v>89800</v>
      </c>
      <c r="F2284" s="28">
        <v>90400</v>
      </c>
      <c r="G2284" s="27" t="s">
        <v>22</v>
      </c>
      <c r="H2284" s="27" t="s">
        <v>5918</v>
      </c>
      <c r="I2284" s="27" t="s">
        <v>9</v>
      </c>
    </row>
    <row r="2285" spans="1:9" x14ac:dyDescent="0.3">
      <c r="A2285" s="26">
        <v>45050</v>
      </c>
      <c r="B2285" s="27" t="s">
        <v>119</v>
      </c>
      <c r="C2285" s="27" t="s">
        <v>6</v>
      </c>
      <c r="D2285" s="27" t="s">
        <v>7</v>
      </c>
      <c r="E2285" s="28">
        <v>91300</v>
      </c>
      <c r="F2285" s="28">
        <v>109100</v>
      </c>
      <c r="G2285" s="27" t="s">
        <v>11</v>
      </c>
      <c r="H2285" s="27" t="s">
        <v>6161</v>
      </c>
      <c r="I2285" s="27" t="s">
        <v>9</v>
      </c>
    </row>
    <row r="2286" spans="1:9" x14ac:dyDescent="0.3">
      <c r="A2286" s="26">
        <v>45051</v>
      </c>
      <c r="B2286" s="27" t="s">
        <v>119</v>
      </c>
      <c r="C2286" s="27" t="s">
        <v>32</v>
      </c>
      <c r="D2286" s="27" t="s">
        <v>16</v>
      </c>
      <c r="E2286" s="28">
        <v>124291</v>
      </c>
      <c r="F2286" s="28">
        <v>60466</v>
      </c>
      <c r="G2286" s="27" t="s">
        <v>17</v>
      </c>
      <c r="H2286" s="27" t="s">
        <v>42</v>
      </c>
      <c r="I2286" s="27" t="s">
        <v>13</v>
      </c>
    </row>
    <row r="2287" spans="1:9" x14ac:dyDescent="0.3">
      <c r="A2287" s="26">
        <v>45051</v>
      </c>
      <c r="B2287" s="27" t="s">
        <v>119</v>
      </c>
      <c r="C2287" s="27" t="s">
        <v>20</v>
      </c>
      <c r="D2287" s="27" t="s">
        <v>7</v>
      </c>
      <c r="E2287" s="28">
        <v>17247</v>
      </c>
      <c r="F2287" s="28">
        <v>165885</v>
      </c>
      <c r="G2287" s="27" t="s">
        <v>17</v>
      </c>
      <c r="H2287" s="27" t="s">
        <v>882</v>
      </c>
      <c r="I2287" s="27" t="s">
        <v>13</v>
      </c>
    </row>
    <row r="2288" spans="1:9" x14ac:dyDescent="0.3">
      <c r="A2288" s="26">
        <v>45051</v>
      </c>
      <c r="B2288" s="27" t="s">
        <v>119</v>
      </c>
      <c r="C2288" s="27" t="s">
        <v>20</v>
      </c>
      <c r="D2288" s="27" t="s">
        <v>7</v>
      </c>
      <c r="E2288" s="28">
        <v>146802</v>
      </c>
      <c r="F2288" s="28">
        <v>169692</v>
      </c>
      <c r="G2288" s="27" t="s">
        <v>22</v>
      </c>
      <c r="H2288" s="27" t="s">
        <v>1298</v>
      </c>
      <c r="I2288" s="27" t="s">
        <v>13</v>
      </c>
    </row>
    <row r="2289" spans="1:9" x14ac:dyDescent="0.3">
      <c r="A2289" s="26">
        <v>45051</v>
      </c>
      <c r="B2289" s="27" t="s">
        <v>119</v>
      </c>
      <c r="C2289" s="27" t="s">
        <v>32</v>
      </c>
      <c r="D2289" s="27" t="s">
        <v>16</v>
      </c>
      <c r="E2289" s="28">
        <v>75202</v>
      </c>
      <c r="F2289" s="28">
        <v>48252</v>
      </c>
      <c r="G2289" s="27" t="s">
        <v>17</v>
      </c>
      <c r="H2289" s="27" t="s">
        <v>1572</v>
      </c>
      <c r="I2289" s="27" t="s">
        <v>13</v>
      </c>
    </row>
    <row r="2290" spans="1:9" x14ac:dyDescent="0.3">
      <c r="A2290" s="26">
        <v>45051</v>
      </c>
      <c r="B2290" s="27" t="s">
        <v>119</v>
      </c>
      <c r="C2290" s="27" t="s">
        <v>18</v>
      </c>
      <c r="D2290" s="27" t="s">
        <v>16</v>
      </c>
      <c r="E2290" s="28">
        <v>16982</v>
      </c>
      <c r="F2290" s="28">
        <v>136706</v>
      </c>
      <c r="G2290" s="27" t="s">
        <v>11</v>
      </c>
      <c r="H2290" s="27" t="s">
        <v>1873</v>
      </c>
      <c r="I2290" s="27" t="s">
        <v>13</v>
      </c>
    </row>
    <row r="2291" spans="1:9" x14ac:dyDescent="0.3">
      <c r="A2291" s="26">
        <v>45051</v>
      </c>
      <c r="B2291" s="27" t="s">
        <v>119</v>
      </c>
      <c r="C2291" s="27" t="s">
        <v>15</v>
      </c>
      <c r="D2291" s="27" t="s">
        <v>7</v>
      </c>
      <c r="E2291" s="28">
        <v>72886</v>
      </c>
      <c r="F2291" s="28">
        <v>107181</v>
      </c>
      <c r="G2291" s="27" t="s">
        <v>22</v>
      </c>
      <c r="H2291" s="27" t="s">
        <v>2348</v>
      </c>
      <c r="I2291" s="27" t="s">
        <v>13</v>
      </c>
    </row>
    <row r="2292" spans="1:9" x14ac:dyDescent="0.3">
      <c r="A2292" s="26">
        <v>45051</v>
      </c>
      <c r="B2292" s="27" t="s">
        <v>119</v>
      </c>
      <c r="C2292" s="27" t="s">
        <v>18</v>
      </c>
      <c r="D2292" s="27" t="s">
        <v>7</v>
      </c>
      <c r="E2292" s="28">
        <v>127939</v>
      </c>
      <c r="F2292" s="28">
        <v>106669</v>
      </c>
      <c r="G2292" s="27" t="s">
        <v>17</v>
      </c>
      <c r="H2292" s="27" t="s">
        <v>2924</v>
      </c>
      <c r="I2292" s="27" t="s">
        <v>13</v>
      </c>
    </row>
    <row r="2293" spans="1:9" x14ac:dyDescent="0.3">
      <c r="A2293" s="26">
        <v>45051</v>
      </c>
      <c r="B2293" s="27" t="s">
        <v>119</v>
      </c>
      <c r="C2293" s="27" t="s">
        <v>18</v>
      </c>
      <c r="D2293" s="27" t="s">
        <v>24</v>
      </c>
      <c r="E2293" s="28">
        <v>134592</v>
      </c>
      <c r="F2293" s="28">
        <v>80235</v>
      </c>
      <c r="G2293" s="27" t="s">
        <v>17</v>
      </c>
      <c r="H2293" s="27" t="s">
        <v>3245</v>
      </c>
      <c r="I2293" s="27" t="s">
        <v>13</v>
      </c>
    </row>
    <row r="2294" spans="1:9" x14ac:dyDescent="0.3">
      <c r="A2294" s="26">
        <v>45051</v>
      </c>
      <c r="B2294" s="27" t="s">
        <v>119</v>
      </c>
      <c r="C2294" s="27" t="s">
        <v>18</v>
      </c>
      <c r="D2294" s="27" t="s">
        <v>19</v>
      </c>
      <c r="E2294" s="28">
        <v>37694</v>
      </c>
      <c r="F2294" s="28">
        <v>17374</v>
      </c>
      <c r="G2294" s="27" t="s">
        <v>8</v>
      </c>
      <c r="H2294" s="27" t="s">
        <v>3269</v>
      </c>
      <c r="I2294" s="27" t="s">
        <v>13</v>
      </c>
    </row>
    <row r="2295" spans="1:9" x14ac:dyDescent="0.3">
      <c r="A2295" s="26">
        <v>45051</v>
      </c>
      <c r="B2295" s="27" t="s">
        <v>119</v>
      </c>
      <c r="C2295" s="27" t="s">
        <v>14</v>
      </c>
      <c r="D2295" s="27" t="s">
        <v>7</v>
      </c>
      <c r="E2295" s="28">
        <v>95078</v>
      </c>
      <c r="F2295" s="28">
        <v>13788</v>
      </c>
      <c r="G2295" s="27" t="s">
        <v>11</v>
      </c>
      <c r="H2295" s="27" t="s">
        <v>3281</v>
      </c>
      <c r="I2295" s="27" t="s">
        <v>13</v>
      </c>
    </row>
    <row r="2296" spans="1:9" x14ac:dyDescent="0.3">
      <c r="A2296" s="26">
        <v>45051</v>
      </c>
      <c r="B2296" s="27" t="s">
        <v>119</v>
      </c>
      <c r="C2296" s="27" t="s">
        <v>32</v>
      </c>
      <c r="D2296" s="27" t="s">
        <v>21</v>
      </c>
      <c r="E2296" s="28">
        <v>80110</v>
      </c>
      <c r="F2296" s="28">
        <v>26687</v>
      </c>
      <c r="G2296" s="27" t="s">
        <v>22</v>
      </c>
      <c r="H2296" s="27" t="s">
        <v>3317</v>
      </c>
      <c r="I2296" s="27" t="s">
        <v>13</v>
      </c>
    </row>
    <row r="2297" spans="1:9" x14ac:dyDescent="0.3">
      <c r="A2297" s="26">
        <v>45051</v>
      </c>
      <c r="B2297" s="27" t="s">
        <v>119</v>
      </c>
      <c r="C2297" s="27" t="s">
        <v>93</v>
      </c>
      <c r="D2297" s="27" t="s">
        <v>16</v>
      </c>
      <c r="E2297" s="28">
        <v>321000</v>
      </c>
      <c r="F2297" s="28">
        <v>358900</v>
      </c>
      <c r="G2297" s="27" t="s">
        <v>11</v>
      </c>
      <c r="H2297" s="27" t="s">
        <v>3492</v>
      </c>
      <c r="I2297" s="27" t="s">
        <v>9</v>
      </c>
    </row>
    <row r="2298" spans="1:9" x14ac:dyDescent="0.3">
      <c r="A2298" s="26">
        <v>45051</v>
      </c>
      <c r="B2298" s="27" t="s">
        <v>119</v>
      </c>
      <c r="C2298" s="27" t="s">
        <v>93</v>
      </c>
      <c r="D2298" s="27" t="s">
        <v>7</v>
      </c>
      <c r="E2298" s="28">
        <v>210900</v>
      </c>
      <c r="F2298" s="28">
        <v>226400</v>
      </c>
      <c r="G2298" s="27" t="s">
        <v>11</v>
      </c>
      <c r="H2298" s="27" t="s">
        <v>4263</v>
      </c>
      <c r="I2298" s="27" t="s">
        <v>9</v>
      </c>
    </row>
    <row r="2299" spans="1:9" x14ac:dyDescent="0.3">
      <c r="A2299" s="26">
        <v>45051</v>
      </c>
      <c r="B2299" s="27" t="s">
        <v>119</v>
      </c>
      <c r="C2299" s="27" t="s">
        <v>6</v>
      </c>
      <c r="D2299" s="27" t="s">
        <v>7</v>
      </c>
      <c r="E2299" s="28">
        <v>149800</v>
      </c>
      <c r="F2299" s="28">
        <v>111400</v>
      </c>
      <c r="G2299" s="27" t="s">
        <v>11</v>
      </c>
      <c r="H2299" s="27" t="s">
        <v>4681</v>
      </c>
      <c r="I2299" s="27" t="s">
        <v>9</v>
      </c>
    </row>
    <row r="2300" spans="1:9" x14ac:dyDescent="0.3">
      <c r="A2300" s="26">
        <v>45051</v>
      </c>
      <c r="B2300" s="27" t="s">
        <v>119</v>
      </c>
      <c r="C2300" s="27" t="s">
        <v>6</v>
      </c>
      <c r="D2300" s="27" t="s">
        <v>16</v>
      </c>
      <c r="E2300" s="28">
        <v>203700</v>
      </c>
      <c r="F2300" s="28">
        <v>193700</v>
      </c>
      <c r="G2300" s="27" t="s">
        <v>11</v>
      </c>
      <c r="H2300" s="27" t="s">
        <v>4955</v>
      </c>
      <c r="I2300" s="27" t="s">
        <v>9</v>
      </c>
    </row>
    <row r="2301" spans="1:9" x14ac:dyDescent="0.3">
      <c r="A2301" s="26">
        <v>45051</v>
      </c>
      <c r="B2301" s="27" t="s">
        <v>119</v>
      </c>
      <c r="C2301" s="27" t="s">
        <v>6</v>
      </c>
      <c r="D2301" s="27" t="s">
        <v>16</v>
      </c>
      <c r="E2301" s="28">
        <v>117300</v>
      </c>
      <c r="F2301" s="28">
        <v>125000</v>
      </c>
      <c r="G2301" s="27" t="s">
        <v>22</v>
      </c>
      <c r="H2301" s="27" t="s">
        <v>5257</v>
      </c>
      <c r="I2301" s="27" t="s">
        <v>9</v>
      </c>
    </row>
    <row r="2302" spans="1:9" x14ac:dyDescent="0.3">
      <c r="A2302" s="26">
        <v>45051</v>
      </c>
      <c r="B2302" s="27" t="s">
        <v>119</v>
      </c>
      <c r="C2302" s="27" t="s">
        <v>6</v>
      </c>
      <c r="D2302" s="27" t="s">
        <v>7</v>
      </c>
      <c r="E2302" s="28">
        <v>63200</v>
      </c>
      <c r="F2302" s="28">
        <v>58800</v>
      </c>
      <c r="G2302" s="27" t="s">
        <v>11</v>
      </c>
      <c r="H2302" s="27" t="s">
        <v>5733</v>
      </c>
      <c r="I2302" s="27" t="s">
        <v>9</v>
      </c>
    </row>
    <row r="2303" spans="1:9" x14ac:dyDescent="0.3">
      <c r="A2303" s="26">
        <v>45051</v>
      </c>
      <c r="B2303" s="27" t="s">
        <v>119</v>
      </c>
      <c r="C2303" s="27" t="s">
        <v>93</v>
      </c>
      <c r="D2303" s="27" t="s">
        <v>7</v>
      </c>
      <c r="E2303" s="28">
        <v>339000</v>
      </c>
      <c r="F2303" s="28">
        <v>454100</v>
      </c>
      <c r="G2303" s="27" t="s">
        <v>11</v>
      </c>
      <c r="H2303" s="27" t="s">
        <v>6309</v>
      </c>
      <c r="I2303" s="27" t="s">
        <v>9</v>
      </c>
    </row>
    <row r="2304" spans="1:9" x14ac:dyDescent="0.3">
      <c r="A2304" s="26">
        <v>45051</v>
      </c>
      <c r="B2304" s="27" t="s">
        <v>119</v>
      </c>
      <c r="C2304" s="27" t="s">
        <v>6</v>
      </c>
      <c r="D2304" s="27" t="s">
        <v>24</v>
      </c>
      <c r="E2304" s="28">
        <v>68200</v>
      </c>
      <c r="F2304" s="28">
        <v>77900</v>
      </c>
      <c r="G2304" s="27" t="s">
        <v>17</v>
      </c>
      <c r="H2304" s="27" t="s">
        <v>6630</v>
      </c>
      <c r="I2304" s="27" t="s">
        <v>9</v>
      </c>
    </row>
    <row r="2305" spans="1:9" x14ac:dyDescent="0.3">
      <c r="A2305" s="26">
        <v>45051</v>
      </c>
      <c r="B2305" s="27" t="s">
        <v>119</v>
      </c>
      <c r="C2305" s="27" t="s">
        <v>93</v>
      </c>
      <c r="D2305" s="27" t="s">
        <v>19</v>
      </c>
      <c r="E2305" s="28">
        <v>119400</v>
      </c>
      <c r="F2305" s="28">
        <v>114900</v>
      </c>
      <c r="G2305" s="27" t="s">
        <v>22</v>
      </c>
      <c r="H2305" s="27" t="s">
        <v>6654</v>
      </c>
      <c r="I2305" s="27" t="s">
        <v>9</v>
      </c>
    </row>
    <row r="2306" spans="1:9" x14ac:dyDescent="0.3">
      <c r="A2306" s="26">
        <v>45051</v>
      </c>
      <c r="B2306" s="27" t="s">
        <v>119</v>
      </c>
      <c r="C2306" s="27" t="s">
        <v>6</v>
      </c>
      <c r="D2306" s="27" t="s">
        <v>7</v>
      </c>
      <c r="E2306" s="28">
        <v>63800</v>
      </c>
      <c r="F2306" s="28">
        <v>62500</v>
      </c>
      <c r="G2306" s="27" t="s">
        <v>22</v>
      </c>
      <c r="H2306" s="27" t="s">
        <v>6666</v>
      </c>
      <c r="I2306" s="27" t="s">
        <v>9</v>
      </c>
    </row>
    <row r="2307" spans="1:9" x14ac:dyDescent="0.3">
      <c r="A2307" s="26">
        <v>45051</v>
      </c>
      <c r="B2307" s="27" t="s">
        <v>119</v>
      </c>
      <c r="C2307" s="27" t="s">
        <v>6</v>
      </c>
      <c r="D2307" s="27" t="s">
        <v>21</v>
      </c>
      <c r="E2307" s="28">
        <v>126700</v>
      </c>
      <c r="F2307" s="28">
        <v>141900</v>
      </c>
      <c r="G2307" s="27" t="s">
        <v>22</v>
      </c>
      <c r="H2307" s="27" t="s">
        <v>6702</v>
      </c>
      <c r="I2307" s="27" t="s">
        <v>9</v>
      </c>
    </row>
    <row r="2308" spans="1:9" x14ac:dyDescent="0.3">
      <c r="A2308" s="26">
        <v>45052</v>
      </c>
      <c r="B2308" s="27" t="s">
        <v>119</v>
      </c>
      <c r="C2308" s="27" t="s">
        <v>20</v>
      </c>
      <c r="D2308" s="27" t="s">
        <v>16</v>
      </c>
      <c r="E2308" s="28">
        <v>21184</v>
      </c>
      <c r="F2308" s="28">
        <v>168367</v>
      </c>
      <c r="G2308" s="27" t="s">
        <v>11</v>
      </c>
      <c r="H2308" s="27" t="s">
        <v>512</v>
      </c>
      <c r="I2308" s="27" t="s">
        <v>13</v>
      </c>
    </row>
    <row r="2309" spans="1:9" x14ac:dyDescent="0.3">
      <c r="A2309" s="26">
        <v>45052</v>
      </c>
      <c r="B2309" s="27" t="s">
        <v>119</v>
      </c>
      <c r="C2309" s="27" t="s">
        <v>15</v>
      </c>
      <c r="D2309" s="27" t="s">
        <v>19</v>
      </c>
      <c r="E2309" s="28">
        <v>131299</v>
      </c>
      <c r="F2309" s="28">
        <v>35297</v>
      </c>
      <c r="G2309" s="27" t="s">
        <v>22</v>
      </c>
      <c r="H2309" s="27" t="s">
        <v>743</v>
      </c>
      <c r="I2309" s="27" t="s">
        <v>13</v>
      </c>
    </row>
    <row r="2310" spans="1:9" x14ac:dyDescent="0.3">
      <c r="A2310" s="26">
        <v>45052</v>
      </c>
      <c r="B2310" s="27" t="s">
        <v>119</v>
      </c>
      <c r="C2310" s="27" t="s">
        <v>18</v>
      </c>
      <c r="D2310" s="27" t="s">
        <v>19</v>
      </c>
      <c r="E2310" s="28">
        <v>79199</v>
      </c>
      <c r="F2310" s="28">
        <v>74951</v>
      </c>
      <c r="G2310" s="27" t="s">
        <v>8</v>
      </c>
      <c r="H2310" s="27" t="s">
        <v>887</v>
      </c>
      <c r="I2310" s="27" t="s">
        <v>13</v>
      </c>
    </row>
    <row r="2311" spans="1:9" x14ac:dyDescent="0.3">
      <c r="A2311" s="26">
        <v>45052</v>
      </c>
      <c r="B2311" s="27" t="s">
        <v>119</v>
      </c>
      <c r="C2311" s="27" t="s">
        <v>15</v>
      </c>
      <c r="D2311" s="27" t="s">
        <v>21</v>
      </c>
      <c r="E2311" s="28">
        <v>94321</v>
      </c>
      <c r="F2311" s="28">
        <v>157076</v>
      </c>
      <c r="G2311" s="27" t="s">
        <v>11</v>
      </c>
      <c r="H2311" s="27" t="s">
        <v>925</v>
      </c>
      <c r="I2311" s="27" t="s">
        <v>13</v>
      </c>
    </row>
    <row r="2312" spans="1:9" x14ac:dyDescent="0.3">
      <c r="A2312" s="26">
        <v>45052</v>
      </c>
      <c r="B2312" s="27" t="s">
        <v>119</v>
      </c>
      <c r="C2312" s="27" t="s">
        <v>15</v>
      </c>
      <c r="D2312" s="27" t="s">
        <v>19</v>
      </c>
      <c r="E2312" s="28">
        <v>48996</v>
      </c>
      <c r="F2312" s="28">
        <v>27616</v>
      </c>
      <c r="G2312" s="27" t="s">
        <v>8</v>
      </c>
      <c r="H2312" s="27" t="s">
        <v>1235</v>
      </c>
      <c r="I2312" s="27" t="s">
        <v>13</v>
      </c>
    </row>
    <row r="2313" spans="1:9" x14ac:dyDescent="0.3">
      <c r="A2313" s="26">
        <v>45052</v>
      </c>
      <c r="B2313" s="27" t="s">
        <v>119</v>
      </c>
      <c r="C2313" s="27" t="s">
        <v>20</v>
      </c>
      <c r="D2313" s="27" t="s">
        <v>7</v>
      </c>
      <c r="E2313" s="28">
        <v>140946</v>
      </c>
      <c r="F2313" s="28">
        <v>15782</v>
      </c>
      <c r="G2313" s="27" t="s">
        <v>11</v>
      </c>
      <c r="H2313" s="27" t="s">
        <v>1407</v>
      </c>
      <c r="I2313" s="27" t="s">
        <v>13</v>
      </c>
    </row>
    <row r="2314" spans="1:9" x14ac:dyDescent="0.3">
      <c r="A2314" s="26">
        <v>45052</v>
      </c>
      <c r="B2314" s="27" t="s">
        <v>119</v>
      </c>
      <c r="C2314" s="27" t="s">
        <v>15</v>
      </c>
      <c r="D2314" s="27" t="s">
        <v>16</v>
      </c>
      <c r="E2314" s="28">
        <v>124849</v>
      </c>
      <c r="F2314" s="28">
        <v>118594</v>
      </c>
      <c r="G2314" s="27" t="s">
        <v>17</v>
      </c>
      <c r="H2314" s="27" t="s">
        <v>1942</v>
      </c>
      <c r="I2314" s="27" t="s">
        <v>13</v>
      </c>
    </row>
    <row r="2315" spans="1:9" x14ac:dyDescent="0.3">
      <c r="A2315" s="26">
        <v>45052</v>
      </c>
      <c r="B2315" s="27" t="s">
        <v>119</v>
      </c>
      <c r="C2315" s="27" t="s">
        <v>15</v>
      </c>
      <c r="D2315" s="27" t="s">
        <v>16</v>
      </c>
      <c r="E2315" s="28">
        <v>40487</v>
      </c>
      <c r="F2315" s="28">
        <v>39018</v>
      </c>
      <c r="G2315" s="27" t="s">
        <v>11</v>
      </c>
      <c r="H2315" s="27" t="s">
        <v>2284</v>
      </c>
      <c r="I2315" s="27" t="s">
        <v>13</v>
      </c>
    </row>
    <row r="2316" spans="1:9" x14ac:dyDescent="0.3">
      <c r="A2316" s="26">
        <v>45052</v>
      </c>
      <c r="B2316" s="27" t="s">
        <v>119</v>
      </c>
      <c r="C2316" s="27" t="s">
        <v>20</v>
      </c>
      <c r="D2316" s="27" t="s">
        <v>7</v>
      </c>
      <c r="E2316" s="28">
        <v>12523</v>
      </c>
      <c r="F2316" s="28">
        <v>69208</v>
      </c>
      <c r="G2316" s="27" t="s">
        <v>17</v>
      </c>
      <c r="H2316" s="27" t="s">
        <v>2941</v>
      </c>
      <c r="I2316" s="27" t="s">
        <v>13</v>
      </c>
    </row>
    <row r="2317" spans="1:9" x14ac:dyDescent="0.3">
      <c r="A2317" s="26">
        <v>45052</v>
      </c>
      <c r="B2317" s="27" t="s">
        <v>119</v>
      </c>
      <c r="C2317" s="27" t="s">
        <v>18</v>
      </c>
      <c r="D2317" s="27" t="s">
        <v>21</v>
      </c>
      <c r="E2317" s="28">
        <v>18957</v>
      </c>
      <c r="F2317" s="28">
        <v>27192</v>
      </c>
      <c r="G2317" s="27" t="s">
        <v>22</v>
      </c>
      <c r="H2317" s="27" t="s">
        <v>3014</v>
      </c>
      <c r="I2317" s="27" t="s">
        <v>13</v>
      </c>
    </row>
    <row r="2318" spans="1:9" x14ac:dyDescent="0.3">
      <c r="A2318" s="26">
        <v>45052</v>
      </c>
      <c r="B2318" s="27" t="s">
        <v>119</v>
      </c>
      <c r="C2318" s="27" t="s">
        <v>10</v>
      </c>
      <c r="D2318" s="27" t="s">
        <v>21</v>
      </c>
      <c r="E2318" s="28">
        <v>124361</v>
      </c>
      <c r="F2318" s="28">
        <v>135123</v>
      </c>
      <c r="G2318" s="27" t="s">
        <v>22</v>
      </c>
      <c r="H2318" s="27" t="s">
        <v>3092</v>
      </c>
      <c r="I2318" s="27" t="s">
        <v>13</v>
      </c>
    </row>
    <row r="2319" spans="1:9" x14ac:dyDescent="0.3">
      <c r="A2319" s="26">
        <v>45052</v>
      </c>
      <c r="B2319" s="27" t="s">
        <v>119</v>
      </c>
      <c r="C2319" s="27" t="s">
        <v>10</v>
      </c>
      <c r="D2319" s="27" t="s">
        <v>21</v>
      </c>
      <c r="E2319" s="28">
        <v>38586</v>
      </c>
      <c r="F2319" s="28">
        <v>53308</v>
      </c>
      <c r="G2319" s="27" t="s">
        <v>17</v>
      </c>
      <c r="H2319" s="27" t="s">
        <v>3329</v>
      </c>
      <c r="I2319" s="27" t="s">
        <v>13</v>
      </c>
    </row>
    <row r="2320" spans="1:9" x14ac:dyDescent="0.3">
      <c r="A2320" s="26">
        <v>45052</v>
      </c>
      <c r="B2320" s="27" t="s">
        <v>119</v>
      </c>
      <c r="C2320" s="27" t="s">
        <v>6</v>
      </c>
      <c r="D2320" s="27" t="s">
        <v>16</v>
      </c>
      <c r="E2320" s="28">
        <v>149600</v>
      </c>
      <c r="F2320" s="28">
        <v>154400</v>
      </c>
      <c r="G2320" s="27" t="s">
        <v>22</v>
      </c>
      <c r="H2320" s="27" t="s">
        <v>3893</v>
      </c>
      <c r="I2320" s="27" t="s">
        <v>9</v>
      </c>
    </row>
    <row r="2321" spans="1:9" x14ac:dyDescent="0.3">
      <c r="A2321" s="26">
        <v>45052</v>
      </c>
      <c r="B2321" s="27" t="s">
        <v>119</v>
      </c>
      <c r="C2321" s="27" t="s">
        <v>6</v>
      </c>
      <c r="D2321" s="27" t="s">
        <v>19</v>
      </c>
      <c r="E2321" s="28">
        <v>135400</v>
      </c>
      <c r="F2321" s="28">
        <v>183200</v>
      </c>
      <c r="G2321" s="27" t="s">
        <v>11</v>
      </c>
      <c r="H2321" s="27" t="s">
        <v>4124</v>
      </c>
      <c r="I2321" s="27" t="s">
        <v>9</v>
      </c>
    </row>
    <row r="2322" spans="1:9" x14ac:dyDescent="0.3">
      <c r="A2322" s="26">
        <v>45052</v>
      </c>
      <c r="B2322" s="27" t="s">
        <v>119</v>
      </c>
      <c r="C2322" s="27" t="s">
        <v>6</v>
      </c>
      <c r="D2322" s="27" t="s">
        <v>19</v>
      </c>
      <c r="E2322" s="28">
        <v>120500</v>
      </c>
      <c r="F2322" s="28">
        <v>113400</v>
      </c>
      <c r="G2322" s="27" t="s">
        <v>11</v>
      </c>
      <c r="H2322" s="27" t="s">
        <v>4268</v>
      </c>
      <c r="I2322" s="27" t="s">
        <v>9</v>
      </c>
    </row>
    <row r="2323" spans="1:9" x14ac:dyDescent="0.3">
      <c r="A2323" s="26">
        <v>45052</v>
      </c>
      <c r="B2323" s="27" t="s">
        <v>119</v>
      </c>
      <c r="C2323" s="27" t="s">
        <v>93</v>
      </c>
      <c r="D2323" s="27" t="s">
        <v>21</v>
      </c>
      <c r="E2323" s="28">
        <v>150200</v>
      </c>
      <c r="F2323" s="28">
        <v>184000</v>
      </c>
      <c r="G2323" s="27" t="s">
        <v>11</v>
      </c>
      <c r="H2323" s="27" t="s">
        <v>4306</v>
      </c>
      <c r="I2323" s="27" t="s">
        <v>9</v>
      </c>
    </row>
    <row r="2324" spans="1:9" x14ac:dyDescent="0.3">
      <c r="A2324" s="26">
        <v>45052</v>
      </c>
      <c r="B2324" s="27" t="s">
        <v>119</v>
      </c>
      <c r="C2324" s="27" t="s">
        <v>6</v>
      </c>
      <c r="D2324" s="27" t="s">
        <v>19</v>
      </c>
      <c r="E2324" s="28">
        <v>147800</v>
      </c>
      <c r="F2324" s="28">
        <v>135300</v>
      </c>
      <c r="G2324" s="27" t="s">
        <v>22</v>
      </c>
      <c r="H2324" s="27" t="s">
        <v>4618</v>
      </c>
      <c r="I2324" s="27" t="s">
        <v>9</v>
      </c>
    </row>
    <row r="2325" spans="1:9" x14ac:dyDescent="0.3">
      <c r="A2325" s="26">
        <v>45052</v>
      </c>
      <c r="B2325" s="27" t="s">
        <v>119</v>
      </c>
      <c r="C2325" s="27" t="s">
        <v>93</v>
      </c>
      <c r="D2325" s="27" t="s">
        <v>7</v>
      </c>
      <c r="E2325" s="28">
        <v>105800</v>
      </c>
      <c r="F2325" s="28">
        <v>103700</v>
      </c>
      <c r="G2325" s="27" t="s">
        <v>17</v>
      </c>
      <c r="H2325" s="27" t="s">
        <v>4790</v>
      </c>
      <c r="I2325" s="27" t="s">
        <v>9</v>
      </c>
    </row>
    <row r="2326" spans="1:9" x14ac:dyDescent="0.3">
      <c r="A2326" s="26">
        <v>45052</v>
      </c>
      <c r="B2326" s="27" t="s">
        <v>119</v>
      </c>
      <c r="C2326" s="27" t="s">
        <v>6</v>
      </c>
      <c r="D2326" s="27" t="s">
        <v>16</v>
      </c>
      <c r="E2326" s="28">
        <v>103800</v>
      </c>
      <c r="F2326" s="28">
        <v>143200</v>
      </c>
      <c r="G2326" s="27" t="s">
        <v>22</v>
      </c>
      <c r="H2326" s="27" t="s">
        <v>5326</v>
      </c>
      <c r="I2326" s="27" t="s">
        <v>9</v>
      </c>
    </row>
    <row r="2327" spans="1:9" x14ac:dyDescent="0.3">
      <c r="A2327" s="26">
        <v>45052</v>
      </c>
      <c r="B2327" s="27" t="s">
        <v>119</v>
      </c>
      <c r="C2327" s="27" t="s">
        <v>6</v>
      </c>
      <c r="D2327" s="27" t="s">
        <v>16</v>
      </c>
      <c r="E2327" s="28">
        <v>61100</v>
      </c>
      <c r="F2327" s="28">
        <v>61900</v>
      </c>
      <c r="G2327" s="27" t="s">
        <v>22</v>
      </c>
      <c r="H2327" s="27" t="s">
        <v>5669</v>
      </c>
      <c r="I2327" s="27" t="s">
        <v>9</v>
      </c>
    </row>
    <row r="2328" spans="1:9" x14ac:dyDescent="0.3">
      <c r="A2328" s="26">
        <v>45052</v>
      </c>
      <c r="B2328" s="27" t="s">
        <v>119</v>
      </c>
      <c r="C2328" s="27" t="s">
        <v>93</v>
      </c>
      <c r="D2328" s="27" t="s">
        <v>7</v>
      </c>
      <c r="E2328" s="28">
        <v>153900</v>
      </c>
      <c r="F2328" s="28">
        <v>160600</v>
      </c>
      <c r="G2328" s="27" t="s">
        <v>11</v>
      </c>
      <c r="H2328" s="27" t="s">
        <v>6326</v>
      </c>
      <c r="I2328" s="27" t="s">
        <v>9</v>
      </c>
    </row>
    <row r="2329" spans="1:9" x14ac:dyDescent="0.3">
      <c r="A2329" s="26">
        <v>45052</v>
      </c>
      <c r="B2329" s="27" t="s">
        <v>119</v>
      </c>
      <c r="C2329" s="27" t="s">
        <v>93</v>
      </c>
      <c r="D2329" s="27" t="s">
        <v>21</v>
      </c>
      <c r="E2329" s="28">
        <v>150200</v>
      </c>
      <c r="F2329" s="28">
        <v>182700</v>
      </c>
      <c r="G2329" s="27" t="s">
        <v>22</v>
      </c>
      <c r="H2329" s="27" t="s">
        <v>6399</v>
      </c>
      <c r="I2329" s="27" t="s">
        <v>9</v>
      </c>
    </row>
    <row r="2330" spans="1:9" x14ac:dyDescent="0.3">
      <c r="A2330" s="26">
        <v>45052</v>
      </c>
      <c r="B2330" s="27" t="s">
        <v>119</v>
      </c>
      <c r="C2330" s="27" t="s">
        <v>6</v>
      </c>
      <c r="D2330" s="27" t="s">
        <v>21</v>
      </c>
      <c r="E2330" s="28">
        <v>67000</v>
      </c>
      <c r="F2330" s="28">
        <v>72300</v>
      </c>
      <c r="G2330" s="27" t="s">
        <v>22</v>
      </c>
      <c r="H2330" s="27" t="s">
        <v>6477</v>
      </c>
      <c r="I2330" s="27" t="s">
        <v>9</v>
      </c>
    </row>
    <row r="2331" spans="1:9" x14ac:dyDescent="0.3">
      <c r="A2331" s="26">
        <v>45052</v>
      </c>
      <c r="B2331" s="27" t="s">
        <v>119</v>
      </c>
      <c r="C2331" s="27" t="s">
        <v>93</v>
      </c>
      <c r="D2331" s="27" t="s">
        <v>21</v>
      </c>
      <c r="E2331" s="28">
        <v>104800</v>
      </c>
      <c r="F2331" s="28">
        <v>98100</v>
      </c>
      <c r="G2331" s="27" t="s">
        <v>11</v>
      </c>
      <c r="H2331" s="27" t="s">
        <v>6714</v>
      </c>
      <c r="I2331" s="27" t="s">
        <v>9</v>
      </c>
    </row>
    <row r="2332" spans="1:9" x14ac:dyDescent="0.3">
      <c r="A2332" s="26">
        <v>45053</v>
      </c>
      <c r="B2332" s="27" t="s">
        <v>119</v>
      </c>
      <c r="C2332" s="27" t="s">
        <v>18</v>
      </c>
      <c r="D2332" s="27" t="s">
        <v>21</v>
      </c>
      <c r="E2332" s="28">
        <v>94989</v>
      </c>
      <c r="F2332" s="28">
        <v>30133</v>
      </c>
      <c r="G2332" s="27" t="s">
        <v>11</v>
      </c>
      <c r="H2332" s="27" t="s">
        <v>43</v>
      </c>
      <c r="I2332" s="27" t="s">
        <v>13</v>
      </c>
    </row>
    <row r="2333" spans="1:9" x14ac:dyDescent="0.3">
      <c r="A2333" s="26">
        <v>45053</v>
      </c>
      <c r="B2333" s="27" t="s">
        <v>119</v>
      </c>
      <c r="C2333" s="27" t="s">
        <v>14</v>
      </c>
      <c r="D2333" s="27" t="s">
        <v>21</v>
      </c>
      <c r="E2333" s="28">
        <v>46409</v>
      </c>
      <c r="F2333" s="28">
        <v>151464</v>
      </c>
      <c r="G2333" s="27" t="s">
        <v>22</v>
      </c>
      <c r="H2333" s="27" t="s">
        <v>668</v>
      </c>
      <c r="I2333" s="27" t="s">
        <v>13</v>
      </c>
    </row>
    <row r="2334" spans="1:9" x14ac:dyDescent="0.3">
      <c r="A2334" s="26">
        <v>45053</v>
      </c>
      <c r="B2334" s="27" t="s">
        <v>119</v>
      </c>
      <c r="C2334" s="27" t="s">
        <v>32</v>
      </c>
      <c r="D2334" s="27" t="s">
        <v>7</v>
      </c>
      <c r="E2334" s="28">
        <v>149881</v>
      </c>
      <c r="F2334" s="28">
        <v>86830</v>
      </c>
      <c r="G2334" s="27" t="s">
        <v>22</v>
      </c>
      <c r="H2334" s="27" t="s">
        <v>1306</v>
      </c>
      <c r="I2334" s="27" t="s">
        <v>13</v>
      </c>
    </row>
    <row r="2335" spans="1:9" x14ac:dyDescent="0.3">
      <c r="A2335" s="26">
        <v>45053</v>
      </c>
      <c r="B2335" s="27" t="s">
        <v>119</v>
      </c>
      <c r="C2335" s="27" t="s">
        <v>10</v>
      </c>
      <c r="D2335" s="27" t="s">
        <v>21</v>
      </c>
      <c r="E2335" s="28">
        <v>68425</v>
      </c>
      <c r="F2335" s="28">
        <v>93332</v>
      </c>
      <c r="G2335" s="27" t="s">
        <v>22</v>
      </c>
      <c r="H2335" s="27" t="s">
        <v>1452</v>
      </c>
      <c r="I2335" s="27" t="s">
        <v>13</v>
      </c>
    </row>
    <row r="2336" spans="1:9" x14ac:dyDescent="0.3">
      <c r="A2336" s="26">
        <v>45053</v>
      </c>
      <c r="B2336" s="27" t="s">
        <v>119</v>
      </c>
      <c r="C2336" s="27" t="s">
        <v>32</v>
      </c>
      <c r="D2336" s="27" t="s">
        <v>21</v>
      </c>
      <c r="E2336" s="28">
        <v>65001</v>
      </c>
      <c r="F2336" s="28">
        <v>79626</v>
      </c>
      <c r="G2336" s="27" t="s">
        <v>11</v>
      </c>
      <c r="H2336" s="27" t="s">
        <v>3054</v>
      </c>
      <c r="I2336" s="27" t="s">
        <v>13</v>
      </c>
    </row>
    <row r="2337" spans="1:9" x14ac:dyDescent="0.3">
      <c r="A2337" s="26">
        <v>45053</v>
      </c>
      <c r="B2337" s="27" t="s">
        <v>119</v>
      </c>
      <c r="C2337" s="27" t="s">
        <v>93</v>
      </c>
      <c r="D2337" s="27" t="s">
        <v>21</v>
      </c>
      <c r="E2337" s="28">
        <v>146900</v>
      </c>
      <c r="F2337" s="28">
        <v>145300</v>
      </c>
      <c r="G2337" s="27" t="s">
        <v>22</v>
      </c>
      <c r="H2337" s="27" t="s">
        <v>3446</v>
      </c>
      <c r="I2337" s="27" t="s">
        <v>9</v>
      </c>
    </row>
    <row r="2338" spans="1:9" x14ac:dyDescent="0.3">
      <c r="A2338" s="26">
        <v>45053</v>
      </c>
      <c r="B2338" s="27" t="s">
        <v>119</v>
      </c>
      <c r="C2338" s="27" t="s">
        <v>6</v>
      </c>
      <c r="D2338" s="27" t="s">
        <v>21</v>
      </c>
      <c r="E2338" s="28">
        <v>111000</v>
      </c>
      <c r="F2338" s="28">
        <v>132200</v>
      </c>
      <c r="G2338" s="27" t="s">
        <v>22</v>
      </c>
      <c r="H2338" s="27" t="s">
        <v>4049</v>
      </c>
      <c r="I2338" s="27" t="s">
        <v>9</v>
      </c>
    </row>
    <row r="2339" spans="1:9" x14ac:dyDescent="0.3">
      <c r="A2339" s="26">
        <v>45053</v>
      </c>
      <c r="B2339" s="27" t="s">
        <v>119</v>
      </c>
      <c r="C2339" s="27" t="s">
        <v>6</v>
      </c>
      <c r="D2339" s="27" t="s">
        <v>7</v>
      </c>
      <c r="E2339" s="28">
        <v>104200</v>
      </c>
      <c r="F2339" s="28">
        <v>119200</v>
      </c>
      <c r="G2339" s="27" t="s">
        <v>11</v>
      </c>
      <c r="H2339" s="27" t="s">
        <v>4689</v>
      </c>
      <c r="I2339" s="27" t="s">
        <v>9</v>
      </c>
    </row>
    <row r="2340" spans="1:9" x14ac:dyDescent="0.3">
      <c r="A2340" s="26">
        <v>45053</v>
      </c>
      <c r="B2340" s="27" t="s">
        <v>119</v>
      </c>
      <c r="C2340" s="27" t="s">
        <v>6</v>
      </c>
      <c r="D2340" s="27" t="s">
        <v>21</v>
      </c>
      <c r="E2340" s="28">
        <v>124800</v>
      </c>
      <c r="F2340" s="28">
        <v>117000</v>
      </c>
      <c r="G2340" s="27" t="s">
        <v>11</v>
      </c>
      <c r="H2340" s="27" t="s">
        <v>4835</v>
      </c>
      <c r="I2340" s="27" t="s">
        <v>9</v>
      </c>
    </row>
    <row r="2341" spans="1:9" x14ac:dyDescent="0.3">
      <c r="A2341" s="26">
        <v>45053</v>
      </c>
      <c r="B2341" s="27" t="s">
        <v>119</v>
      </c>
      <c r="C2341" s="27" t="s">
        <v>93</v>
      </c>
      <c r="D2341" s="27" t="s">
        <v>21</v>
      </c>
      <c r="E2341" s="28">
        <v>222400</v>
      </c>
      <c r="F2341" s="28">
        <v>208500</v>
      </c>
      <c r="G2341" s="27" t="s">
        <v>11</v>
      </c>
      <c r="H2341" s="27" t="s">
        <v>6439</v>
      </c>
      <c r="I2341" s="27" t="s">
        <v>9</v>
      </c>
    </row>
    <row r="2342" spans="1:9" x14ac:dyDescent="0.3">
      <c r="A2342" s="26">
        <v>45054</v>
      </c>
      <c r="B2342" s="27" t="s">
        <v>119</v>
      </c>
      <c r="C2342" s="27" t="s">
        <v>32</v>
      </c>
      <c r="D2342" s="27" t="s">
        <v>21</v>
      </c>
      <c r="E2342" s="28">
        <v>64645</v>
      </c>
      <c r="F2342" s="28">
        <v>114642</v>
      </c>
      <c r="G2342" s="27" t="s">
        <v>17</v>
      </c>
      <c r="H2342" s="27" t="s">
        <v>1057</v>
      </c>
      <c r="I2342" s="27" t="s">
        <v>13</v>
      </c>
    </row>
    <row r="2343" spans="1:9" x14ac:dyDescent="0.3">
      <c r="A2343" s="26">
        <v>45054</v>
      </c>
      <c r="B2343" s="27" t="s">
        <v>119</v>
      </c>
      <c r="C2343" s="27" t="s">
        <v>20</v>
      </c>
      <c r="D2343" s="27" t="s">
        <v>7</v>
      </c>
      <c r="E2343" s="28">
        <v>26504</v>
      </c>
      <c r="F2343" s="28">
        <v>44942</v>
      </c>
      <c r="G2343" s="27" t="s">
        <v>22</v>
      </c>
      <c r="H2343" s="27" t="s">
        <v>1260</v>
      </c>
      <c r="I2343" s="27" t="s">
        <v>13</v>
      </c>
    </row>
    <row r="2344" spans="1:9" x14ac:dyDescent="0.3">
      <c r="A2344" s="26">
        <v>45054</v>
      </c>
      <c r="B2344" s="27" t="s">
        <v>119</v>
      </c>
      <c r="C2344" s="27" t="s">
        <v>18</v>
      </c>
      <c r="D2344" s="27" t="s">
        <v>16</v>
      </c>
      <c r="E2344" s="28">
        <v>148492</v>
      </c>
      <c r="F2344" s="28">
        <v>110373</v>
      </c>
      <c r="G2344" s="27" t="s">
        <v>22</v>
      </c>
      <c r="H2344" s="27" t="s">
        <v>1268</v>
      </c>
      <c r="I2344" s="27" t="s">
        <v>13</v>
      </c>
    </row>
    <row r="2345" spans="1:9" x14ac:dyDescent="0.3">
      <c r="A2345" s="26">
        <v>45054</v>
      </c>
      <c r="B2345" s="27" t="s">
        <v>119</v>
      </c>
      <c r="C2345" s="27" t="s">
        <v>15</v>
      </c>
      <c r="D2345" s="27" t="s">
        <v>19</v>
      </c>
      <c r="E2345" s="28">
        <v>132243</v>
      </c>
      <c r="F2345" s="28">
        <v>126007</v>
      </c>
      <c r="G2345" s="27" t="s">
        <v>17</v>
      </c>
      <c r="H2345" s="27" t="s">
        <v>1475</v>
      </c>
      <c r="I2345" s="27" t="s">
        <v>13</v>
      </c>
    </row>
    <row r="2346" spans="1:9" x14ac:dyDescent="0.3">
      <c r="A2346" s="26">
        <v>45054</v>
      </c>
      <c r="B2346" s="27" t="s">
        <v>119</v>
      </c>
      <c r="C2346" s="27" t="s">
        <v>14</v>
      </c>
      <c r="D2346" s="27" t="s">
        <v>16</v>
      </c>
      <c r="E2346" s="28">
        <v>34831</v>
      </c>
      <c r="F2346" s="28">
        <v>149196</v>
      </c>
      <c r="G2346" s="27" t="s">
        <v>11</v>
      </c>
      <c r="H2346" s="27" t="s">
        <v>1587</v>
      </c>
      <c r="I2346" s="27" t="s">
        <v>13</v>
      </c>
    </row>
    <row r="2347" spans="1:9" x14ac:dyDescent="0.3">
      <c r="A2347" s="26">
        <v>45054</v>
      </c>
      <c r="B2347" s="27" t="s">
        <v>119</v>
      </c>
      <c r="C2347" s="27" t="s">
        <v>32</v>
      </c>
      <c r="D2347" s="27" t="s">
        <v>24</v>
      </c>
      <c r="E2347" s="28">
        <v>81384</v>
      </c>
      <c r="F2347" s="28">
        <v>90702</v>
      </c>
      <c r="G2347" s="27" t="s">
        <v>22</v>
      </c>
      <c r="H2347" s="27" t="s">
        <v>1817</v>
      </c>
      <c r="I2347" s="27" t="s">
        <v>13</v>
      </c>
    </row>
    <row r="2348" spans="1:9" x14ac:dyDescent="0.3">
      <c r="A2348" s="26">
        <v>45054</v>
      </c>
      <c r="B2348" s="27" t="s">
        <v>119</v>
      </c>
      <c r="C2348" s="27" t="s">
        <v>18</v>
      </c>
      <c r="D2348" s="27" t="s">
        <v>19</v>
      </c>
      <c r="E2348" s="28">
        <v>60451</v>
      </c>
      <c r="F2348" s="28">
        <v>141319</v>
      </c>
      <c r="G2348" s="27" t="s">
        <v>11</v>
      </c>
      <c r="H2348" s="27" t="s">
        <v>2184</v>
      </c>
      <c r="I2348" s="27" t="s">
        <v>13</v>
      </c>
    </row>
    <row r="2349" spans="1:9" x14ac:dyDescent="0.3">
      <c r="A2349" s="26">
        <v>45054</v>
      </c>
      <c r="B2349" s="27" t="s">
        <v>119</v>
      </c>
      <c r="C2349" s="27" t="s">
        <v>10</v>
      </c>
      <c r="D2349" s="27" t="s">
        <v>19</v>
      </c>
      <c r="E2349" s="28">
        <v>71594</v>
      </c>
      <c r="F2349" s="28">
        <v>17719</v>
      </c>
      <c r="G2349" s="27" t="s">
        <v>8</v>
      </c>
      <c r="H2349" s="27" t="s">
        <v>2438</v>
      </c>
      <c r="I2349" s="27" t="s">
        <v>13</v>
      </c>
    </row>
    <row r="2350" spans="1:9" x14ac:dyDescent="0.3">
      <c r="A2350" s="26">
        <v>45054</v>
      </c>
      <c r="B2350" s="27" t="s">
        <v>119</v>
      </c>
      <c r="C2350" s="27" t="s">
        <v>14</v>
      </c>
      <c r="D2350" s="27" t="s">
        <v>16</v>
      </c>
      <c r="E2350" s="28">
        <v>41135</v>
      </c>
      <c r="F2350" s="28">
        <v>106872</v>
      </c>
      <c r="G2350" s="27" t="s">
        <v>22</v>
      </c>
      <c r="H2350" s="27" t="s">
        <v>2587</v>
      </c>
      <c r="I2350" s="27" t="s">
        <v>13</v>
      </c>
    </row>
    <row r="2351" spans="1:9" x14ac:dyDescent="0.3">
      <c r="A2351" s="26">
        <v>45054</v>
      </c>
      <c r="B2351" s="27" t="s">
        <v>119</v>
      </c>
      <c r="C2351" s="27" t="s">
        <v>15</v>
      </c>
      <c r="D2351" s="27" t="s">
        <v>24</v>
      </c>
      <c r="E2351" s="28">
        <v>49218</v>
      </c>
      <c r="F2351" s="28">
        <v>64356</v>
      </c>
      <c r="G2351" s="27" t="s">
        <v>8</v>
      </c>
      <c r="H2351" s="27" t="s">
        <v>2971</v>
      </c>
      <c r="I2351" s="27" t="s">
        <v>13</v>
      </c>
    </row>
    <row r="2352" spans="1:9" x14ac:dyDescent="0.3">
      <c r="A2352" s="26">
        <v>45054</v>
      </c>
      <c r="B2352" s="27" t="s">
        <v>119</v>
      </c>
      <c r="C2352" s="27" t="s">
        <v>32</v>
      </c>
      <c r="D2352" s="27" t="s">
        <v>21</v>
      </c>
      <c r="E2352" s="28">
        <v>105153</v>
      </c>
      <c r="F2352" s="28">
        <v>105240</v>
      </c>
      <c r="G2352" s="27" t="s">
        <v>11</v>
      </c>
      <c r="H2352" s="27" t="s">
        <v>3210</v>
      </c>
      <c r="I2352" s="27" t="s">
        <v>13</v>
      </c>
    </row>
    <row r="2353" spans="1:9" x14ac:dyDescent="0.3">
      <c r="A2353" s="26">
        <v>45054</v>
      </c>
      <c r="B2353" s="27" t="s">
        <v>119</v>
      </c>
      <c r="C2353" s="27" t="s">
        <v>10</v>
      </c>
      <c r="D2353" s="27" t="s">
        <v>24</v>
      </c>
      <c r="E2353" s="28">
        <v>118872</v>
      </c>
      <c r="F2353" s="28">
        <v>45558</v>
      </c>
      <c r="G2353" s="27" t="s">
        <v>11</v>
      </c>
      <c r="H2353" s="27" t="s">
        <v>3332</v>
      </c>
      <c r="I2353" s="27" t="s">
        <v>13</v>
      </c>
    </row>
    <row r="2354" spans="1:9" x14ac:dyDescent="0.3">
      <c r="A2354" s="26">
        <v>45054</v>
      </c>
      <c r="B2354" s="27" t="s">
        <v>119</v>
      </c>
      <c r="C2354" s="27" t="s">
        <v>6</v>
      </c>
      <c r="D2354" s="27" t="s">
        <v>21</v>
      </c>
      <c r="E2354" s="28">
        <v>249900</v>
      </c>
      <c r="F2354" s="28">
        <v>324300</v>
      </c>
      <c r="G2354" s="27" t="s">
        <v>11</v>
      </c>
      <c r="H2354" s="27" t="s">
        <v>4439</v>
      </c>
      <c r="I2354" s="27" t="s">
        <v>9</v>
      </c>
    </row>
    <row r="2355" spans="1:9" x14ac:dyDescent="0.3">
      <c r="A2355" s="26">
        <v>45054</v>
      </c>
      <c r="B2355" s="27" t="s">
        <v>119</v>
      </c>
      <c r="C2355" s="27" t="s">
        <v>6</v>
      </c>
      <c r="D2355" s="27" t="s">
        <v>7</v>
      </c>
      <c r="E2355" s="28">
        <v>76300</v>
      </c>
      <c r="F2355" s="28">
        <v>73800</v>
      </c>
      <c r="G2355" s="27" t="s">
        <v>11</v>
      </c>
      <c r="H2355" s="27" t="s">
        <v>4643</v>
      </c>
      <c r="I2355" s="27" t="s">
        <v>9</v>
      </c>
    </row>
    <row r="2356" spans="1:9" x14ac:dyDescent="0.3">
      <c r="A2356" s="26">
        <v>45054</v>
      </c>
      <c r="B2356" s="27" t="s">
        <v>119</v>
      </c>
      <c r="C2356" s="27" t="s">
        <v>6</v>
      </c>
      <c r="D2356" s="27" t="s">
        <v>16</v>
      </c>
      <c r="E2356" s="28">
        <v>115800</v>
      </c>
      <c r="F2356" s="28">
        <v>134000</v>
      </c>
      <c r="G2356" s="27" t="s">
        <v>11</v>
      </c>
      <c r="H2356" s="27" t="s">
        <v>4651</v>
      </c>
      <c r="I2356" s="27" t="s">
        <v>9</v>
      </c>
    </row>
    <row r="2357" spans="1:9" x14ac:dyDescent="0.3">
      <c r="A2357" s="26">
        <v>45054</v>
      </c>
      <c r="B2357" s="27" t="s">
        <v>119</v>
      </c>
      <c r="C2357" s="27" t="s">
        <v>93</v>
      </c>
      <c r="D2357" s="27" t="s">
        <v>19</v>
      </c>
      <c r="E2357" s="28">
        <v>168900</v>
      </c>
      <c r="F2357" s="28">
        <v>201800</v>
      </c>
      <c r="G2357" s="27" t="s">
        <v>22</v>
      </c>
      <c r="H2357" s="27" t="s">
        <v>4858</v>
      </c>
      <c r="I2357" s="27" t="s">
        <v>9</v>
      </c>
    </row>
    <row r="2358" spans="1:9" x14ac:dyDescent="0.3">
      <c r="A2358" s="26">
        <v>45054</v>
      </c>
      <c r="B2358" s="27" t="s">
        <v>119</v>
      </c>
      <c r="C2358" s="27" t="s">
        <v>6</v>
      </c>
      <c r="D2358" s="27" t="s">
        <v>16</v>
      </c>
      <c r="E2358" s="28">
        <v>216800</v>
      </c>
      <c r="F2358" s="28">
        <v>237500</v>
      </c>
      <c r="G2358" s="27" t="s">
        <v>22</v>
      </c>
      <c r="H2358" s="27" t="s">
        <v>4970</v>
      </c>
      <c r="I2358" s="27" t="s">
        <v>9</v>
      </c>
    </row>
    <row r="2359" spans="1:9" x14ac:dyDescent="0.3">
      <c r="A2359" s="26">
        <v>45054</v>
      </c>
      <c r="B2359" s="27" t="s">
        <v>119</v>
      </c>
      <c r="C2359" s="27" t="s">
        <v>6</v>
      </c>
      <c r="D2359" s="27" t="s">
        <v>24</v>
      </c>
      <c r="E2359" s="28">
        <v>76300</v>
      </c>
      <c r="F2359" s="28">
        <v>64400</v>
      </c>
      <c r="G2359" s="27" t="s">
        <v>11</v>
      </c>
      <c r="H2359" s="27" t="s">
        <v>5200</v>
      </c>
      <c r="I2359" s="27" t="s">
        <v>9</v>
      </c>
    </row>
    <row r="2360" spans="1:9" x14ac:dyDescent="0.3">
      <c r="A2360" s="26">
        <v>45054</v>
      </c>
      <c r="B2360" s="27" t="s">
        <v>119</v>
      </c>
      <c r="C2360" s="27" t="s">
        <v>6</v>
      </c>
      <c r="D2360" s="27" t="s">
        <v>19</v>
      </c>
      <c r="E2360" s="28">
        <v>91000</v>
      </c>
      <c r="F2360" s="28">
        <v>119600</v>
      </c>
      <c r="G2360" s="27" t="s">
        <v>17</v>
      </c>
      <c r="H2360" s="27" t="s">
        <v>5569</v>
      </c>
      <c r="I2360" s="27" t="s">
        <v>9</v>
      </c>
    </row>
    <row r="2361" spans="1:9" x14ac:dyDescent="0.3">
      <c r="A2361" s="26">
        <v>45054</v>
      </c>
      <c r="B2361" s="27" t="s">
        <v>119</v>
      </c>
      <c r="C2361" s="27" t="s">
        <v>6</v>
      </c>
      <c r="D2361" s="27" t="s">
        <v>19</v>
      </c>
      <c r="E2361" s="28">
        <v>95300</v>
      </c>
      <c r="F2361" s="28">
        <v>95500</v>
      </c>
      <c r="G2361" s="27" t="s">
        <v>17</v>
      </c>
      <c r="H2361" s="27" t="s">
        <v>5823</v>
      </c>
      <c r="I2361" s="27" t="s">
        <v>9</v>
      </c>
    </row>
    <row r="2362" spans="1:9" x14ac:dyDescent="0.3">
      <c r="A2362" s="26">
        <v>45054</v>
      </c>
      <c r="B2362" s="27" t="s">
        <v>119</v>
      </c>
      <c r="C2362" s="27" t="s">
        <v>6</v>
      </c>
      <c r="D2362" s="27" t="s">
        <v>16</v>
      </c>
      <c r="E2362" s="28">
        <v>172400</v>
      </c>
      <c r="F2362" s="28">
        <v>207600</v>
      </c>
      <c r="G2362" s="27" t="s">
        <v>11</v>
      </c>
      <c r="H2362" s="27" t="s">
        <v>5972</v>
      </c>
      <c r="I2362" s="27" t="s">
        <v>9</v>
      </c>
    </row>
    <row r="2363" spans="1:9" x14ac:dyDescent="0.3">
      <c r="A2363" s="26">
        <v>45054</v>
      </c>
      <c r="B2363" s="27" t="s">
        <v>119</v>
      </c>
      <c r="C2363" s="27" t="s">
        <v>93</v>
      </c>
      <c r="D2363" s="27" t="s">
        <v>24</v>
      </c>
      <c r="E2363" s="28">
        <v>171300</v>
      </c>
      <c r="F2363" s="28">
        <v>161300</v>
      </c>
      <c r="G2363" s="27" t="s">
        <v>11</v>
      </c>
      <c r="H2363" s="27" t="s">
        <v>6356</v>
      </c>
      <c r="I2363" s="27" t="s">
        <v>9</v>
      </c>
    </row>
    <row r="2364" spans="1:9" x14ac:dyDescent="0.3">
      <c r="A2364" s="26">
        <v>45054</v>
      </c>
      <c r="B2364" s="27" t="s">
        <v>119</v>
      </c>
      <c r="C2364" s="27" t="s">
        <v>6</v>
      </c>
      <c r="D2364" s="27" t="s">
        <v>21</v>
      </c>
      <c r="E2364" s="28">
        <v>169600</v>
      </c>
      <c r="F2364" s="28">
        <v>155600</v>
      </c>
      <c r="G2364" s="27" t="s">
        <v>11</v>
      </c>
      <c r="H2364" s="27" t="s">
        <v>6595</v>
      </c>
      <c r="I2364" s="27" t="s">
        <v>9</v>
      </c>
    </row>
    <row r="2365" spans="1:9" x14ac:dyDescent="0.3">
      <c r="A2365" s="26">
        <v>45054</v>
      </c>
      <c r="B2365" s="27" t="s">
        <v>119</v>
      </c>
      <c r="C2365" s="27" t="s">
        <v>6</v>
      </c>
      <c r="D2365" s="27" t="s">
        <v>24</v>
      </c>
      <c r="E2365" s="28">
        <v>90400</v>
      </c>
      <c r="F2365" s="28">
        <v>110600</v>
      </c>
      <c r="G2365" s="27" t="s">
        <v>11</v>
      </c>
      <c r="H2365" s="27" t="s">
        <v>6717</v>
      </c>
      <c r="I2365" s="27" t="s">
        <v>9</v>
      </c>
    </row>
    <row r="2366" spans="1:9" x14ac:dyDescent="0.3">
      <c r="A2366" s="26">
        <v>45055</v>
      </c>
      <c r="B2366" s="27" t="s">
        <v>119</v>
      </c>
      <c r="C2366" s="27" t="s">
        <v>18</v>
      </c>
      <c r="D2366" s="27" t="s">
        <v>19</v>
      </c>
      <c r="E2366" s="28">
        <v>61186</v>
      </c>
      <c r="F2366" s="28">
        <v>155551</v>
      </c>
      <c r="G2366" s="27" t="s">
        <v>8</v>
      </c>
      <c r="H2366" s="27" t="s">
        <v>288</v>
      </c>
      <c r="I2366" s="27" t="s">
        <v>13</v>
      </c>
    </row>
    <row r="2367" spans="1:9" x14ac:dyDescent="0.3">
      <c r="A2367" s="26">
        <v>45055</v>
      </c>
      <c r="B2367" s="27" t="s">
        <v>119</v>
      </c>
      <c r="C2367" s="27" t="s">
        <v>10</v>
      </c>
      <c r="D2367" s="27" t="s">
        <v>7</v>
      </c>
      <c r="E2367" s="28">
        <v>28262</v>
      </c>
      <c r="F2367" s="28">
        <v>127101</v>
      </c>
      <c r="G2367" s="27" t="s">
        <v>8</v>
      </c>
      <c r="H2367" s="27" t="s">
        <v>666</v>
      </c>
      <c r="I2367" s="27" t="s">
        <v>13</v>
      </c>
    </row>
    <row r="2368" spans="1:9" x14ac:dyDescent="0.3">
      <c r="A2368" s="26">
        <v>45055</v>
      </c>
      <c r="B2368" s="27" t="s">
        <v>119</v>
      </c>
      <c r="C2368" s="27" t="s">
        <v>14</v>
      </c>
      <c r="D2368" s="27" t="s">
        <v>24</v>
      </c>
      <c r="E2368" s="28">
        <v>60087</v>
      </c>
      <c r="F2368" s="28">
        <v>135398</v>
      </c>
      <c r="G2368" s="27" t="s">
        <v>11</v>
      </c>
      <c r="H2368" s="27" t="s">
        <v>703</v>
      </c>
      <c r="I2368" s="27" t="s">
        <v>13</v>
      </c>
    </row>
    <row r="2369" spans="1:9" x14ac:dyDescent="0.3">
      <c r="A2369" s="26">
        <v>45055</v>
      </c>
      <c r="B2369" s="27" t="s">
        <v>119</v>
      </c>
      <c r="C2369" s="27" t="s">
        <v>15</v>
      </c>
      <c r="D2369" s="27" t="s">
        <v>7</v>
      </c>
      <c r="E2369" s="28">
        <v>116528</v>
      </c>
      <c r="F2369" s="28">
        <v>22347</v>
      </c>
      <c r="G2369" s="27" t="s">
        <v>22</v>
      </c>
      <c r="H2369" s="27" t="s">
        <v>932</v>
      </c>
      <c r="I2369" s="27" t="s">
        <v>13</v>
      </c>
    </row>
    <row r="2370" spans="1:9" x14ac:dyDescent="0.3">
      <c r="A2370" s="26">
        <v>45055</v>
      </c>
      <c r="B2370" s="27" t="s">
        <v>119</v>
      </c>
      <c r="C2370" s="27" t="s">
        <v>15</v>
      </c>
      <c r="D2370" s="27" t="s">
        <v>24</v>
      </c>
      <c r="E2370" s="28">
        <v>86227</v>
      </c>
      <c r="F2370" s="28">
        <v>148510</v>
      </c>
      <c r="G2370" s="27" t="s">
        <v>17</v>
      </c>
      <c r="H2370" s="27" t="s">
        <v>1287</v>
      </c>
      <c r="I2370" s="27" t="s">
        <v>13</v>
      </c>
    </row>
    <row r="2371" spans="1:9" x14ac:dyDescent="0.3">
      <c r="A2371" s="26">
        <v>45055</v>
      </c>
      <c r="B2371" s="27" t="s">
        <v>119</v>
      </c>
      <c r="C2371" s="27" t="s">
        <v>32</v>
      </c>
      <c r="D2371" s="27" t="s">
        <v>21</v>
      </c>
      <c r="E2371" s="28">
        <v>53322</v>
      </c>
      <c r="F2371" s="28">
        <v>144983</v>
      </c>
      <c r="G2371" s="27" t="s">
        <v>17</v>
      </c>
      <c r="H2371" s="27" t="s">
        <v>1941</v>
      </c>
      <c r="I2371" s="27" t="s">
        <v>13</v>
      </c>
    </row>
    <row r="2372" spans="1:9" x14ac:dyDescent="0.3">
      <c r="A2372" s="26">
        <v>45055</v>
      </c>
      <c r="B2372" s="27" t="s">
        <v>119</v>
      </c>
      <c r="C2372" s="27" t="s">
        <v>10</v>
      </c>
      <c r="D2372" s="27" t="s">
        <v>7</v>
      </c>
      <c r="E2372" s="28">
        <v>97617</v>
      </c>
      <c r="F2372" s="28">
        <v>51300</v>
      </c>
      <c r="G2372" s="27" t="s">
        <v>8</v>
      </c>
      <c r="H2372" s="27" t="s">
        <v>2235</v>
      </c>
      <c r="I2372" s="27" t="s">
        <v>13</v>
      </c>
    </row>
    <row r="2373" spans="1:9" x14ac:dyDescent="0.3">
      <c r="A2373" s="26">
        <v>45055</v>
      </c>
      <c r="B2373" s="27" t="s">
        <v>119</v>
      </c>
      <c r="C2373" s="27" t="s">
        <v>32</v>
      </c>
      <c r="D2373" s="27" t="s">
        <v>19</v>
      </c>
      <c r="E2373" s="28">
        <v>90532</v>
      </c>
      <c r="F2373" s="28">
        <v>40606</v>
      </c>
      <c r="G2373" s="27" t="s">
        <v>11</v>
      </c>
      <c r="H2373" s="27" t="s">
        <v>2357</v>
      </c>
      <c r="I2373" s="27" t="s">
        <v>13</v>
      </c>
    </row>
    <row r="2374" spans="1:9" x14ac:dyDescent="0.3">
      <c r="A2374" s="26">
        <v>45055</v>
      </c>
      <c r="B2374" s="27" t="s">
        <v>119</v>
      </c>
      <c r="C2374" s="27" t="s">
        <v>32</v>
      </c>
      <c r="D2374" s="27" t="s">
        <v>19</v>
      </c>
      <c r="E2374" s="28">
        <v>100743</v>
      </c>
      <c r="F2374" s="28">
        <v>126428</v>
      </c>
      <c r="G2374" s="27" t="s">
        <v>8</v>
      </c>
      <c r="H2374" s="27" t="s">
        <v>2673</v>
      </c>
      <c r="I2374" s="27" t="s">
        <v>13</v>
      </c>
    </row>
    <row r="2375" spans="1:9" x14ac:dyDescent="0.3">
      <c r="A2375" s="26">
        <v>45055</v>
      </c>
      <c r="B2375" s="27" t="s">
        <v>119</v>
      </c>
      <c r="C2375" s="27" t="s">
        <v>6</v>
      </c>
      <c r="D2375" s="27" t="s">
        <v>19</v>
      </c>
      <c r="E2375" s="28">
        <v>205600</v>
      </c>
      <c r="F2375" s="28">
        <v>213700</v>
      </c>
      <c r="G2375" s="27" t="s">
        <v>11</v>
      </c>
      <c r="H2375" s="27" t="s">
        <v>3669</v>
      </c>
      <c r="I2375" s="27" t="s">
        <v>9</v>
      </c>
    </row>
    <row r="2376" spans="1:9" x14ac:dyDescent="0.3">
      <c r="A2376" s="26">
        <v>45055</v>
      </c>
      <c r="B2376" s="27" t="s">
        <v>119</v>
      </c>
      <c r="C2376" s="27" t="s">
        <v>93</v>
      </c>
      <c r="D2376" s="27" t="s">
        <v>7</v>
      </c>
      <c r="E2376" s="28">
        <v>59600</v>
      </c>
      <c r="F2376" s="28">
        <v>60700</v>
      </c>
      <c r="G2376" s="27" t="s">
        <v>11</v>
      </c>
      <c r="H2376" s="27" t="s">
        <v>4047</v>
      </c>
      <c r="I2376" s="27" t="s">
        <v>9</v>
      </c>
    </row>
    <row r="2377" spans="1:9" x14ac:dyDescent="0.3">
      <c r="A2377" s="26">
        <v>45055</v>
      </c>
      <c r="B2377" s="27" t="s">
        <v>119</v>
      </c>
      <c r="C2377" s="27" t="s">
        <v>93</v>
      </c>
      <c r="D2377" s="27" t="s">
        <v>24</v>
      </c>
      <c r="E2377" s="28">
        <v>110200</v>
      </c>
      <c r="F2377" s="28">
        <v>136200</v>
      </c>
      <c r="G2377" s="27" t="s">
        <v>22</v>
      </c>
      <c r="H2377" s="27" t="s">
        <v>4084</v>
      </c>
      <c r="I2377" s="27" t="s">
        <v>9</v>
      </c>
    </row>
    <row r="2378" spans="1:9" x14ac:dyDescent="0.3">
      <c r="A2378" s="26">
        <v>45055</v>
      </c>
      <c r="B2378" s="27" t="s">
        <v>119</v>
      </c>
      <c r="C2378" s="27" t="s">
        <v>93</v>
      </c>
      <c r="D2378" s="27" t="s">
        <v>7</v>
      </c>
      <c r="E2378" s="28">
        <v>120800</v>
      </c>
      <c r="F2378" s="28">
        <v>114900</v>
      </c>
      <c r="G2378" s="27" t="s">
        <v>11</v>
      </c>
      <c r="H2378" s="27" t="s">
        <v>4313</v>
      </c>
      <c r="I2378" s="27" t="s">
        <v>9</v>
      </c>
    </row>
    <row r="2379" spans="1:9" x14ac:dyDescent="0.3">
      <c r="A2379" s="26">
        <v>45055</v>
      </c>
      <c r="B2379" s="27" t="s">
        <v>119</v>
      </c>
      <c r="C2379" s="27" t="s">
        <v>6</v>
      </c>
      <c r="D2379" s="27" t="s">
        <v>24</v>
      </c>
      <c r="E2379" s="28">
        <v>104600</v>
      </c>
      <c r="F2379" s="28">
        <v>104800</v>
      </c>
      <c r="G2379" s="27" t="s">
        <v>22</v>
      </c>
      <c r="H2379" s="27" t="s">
        <v>4670</v>
      </c>
      <c r="I2379" s="27" t="s">
        <v>9</v>
      </c>
    </row>
    <row r="2380" spans="1:9" x14ac:dyDescent="0.3">
      <c r="A2380" s="26">
        <v>45055</v>
      </c>
      <c r="B2380" s="27" t="s">
        <v>119</v>
      </c>
      <c r="C2380" s="27" t="s">
        <v>6</v>
      </c>
      <c r="D2380" s="27" t="s">
        <v>21</v>
      </c>
      <c r="E2380" s="28">
        <v>96700</v>
      </c>
      <c r="F2380" s="28">
        <v>117900</v>
      </c>
      <c r="G2380" s="27" t="s">
        <v>11</v>
      </c>
      <c r="H2380" s="27" t="s">
        <v>5325</v>
      </c>
      <c r="I2380" s="27" t="s">
        <v>9</v>
      </c>
    </row>
    <row r="2381" spans="1:9" x14ac:dyDescent="0.3">
      <c r="A2381" s="26">
        <v>45055</v>
      </c>
      <c r="B2381" s="27" t="s">
        <v>119</v>
      </c>
      <c r="C2381" s="27" t="s">
        <v>93</v>
      </c>
      <c r="D2381" s="27" t="s">
        <v>7</v>
      </c>
      <c r="E2381" s="28">
        <v>99300</v>
      </c>
      <c r="F2381" s="28">
        <v>83400</v>
      </c>
      <c r="G2381" s="27" t="s">
        <v>17</v>
      </c>
      <c r="H2381" s="27" t="s">
        <v>5620</v>
      </c>
      <c r="I2381" s="27" t="s">
        <v>9</v>
      </c>
    </row>
    <row r="2382" spans="1:9" x14ac:dyDescent="0.3">
      <c r="A2382" s="26">
        <v>45055</v>
      </c>
      <c r="B2382" s="27" t="s">
        <v>119</v>
      </c>
      <c r="C2382" s="27" t="s">
        <v>6</v>
      </c>
      <c r="D2382" s="27" t="s">
        <v>19</v>
      </c>
      <c r="E2382" s="28">
        <v>60000</v>
      </c>
      <c r="F2382" s="28">
        <v>65600</v>
      </c>
      <c r="G2382" s="27" t="s">
        <v>11</v>
      </c>
      <c r="H2382" s="27" t="s">
        <v>5742</v>
      </c>
      <c r="I2382" s="27" t="s">
        <v>9</v>
      </c>
    </row>
    <row r="2383" spans="1:9" x14ac:dyDescent="0.3">
      <c r="A2383" s="26">
        <v>45055</v>
      </c>
      <c r="B2383" s="27" t="s">
        <v>119</v>
      </c>
      <c r="C2383" s="27" t="s">
        <v>93</v>
      </c>
      <c r="D2383" s="27" t="s">
        <v>19</v>
      </c>
      <c r="E2383" s="28">
        <v>81600</v>
      </c>
      <c r="F2383" s="28">
        <v>83500</v>
      </c>
      <c r="G2383" s="27" t="s">
        <v>22</v>
      </c>
      <c r="H2383" s="27" t="s">
        <v>6058</v>
      </c>
      <c r="I2383" s="27" t="s">
        <v>9</v>
      </c>
    </row>
    <row r="2384" spans="1:9" x14ac:dyDescent="0.3">
      <c r="A2384" s="26">
        <v>45056</v>
      </c>
      <c r="B2384" s="27" t="s">
        <v>119</v>
      </c>
      <c r="C2384" s="27" t="s">
        <v>10</v>
      </c>
      <c r="D2384" s="27" t="s">
        <v>19</v>
      </c>
      <c r="E2384" s="28">
        <v>77052</v>
      </c>
      <c r="F2384" s="28">
        <v>162812</v>
      </c>
      <c r="G2384" s="27" t="s">
        <v>8</v>
      </c>
      <c r="H2384" s="27" t="s">
        <v>768</v>
      </c>
      <c r="I2384" s="27" t="s">
        <v>13</v>
      </c>
    </row>
    <row r="2385" spans="1:9" x14ac:dyDescent="0.3">
      <c r="A2385" s="26">
        <v>45056</v>
      </c>
      <c r="B2385" s="27" t="s">
        <v>119</v>
      </c>
      <c r="C2385" s="27" t="s">
        <v>18</v>
      </c>
      <c r="D2385" s="27" t="s">
        <v>19</v>
      </c>
      <c r="E2385" s="28">
        <v>139808</v>
      </c>
      <c r="F2385" s="28">
        <v>49534</v>
      </c>
      <c r="G2385" s="27" t="s">
        <v>8</v>
      </c>
      <c r="H2385" s="27" t="s">
        <v>1176</v>
      </c>
      <c r="I2385" s="27" t="s">
        <v>13</v>
      </c>
    </row>
    <row r="2386" spans="1:9" x14ac:dyDescent="0.3">
      <c r="A2386" s="26">
        <v>45056</v>
      </c>
      <c r="B2386" s="27" t="s">
        <v>119</v>
      </c>
      <c r="C2386" s="27" t="s">
        <v>20</v>
      </c>
      <c r="D2386" s="27" t="s">
        <v>19</v>
      </c>
      <c r="E2386" s="28">
        <v>133327</v>
      </c>
      <c r="F2386" s="28">
        <v>56736</v>
      </c>
      <c r="G2386" s="27" t="s">
        <v>22</v>
      </c>
      <c r="H2386" s="27" t="s">
        <v>1205</v>
      </c>
      <c r="I2386" s="27" t="s">
        <v>13</v>
      </c>
    </row>
    <row r="2387" spans="1:9" x14ac:dyDescent="0.3">
      <c r="A2387" s="26">
        <v>45056</v>
      </c>
      <c r="B2387" s="27" t="s">
        <v>119</v>
      </c>
      <c r="C2387" s="27" t="s">
        <v>10</v>
      </c>
      <c r="D2387" s="27" t="s">
        <v>21</v>
      </c>
      <c r="E2387" s="28">
        <v>144276</v>
      </c>
      <c r="F2387" s="28">
        <v>48310</v>
      </c>
      <c r="G2387" s="27" t="s">
        <v>22</v>
      </c>
      <c r="H2387" s="27" t="s">
        <v>1827</v>
      </c>
      <c r="I2387" s="27" t="s">
        <v>13</v>
      </c>
    </row>
    <row r="2388" spans="1:9" x14ac:dyDescent="0.3">
      <c r="A2388" s="26">
        <v>45056</v>
      </c>
      <c r="B2388" s="27" t="s">
        <v>119</v>
      </c>
      <c r="C2388" s="27" t="s">
        <v>10</v>
      </c>
      <c r="D2388" s="27" t="s">
        <v>24</v>
      </c>
      <c r="E2388" s="28">
        <v>116940</v>
      </c>
      <c r="F2388" s="28">
        <v>147908</v>
      </c>
      <c r="G2388" s="27" t="s">
        <v>8</v>
      </c>
      <c r="H2388" s="27" t="s">
        <v>2257</v>
      </c>
      <c r="I2388" s="27" t="s">
        <v>13</v>
      </c>
    </row>
    <row r="2389" spans="1:9" x14ac:dyDescent="0.3">
      <c r="A2389" s="26">
        <v>45056</v>
      </c>
      <c r="B2389" s="27" t="s">
        <v>119</v>
      </c>
      <c r="C2389" s="27" t="s">
        <v>20</v>
      </c>
      <c r="D2389" s="27" t="s">
        <v>19</v>
      </c>
      <c r="E2389" s="28">
        <v>68882</v>
      </c>
      <c r="F2389" s="28">
        <v>109196</v>
      </c>
      <c r="G2389" s="27" t="s">
        <v>8</v>
      </c>
      <c r="H2389" s="27" t="s">
        <v>2633</v>
      </c>
      <c r="I2389" s="27" t="s">
        <v>13</v>
      </c>
    </row>
    <row r="2390" spans="1:9" x14ac:dyDescent="0.3">
      <c r="A2390" s="26">
        <v>45056</v>
      </c>
      <c r="B2390" s="27" t="s">
        <v>119</v>
      </c>
      <c r="C2390" s="27" t="s">
        <v>93</v>
      </c>
      <c r="D2390" s="27" t="s">
        <v>19</v>
      </c>
      <c r="E2390" s="28">
        <v>77600</v>
      </c>
      <c r="F2390" s="28">
        <v>53800</v>
      </c>
      <c r="G2390" s="27" t="s">
        <v>22</v>
      </c>
      <c r="H2390" s="27" t="s">
        <v>4149</v>
      </c>
      <c r="I2390" s="27" t="s">
        <v>9</v>
      </c>
    </row>
    <row r="2391" spans="1:9" x14ac:dyDescent="0.3">
      <c r="A2391" s="26">
        <v>45056</v>
      </c>
      <c r="B2391" s="27" t="s">
        <v>119</v>
      </c>
      <c r="C2391" s="27" t="s">
        <v>93</v>
      </c>
      <c r="D2391" s="27" t="s">
        <v>19</v>
      </c>
      <c r="E2391" s="28">
        <v>151000</v>
      </c>
      <c r="F2391" s="28">
        <v>168800</v>
      </c>
      <c r="G2391" s="27" t="s">
        <v>11</v>
      </c>
      <c r="H2391" s="27" t="s">
        <v>4559</v>
      </c>
      <c r="I2391" s="27" t="s">
        <v>9</v>
      </c>
    </row>
    <row r="2392" spans="1:9" x14ac:dyDescent="0.3">
      <c r="A2392" s="26">
        <v>45056</v>
      </c>
      <c r="B2392" s="27" t="s">
        <v>119</v>
      </c>
      <c r="C2392" s="27" t="s">
        <v>93</v>
      </c>
      <c r="D2392" s="27" t="s">
        <v>19</v>
      </c>
      <c r="E2392" s="28">
        <v>126300</v>
      </c>
      <c r="F2392" s="28">
        <v>115400</v>
      </c>
      <c r="G2392" s="27" t="s">
        <v>22</v>
      </c>
      <c r="H2392" s="27" t="s">
        <v>4588</v>
      </c>
      <c r="I2392" s="27" t="s">
        <v>9</v>
      </c>
    </row>
    <row r="2393" spans="1:9" x14ac:dyDescent="0.3">
      <c r="A2393" s="26">
        <v>45056</v>
      </c>
      <c r="B2393" s="27" t="s">
        <v>119</v>
      </c>
      <c r="C2393" s="27" t="s">
        <v>93</v>
      </c>
      <c r="D2393" s="27" t="s">
        <v>21</v>
      </c>
      <c r="E2393" s="28">
        <v>257900</v>
      </c>
      <c r="F2393" s="28">
        <v>293100</v>
      </c>
      <c r="G2393" s="27" t="s">
        <v>11</v>
      </c>
      <c r="H2393" s="27" t="s">
        <v>5210</v>
      </c>
      <c r="I2393" s="27" t="s">
        <v>9</v>
      </c>
    </row>
    <row r="2394" spans="1:9" x14ac:dyDescent="0.3">
      <c r="A2394" s="26">
        <v>45056</v>
      </c>
      <c r="B2394" s="27" t="s">
        <v>119</v>
      </c>
      <c r="C2394" s="27" t="s">
        <v>6</v>
      </c>
      <c r="D2394" s="27" t="s">
        <v>24</v>
      </c>
      <c r="E2394" s="28">
        <v>253700</v>
      </c>
      <c r="F2394" s="28">
        <v>201400</v>
      </c>
      <c r="G2394" s="27" t="s">
        <v>17</v>
      </c>
      <c r="H2394" s="27" t="s">
        <v>5642</v>
      </c>
      <c r="I2394" s="27" t="s">
        <v>9</v>
      </c>
    </row>
    <row r="2395" spans="1:9" x14ac:dyDescent="0.3">
      <c r="A2395" s="26">
        <v>45056</v>
      </c>
      <c r="B2395" s="27" t="s">
        <v>119</v>
      </c>
      <c r="C2395" s="27" t="s">
        <v>93</v>
      </c>
      <c r="D2395" s="27" t="s">
        <v>19</v>
      </c>
      <c r="E2395" s="28">
        <v>88500</v>
      </c>
      <c r="F2395" s="28">
        <v>97400</v>
      </c>
      <c r="G2395" s="27" t="s">
        <v>11</v>
      </c>
      <c r="H2395" s="27" t="s">
        <v>6018</v>
      </c>
      <c r="I2395" s="27" t="s">
        <v>9</v>
      </c>
    </row>
    <row r="2396" spans="1:9" x14ac:dyDescent="0.3">
      <c r="A2396" s="26">
        <v>45057</v>
      </c>
      <c r="B2396" s="27" t="s">
        <v>119</v>
      </c>
      <c r="C2396" s="27" t="s">
        <v>10</v>
      </c>
      <c r="D2396" s="27" t="s">
        <v>21</v>
      </c>
      <c r="E2396" s="28">
        <v>126096</v>
      </c>
      <c r="F2396" s="28">
        <v>43048</v>
      </c>
      <c r="G2396" s="27" t="s">
        <v>22</v>
      </c>
      <c r="H2396" s="27" t="s">
        <v>128</v>
      </c>
      <c r="I2396" s="27" t="s">
        <v>13</v>
      </c>
    </row>
    <row r="2397" spans="1:9" x14ac:dyDescent="0.3">
      <c r="A2397" s="26">
        <v>45057</v>
      </c>
      <c r="B2397" s="27" t="s">
        <v>119</v>
      </c>
      <c r="C2397" s="27" t="s">
        <v>10</v>
      </c>
      <c r="D2397" s="27" t="s">
        <v>19</v>
      </c>
      <c r="E2397" s="28">
        <v>113137</v>
      </c>
      <c r="F2397" s="28">
        <v>51882</v>
      </c>
      <c r="G2397" s="27" t="s">
        <v>22</v>
      </c>
      <c r="H2397" s="27" t="s">
        <v>183</v>
      </c>
      <c r="I2397" s="27" t="s">
        <v>13</v>
      </c>
    </row>
    <row r="2398" spans="1:9" x14ac:dyDescent="0.3">
      <c r="A2398" s="26">
        <v>45057</v>
      </c>
      <c r="B2398" s="27" t="s">
        <v>119</v>
      </c>
      <c r="C2398" s="27" t="s">
        <v>32</v>
      </c>
      <c r="D2398" s="27" t="s">
        <v>19</v>
      </c>
      <c r="E2398" s="28">
        <v>130148</v>
      </c>
      <c r="F2398" s="28">
        <v>68926</v>
      </c>
      <c r="G2398" s="27" t="s">
        <v>22</v>
      </c>
      <c r="H2398" s="27" t="s">
        <v>1096</v>
      </c>
      <c r="I2398" s="27" t="s">
        <v>13</v>
      </c>
    </row>
    <row r="2399" spans="1:9" x14ac:dyDescent="0.3">
      <c r="A2399" s="26">
        <v>45057</v>
      </c>
      <c r="B2399" s="27" t="s">
        <v>119</v>
      </c>
      <c r="C2399" s="27" t="s">
        <v>10</v>
      </c>
      <c r="D2399" s="27" t="s">
        <v>7</v>
      </c>
      <c r="E2399" s="28">
        <v>72538</v>
      </c>
      <c r="F2399" s="28">
        <v>150302</v>
      </c>
      <c r="G2399" s="27" t="s">
        <v>8</v>
      </c>
      <c r="H2399" s="27" t="s">
        <v>2201</v>
      </c>
      <c r="I2399" s="27" t="s">
        <v>13</v>
      </c>
    </row>
    <row r="2400" spans="1:9" x14ac:dyDescent="0.3">
      <c r="A2400" s="26">
        <v>45057</v>
      </c>
      <c r="B2400" s="27" t="s">
        <v>119</v>
      </c>
      <c r="C2400" s="27" t="s">
        <v>10</v>
      </c>
      <c r="D2400" s="27" t="s">
        <v>19</v>
      </c>
      <c r="E2400" s="28">
        <v>12653</v>
      </c>
      <c r="F2400" s="28">
        <v>84531</v>
      </c>
      <c r="G2400" s="27" t="s">
        <v>11</v>
      </c>
      <c r="H2400" s="27" t="s">
        <v>2368</v>
      </c>
      <c r="I2400" s="27" t="s">
        <v>13</v>
      </c>
    </row>
    <row r="2401" spans="1:9" x14ac:dyDescent="0.3">
      <c r="A2401" s="26">
        <v>45057</v>
      </c>
      <c r="B2401" s="27" t="s">
        <v>119</v>
      </c>
      <c r="C2401" s="27" t="s">
        <v>15</v>
      </c>
      <c r="D2401" s="27" t="s">
        <v>19</v>
      </c>
      <c r="E2401" s="28">
        <v>131101</v>
      </c>
      <c r="F2401" s="28">
        <v>57921</v>
      </c>
      <c r="G2401" s="27" t="s">
        <v>17</v>
      </c>
      <c r="H2401" s="27" t="s">
        <v>3266</v>
      </c>
      <c r="I2401" s="27" t="s">
        <v>13</v>
      </c>
    </row>
    <row r="2402" spans="1:9" x14ac:dyDescent="0.3">
      <c r="A2402" s="26">
        <v>45057</v>
      </c>
      <c r="B2402" s="27" t="s">
        <v>119</v>
      </c>
      <c r="C2402" s="27" t="s">
        <v>93</v>
      </c>
      <c r="D2402" s="27" t="s">
        <v>21</v>
      </c>
      <c r="E2402" s="28">
        <v>149400</v>
      </c>
      <c r="F2402" s="28">
        <v>153100</v>
      </c>
      <c r="G2402" s="27" t="s">
        <v>11</v>
      </c>
      <c r="H2402" s="27" t="s">
        <v>3439</v>
      </c>
      <c r="I2402" s="27" t="s">
        <v>9</v>
      </c>
    </row>
    <row r="2403" spans="1:9" x14ac:dyDescent="0.3">
      <c r="A2403" s="26">
        <v>45057</v>
      </c>
      <c r="B2403" s="27" t="s">
        <v>119</v>
      </c>
      <c r="C2403" s="27" t="s">
        <v>6</v>
      </c>
      <c r="D2403" s="27" t="s">
        <v>19</v>
      </c>
      <c r="E2403" s="28">
        <v>64700</v>
      </c>
      <c r="F2403" s="28">
        <v>63200</v>
      </c>
      <c r="G2403" s="27" t="s">
        <v>11</v>
      </c>
      <c r="H2403" s="27" t="s">
        <v>3564</v>
      </c>
      <c r="I2403" s="27" t="s">
        <v>9</v>
      </c>
    </row>
    <row r="2404" spans="1:9" x14ac:dyDescent="0.3">
      <c r="A2404" s="26">
        <v>45057</v>
      </c>
      <c r="B2404" s="27" t="s">
        <v>119</v>
      </c>
      <c r="C2404" s="27" t="s">
        <v>6</v>
      </c>
      <c r="D2404" s="27" t="s">
        <v>19</v>
      </c>
      <c r="E2404" s="28">
        <v>204800</v>
      </c>
      <c r="F2404" s="28">
        <v>258900</v>
      </c>
      <c r="G2404" s="27" t="s">
        <v>11</v>
      </c>
      <c r="H2404" s="27" t="s">
        <v>4478</v>
      </c>
      <c r="I2404" s="27" t="s">
        <v>9</v>
      </c>
    </row>
    <row r="2405" spans="1:9" x14ac:dyDescent="0.3">
      <c r="A2405" s="26">
        <v>45057</v>
      </c>
      <c r="B2405" s="27" t="s">
        <v>119</v>
      </c>
      <c r="C2405" s="27" t="s">
        <v>93</v>
      </c>
      <c r="D2405" s="27" t="s">
        <v>7</v>
      </c>
      <c r="E2405" s="28">
        <v>94000</v>
      </c>
      <c r="F2405" s="28">
        <v>108900</v>
      </c>
      <c r="G2405" s="27" t="s">
        <v>17</v>
      </c>
      <c r="H2405" s="27" t="s">
        <v>5586</v>
      </c>
      <c r="I2405" s="27" t="s">
        <v>9</v>
      </c>
    </row>
    <row r="2406" spans="1:9" x14ac:dyDescent="0.3">
      <c r="A2406" s="26">
        <v>45057</v>
      </c>
      <c r="B2406" s="27" t="s">
        <v>119</v>
      </c>
      <c r="C2406" s="27" t="s">
        <v>6</v>
      </c>
      <c r="D2406" s="27" t="s">
        <v>19</v>
      </c>
      <c r="E2406" s="28">
        <v>167400</v>
      </c>
      <c r="F2406" s="28">
        <v>206000</v>
      </c>
      <c r="G2406" s="27" t="s">
        <v>22</v>
      </c>
      <c r="H2406" s="27" t="s">
        <v>5753</v>
      </c>
      <c r="I2406" s="27" t="s">
        <v>9</v>
      </c>
    </row>
    <row r="2407" spans="1:9" x14ac:dyDescent="0.3">
      <c r="A2407" s="26">
        <v>45057</v>
      </c>
      <c r="B2407" s="27" t="s">
        <v>119</v>
      </c>
      <c r="C2407" s="27" t="s">
        <v>93</v>
      </c>
      <c r="D2407" s="27" t="s">
        <v>19</v>
      </c>
      <c r="E2407" s="28">
        <v>95600</v>
      </c>
      <c r="F2407" s="28">
        <v>74100</v>
      </c>
      <c r="G2407" s="27" t="s">
        <v>11</v>
      </c>
      <c r="H2407" s="27" t="s">
        <v>6651</v>
      </c>
      <c r="I2407" s="27" t="s">
        <v>9</v>
      </c>
    </row>
    <row r="2408" spans="1:9" x14ac:dyDescent="0.3">
      <c r="A2408" s="26">
        <v>45058</v>
      </c>
      <c r="B2408" s="27" t="s">
        <v>119</v>
      </c>
      <c r="C2408" s="27" t="s">
        <v>32</v>
      </c>
      <c r="D2408" s="27" t="s">
        <v>7</v>
      </c>
      <c r="E2408" s="28">
        <v>117753</v>
      </c>
      <c r="F2408" s="28">
        <v>124458</v>
      </c>
      <c r="G2408" s="27" t="s">
        <v>22</v>
      </c>
      <c r="H2408" s="27" t="s">
        <v>580</v>
      </c>
      <c r="I2408" s="27" t="s">
        <v>13</v>
      </c>
    </row>
    <row r="2409" spans="1:9" x14ac:dyDescent="0.3">
      <c r="A2409" s="26">
        <v>45058</v>
      </c>
      <c r="B2409" s="27" t="s">
        <v>119</v>
      </c>
      <c r="C2409" s="27" t="s">
        <v>10</v>
      </c>
      <c r="D2409" s="27" t="s">
        <v>21</v>
      </c>
      <c r="E2409" s="28">
        <v>144835</v>
      </c>
      <c r="F2409" s="28">
        <v>56507</v>
      </c>
      <c r="G2409" s="27" t="s">
        <v>8</v>
      </c>
      <c r="H2409" s="27" t="s">
        <v>601</v>
      </c>
      <c r="I2409" s="27" t="s">
        <v>13</v>
      </c>
    </row>
    <row r="2410" spans="1:9" x14ac:dyDescent="0.3">
      <c r="A2410" s="26">
        <v>45058</v>
      </c>
      <c r="B2410" s="27" t="s">
        <v>119</v>
      </c>
      <c r="C2410" s="27" t="s">
        <v>32</v>
      </c>
      <c r="D2410" s="27" t="s">
        <v>19</v>
      </c>
      <c r="E2410" s="28">
        <v>15126</v>
      </c>
      <c r="F2410" s="28">
        <v>38666</v>
      </c>
      <c r="G2410" s="27" t="s">
        <v>22</v>
      </c>
      <c r="H2410" s="27" t="s">
        <v>875</v>
      </c>
      <c r="I2410" s="27" t="s">
        <v>13</v>
      </c>
    </row>
    <row r="2411" spans="1:9" x14ac:dyDescent="0.3">
      <c r="A2411" s="26">
        <v>45058</v>
      </c>
      <c r="B2411" s="27" t="s">
        <v>119</v>
      </c>
      <c r="C2411" s="27" t="s">
        <v>20</v>
      </c>
      <c r="D2411" s="27" t="s">
        <v>16</v>
      </c>
      <c r="E2411" s="28">
        <v>132544</v>
      </c>
      <c r="F2411" s="28">
        <v>116025</v>
      </c>
      <c r="G2411" s="27" t="s">
        <v>17</v>
      </c>
      <c r="H2411" s="27" t="s">
        <v>1345</v>
      </c>
      <c r="I2411" s="27" t="s">
        <v>13</v>
      </c>
    </row>
    <row r="2412" spans="1:9" x14ac:dyDescent="0.3">
      <c r="A2412" s="26">
        <v>45058</v>
      </c>
      <c r="B2412" s="27" t="s">
        <v>119</v>
      </c>
      <c r="C2412" s="27" t="s">
        <v>18</v>
      </c>
      <c r="D2412" s="27" t="s">
        <v>21</v>
      </c>
      <c r="E2412" s="28">
        <v>121133</v>
      </c>
      <c r="F2412" s="28">
        <v>61156</v>
      </c>
      <c r="G2412" s="27" t="s">
        <v>8</v>
      </c>
      <c r="H2412" s="27" t="s">
        <v>1620</v>
      </c>
      <c r="I2412" s="27" t="s">
        <v>13</v>
      </c>
    </row>
    <row r="2413" spans="1:9" x14ac:dyDescent="0.3">
      <c r="A2413" s="26">
        <v>45058</v>
      </c>
      <c r="B2413" s="27" t="s">
        <v>119</v>
      </c>
      <c r="C2413" s="27" t="s">
        <v>10</v>
      </c>
      <c r="D2413" s="27" t="s">
        <v>21</v>
      </c>
      <c r="E2413" s="28">
        <v>109089</v>
      </c>
      <c r="F2413" s="28">
        <v>131140</v>
      </c>
      <c r="G2413" s="27" t="s">
        <v>8</v>
      </c>
      <c r="H2413" s="27" t="s">
        <v>1747</v>
      </c>
      <c r="I2413" s="27" t="s">
        <v>13</v>
      </c>
    </row>
    <row r="2414" spans="1:9" x14ac:dyDescent="0.3">
      <c r="A2414" s="26">
        <v>45058</v>
      </c>
      <c r="B2414" s="27" t="s">
        <v>119</v>
      </c>
      <c r="C2414" s="27" t="s">
        <v>10</v>
      </c>
      <c r="D2414" s="27" t="s">
        <v>24</v>
      </c>
      <c r="E2414" s="28">
        <v>125016</v>
      </c>
      <c r="F2414" s="28">
        <v>57801</v>
      </c>
      <c r="G2414" s="27" t="s">
        <v>17</v>
      </c>
      <c r="H2414" s="27" t="s">
        <v>1894</v>
      </c>
      <c r="I2414" s="27" t="s">
        <v>13</v>
      </c>
    </row>
    <row r="2415" spans="1:9" x14ac:dyDescent="0.3">
      <c r="A2415" s="26">
        <v>45058</v>
      </c>
      <c r="B2415" s="27" t="s">
        <v>119</v>
      </c>
      <c r="C2415" s="27" t="s">
        <v>14</v>
      </c>
      <c r="D2415" s="27" t="s">
        <v>7</v>
      </c>
      <c r="E2415" s="28">
        <v>39558</v>
      </c>
      <c r="F2415" s="28">
        <v>158291</v>
      </c>
      <c r="G2415" s="27" t="s">
        <v>8</v>
      </c>
      <c r="H2415" s="27" t="s">
        <v>2514</v>
      </c>
      <c r="I2415" s="27" t="s">
        <v>13</v>
      </c>
    </row>
    <row r="2416" spans="1:9" x14ac:dyDescent="0.3">
      <c r="A2416" s="26">
        <v>45058</v>
      </c>
      <c r="B2416" s="27" t="s">
        <v>119</v>
      </c>
      <c r="C2416" s="27" t="s">
        <v>6</v>
      </c>
      <c r="D2416" s="27" t="s">
        <v>7</v>
      </c>
      <c r="E2416" s="28">
        <v>115900</v>
      </c>
      <c r="F2416" s="28">
        <v>98000</v>
      </c>
      <c r="G2416" s="27" t="s">
        <v>11</v>
      </c>
      <c r="H2416" s="27" t="s">
        <v>3961</v>
      </c>
      <c r="I2416" s="27" t="s">
        <v>9</v>
      </c>
    </row>
    <row r="2417" spans="1:9" x14ac:dyDescent="0.3">
      <c r="A2417" s="26">
        <v>45058</v>
      </c>
      <c r="B2417" s="27" t="s">
        <v>119</v>
      </c>
      <c r="C2417" s="27" t="s">
        <v>93</v>
      </c>
      <c r="D2417" s="27" t="s">
        <v>21</v>
      </c>
      <c r="E2417" s="28">
        <v>148700</v>
      </c>
      <c r="F2417" s="28">
        <v>137600</v>
      </c>
      <c r="G2417" s="27" t="s">
        <v>22</v>
      </c>
      <c r="H2417" s="27" t="s">
        <v>3982</v>
      </c>
      <c r="I2417" s="27" t="s">
        <v>9</v>
      </c>
    </row>
    <row r="2418" spans="1:9" x14ac:dyDescent="0.3">
      <c r="A2418" s="26">
        <v>45058</v>
      </c>
      <c r="B2418" s="27" t="s">
        <v>119</v>
      </c>
      <c r="C2418" s="27" t="s">
        <v>6</v>
      </c>
      <c r="D2418" s="27" t="s">
        <v>19</v>
      </c>
      <c r="E2418" s="28">
        <v>62600</v>
      </c>
      <c r="F2418" s="28">
        <v>86400</v>
      </c>
      <c r="G2418" s="27" t="s">
        <v>17</v>
      </c>
      <c r="H2418" s="27" t="s">
        <v>4256</v>
      </c>
      <c r="I2418" s="27" t="s">
        <v>9</v>
      </c>
    </row>
    <row r="2419" spans="1:9" x14ac:dyDescent="0.3">
      <c r="A2419" s="26">
        <v>45058</v>
      </c>
      <c r="B2419" s="27" t="s">
        <v>119</v>
      </c>
      <c r="C2419" s="27" t="s">
        <v>6</v>
      </c>
      <c r="D2419" s="27" t="s">
        <v>16</v>
      </c>
      <c r="E2419" s="28">
        <v>160700</v>
      </c>
      <c r="F2419" s="28">
        <v>137600</v>
      </c>
      <c r="G2419" s="27" t="s">
        <v>22</v>
      </c>
      <c r="H2419" s="27" t="s">
        <v>4728</v>
      </c>
      <c r="I2419" s="27" t="s">
        <v>9</v>
      </c>
    </row>
    <row r="2420" spans="1:9" x14ac:dyDescent="0.3">
      <c r="A2420" s="26">
        <v>45058</v>
      </c>
      <c r="B2420" s="27" t="s">
        <v>119</v>
      </c>
      <c r="C2420" s="27" t="s">
        <v>93</v>
      </c>
      <c r="D2420" s="27" t="s">
        <v>21</v>
      </c>
      <c r="E2420" s="28">
        <v>100300</v>
      </c>
      <c r="F2420" s="28">
        <v>124300</v>
      </c>
      <c r="G2420" s="27" t="s">
        <v>22</v>
      </c>
      <c r="H2420" s="27" t="s">
        <v>5003</v>
      </c>
      <c r="I2420" s="27" t="s">
        <v>9</v>
      </c>
    </row>
    <row r="2421" spans="1:9" x14ac:dyDescent="0.3">
      <c r="A2421" s="26">
        <v>45058</v>
      </c>
      <c r="B2421" s="27" t="s">
        <v>119</v>
      </c>
      <c r="C2421" s="27" t="s">
        <v>93</v>
      </c>
      <c r="D2421" s="27" t="s">
        <v>21</v>
      </c>
      <c r="E2421" s="28">
        <v>95600</v>
      </c>
      <c r="F2421" s="28">
        <v>103300</v>
      </c>
      <c r="G2421" s="27" t="s">
        <v>17</v>
      </c>
      <c r="H2421" s="27" t="s">
        <v>5130</v>
      </c>
      <c r="I2421" s="27" t="s">
        <v>9</v>
      </c>
    </row>
    <row r="2422" spans="1:9" x14ac:dyDescent="0.3">
      <c r="A2422" s="26">
        <v>45058</v>
      </c>
      <c r="B2422" s="27" t="s">
        <v>119</v>
      </c>
      <c r="C2422" s="27" t="s">
        <v>93</v>
      </c>
      <c r="D2422" s="27" t="s">
        <v>24</v>
      </c>
      <c r="E2422" s="28">
        <v>156100</v>
      </c>
      <c r="F2422" s="28">
        <v>158800</v>
      </c>
      <c r="G2422" s="27" t="s">
        <v>22</v>
      </c>
      <c r="H2422" s="27" t="s">
        <v>5278</v>
      </c>
      <c r="I2422" s="27" t="s">
        <v>9</v>
      </c>
    </row>
    <row r="2423" spans="1:9" x14ac:dyDescent="0.3">
      <c r="A2423" s="26">
        <v>45058</v>
      </c>
      <c r="B2423" s="27" t="s">
        <v>119</v>
      </c>
      <c r="C2423" s="27" t="s">
        <v>93</v>
      </c>
      <c r="D2423" s="27" t="s">
        <v>7</v>
      </c>
      <c r="E2423" s="28">
        <v>57100</v>
      </c>
      <c r="F2423" s="28">
        <v>48700</v>
      </c>
      <c r="G2423" s="27" t="s">
        <v>22</v>
      </c>
      <c r="H2423" s="27" t="s">
        <v>5899</v>
      </c>
      <c r="I2423" s="27" t="s">
        <v>9</v>
      </c>
    </row>
    <row r="2424" spans="1:9" x14ac:dyDescent="0.3">
      <c r="A2424" s="26">
        <v>45059</v>
      </c>
      <c r="B2424" s="27" t="s">
        <v>119</v>
      </c>
      <c r="C2424" s="27" t="s">
        <v>20</v>
      </c>
      <c r="D2424" s="27" t="s">
        <v>24</v>
      </c>
      <c r="E2424" s="28">
        <v>82258</v>
      </c>
      <c r="F2424" s="28">
        <v>161948</v>
      </c>
      <c r="G2424" s="27" t="s">
        <v>22</v>
      </c>
      <c r="H2424" s="27" t="s">
        <v>1070</v>
      </c>
      <c r="I2424" s="27" t="s">
        <v>13</v>
      </c>
    </row>
    <row r="2425" spans="1:9" x14ac:dyDescent="0.3">
      <c r="A2425" s="26">
        <v>45059</v>
      </c>
      <c r="B2425" s="27" t="s">
        <v>119</v>
      </c>
      <c r="C2425" s="27" t="s">
        <v>18</v>
      </c>
      <c r="D2425" s="27" t="s">
        <v>21</v>
      </c>
      <c r="E2425" s="28">
        <v>13230</v>
      </c>
      <c r="F2425" s="28">
        <v>61753</v>
      </c>
      <c r="G2425" s="27" t="s">
        <v>22</v>
      </c>
      <c r="H2425" s="27" t="s">
        <v>1076</v>
      </c>
      <c r="I2425" s="27" t="s">
        <v>13</v>
      </c>
    </row>
    <row r="2426" spans="1:9" x14ac:dyDescent="0.3">
      <c r="A2426" s="26">
        <v>45059</v>
      </c>
      <c r="B2426" s="27" t="s">
        <v>119</v>
      </c>
      <c r="C2426" s="27" t="s">
        <v>14</v>
      </c>
      <c r="D2426" s="27" t="s">
        <v>21</v>
      </c>
      <c r="E2426" s="28">
        <v>82519</v>
      </c>
      <c r="F2426" s="28">
        <v>31818</v>
      </c>
      <c r="G2426" s="27" t="s">
        <v>17</v>
      </c>
      <c r="H2426" s="27" t="s">
        <v>1111</v>
      </c>
      <c r="I2426" s="27" t="s">
        <v>13</v>
      </c>
    </row>
    <row r="2427" spans="1:9" x14ac:dyDescent="0.3">
      <c r="A2427" s="26">
        <v>45059</v>
      </c>
      <c r="B2427" s="27" t="s">
        <v>119</v>
      </c>
      <c r="C2427" s="27" t="s">
        <v>15</v>
      </c>
      <c r="D2427" s="27" t="s">
        <v>16</v>
      </c>
      <c r="E2427" s="28">
        <v>137871</v>
      </c>
      <c r="F2427" s="28">
        <v>113395</v>
      </c>
      <c r="G2427" s="27" t="s">
        <v>11</v>
      </c>
      <c r="H2427" s="27" t="s">
        <v>1403</v>
      </c>
      <c r="I2427" s="27" t="s">
        <v>13</v>
      </c>
    </row>
    <row r="2428" spans="1:9" x14ac:dyDescent="0.3">
      <c r="A2428" s="26">
        <v>45059</v>
      </c>
      <c r="B2428" s="27" t="s">
        <v>119</v>
      </c>
      <c r="C2428" s="27" t="s">
        <v>18</v>
      </c>
      <c r="D2428" s="27" t="s">
        <v>24</v>
      </c>
      <c r="E2428" s="28">
        <v>109895</v>
      </c>
      <c r="F2428" s="28">
        <v>126639</v>
      </c>
      <c r="G2428" s="27" t="s">
        <v>17</v>
      </c>
      <c r="H2428" s="27" t="s">
        <v>1928</v>
      </c>
      <c r="I2428" s="27" t="s">
        <v>13</v>
      </c>
    </row>
    <row r="2429" spans="1:9" x14ac:dyDescent="0.3">
      <c r="A2429" s="26">
        <v>45059</v>
      </c>
      <c r="B2429" s="27" t="s">
        <v>119</v>
      </c>
      <c r="C2429" s="27" t="s">
        <v>15</v>
      </c>
      <c r="D2429" s="27" t="s">
        <v>7</v>
      </c>
      <c r="E2429" s="28">
        <v>109389</v>
      </c>
      <c r="F2429" s="28">
        <v>62284</v>
      </c>
      <c r="G2429" s="27" t="s">
        <v>8</v>
      </c>
      <c r="H2429" s="27" t="s">
        <v>2063</v>
      </c>
      <c r="I2429" s="27" t="s">
        <v>13</v>
      </c>
    </row>
    <row r="2430" spans="1:9" x14ac:dyDescent="0.3">
      <c r="A2430" s="26">
        <v>45059</v>
      </c>
      <c r="B2430" s="27" t="s">
        <v>119</v>
      </c>
      <c r="C2430" s="27" t="s">
        <v>10</v>
      </c>
      <c r="D2430" s="27" t="s">
        <v>21</v>
      </c>
      <c r="E2430" s="28">
        <v>43741</v>
      </c>
      <c r="F2430" s="28">
        <v>53996</v>
      </c>
      <c r="G2430" s="27" t="s">
        <v>11</v>
      </c>
      <c r="H2430" s="27" t="s">
        <v>2992</v>
      </c>
      <c r="I2430" s="27" t="s">
        <v>13</v>
      </c>
    </row>
    <row r="2431" spans="1:9" x14ac:dyDescent="0.3">
      <c r="A2431" s="26">
        <v>45059</v>
      </c>
      <c r="B2431" s="27" t="s">
        <v>119</v>
      </c>
      <c r="C2431" s="27" t="s">
        <v>93</v>
      </c>
      <c r="D2431" s="27" t="s">
        <v>24</v>
      </c>
      <c r="E2431" s="28">
        <v>102800</v>
      </c>
      <c r="F2431" s="28">
        <v>111600</v>
      </c>
      <c r="G2431" s="27" t="s">
        <v>17</v>
      </c>
      <c r="H2431" s="27" t="s">
        <v>4452</v>
      </c>
      <c r="I2431" s="27" t="s">
        <v>9</v>
      </c>
    </row>
    <row r="2432" spans="1:9" x14ac:dyDescent="0.3">
      <c r="A2432" s="26">
        <v>45059</v>
      </c>
      <c r="B2432" s="27" t="s">
        <v>119</v>
      </c>
      <c r="C2432" s="27" t="s">
        <v>6</v>
      </c>
      <c r="D2432" s="27" t="s">
        <v>21</v>
      </c>
      <c r="E2432" s="28">
        <v>56600</v>
      </c>
      <c r="F2432" s="28">
        <v>57100</v>
      </c>
      <c r="G2432" s="27" t="s">
        <v>11</v>
      </c>
      <c r="H2432" s="27" t="s">
        <v>4458</v>
      </c>
      <c r="I2432" s="27" t="s">
        <v>9</v>
      </c>
    </row>
    <row r="2433" spans="1:9" x14ac:dyDescent="0.3">
      <c r="A2433" s="26">
        <v>45059</v>
      </c>
      <c r="B2433" s="27" t="s">
        <v>119</v>
      </c>
      <c r="C2433" s="27" t="s">
        <v>93</v>
      </c>
      <c r="D2433" s="27" t="s">
        <v>21</v>
      </c>
      <c r="E2433" s="28">
        <v>79800</v>
      </c>
      <c r="F2433" s="28">
        <v>75400</v>
      </c>
      <c r="G2433" s="27" t="s">
        <v>22</v>
      </c>
      <c r="H2433" s="27" t="s">
        <v>4494</v>
      </c>
      <c r="I2433" s="27" t="s">
        <v>9</v>
      </c>
    </row>
    <row r="2434" spans="1:9" x14ac:dyDescent="0.3">
      <c r="A2434" s="26">
        <v>45059</v>
      </c>
      <c r="B2434" s="27" t="s">
        <v>119</v>
      </c>
      <c r="C2434" s="27" t="s">
        <v>6</v>
      </c>
      <c r="D2434" s="27" t="s">
        <v>16</v>
      </c>
      <c r="E2434" s="28">
        <v>57100</v>
      </c>
      <c r="F2434" s="28">
        <v>60000</v>
      </c>
      <c r="G2434" s="27" t="s">
        <v>17</v>
      </c>
      <c r="H2434" s="27" t="s">
        <v>4786</v>
      </c>
      <c r="I2434" s="27" t="s">
        <v>9</v>
      </c>
    </row>
    <row r="2435" spans="1:9" x14ac:dyDescent="0.3">
      <c r="A2435" s="26">
        <v>45059</v>
      </c>
      <c r="B2435" s="27" t="s">
        <v>119</v>
      </c>
      <c r="C2435" s="27" t="s">
        <v>93</v>
      </c>
      <c r="D2435" s="27" t="s">
        <v>24</v>
      </c>
      <c r="E2435" s="28">
        <v>119700</v>
      </c>
      <c r="F2435" s="28">
        <v>117900</v>
      </c>
      <c r="G2435" s="27" t="s">
        <v>11</v>
      </c>
      <c r="H2435" s="27" t="s">
        <v>5312</v>
      </c>
      <c r="I2435" s="27" t="s">
        <v>9</v>
      </c>
    </row>
    <row r="2436" spans="1:9" x14ac:dyDescent="0.3">
      <c r="A2436" s="26">
        <v>45059</v>
      </c>
      <c r="B2436" s="27" t="s">
        <v>119</v>
      </c>
      <c r="C2436" s="27" t="s">
        <v>6</v>
      </c>
      <c r="D2436" s="27" t="s">
        <v>7</v>
      </c>
      <c r="E2436" s="28">
        <v>108800</v>
      </c>
      <c r="F2436" s="28">
        <v>115800</v>
      </c>
      <c r="G2436" s="27" t="s">
        <v>11</v>
      </c>
      <c r="H2436" s="27" t="s">
        <v>5447</v>
      </c>
      <c r="I2436" s="27" t="s">
        <v>9</v>
      </c>
    </row>
    <row r="2437" spans="1:9" x14ac:dyDescent="0.3">
      <c r="A2437" s="26">
        <v>45059</v>
      </c>
      <c r="B2437" s="27" t="s">
        <v>119</v>
      </c>
      <c r="C2437" s="27" t="s">
        <v>6</v>
      </c>
      <c r="D2437" s="27" t="s">
        <v>21</v>
      </c>
      <c r="E2437" s="28">
        <v>177000</v>
      </c>
      <c r="F2437" s="28">
        <v>126400</v>
      </c>
      <c r="G2437" s="27" t="s">
        <v>11</v>
      </c>
      <c r="H2437" s="27" t="s">
        <v>6377</v>
      </c>
      <c r="I2437" s="27" t="s">
        <v>9</v>
      </c>
    </row>
    <row r="2438" spans="1:9" x14ac:dyDescent="0.3">
      <c r="A2438" s="26">
        <v>45060</v>
      </c>
      <c r="B2438" s="27" t="s">
        <v>119</v>
      </c>
      <c r="C2438" s="27" t="s">
        <v>18</v>
      </c>
      <c r="D2438" s="27" t="s">
        <v>19</v>
      </c>
      <c r="E2438" s="28">
        <v>107389</v>
      </c>
      <c r="F2438" s="28">
        <v>159814</v>
      </c>
      <c r="G2438" s="27" t="s">
        <v>22</v>
      </c>
      <c r="H2438" s="27" t="s">
        <v>44</v>
      </c>
      <c r="I2438" s="27" t="s">
        <v>13</v>
      </c>
    </row>
    <row r="2439" spans="1:9" x14ac:dyDescent="0.3">
      <c r="A2439" s="26">
        <v>45060</v>
      </c>
      <c r="B2439" s="27" t="s">
        <v>119</v>
      </c>
      <c r="C2439" s="27" t="s">
        <v>10</v>
      </c>
      <c r="D2439" s="27" t="s">
        <v>16</v>
      </c>
      <c r="E2439" s="28">
        <v>12714</v>
      </c>
      <c r="F2439" s="28">
        <v>108606</v>
      </c>
      <c r="G2439" s="27" t="s">
        <v>11</v>
      </c>
      <c r="H2439" s="27" t="s">
        <v>101</v>
      </c>
      <c r="I2439" s="27" t="s">
        <v>13</v>
      </c>
    </row>
    <row r="2440" spans="1:9" x14ac:dyDescent="0.3">
      <c r="A2440" s="26">
        <v>45060</v>
      </c>
      <c r="B2440" s="27" t="s">
        <v>119</v>
      </c>
      <c r="C2440" s="27" t="s">
        <v>15</v>
      </c>
      <c r="D2440" s="27" t="s">
        <v>24</v>
      </c>
      <c r="E2440" s="28">
        <v>108829</v>
      </c>
      <c r="F2440" s="28">
        <v>38295</v>
      </c>
      <c r="G2440" s="27" t="s">
        <v>8</v>
      </c>
      <c r="H2440" s="27" t="s">
        <v>981</v>
      </c>
      <c r="I2440" s="27" t="s">
        <v>13</v>
      </c>
    </row>
    <row r="2441" spans="1:9" x14ac:dyDescent="0.3">
      <c r="A2441" s="26">
        <v>45060</v>
      </c>
      <c r="B2441" s="27" t="s">
        <v>119</v>
      </c>
      <c r="C2441" s="27" t="s">
        <v>15</v>
      </c>
      <c r="D2441" s="27" t="s">
        <v>7</v>
      </c>
      <c r="E2441" s="28">
        <v>24454</v>
      </c>
      <c r="F2441" s="28">
        <v>20695</v>
      </c>
      <c r="G2441" s="27" t="s">
        <v>11</v>
      </c>
      <c r="H2441" s="27" t="s">
        <v>1132</v>
      </c>
      <c r="I2441" s="27" t="s">
        <v>13</v>
      </c>
    </row>
    <row r="2442" spans="1:9" x14ac:dyDescent="0.3">
      <c r="A2442" s="26">
        <v>45060</v>
      </c>
      <c r="B2442" s="27" t="s">
        <v>119</v>
      </c>
      <c r="C2442" s="27" t="s">
        <v>10</v>
      </c>
      <c r="D2442" s="27" t="s">
        <v>7</v>
      </c>
      <c r="E2442" s="28">
        <v>10613</v>
      </c>
      <c r="F2442" s="28">
        <v>90373</v>
      </c>
      <c r="G2442" s="27" t="s">
        <v>22</v>
      </c>
      <c r="H2442" s="27" t="s">
        <v>1940</v>
      </c>
      <c r="I2442" s="27" t="s">
        <v>13</v>
      </c>
    </row>
    <row r="2443" spans="1:9" x14ac:dyDescent="0.3">
      <c r="A2443" s="26">
        <v>45060</v>
      </c>
      <c r="B2443" s="27" t="s">
        <v>119</v>
      </c>
      <c r="C2443" s="27" t="s">
        <v>18</v>
      </c>
      <c r="D2443" s="27" t="s">
        <v>24</v>
      </c>
      <c r="E2443" s="28">
        <v>142518</v>
      </c>
      <c r="F2443" s="28">
        <v>126198</v>
      </c>
      <c r="G2443" s="27" t="s">
        <v>11</v>
      </c>
      <c r="H2443" s="27" t="s">
        <v>3017</v>
      </c>
      <c r="I2443" s="27" t="s">
        <v>13</v>
      </c>
    </row>
    <row r="2444" spans="1:9" x14ac:dyDescent="0.3">
      <c r="A2444" s="26">
        <v>45060</v>
      </c>
      <c r="B2444" s="27" t="s">
        <v>119</v>
      </c>
      <c r="C2444" s="27" t="s">
        <v>32</v>
      </c>
      <c r="D2444" s="27" t="s">
        <v>21</v>
      </c>
      <c r="E2444" s="28">
        <v>118805</v>
      </c>
      <c r="F2444" s="28">
        <v>153086</v>
      </c>
      <c r="G2444" s="27" t="s">
        <v>22</v>
      </c>
      <c r="H2444" s="27" t="s">
        <v>3216</v>
      </c>
      <c r="I2444" s="27" t="s">
        <v>13</v>
      </c>
    </row>
    <row r="2445" spans="1:9" x14ac:dyDescent="0.3">
      <c r="A2445" s="26">
        <v>45060</v>
      </c>
      <c r="B2445" s="27" t="s">
        <v>119</v>
      </c>
      <c r="C2445" s="27" t="s">
        <v>18</v>
      </c>
      <c r="D2445" s="27" t="s">
        <v>19</v>
      </c>
      <c r="E2445" s="28">
        <v>71723</v>
      </c>
      <c r="F2445" s="28">
        <v>78143</v>
      </c>
      <c r="G2445" s="27" t="s">
        <v>22</v>
      </c>
      <c r="H2445" s="27" t="s">
        <v>3383</v>
      </c>
      <c r="I2445" s="27" t="s">
        <v>13</v>
      </c>
    </row>
    <row r="2446" spans="1:9" x14ac:dyDescent="0.3">
      <c r="A2446" s="26">
        <v>45060</v>
      </c>
      <c r="B2446" s="27" t="s">
        <v>119</v>
      </c>
      <c r="C2446" s="27" t="s">
        <v>6</v>
      </c>
      <c r="D2446" s="27" t="s">
        <v>19</v>
      </c>
      <c r="E2446" s="28">
        <v>94200</v>
      </c>
      <c r="F2446" s="28">
        <v>98900</v>
      </c>
      <c r="G2446" s="27" t="s">
        <v>22</v>
      </c>
      <c r="H2446" s="27" t="s">
        <v>3482</v>
      </c>
      <c r="I2446" s="27" t="s">
        <v>9</v>
      </c>
    </row>
    <row r="2447" spans="1:9" x14ac:dyDescent="0.3">
      <c r="A2447" s="26">
        <v>45060</v>
      </c>
      <c r="B2447" s="27" t="s">
        <v>119</v>
      </c>
      <c r="C2447" s="27" t="s">
        <v>6</v>
      </c>
      <c r="D2447" s="27" t="s">
        <v>16</v>
      </c>
      <c r="E2447" s="28">
        <v>107000</v>
      </c>
      <c r="F2447" s="28">
        <v>96900</v>
      </c>
      <c r="G2447" s="27" t="s">
        <v>11</v>
      </c>
      <c r="H2447" s="27" t="s">
        <v>3501</v>
      </c>
      <c r="I2447" s="27" t="s">
        <v>9</v>
      </c>
    </row>
    <row r="2448" spans="1:9" x14ac:dyDescent="0.3">
      <c r="A2448" s="26">
        <v>45060</v>
      </c>
      <c r="B2448" s="27" t="s">
        <v>119</v>
      </c>
      <c r="C2448" s="27" t="s">
        <v>6</v>
      </c>
      <c r="D2448" s="27" t="s">
        <v>24</v>
      </c>
      <c r="E2448" s="28">
        <v>87400</v>
      </c>
      <c r="F2448" s="28">
        <v>104000</v>
      </c>
      <c r="G2448" s="27" t="s">
        <v>11</v>
      </c>
      <c r="H2448" s="27" t="s">
        <v>4362</v>
      </c>
      <c r="I2448" s="27" t="s">
        <v>9</v>
      </c>
    </row>
    <row r="2449" spans="1:9" x14ac:dyDescent="0.3">
      <c r="A2449" s="26">
        <v>45060</v>
      </c>
      <c r="B2449" s="27" t="s">
        <v>119</v>
      </c>
      <c r="C2449" s="27" t="s">
        <v>6</v>
      </c>
      <c r="D2449" s="27" t="s">
        <v>7</v>
      </c>
      <c r="E2449" s="28">
        <v>84100</v>
      </c>
      <c r="F2449" s="28">
        <v>82900</v>
      </c>
      <c r="G2449" s="27" t="s">
        <v>22</v>
      </c>
      <c r="H2449" s="27" t="s">
        <v>4515</v>
      </c>
      <c r="I2449" s="27" t="s">
        <v>9</v>
      </c>
    </row>
    <row r="2450" spans="1:9" x14ac:dyDescent="0.3">
      <c r="A2450" s="26">
        <v>45060</v>
      </c>
      <c r="B2450" s="27" t="s">
        <v>119</v>
      </c>
      <c r="C2450" s="27" t="s">
        <v>6</v>
      </c>
      <c r="D2450" s="27" t="s">
        <v>7</v>
      </c>
      <c r="E2450" s="28">
        <v>153400</v>
      </c>
      <c r="F2450" s="28">
        <v>118500</v>
      </c>
      <c r="G2450" s="27" t="s">
        <v>11</v>
      </c>
      <c r="H2450" s="27" t="s">
        <v>5324</v>
      </c>
      <c r="I2450" s="27" t="s">
        <v>9</v>
      </c>
    </row>
    <row r="2451" spans="1:9" x14ac:dyDescent="0.3">
      <c r="A2451" s="26">
        <v>45060</v>
      </c>
      <c r="B2451" s="27" t="s">
        <v>119</v>
      </c>
      <c r="C2451" s="27" t="s">
        <v>6</v>
      </c>
      <c r="D2451" s="27" t="s">
        <v>24</v>
      </c>
      <c r="E2451" s="28">
        <v>50300</v>
      </c>
      <c r="F2451" s="28">
        <v>57600</v>
      </c>
      <c r="G2451" s="27" t="s">
        <v>17</v>
      </c>
      <c r="H2451" s="27" t="s">
        <v>6402</v>
      </c>
      <c r="I2451" s="27" t="s">
        <v>9</v>
      </c>
    </row>
    <row r="2452" spans="1:9" x14ac:dyDescent="0.3">
      <c r="A2452" s="26">
        <v>45060</v>
      </c>
      <c r="B2452" s="27" t="s">
        <v>119</v>
      </c>
      <c r="C2452" s="27" t="s">
        <v>6</v>
      </c>
      <c r="D2452" s="27" t="s">
        <v>21</v>
      </c>
      <c r="E2452" s="28">
        <v>184900</v>
      </c>
      <c r="F2452" s="28">
        <v>193900</v>
      </c>
      <c r="G2452" s="27" t="s">
        <v>22</v>
      </c>
      <c r="H2452" s="27" t="s">
        <v>6601</v>
      </c>
      <c r="I2452" s="27" t="s">
        <v>9</v>
      </c>
    </row>
    <row r="2453" spans="1:9" x14ac:dyDescent="0.3">
      <c r="A2453" s="26">
        <v>45060</v>
      </c>
      <c r="B2453" s="27" t="s">
        <v>119</v>
      </c>
      <c r="C2453" s="27" t="s">
        <v>6</v>
      </c>
      <c r="D2453" s="27" t="s">
        <v>19</v>
      </c>
      <c r="E2453" s="28">
        <v>160000</v>
      </c>
      <c r="F2453" s="28">
        <v>117600</v>
      </c>
      <c r="G2453" s="27" t="s">
        <v>17</v>
      </c>
      <c r="H2453" s="27" t="s">
        <v>6768</v>
      </c>
      <c r="I2453" s="27" t="s">
        <v>9</v>
      </c>
    </row>
    <row r="2454" spans="1:9" x14ac:dyDescent="0.3">
      <c r="A2454" s="26">
        <v>45061</v>
      </c>
      <c r="B2454" s="27" t="s">
        <v>119</v>
      </c>
      <c r="C2454" s="27" t="s">
        <v>10</v>
      </c>
      <c r="D2454" s="27" t="s">
        <v>21</v>
      </c>
      <c r="E2454" s="28">
        <v>139798</v>
      </c>
      <c r="F2454" s="28">
        <v>60132</v>
      </c>
      <c r="G2454" s="27" t="s">
        <v>11</v>
      </c>
      <c r="H2454" s="27" t="s">
        <v>354</v>
      </c>
      <c r="I2454" s="27" t="s">
        <v>13</v>
      </c>
    </row>
    <row r="2455" spans="1:9" x14ac:dyDescent="0.3">
      <c r="A2455" s="26">
        <v>45061</v>
      </c>
      <c r="B2455" s="27" t="s">
        <v>119</v>
      </c>
      <c r="C2455" s="27" t="s">
        <v>15</v>
      </c>
      <c r="D2455" s="27" t="s">
        <v>7</v>
      </c>
      <c r="E2455" s="28">
        <v>92394</v>
      </c>
      <c r="F2455" s="28">
        <v>97038</v>
      </c>
      <c r="G2455" s="27" t="s">
        <v>11</v>
      </c>
      <c r="H2455" s="27" t="s">
        <v>923</v>
      </c>
      <c r="I2455" s="27" t="s">
        <v>13</v>
      </c>
    </row>
    <row r="2456" spans="1:9" x14ac:dyDescent="0.3">
      <c r="A2456" s="26">
        <v>45061</v>
      </c>
      <c r="B2456" s="27" t="s">
        <v>119</v>
      </c>
      <c r="C2456" s="27" t="s">
        <v>20</v>
      </c>
      <c r="D2456" s="27" t="s">
        <v>24</v>
      </c>
      <c r="E2456" s="28">
        <v>21305</v>
      </c>
      <c r="F2456" s="28">
        <v>147035</v>
      </c>
      <c r="G2456" s="27" t="s">
        <v>22</v>
      </c>
      <c r="H2456" s="27" t="s">
        <v>1190</v>
      </c>
      <c r="I2456" s="27" t="s">
        <v>13</v>
      </c>
    </row>
    <row r="2457" spans="1:9" x14ac:dyDescent="0.3">
      <c r="A2457" s="26">
        <v>45061</v>
      </c>
      <c r="B2457" s="27" t="s">
        <v>119</v>
      </c>
      <c r="C2457" s="27" t="s">
        <v>32</v>
      </c>
      <c r="D2457" s="27" t="s">
        <v>16</v>
      </c>
      <c r="E2457" s="28">
        <v>94739</v>
      </c>
      <c r="F2457" s="28">
        <v>104647</v>
      </c>
      <c r="G2457" s="27" t="s">
        <v>8</v>
      </c>
      <c r="H2457" s="27" t="s">
        <v>1575</v>
      </c>
      <c r="I2457" s="27" t="s">
        <v>13</v>
      </c>
    </row>
    <row r="2458" spans="1:9" x14ac:dyDescent="0.3">
      <c r="A2458" s="26">
        <v>45061</v>
      </c>
      <c r="B2458" s="27" t="s">
        <v>119</v>
      </c>
      <c r="C2458" s="27" t="s">
        <v>15</v>
      </c>
      <c r="D2458" s="27" t="s">
        <v>7</v>
      </c>
      <c r="E2458" s="28">
        <v>73109</v>
      </c>
      <c r="F2458" s="28">
        <v>65272</v>
      </c>
      <c r="G2458" s="27" t="s">
        <v>8</v>
      </c>
      <c r="H2458" s="27" t="s">
        <v>1602</v>
      </c>
      <c r="I2458" s="27" t="s">
        <v>13</v>
      </c>
    </row>
    <row r="2459" spans="1:9" x14ac:dyDescent="0.3">
      <c r="A2459" s="26">
        <v>45061</v>
      </c>
      <c r="B2459" s="27" t="s">
        <v>119</v>
      </c>
      <c r="C2459" s="27" t="s">
        <v>14</v>
      </c>
      <c r="D2459" s="27" t="s">
        <v>24</v>
      </c>
      <c r="E2459" s="28">
        <v>78867</v>
      </c>
      <c r="F2459" s="28">
        <v>71506</v>
      </c>
      <c r="G2459" s="27" t="s">
        <v>17</v>
      </c>
      <c r="H2459" s="27" t="s">
        <v>2457</v>
      </c>
      <c r="I2459" s="27" t="s">
        <v>13</v>
      </c>
    </row>
    <row r="2460" spans="1:9" x14ac:dyDescent="0.3">
      <c r="A2460" s="26">
        <v>45061</v>
      </c>
      <c r="B2460" s="27" t="s">
        <v>119</v>
      </c>
      <c r="C2460" s="27" t="s">
        <v>32</v>
      </c>
      <c r="D2460" s="27" t="s">
        <v>24</v>
      </c>
      <c r="E2460" s="28">
        <v>102928</v>
      </c>
      <c r="F2460" s="28">
        <v>79251</v>
      </c>
      <c r="G2460" s="27" t="s">
        <v>8</v>
      </c>
      <c r="H2460" s="27" t="s">
        <v>2743</v>
      </c>
      <c r="I2460" s="27" t="s">
        <v>13</v>
      </c>
    </row>
    <row r="2461" spans="1:9" x14ac:dyDescent="0.3">
      <c r="A2461" s="26">
        <v>45061</v>
      </c>
      <c r="B2461" s="27" t="s">
        <v>119</v>
      </c>
      <c r="C2461" s="27" t="s">
        <v>18</v>
      </c>
      <c r="D2461" s="27" t="s">
        <v>24</v>
      </c>
      <c r="E2461" s="28">
        <v>68957</v>
      </c>
      <c r="F2461" s="28">
        <v>110794</v>
      </c>
      <c r="G2461" s="27" t="s">
        <v>8</v>
      </c>
      <c r="H2461" s="27" t="s">
        <v>3122</v>
      </c>
      <c r="I2461" s="27" t="s">
        <v>13</v>
      </c>
    </row>
    <row r="2462" spans="1:9" x14ac:dyDescent="0.3">
      <c r="A2462" s="26">
        <v>45061</v>
      </c>
      <c r="B2462" s="27" t="s">
        <v>119</v>
      </c>
      <c r="C2462" s="27" t="s">
        <v>15</v>
      </c>
      <c r="D2462" s="27" t="s">
        <v>24</v>
      </c>
      <c r="E2462" s="28">
        <v>23055</v>
      </c>
      <c r="F2462" s="28">
        <v>33205</v>
      </c>
      <c r="G2462" s="27" t="s">
        <v>8</v>
      </c>
      <c r="H2462" s="27" t="s">
        <v>3290</v>
      </c>
      <c r="I2462" s="27" t="s">
        <v>13</v>
      </c>
    </row>
    <row r="2463" spans="1:9" x14ac:dyDescent="0.3">
      <c r="A2463" s="26">
        <v>45061</v>
      </c>
      <c r="B2463" s="27" t="s">
        <v>119</v>
      </c>
      <c r="C2463" s="27" t="s">
        <v>93</v>
      </c>
      <c r="D2463" s="27" t="s">
        <v>21</v>
      </c>
      <c r="E2463" s="28">
        <v>80900</v>
      </c>
      <c r="F2463" s="28">
        <v>96600</v>
      </c>
      <c r="G2463" s="27" t="s">
        <v>11</v>
      </c>
      <c r="H2463" s="27" t="s">
        <v>3735</v>
      </c>
      <c r="I2463" s="27" t="s">
        <v>9</v>
      </c>
    </row>
    <row r="2464" spans="1:9" x14ac:dyDescent="0.3">
      <c r="A2464" s="26">
        <v>45061</v>
      </c>
      <c r="B2464" s="27" t="s">
        <v>119</v>
      </c>
      <c r="C2464" s="27" t="s">
        <v>93</v>
      </c>
      <c r="D2464" s="27" t="s">
        <v>7</v>
      </c>
      <c r="E2464" s="28">
        <v>88200</v>
      </c>
      <c r="F2464" s="28">
        <v>93200</v>
      </c>
      <c r="G2464" s="27" t="s">
        <v>11</v>
      </c>
      <c r="H2464" s="27" t="s">
        <v>4304</v>
      </c>
      <c r="I2464" s="27" t="s">
        <v>9</v>
      </c>
    </row>
    <row r="2465" spans="1:9" x14ac:dyDescent="0.3">
      <c r="A2465" s="26">
        <v>45061</v>
      </c>
      <c r="B2465" s="27" t="s">
        <v>119</v>
      </c>
      <c r="C2465" s="27" t="s">
        <v>93</v>
      </c>
      <c r="D2465" s="27" t="s">
        <v>24</v>
      </c>
      <c r="E2465" s="28">
        <v>48700</v>
      </c>
      <c r="F2465" s="28">
        <v>37500</v>
      </c>
      <c r="G2465" s="27" t="s">
        <v>11</v>
      </c>
      <c r="H2465" s="27" t="s">
        <v>4573</v>
      </c>
      <c r="I2465" s="27" t="s">
        <v>9</v>
      </c>
    </row>
    <row r="2466" spans="1:9" x14ac:dyDescent="0.3">
      <c r="A2466" s="26">
        <v>45061</v>
      </c>
      <c r="B2466" s="27" t="s">
        <v>119</v>
      </c>
      <c r="C2466" s="27" t="s">
        <v>6</v>
      </c>
      <c r="D2466" s="27" t="s">
        <v>16</v>
      </c>
      <c r="E2466" s="28">
        <v>200200</v>
      </c>
      <c r="F2466" s="28">
        <v>209100</v>
      </c>
      <c r="G2466" s="27" t="s">
        <v>11</v>
      </c>
      <c r="H2466" s="27" t="s">
        <v>4958</v>
      </c>
      <c r="I2466" s="27" t="s">
        <v>9</v>
      </c>
    </row>
    <row r="2467" spans="1:9" x14ac:dyDescent="0.3">
      <c r="A2467" s="26">
        <v>45061</v>
      </c>
      <c r="B2467" s="27" t="s">
        <v>119</v>
      </c>
      <c r="C2467" s="27" t="s">
        <v>6</v>
      </c>
      <c r="D2467" s="27" t="s">
        <v>7</v>
      </c>
      <c r="E2467" s="28">
        <v>133200</v>
      </c>
      <c r="F2467" s="28">
        <v>166000</v>
      </c>
      <c r="G2467" s="27" t="s">
        <v>11</v>
      </c>
      <c r="H2467" s="27" t="s">
        <v>4985</v>
      </c>
      <c r="I2467" s="27" t="s">
        <v>9</v>
      </c>
    </row>
    <row r="2468" spans="1:9" x14ac:dyDescent="0.3">
      <c r="A2468" s="26">
        <v>45061</v>
      </c>
      <c r="B2468" s="27" t="s">
        <v>119</v>
      </c>
      <c r="C2468" s="27" t="s">
        <v>93</v>
      </c>
      <c r="D2468" s="27" t="s">
        <v>24</v>
      </c>
      <c r="E2468" s="28">
        <v>74600</v>
      </c>
      <c r="F2468" s="28">
        <v>78300</v>
      </c>
      <c r="G2468" s="27" t="s">
        <v>22</v>
      </c>
      <c r="H2468" s="27" t="s">
        <v>5842</v>
      </c>
      <c r="I2468" s="27" t="s">
        <v>9</v>
      </c>
    </row>
    <row r="2469" spans="1:9" x14ac:dyDescent="0.3">
      <c r="A2469" s="26">
        <v>45061</v>
      </c>
      <c r="B2469" s="27" t="s">
        <v>119</v>
      </c>
      <c r="C2469" s="27" t="s">
        <v>6</v>
      </c>
      <c r="D2469" s="27" t="s">
        <v>24</v>
      </c>
      <c r="E2469" s="28">
        <v>178700</v>
      </c>
      <c r="F2469" s="28">
        <v>139600</v>
      </c>
      <c r="G2469" s="27" t="s">
        <v>11</v>
      </c>
      <c r="H2469" s="27" t="s">
        <v>6128</v>
      </c>
      <c r="I2469" s="27" t="s">
        <v>9</v>
      </c>
    </row>
    <row r="2470" spans="1:9" x14ac:dyDescent="0.3">
      <c r="A2470" s="26">
        <v>45061</v>
      </c>
      <c r="B2470" s="27" t="s">
        <v>119</v>
      </c>
      <c r="C2470" s="27" t="s">
        <v>93</v>
      </c>
      <c r="D2470" s="27" t="s">
        <v>24</v>
      </c>
      <c r="E2470" s="28">
        <v>137400</v>
      </c>
      <c r="F2470" s="28">
        <v>124700</v>
      </c>
      <c r="G2470" s="27" t="s">
        <v>17</v>
      </c>
      <c r="H2470" s="27" t="s">
        <v>6507</v>
      </c>
      <c r="I2470" s="27" t="s">
        <v>9</v>
      </c>
    </row>
    <row r="2471" spans="1:9" x14ac:dyDescent="0.3">
      <c r="A2471" s="26">
        <v>45061</v>
      </c>
      <c r="B2471" s="27" t="s">
        <v>119</v>
      </c>
      <c r="C2471" s="27" t="s">
        <v>93</v>
      </c>
      <c r="D2471" s="27" t="s">
        <v>24</v>
      </c>
      <c r="E2471" s="28">
        <v>85900</v>
      </c>
      <c r="F2471" s="28">
        <v>100600</v>
      </c>
      <c r="G2471" s="27" t="s">
        <v>17</v>
      </c>
      <c r="H2471" s="27" t="s">
        <v>6675</v>
      </c>
      <c r="I2471" s="27" t="s">
        <v>9</v>
      </c>
    </row>
    <row r="2472" spans="1:9" x14ac:dyDescent="0.3">
      <c r="A2472" s="26">
        <v>45062</v>
      </c>
      <c r="B2472" s="27" t="s">
        <v>119</v>
      </c>
      <c r="C2472" s="27" t="s">
        <v>18</v>
      </c>
      <c r="D2472" s="27" t="s">
        <v>7</v>
      </c>
      <c r="E2472" s="28">
        <v>127211</v>
      </c>
      <c r="F2472" s="28">
        <v>119219</v>
      </c>
      <c r="G2472" s="27" t="s">
        <v>8</v>
      </c>
      <c r="H2472" s="27" t="s">
        <v>446</v>
      </c>
      <c r="I2472" s="27" t="s">
        <v>13</v>
      </c>
    </row>
    <row r="2473" spans="1:9" x14ac:dyDescent="0.3">
      <c r="A2473" s="26">
        <v>45062</v>
      </c>
      <c r="B2473" s="27" t="s">
        <v>119</v>
      </c>
      <c r="C2473" s="27" t="s">
        <v>15</v>
      </c>
      <c r="D2473" s="27" t="s">
        <v>7</v>
      </c>
      <c r="E2473" s="28">
        <v>110573</v>
      </c>
      <c r="F2473" s="28">
        <v>71840</v>
      </c>
      <c r="G2473" s="27" t="s">
        <v>22</v>
      </c>
      <c r="H2473" s="27" t="s">
        <v>511</v>
      </c>
      <c r="I2473" s="27" t="s">
        <v>13</v>
      </c>
    </row>
    <row r="2474" spans="1:9" x14ac:dyDescent="0.3">
      <c r="A2474" s="26">
        <v>45062</v>
      </c>
      <c r="B2474" s="27" t="s">
        <v>119</v>
      </c>
      <c r="C2474" s="27" t="s">
        <v>18</v>
      </c>
      <c r="D2474" s="27" t="s">
        <v>19</v>
      </c>
      <c r="E2474" s="28">
        <v>95776</v>
      </c>
      <c r="F2474" s="28">
        <v>116879</v>
      </c>
      <c r="G2474" s="27" t="s">
        <v>17</v>
      </c>
      <c r="H2474" s="27" t="s">
        <v>586</v>
      </c>
      <c r="I2474" s="27" t="s">
        <v>13</v>
      </c>
    </row>
    <row r="2475" spans="1:9" x14ac:dyDescent="0.3">
      <c r="A2475" s="26">
        <v>45062</v>
      </c>
      <c r="B2475" s="27" t="s">
        <v>119</v>
      </c>
      <c r="C2475" s="27" t="s">
        <v>32</v>
      </c>
      <c r="D2475" s="27" t="s">
        <v>7</v>
      </c>
      <c r="E2475" s="28">
        <v>141418</v>
      </c>
      <c r="F2475" s="28">
        <v>40029</v>
      </c>
      <c r="G2475" s="27" t="s">
        <v>22</v>
      </c>
      <c r="H2475" s="27" t="s">
        <v>971</v>
      </c>
      <c r="I2475" s="27" t="s">
        <v>13</v>
      </c>
    </row>
    <row r="2476" spans="1:9" x14ac:dyDescent="0.3">
      <c r="A2476" s="26">
        <v>45062</v>
      </c>
      <c r="B2476" s="27" t="s">
        <v>119</v>
      </c>
      <c r="C2476" s="27" t="s">
        <v>14</v>
      </c>
      <c r="D2476" s="27" t="s">
        <v>21</v>
      </c>
      <c r="E2476" s="28">
        <v>67916</v>
      </c>
      <c r="F2476" s="28">
        <v>34662</v>
      </c>
      <c r="G2476" s="27" t="s">
        <v>11</v>
      </c>
      <c r="H2476" s="27" t="s">
        <v>1763</v>
      </c>
      <c r="I2476" s="27" t="s">
        <v>13</v>
      </c>
    </row>
    <row r="2477" spans="1:9" x14ac:dyDescent="0.3">
      <c r="A2477" s="26">
        <v>45062</v>
      </c>
      <c r="B2477" s="27" t="s">
        <v>119</v>
      </c>
      <c r="C2477" s="27" t="s">
        <v>32</v>
      </c>
      <c r="D2477" s="27" t="s">
        <v>24</v>
      </c>
      <c r="E2477" s="28">
        <v>63784</v>
      </c>
      <c r="F2477" s="28">
        <v>12471</v>
      </c>
      <c r="G2477" s="27" t="s">
        <v>17</v>
      </c>
      <c r="H2477" s="27" t="s">
        <v>1857</v>
      </c>
      <c r="I2477" s="27" t="s">
        <v>13</v>
      </c>
    </row>
    <row r="2478" spans="1:9" x14ac:dyDescent="0.3">
      <c r="A2478" s="26">
        <v>45062</v>
      </c>
      <c r="B2478" s="27" t="s">
        <v>119</v>
      </c>
      <c r="C2478" s="27" t="s">
        <v>32</v>
      </c>
      <c r="D2478" s="27" t="s">
        <v>7</v>
      </c>
      <c r="E2478" s="28">
        <v>142165</v>
      </c>
      <c r="F2478" s="28">
        <v>20131</v>
      </c>
      <c r="G2478" s="27" t="s">
        <v>8</v>
      </c>
      <c r="H2478" s="27" t="s">
        <v>1860</v>
      </c>
      <c r="I2478" s="27" t="s">
        <v>13</v>
      </c>
    </row>
    <row r="2479" spans="1:9" x14ac:dyDescent="0.3">
      <c r="A2479" s="26">
        <v>45062</v>
      </c>
      <c r="B2479" s="27" t="s">
        <v>119</v>
      </c>
      <c r="C2479" s="27" t="s">
        <v>18</v>
      </c>
      <c r="D2479" s="27" t="s">
        <v>24</v>
      </c>
      <c r="E2479" s="28">
        <v>111393</v>
      </c>
      <c r="F2479" s="28">
        <v>10445</v>
      </c>
      <c r="G2479" s="27" t="s">
        <v>22</v>
      </c>
      <c r="H2479" s="27" t="s">
        <v>1938</v>
      </c>
      <c r="I2479" s="27" t="s">
        <v>13</v>
      </c>
    </row>
    <row r="2480" spans="1:9" x14ac:dyDescent="0.3">
      <c r="A2480" s="26">
        <v>45062</v>
      </c>
      <c r="B2480" s="27" t="s">
        <v>119</v>
      </c>
      <c r="C2480" s="27" t="s">
        <v>32</v>
      </c>
      <c r="D2480" s="27" t="s">
        <v>16</v>
      </c>
      <c r="E2480" s="28">
        <v>109992</v>
      </c>
      <c r="F2480" s="28">
        <v>112403</v>
      </c>
      <c r="G2480" s="27" t="s">
        <v>17</v>
      </c>
      <c r="H2480" s="27" t="s">
        <v>2630</v>
      </c>
      <c r="I2480" s="27" t="s">
        <v>13</v>
      </c>
    </row>
    <row r="2481" spans="1:9" x14ac:dyDescent="0.3">
      <c r="A2481" s="26">
        <v>45062</v>
      </c>
      <c r="B2481" s="27" t="s">
        <v>119</v>
      </c>
      <c r="C2481" s="27" t="s">
        <v>14</v>
      </c>
      <c r="D2481" s="27" t="s">
        <v>24</v>
      </c>
      <c r="E2481" s="28">
        <v>97257</v>
      </c>
      <c r="F2481" s="28">
        <v>116453</v>
      </c>
      <c r="G2481" s="27" t="s">
        <v>11</v>
      </c>
      <c r="H2481" s="27" t="s">
        <v>3267</v>
      </c>
      <c r="I2481" s="27" t="s">
        <v>13</v>
      </c>
    </row>
    <row r="2482" spans="1:9" x14ac:dyDescent="0.3">
      <c r="A2482" s="26">
        <v>45062</v>
      </c>
      <c r="B2482" s="27" t="s">
        <v>119</v>
      </c>
      <c r="C2482" s="27" t="s">
        <v>6</v>
      </c>
      <c r="D2482" s="27" t="s">
        <v>7</v>
      </c>
      <c r="E2482" s="28">
        <v>101000</v>
      </c>
      <c r="F2482" s="28">
        <v>97200</v>
      </c>
      <c r="G2482" s="27" t="s">
        <v>11</v>
      </c>
      <c r="H2482" s="27" t="s">
        <v>3827</v>
      </c>
      <c r="I2482" s="27" t="s">
        <v>9</v>
      </c>
    </row>
    <row r="2483" spans="1:9" x14ac:dyDescent="0.3">
      <c r="A2483" s="26">
        <v>45062</v>
      </c>
      <c r="B2483" s="27" t="s">
        <v>119</v>
      </c>
      <c r="C2483" s="27" t="s">
        <v>6</v>
      </c>
      <c r="D2483" s="27" t="s">
        <v>7</v>
      </c>
      <c r="E2483" s="28">
        <v>86100</v>
      </c>
      <c r="F2483" s="28">
        <v>102300</v>
      </c>
      <c r="G2483" s="27" t="s">
        <v>11</v>
      </c>
      <c r="H2483" s="27" t="s">
        <v>3892</v>
      </c>
      <c r="I2483" s="27" t="s">
        <v>9</v>
      </c>
    </row>
    <row r="2484" spans="1:9" x14ac:dyDescent="0.3">
      <c r="A2484" s="26">
        <v>45062</v>
      </c>
      <c r="B2484" s="27" t="s">
        <v>119</v>
      </c>
      <c r="C2484" s="27" t="s">
        <v>93</v>
      </c>
      <c r="D2484" s="27" t="s">
        <v>19</v>
      </c>
      <c r="E2484" s="28">
        <v>83200</v>
      </c>
      <c r="F2484" s="28">
        <v>92200</v>
      </c>
      <c r="G2484" s="27" t="s">
        <v>11</v>
      </c>
      <c r="H2484" s="27" t="s">
        <v>3967</v>
      </c>
      <c r="I2484" s="27" t="s">
        <v>9</v>
      </c>
    </row>
    <row r="2485" spans="1:9" x14ac:dyDescent="0.3">
      <c r="A2485" s="26">
        <v>45062</v>
      </c>
      <c r="B2485" s="27" t="s">
        <v>119</v>
      </c>
      <c r="C2485" s="27" t="s">
        <v>93</v>
      </c>
      <c r="D2485" s="27" t="s">
        <v>7</v>
      </c>
      <c r="E2485" s="28">
        <v>134800</v>
      </c>
      <c r="F2485" s="28">
        <v>96200</v>
      </c>
      <c r="G2485" s="27" t="s">
        <v>22</v>
      </c>
      <c r="H2485" s="27" t="s">
        <v>4352</v>
      </c>
      <c r="I2485" s="27" t="s">
        <v>9</v>
      </c>
    </row>
    <row r="2486" spans="1:9" x14ac:dyDescent="0.3">
      <c r="A2486" s="26">
        <v>45062</v>
      </c>
      <c r="B2486" s="27" t="s">
        <v>119</v>
      </c>
      <c r="C2486" s="27" t="s">
        <v>6</v>
      </c>
      <c r="D2486" s="27" t="s">
        <v>21</v>
      </c>
      <c r="E2486" s="28">
        <v>139200</v>
      </c>
      <c r="F2486" s="28">
        <v>159400</v>
      </c>
      <c r="G2486" s="27" t="s">
        <v>11</v>
      </c>
      <c r="H2486" s="27" t="s">
        <v>5146</v>
      </c>
      <c r="I2486" s="27" t="s">
        <v>9</v>
      </c>
    </row>
    <row r="2487" spans="1:9" x14ac:dyDescent="0.3">
      <c r="A2487" s="26">
        <v>45062</v>
      </c>
      <c r="B2487" s="27" t="s">
        <v>119</v>
      </c>
      <c r="C2487" s="27" t="s">
        <v>6</v>
      </c>
      <c r="D2487" s="27" t="s">
        <v>24</v>
      </c>
      <c r="E2487" s="28">
        <v>160200</v>
      </c>
      <c r="F2487" s="28">
        <v>158000</v>
      </c>
      <c r="G2487" s="27" t="s">
        <v>11</v>
      </c>
      <c r="H2487" s="27" t="s">
        <v>5241</v>
      </c>
      <c r="I2487" s="27" t="s">
        <v>9</v>
      </c>
    </row>
    <row r="2488" spans="1:9" x14ac:dyDescent="0.3">
      <c r="A2488" s="26">
        <v>45062</v>
      </c>
      <c r="B2488" s="27" t="s">
        <v>119</v>
      </c>
      <c r="C2488" s="27" t="s">
        <v>93</v>
      </c>
      <c r="D2488" s="27" t="s">
        <v>7</v>
      </c>
      <c r="E2488" s="28">
        <v>78300</v>
      </c>
      <c r="F2488" s="28">
        <v>67500</v>
      </c>
      <c r="G2488" s="27" t="s">
        <v>17</v>
      </c>
      <c r="H2488" s="27" t="s">
        <v>5244</v>
      </c>
      <c r="I2488" s="27" t="s">
        <v>9</v>
      </c>
    </row>
    <row r="2489" spans="1:9" x14ac:dyDescent="0.3">
      <c r="A2489" s="26">
        <v>45062</v>
      </c>
      <c r="B2489" s="27" t="s">
        <v>119</v>
      </c>
      <c r="C2489" s="27" t="s">
        <v>93</v>
      </c>
      <c r="D2489" s="27" t="s">
        <v>24</v>
      </c>
      <c r="E2489" s="28">
        <v>272500</v>
      </c>
      <c r="F2489" s="28">
        <v>283800</v>
      </c>
      <c r="G2489" s="27" t="s">
        <v>11</v>
      </c>
      <c r="H2489" s="27" t="s">
        <v>5322</v>
      </c>
      <c r="I2489" s="27" t="s">
        <v>9</v>
      </c>
    </row>
    <row r="2490" spans="1:9" x14ac:dyDescent="0.3">
      <c r="A2490" s="26">
        <v>45062</v>
      </c>
      <c r="B2490" s="27" t="s">
        <v>119</v>
      </c>
      <c r="C2490" s="27" t="s">
        <v>93</v>
      </c>
      <c r="D2490" s="27" t="s">
        <v>16</v>
      </c>
      <c r="E2490" s="28">
        <v>83100</v>
      </c>
      <c r="F2490" s="28">
        <v>89400</v>
      </c>
      <c r="G2490" s="27" t="s">
        <v>11</v>
      </c>
      <c r="H2490" s="27" t="s">
        <v>6015</v>
      </c>
      <c r="I2490" s="27" t="s">
        <v>9</v>
      </c>
    </row>
    <row r="2491" spans="1:9" x14ac:dyDescent="0.3">
      <c r="A2491" s="26">
        <v>45062</v>
      </c>
      <c r="B2491" s="27" t="s">
        <v>119</v>
      </c>
      <c r="C2491" s="27" t="s">
        <v>6</v>
      </c>
      <c r="D2491" s="27" t="s">
        <v>24</v>
      </c>
      <c r="E2491" s="28">
        <v>66000</v>
      </c>
      <c r="F2491" s="28">
        <v>59300</v>
      </c>
      <c r="G2491" s="27" t="s">
        <v>11</v>
      </c>
      <c r="H2491" s="27" t="s">
        <v>6652</v>
      </c>
      <c r="I2491" s="27" t="s">
        <v>9</v>
      </c>
    </row>
    <row r="2492" spans="1:9" x14ac:dyDescent="0.3">
      <c r="A2492" s="26">
        <v>45063</v>
      </c>
      <c r="B2492" s="27" t="s">
        <v>119</v>
      </c>
      <c r="C2492" s="27" t="s">
        <v>20</v>
      </c>
      <c r="D2492" s="27" t="s">
        <v>21</v>
      </c>
      <c r="E2492" s="28">
        <v>87347</v>
      </c>
      <c r="F2492" s="28">
        <v>65630</v>
      </c>
      <c r="G2492" s="27" t="s">
        <v>22</v>
      </c>
      <c r="H2492" s="27" t="s">
        <v>171</v>
      </c>
      <c r="I2492" s="27" t="s">
        <v>13</v>
      </c>
    </row>
    <row r="2493" spans="1:9" x14ac:dyDescent="0.3">
      <c r="A2493" s="26">
        <v>45063</v>
      </c>
      <c r="B2493" s="27" t="s">
        <v>119</v>
      </c>
      <c r="C2493" s="27" t="s">
        <v>32</v>
      </c>
      <c r="D2493" s="27" t="s">
        <v>16</v>
      </c>
      <c r="E2493" s="28">
        <v>21752</v>
      </c>
      <c r="F2493" s="28">
        <v>53418</v>
      </c>
      <c r="G2493" s="27" t="s">
        <v>17</v>
      </c>
      <c r="H2493" s="27" t="s">
        <v>213</v>
      </c>
      <c r="I2493" s="27" t="s">
        <v>13</v>
      </c>
    </row>
    <row r="2494" spans="1:9" x14ac:dyDescent="0.3">
      <c r="A2494" s="26">
        <v>45063</v>
      </c>
      <c r="B2494" s="27" t="s">
        <v>119</v>
      </c>
      <c r="C2494" s="27" t="s">
        <v>10</v>
      </c>
      <c r="D2494" s="27" t="s">
        <v>19</v>
      </c>
      <c r="E2494" s="28">
        <v>145664</v>
      </c>
      <c r="F2494" s="28">
        <v>161432</v>
      </c>
      <c r="G2494" s="27" t="s">
        <v>11</v>
      </c>
      <c r="H2494" s="27" t="s">
        <v>590</v>
      </c>
      <c r="I2494" s="27" t="s">
        <v>13</v>
      </c>
    </row>
    <row r="2495" spans="1:9" x14ac:dyDescent="0.3">
      <c r="A2495" s="26">
        <v>45063</v>
      </c>
      <c r="B2495" s="27" t="s">
        <v>119</v>
      </c>
      <c r="C2495" s="27" t="s">
        <v>14</v>
      </c>
      <c r="D2495" s="27" t="s">
        <v>16</v>
      </c>
      <c r="E2495" s="28">
        <v>92159</v>
      </c>
      <c r="F2495" s="28">
        <v>118974</v>
      </c>
      <c r="G2495" s="27" t="s">
        <v>22</v>
      </c>
      <c r="H2495" s="27" t="s">
        <v>637</v>
      </c>
      <c r="I2495" s="27" t="s">
        <v>13</v>
      </c>
    </row>
    <row r="2496" spans="1:9" x14ac:dyDescent="0.3">
      <c r="A2496" s="26">
        <v>45063</v>
      </c>
      <c r="B2496" s="27" t="s">
        <v>119</v>
      </c>
      <c r="C2496" s="27" t="s">
        <v>20</v>
      </c>
      <c r="D2496" s="27" t="s">
        <v>21</v>
      </c>
      <c r="E2496" s="28">
        <v>50378</v>
      </c>
      <c r="F2496" s="28">
        <v>125532</v>
      </c>
      <c r="G2496" s="27" t="s">
        <v>11</v>
      </c>
      <c r="H2496" s="27" t="s">
        <v>918</v>
      </c>
      <c r="I2496" s="27" t="s">
        <v>13</v>
      </c>
    </row>
    <row r="2497" spans="1:9" x14ac:dyDescent="0.3">
      <c r="A2497" s="26">
        <v>45063</v>
      </c>
      <c r="B2497" s="27" t="s">
        <v>119</v>
      </c>
      <c r="C2497" s="27" t="s">
        <v>14</v>
      </c>
      <c r="D2497" s="27" t="s">
        <v>16</v>
      </c>
      <c r="E2497" s="28">
        <v>29923</v>
      </c>
      <c r="F2497" s="28">
        <v>142916</v>
      </c>
      <c r="G2497" s="27" t="s">
        <v>8</v>
      </c>
      <c r="H2497" s="27" t="s">
        <v>2258</v>
      </c>
      <c r="I2497" s="27" t="s">
        <v>13</v>
      </c>
    </row>
    <row r="2498" spans="1:9" x14ac:dyDescent="0.3">
      <c r="A2498" s="26">
        <v>45063</v>
      </c>
      <c r="B2498" s="27" t="s">
        <v>119</v>
      </c>
      <c r="C2498" s="27" t="s">
        <v>15</v>
      </c>
      <c r="D2498" s="27" t="s">
        <v>24</v>
      </c>
      <c r="E2498" s="28">
        <v>75921</v>
      </c>
      <c r="F2498" s="28">
        <v>74986</v>
      </c>
      <c r="G2498" s="27" t="s">
        <v>17</v>
      </c>
      <c r="H2498" s="27" t="s">
        <v>2864</v>
      </c>
      <c r="I2498" s="27" t="s">
        <v>13</v>
      </c>
    </row>
    <row r="2499" spans="1:9" x14ac:dyDescent="0.3">
      <c r="A2499" s="26">
        <v>45063</v>
      </c>
      <c r="B2499" s="27" t="s">
        <v>119</v>
      </c>
      <c r="C2499" s="27" t="s">
        <v>15</v>
      </c>
      <c r="D2499" s="27" t="s">
        <v>24</v>
      </c>
      <c r="E2499" s="28">
        <v>37573</v>
      </c>
      <c r="F2499" s="28">
        <v>119635</v>
      </c>
      <c r="G2499" s="27" t="s">
        <v>11</v>
      </c>
      <c r="H2499" s="27" t="s">
        <v>3039</v>
      </c>
      <c r="I2499" s="27" t="s">
        <v>13</v>
      </c>
    </row>
    <row r="2500" spans="1:9" x14ac:dyDescent="0.3">
      <c r="A2500" s="26">
        <v>45063</v>
      </c>
      <c r="B2500" s="27" t="s">
        <v>119</v>
      </c>
      <c r="C2500" s="27" t="s">
        <v>10</v>
      </c>
      <c r="D2500" s="27" t="s">
        <v>21</v>
      </c>
      <c r="E2500" s="28">
        <v>91519</v>
      </c>
      <c r="F2500" s="28">
        <v>13745</v>
      </c>
      <c r="G2500" s="27" t="s">
        <v>8</v>
      </c>
      <c r="H2500" s="27" t="s">
        <v>3350</v>
      </c>
      <c r="I2500" s="27" t="s">
        <v>13</v>
      </c>
    </row>
    <row r="2501" spans="1:9" x14ac:dyDescent="0.3">
      <c r="A2501" s="26">
        <v>45063</v>
      </c>
      <c r="B2501" s="27" t="s">
        <v>119</v>
      </c>
      <c r="C2501" s="27" t="s">
        <v>6</v>
      </c>
      <c r="D2501" s="27" t="s">
        <v>21</v>
      </c>
      <c r="E2501" s="28">
        <v>184200</v>
      </c>
      <c r="F2501" s="28">
        <v>208500</v>
      </c>
      <c r="G2501" s="27" t="s">
        <v>17</v>
      </c>
      <c r="H2501" s="27" t="s">
        <v>3552</v>
      </c>
      <c r="I2501" s="27" t="s">
        <v>9</v>
      </c>
    </row>
    <row r="2502" spans="1:9" x14ac:dyDescent="0.3">
      <c r="A2502" s="26">
        <v>45063</v>
      </c>
      <c r="B2502" s="27" t="s">
        <v>119</v>
      </c>
      <c r="C2502" s="27" t="s">
        <v>93</v>
      </c>
      <c r="D2502" s="27" t="s">
        <v>16</v>
      </c>
      <c r="E2502" s="28">
        <v>205500</v>
      </c>
      <c r="F2502" s="28">
        <v>246200</v>
      </c>
      <c r="G2502" s="27" t="s">
        <v>11</v>
      </c>
      <c r="H2502" s="27" t="s">
        <v>3594</v>
      </c>
      <c r="I2502" s="27" t="s">
        <v>9</v>
      </c>
    </row>
    <row r="2503" spans="1:9" x14ac:dyDescent="0.3">
      <c r="A2503" s="26">
        <v>45063</v>
      </c>
      <c r="B2503" s="27" t="s">
        <v>119</v>
      </c>
      <c r="C2503" s="27" t="s">
        <v>6</v>
      </c>
      <c r="D2503" s="27" t="s">
        <v>19</v>
      </c>
      <c r="E2503" s="28">
        <v>64400</v>
      </c>
      <c r="F2503" s="28">
        <v>67700</v>
      </c>
      <c r="G2503" s="27" t="s">
        <v>11</v>
      </c>
      <c r="H2503" s="27" t="s">
        <v>3971</v>
      </c>
      <c r="I2503" s="27" t="s">
        <v>9</v>
      </c>
    </row>
    <row r="2504" spans="1:9" x14ac:dyDescent="0.3">
      <c r="A2504" s="26">
        <v>45063</v>
      </c>
      <c r="B2504" s="27" t="s">
        <v>119</v>
      </c>
      <c r="C2504" s="27" t="s">
        <v>6</v>
      </c>
      <c r="D2504" s="27" t="s">
        <v>16</v>
      </c>
      <c r="E2504" s="28">
        <v>155000</v>
      </c>
      <c r="F2504" s="28">
        <v>149100</v>
      </c>
      <c r="G2504" s="27" t="s">
        <v>22</v>
      </c>
      <c r="H2504" s="27" t="s">
        <v>4018</v>
      </c>
      <c r="I2504" s="27" t="s">
        <v>9</v>
      </c>
    </row>
    <row r="2505" spans="1:9" x14ac:dyDescent="0.3">
      <c r="A2505" s="26">
        <v>45063</v>
      </c>
      <c r="B2505" s="27" t="s">
        <v>119</v>
      </c>
      <c r="C2505" s="27" t="s">
        <v>93</v>
      </c>
      <c r="D2505" s="27" t="s">
        <v>21</v>
      </c>
      <c r="E2505" s="28">
        <v>122400</v>
      </c>
      <c r="F2505" s="28">
        <v>129000</v>
      </c>
      <c r="G2505" s="27" t="s">
        <v>11</v>
      </c>
      <c r="H2505" s="27" t="s">
        <v>4299</v>
      </c>
      <c r="I2505" s="27" t="s">
        <v>9</v>
      </c>
    </row>
    <row r="2506" spans="1:9" x14ac:dyDescent="0.3">
      <c r="A2506" s="26">
        <v>45063</v>
      </c>
      <c r="B2506" s="27" t="s">
        <v>119</v>
      </c>
      <c r="C2506" s="27" t="s">
        <v>6</v>
      </c>
      <c r="D2506" s="27" t="s">
        <v>16</v>
      </c>
      <c r="E2506" s="28">
        <v>137300</v>
      </c>
      <c r="F2506" s="28">
        <v>142100</v>
      </c>
      <c r="G2506" s="27" t="s">
        <v>22</v>
      </c>
      <c r="H2506" s="27" t="s">
        <v>5643</v>
      </c>
      <c r="I2506" s="27" t="s">
        <v>9</v>
      </c>
    </row>
    <row r="2507" spans="1:9" x14ac:dyDescent="0.3">
      <c r="A2507" s="26">
        <v>45063</v>
      </c>
      <c r="B2507" s="27" t="s">
        <v>119</v>
      </c>
      <c r="C2507" s="27" t="s">
        <v>6</v>
      </c>
      <c r="D2507" s="27" t="s">
        <v>24</v>
      </c>
      <c r="E2507" s="28">
        <v>155000</v>
      </c>
      <c r="F2507" s="28">
        <v>145800</v>
      </c>
      <c r="G2507" s="27" t="s">
        <v>11</v>
      </c>
      <c r="H2507" s="27" t="s">
        <v>6249</v>
      </c>
      <c r="I2507" s="27" t="s">
        <v>9</v>
      </c>
    </row>
    <row r="2508" spans="1:9" x14ac:dyDescent="0.3">
      <c r="A2508" s="26">
        <v>45063</v>
      </c>
      <c r="B2508" s="27" t="s">
        <v>119</v>
      </c>
      <c r="C2508" s="27" t="s">
        <v>6</v>
      </c>
      <c r="D2508" s="27" t="s">
        <v>24</v>
      </c>
      <c r="E2508" s="28">
        <v>113600</v>
      </c>
      <c r="F2508" s="28">
        <v>111300</v>
      </c>
      <c r="G2508" s="27" t="s">
        <v>22</v>
      </c>
      <c r="H2508" s="27" t="s">
        <v>6424</v>
      </c>
      <c r="I2508" s="27" t="s">
        <v>9</v>
      </c>
    </row>
    <row r="2509" spans="1:9" x14ac:dyDescent="0.3">
      <c r="A2509" s="26">
        <v>45063</v>
      </c>
      <c r="B2509" s="27" t="s">
        <v>119</v>
      </c>
      <c r="C2509" s="27" t="s">
        <v>93</v>
      </c>
      <c r="D2509" s="27" t="s">
        <v>21</v>
      </c>
      <c r="E2509" s="28">
        <v>110400</v>
      </c>
      <c r="F2509" s="28">
        <v>107800</v>
      </c>
      <c r="G2509" s="27" t="s">
        <v>17</v>
      </c>
      <c r="H2509" s="27" t="s">
        <v>6735</v>
      </c>
      <c r="I2509" s="27" t="s">
        <v>9</v>
      </c>
    </row>
    <row r="2510" spans="1:9" x14ac:dyDescent="0.3">
      <c r="A2510" s="26">
        <v>45064</v>
      </c>
      <c r="B2510" s="27" t="s">
        <v>119</v>
      </c>
      <c r="C2510" s="27" t="s">
        <v>10</v>
      </c>
      <c r="D2510" s="27" t="s">
        <v>24</v>
      </c>
      <c r="E2510" s="28">
        <v>105285</v>
      </c>
      <c r="F2510" s="28">
        <v>12667</v>
      </c>
      <c r="G2510" s="27" t="s">
        <v>8</v>
      </c>
      <c r="H2510" s="27" t="s">
        <v>798</v>
      </c>
      <c r="I2510" s="27" t="s">
        <v>13</v>
      </c>
    </row>
    <row r="2511" spans="1:9" x14ac:dyDescent="0.3">
      <c r="A2511" s="26">
        <v>45064</v>
      </c>
      <c r="B2511" s="27" t="s">
        <v>119</v>
      </c>
      <c r="C2511" s="27" t="s">
        <v>32</v>
      </c>
      <c r="D2511" s="27" t="s">
        <v>21</v>
      </c>
      <c r="E2511" s="28">
        <v>51775</v>
      </c>
      <c r="F2511" s="28">
        <v>13196</v>
      </c>
      <c r="G2511" s="27" t="s">
        <v>11</v>
      </c>
      <c r="H2511" s="27" t="s">
        <v>1054</v>
      </c>
      <c r="I2511" s="27" t="s">
        <v>13</v>
      </c>
    </row>
    <row r="2512" spans="1:9" x14ac:dyDescent="0.3">
      <c r="A2512" s="26">
        <v>45064</v>
      </c>
      <c r="B2512" s="27" t="s">
        <v>119</v>
      </c>
      <c r="C2512" s="27" t="s">
        <v>15</v>
      </c>
      <c r="D2512" s="27" t="s">
        <v>7</v>
      </c>
      <c r="E2512" s="28">
        <v>20657</v>
      </c>
      <c r="F2512" s="28">
        <v>86353</v>
      </c>
      <c r="G2512" s="27" t="s">
        <v>11</v>
      </c>
      <c r="H2512" s="27" t="s">
        <v>1168</v>
      </c>
      <c r="I2512" s="27" t="s">
        <v>13</v>
      </c>
    </row>
    <row r="2513" spans="1:9" x14ac:dyDescent="0.3">
      <c r="A2513" s="26">
        <v>45064</v>
      </c>
      <c r="B2513" s="27" t="s">
        <v>119</v>
      </c>
      <c r="C2513" s="27" t="s">
        <v>20</v>
      </c>
      <c r="D2513" s="27" t="s">
        <v>24</v>
      </c>
      <c r="E2513" s="28">
        <v>23341</v>
      </c>
      <c r="F2513" s="28">
        <v>68501</v>
      </c>
      <c r="G2513" s="27" t="s">
        <v>22</v>
      </c>
      <c r="H2513" s="27" t="s">
        <v>1273</v>
      </c>
      <c r="I2513" s="27" t="s">
        <v>13</v>
      </c>
    </row>
    <row r="2514" spans="1:9" x14ac:dyDescent="0.3">
      <c r="A2514" s="26">
        <v>45064</v>
      </c>
      <c r="B2514" s="27" t="s">
        <v>119</v>
      </c>
      <c r="C2514" s="27" t="s">
        <v>32</v>
      </c>
      <c r="D2514" s="27" t="s">
        <v>16</v>
      </c>
      <c r="E2514" s="28">
        <v>124048</v>
      </c>
      <c r="F2514" s="28">
        <v>155640</v>
      </c>
      <c r="G2514" s="27" t="s">
        <v>8</v>
      </c>
      <c r="H2514" s="27" t="s">
        <v>1822</v>
      </c>
      <c r="I2514" s="27" t="s">
        <v>13</v>
      </c>
    </row>
    <row r="2515" spans="1:9" x14ac:dyDescent="0.3">
      <c r="A2515" s="26">
        <v>45064</v>
      </c>
      <c r="B2515" s="27" t="s">
        <v>119</v>
      </c>
      <c r="C2515" s="27" t="s">
        <v>15</v>
      </c>
      <c r="D2515" s="27" t="s">
        <v>21</v>
      </c>
      <c r="E2515" s="28">
        <v>92565</v>
      </c>
      <c r="F2515" s="28">
        <v>46270</v>
      </c>
      <c r="G2515" s="27" t="s">
        <v>17</v>
      </c>
      <c r="H2515" s="27" t="s">
        <v>1824</v>
      </c>
      <c r="I2515" s="27" t="s">
        <v>13</v>
      </c>
    </row>
    <row r="2516" spans="1:9" x14ac:dyDescent="0.3">
      <c r="A2516" s="26">
        <v>45064</v>
      </c>
      <c r="B2516" s="27" t="s">
        <v>119</v>
      </c>
      <c r="C2516" s="27" t="s">
        <v>14</v>
      </c>
      <c r="D2516" s="27" t="s">
        <v>21</v>
      </c>
      <c r="E2516" s="28">
        <v>109260</v>
      </c>
      <c r="F2516" s="28">
        <v>37725</v>
      </c>
      <c r="G2516" s="27" t="s">
        <v>17</v>
      </c>
      <c r="H2516" s="27" t="s">
        <v>1961</v>
      </c>
      <c r="I2516" s="27" t="s">
        <v>13</v>
      </c>
    </row>
    <row r="2517" spans="1:9" x14ac:dyDescent="0.3">
      <c r="A2517" s="26">
        <v>45064</v>
      </c>
      <c r="B2517" s="27" t="s">
        <v>119</v>
      </c>
      <c r="C2517" s="27" t="s">
        <v>32</v>
      </c>
      <c r="D2517" s="27" t="s">
        <v>24</v>
      </c>
      <c r="E2517" s="28">
        <v>72584</v>
      </c>
      <c r="F2517" s="28">
        <v>91138</v>
      </c>
      <c r="G2517" s="27" t="s">
        <v>17</v>
      </c>
      <c r="H2517" s="27" t="s">
        <v>2704</v>
      </c>
      <c r="I2517" s="27" t="s">
        <v>13</v>
      </c>
    </row>
    <row r="2518" spans="1:9" x14ac:dyDescent="0.3">
      <c r="A2518" s="26">
        <v>45064</v>
      </c>
      <c r="B2518" s="27" t="s">
        <v>119</v>
      </c>
      <c r="C2518" s="27" t="s">
        <v>20</v>
      </c>
      <c r="D2518" s="27" t="s">
        <v>7</v>
      </c>
      <c r="E2518" s="28">
        <v>53404</v>
      </c>
      <c r="F2518" s="28">
        <v>160499</v>
      </c>
      <c r="G2518" s="27" t="s">
        <v>8</v>
      </c>
      <c r="H2518" s="27" t="s">
        <v>3031</v>
      </c>
      <c r="I2518" s="27" t="s">
        <v>13</v>
      </c>
    </row>
    <row r="2519" spans="1:9" x14ac:dyDescent="0.3">
      <c r="A2519" s="26">
        <v>45064</v>
      </c>
      <c r="B2519" s="27" t="s">
        <v>119</v>
      </c>
      <c r="C2519" s="27" t="s">
        <v>6</v>
      </c>
      <c r="D2519" s="27" t="s">
        <v>24</v>
      </c>
      <c r="E2519" s="28">
        <v>143800</v>
      </c>
      <c r="F2519" s="28">
        <v>152300</v>
      </c>
      <c r="G2519" s="27" t="s">
        <v>22</v>
      </c>
      <c r="H2519" s="27" t="s">
        <v>4179</v>
      </c>
      <c r="I2519" s="27" t="s">
        <v>9</v>
      </c>
    </row>
    <row r="2520" spans="1:9" x14ac:dyDescent="0.3">
      <c r="A2520" s="26">
        <v>45064</v>
      </c>
      <c r="B2520" s="27" t="s">
        <v>119</v>
      </c>
      <c r="C2520" s="27" t="s">
        <v>6</v>
      </c>
      <c r="D2520" s="27" t="s">
        <v>21</v>
      </c>
      <c r="E2520" s="28">
        <v>157400</v>
      </c>
      <c r="F2520" s="28">
        <v>174600</v>
      </c>
      <c r="G2520" s="27" t="s">
        <v>11</v>
      </c>
      <c r="H2520" s="27" t="s">
        <v>4436</v>
      </c>
      <c r="I2520" s="27" t="s">
        <v>9</v>
      </c>
    </row>
    <row r="2521" spans="1:9" x14ac:dyDescent="0.3">
      <c r="A2521" s="26">
        <v>45064</v>
      </c>
      <c r="B2521" s="27" t="s">
        <v>119</v>
      </c>
      <c r="C2521" s="27" t="s">
        <v>93</v>
      </c>
      <c r="D2521" s="27" t="s">
        <v>7</v>
      </c>
      <c r="E2521" s="28">
        <v>66400</v>
      </c>
      <c r="F2521" s="28">
        <v>77100</v>
      </c>
      <c r="G2521" s="27" t="s">
        <v>11</v>
      </c>
      <c r="H2521" s="27" t="s">
        <v>4551</v>
      </c>
      <c r="I2521" s="27" t="s">
        <v>9</v>
      </c>
    </row>
    <row r="2522" spans="1:9" x14ac:dyDescent="0.3">
      <c r="A2522" s="26">
        <v>45064</v>
      </c>
      <c r="B2522" s="27" t="s">
        <v>119</v>
      </c>
      <c r="C2522" s="27" t="s">
        <v>6</v>
      </c>
      <c r="D2522" s="27" t="s">
        <v>24</v>
      </c>
      <c r="E2522" s="28">
        <v>114600</v>
      </c>
      <c r="F2522" s="28">
        <v>113100</v>
      </c>
      <c r="G2522" s="27" t="s">
        <v>11</v>
      </c>
      <c r="H2522" s="27" t="s">
        <v>4656</v>
      </c>
      <c r="I2522" s="27" t="s">
        <v>9</v>
      </c>
    </row>
    <row r="2523" spans="1:9" x14ac:dyDescent="0.3">
      <c r="A2523" s="26">
        <v>45064</v>
      </c>
      <c r="B2523" s="27" t="s">
        <v>119</v>
      </c>
      <c r="C2523" s="27" t="s">
        <v>93</v>
      </c>
      <c r="D2523" s="27" t="s">
        <v>16</v>
      </c>
      <c r="E2523" s="28">
        <v>107200</v>
      </c>
      <c r="F2523" s="28">
        <v>101600</v>
      </c>
      <c r="G2523" s="27" t="s">
        <v>17</v>
      </c>
      <c r="H2523" s="27" t="s">
        <v>5205</v>
      </c>
      <c r="I2523" s="27" t="s">
        <v>9</v>
      </c>
    </row>
    <row r="2524" spans="1:9" x14ac:dyDescent="0.3">
      <c r="A2524" s="26">
        <v>45064</v>
      </c>
      <c r="B2524" s="27" t="s">
        <v>119</v>
      </c>
      <c r="C2524" s="27" t="s">
        <v>6</v>
      </c>
      <c r="D2524" s="27" t="s">
        <v>21</v>
      </c>
      <c r="E2524" s="28">
        <v>54200</v>
      </c>
      <c r="F2524" s="28">
        <v>50400</v>
      </c>
      <c r="G2524" s="27" t="s">
        <v>11</v>
      </c>
      <c r="H2524" s="27" t="s">
        <v>5207</v>
      </c>
      <c r="I2524" s="27" t="s">
        <v>9</v>
      </c>
    </row>
    <row r="2525" spans="1:9" x14ac:dyDescent="0.3">
      <c r="A2525" s="26">
        <v>45064</v>
      </c>
      <c r="B2525" s="27" t="s">
        <v>119</v>
      </c>
      <c r="C2525" s="27" t="s">
        <v>6</v>
      </c>
      <c r="D2525" s="27" t="s">
        <v>21</v>
      </c>
      <c r="E2525" s="28">
        <v>169700</v>
      </c>
      <c r="F2525" s="28">
        <v>238800</v>
      </c>
      <c r="G2525" s="27" t="s">
        <v>11</v>
      </c>
      <c r="H2525" s="27" t="s">
        <v>5345</v>
      </c>
      <c r="I2525" s="27" t="s">
        <v>9</v>
      </c>
    </row>
    <row r="2526" spans="1:9" x14ac:dyDescent="0.3">
      <c r="A2526" s="26">
        <v>45064</v>
      </c>
      <c r="B2526" s="27" t="s">
        <v>119</v>
      </c>
      <c r="C2526" s="27" t="s">
        <v>93</v>
      </c>
      <c r="D2526" s="27" t="s">
        <v>24</v>
      </c>
      <c r="E2526" s="28">
        <v>58400</v>
      </c>
      <c r="F2526" s="28">
        <v>63800</v>
      </c>
      <c r="G2526" s="27" t="s">
        <v>11</v>
      </c>
      <c r="H2526" s="27" t="s">
        <v>6089</v>
      </c>
      <c r="I2526" s="27" t="s">
        <v>9</v>
      </c>
    </row>
    <row r="2527" spans="1:9" x14ac:dyDescent="0.3">
      <c r="A2527" s="26">
        <v>45064</v>
      </c>
      <c r="B2527" s="27" t="s">
        <v>119</v>
      </c>
      <c r="C2527" s="27" t="s">
        <v>93</v>
      </c>
      <c r="D2527" s="27" t="s">
        <v>7</v>
      </c>
      <c r="E2527" s="28">
        <v>120000</v>
      </c>
      <c r="F2527" s="28">
        <v>79700</v>
      </c>
      <c r="G2527" s="27" t="s">
        <v>11</v>
      </c>
      <c r="H2527" s="27" t="s">
        <v>6416</v>
      </c>
      <c r="I2527" s="27" t="s">
        <v>9</v>
      </c>
    </row>
    <row r="2528" spans="1:9" x14ac:dyDescent="0.3">
      <c r="A2528" s="26">
        <v>45065</v>
      </c>
      <c r="B2528" s="27" t="s">
        <v>119</v>
      </c>
      <c r="C2528" s="27" t="s">
        <v>14</v>
      </c>
      <c r="D2528" s="27" t="s">
        <v>19</v>
      </c>
      <c r="E2528" s="28">
        <v>123305</v>
      </c>
      <c r="F2528" s="28">
        <v>105509</v>
      </c>
      <c r="G2528" s="27" t="s">
        <v>17</v>
      </c>
      <c r="H2528" s="27" t="s">
        <v>254</v>
      </c>
      <c r="I2528" s="27" t="s">
        <v>13</v>
      </c>
    </row>
    <row r="2529" spans="1:9" x14ac:dyDescent="0.3">
      <c r="A2529" s="26">
        <v>45065</v>
      </c>
      <c r="B2529" s="27" t="s">
        <v>119</v>
      </c>
      <c r="C2529" s="27" t="s">
        <v>15</v>
      </c>
      <c r="D2529" s="27" t="s">
        <v>16</v>
      </c>
      <c r="E2529" s="28">
        <v>11467</v>
      </c>
      <c r="F2529" s="28">
        <v>48022</v>
      </c>
      <c r="G2529" s="27" t="s">
        <v>22</v>
      </c>
      <c r="H2529" s="27" t="s">
        <v>537</v>
      </c>
      <c r="I2529" s="27" t="s">
        <v>13</v>
      </c>
    </row>
    <row r="2530" spans="1:9" x14ac:dyDescent="0.3">
      <c r="A2530" s="26">
        <v>45065</v>
      </c>
      <c r="B2530" s="27" t="s">
        <v>119</v>
      </c>
      <c r="C2530" s="27" t="s">
        <v>10</v>
      </c>
      <c r="D2530" s="27" t="s">
        <v>7</v>
      </c>
      <c r="E2530" s="28">
        <v>14986</v>
      </c>
      <c r="F2530" s="28">
        <v>162039</v>
      </c>
      <c r="G2530" s="27" t="s">
        <v>22</v>
      </c>
      <c r="H2530" s="27" t="s">
        <v>1116</v>
      </c>
      <c r="I2530" s="27" t="s">
        <v>13</v>
      </c>
    </row>
    <row r="2531" spans="1:9" x14ac:dyDescent="0.3">
      <c r="A2531" s="26">
        <v>45065</v>
      </c>
      <c r="B2531" s="27" t="s">
        <v>119</v>
      </c>
      <c r="C2531" s="27" t="s">
        <v>15</v>
      </c>
      <c r="D2531" s="27" t="s">
        <v>21</v>
      </c>
      <c r="E2531" s="28">
        <v>68051</v>
      </c>
      <c r="F2531" s="28">
        <v>24350</v>
      </c>
      <c r="G2531" s="27" t="s">
        <v>11</v>
      </c>
      <c r="H2531" s="27" t="s">
        <v>1125</v>
      </c>
      <c r="I2531" s="27" t="s">
        <v>13</v>
      </c>
    </row>
    <row r="2532" spans="1:9" x14ac:dyDescent="0.3">
      <c r="A2532" s="26">
        <v>45065</v>
      </c>
      <c r="B2532" s="27" t="s">
        <v>119</v>
      </c>
      <c r="C2532" s="27" t="s">
        <v>32</v>
      </c>
      <c r="D2532" s="27" t="s">
        <v>16</v>
      </c>
      <c r="E2532" s="28">
        <v>138711</v>
      </c>
      <c r="F2532" s="28">
        <v>28155</v>
      </c>
      <c r="G2532" s="27" t="s">
        <v>17</v>
      </c>
      <c r="H2532" s="27" t="s">
        <v>2014</v>
      </c>
      <c r="I2532" s="27" t="s">
        <v>13</v>
      </c>
    </row>
    <row r="2533" spans="1:9" x14ac:dyDescent="0.3">
      <c r="A2533" s="26">
        <v>45065</v>
      </c>
      <c r="B2533" s="27" t="s">
        <v>119</v>
      </c>
      <c r="C2533" s="27" t="s">
        <v>15</v>
      </c>
      <c r="D2533" s="27" t="s">
        <v>24</v>
      </c>
      <c r="E2533" s="28">
        <v>37073</v>
      </c>
      <c r="F2533" s="28">
        <v>72908</v>
      </c>
      <c r="G2533" s="27" t="s">
        <v>17</v>
      </c>
      <c r="H2533" s="27" t="s">
        <v>2414</v>
      </c>
      <c r="I2533" s="27" t="s">
        <v>13</v>
      </c>
    </row>
    <row r="2534" spans="1:9" x14ac:dyDescent="0.3">
      <c r="A2534" s="26">
        <v>45065</v>
      </c>
      <c r="B2534" s="27" t="s">
        <v>119</v>
      </c>
      <c r="C2534" s="27" t="s">
        <v>18</v>
      </c>
      <c r="D2534" s="27" t="s">
        <v>24</v>
      </c>
      <c r="E2534" s="28">
        <v>91120</v>
      </c>
      <c r="F2534" s="28">
        <v>147326</v>
      </c>
      <c r="G2534" s="27" t="s">
        <v>8</v>
      </c>
      <c r="H2534" s="27" t="s">
        <v>2574</v>
      </c>
      <c r="I2534" s="27" t="s">
        <v>13</v>
      </c>
    </row>
    <row r="2535" spans="1:9" x14ac:dyDescent="0.3">
      <c r="A2535" s="26">
        <v>45065</v>
      </c>
      <c r="B2535" s="27" t="s">
        <v>119</v>
      </c>
      <c r="C2535" s="27" t="s">
        <v>15</v>
      </c>
      <c r="D2535" s="27" t="s">
        <v>16</v>
      </c>
      <c r="E2535" s="28">
        <v>115101</v>
      </c>
      <c r="F2535" s="28">
        <v>79064</v>
      </c>
      <c r="G2535" s="27" t="s">
        <v>8</v>
      </c>
      <c r="H2535" s="27" t="s">
        <v>2629</v>
      </c>
      <c r="I2535" s="27" t="s">
        <v>13</v>
      </c>
    </row>
    <row r="2536" spans="1:9" x14ac:dyDescent="0.3">
      <c r="A2536" s="26">
        <v>45065</v>
      </c>
      <c r="B2536" s="27" t="s">
        <v>119</v>
      </c>
      <c r="C2536" s="27" t="s">
        <v>18</v>
      </c>
      <c r="D2536" s="27" t="s">
        <v>19</v>
      </c>
      <c r="E2536" s="28">
        <v>103728</v>
      </c>
      <c r="F2536" s="28">
        <v>106344</v>
      </c>
      <c r="G2536" s="27" t="s">
        <v>22</v>
      </c>
      <c r="H2536" s="27" t="s">
        <v>2935</v>
      </c>
      <c r="I2536" s="27" t="s">
        <v>13</v>
      </c>
    </row>
    <row r="2537" spans="1:9" x14ac:dyDescent="0.3">
      <c r="A2537" s="26">
        <v>45065</v>
      </c>
      <c r="B2537" s="27" t="s">
        <v>119</v>
      </c>
      <c r="C2537" s="27" t="s">
        <v>10</v>
      </c>
      <c r="D2537" s="27" t="s">
        <v>16</v>
      </c>
      <c r="E2537" s="28">
        <v>23682</v>
      </c>
      <c r="F2537" s="28">
        <v>48791</v>
      </c>
      <c r="G2537" s="27" t="s">
        <v>17</v>
      </c>
      <c r="H2537" s="27" t="s">
        <v>3394</v>
      </c>
      <c r="I2537" s="27" t="s">
        <v>13</v>
      </c>
    </row>
    <row r="2538" spans="1:9" x14ac:dyDescent="0.3">
      <c r="A2538" s="26">
        <v>45065</v>
      </c>
      <c r="B2538" s="27" t="s">
        <v>119</v>
      </c>
      <c r="C2538" s="27" t="s">
        <v>6</v>
      </c>
      <c r="D2538" s="27" t="s">
        <v>19</v>
      </c>
      <c r="E2538" s="28">
        <v>152400</v>
      </c>
      <c r="F2538" s="28">
        <v>147700</v>
      </c>
      <c r="G2538" s="27" t="s">
        <v>11</v>
      </c>
      <c r="H2538" s="27" t="s">
        <v>3635</v>
      </c>
      <c r="I2538" s="27" t="s">
        <v>9</v>
      </c>
    </row>
    <row r="2539" spans="1:9" x14ac:dyDescent="0.3">
      <c r="A2539" s="26">
        <v>45065</v>
      </c>
      <c r="B2539" s="27" t="s">
        <v>119</v>
      </c>
      <c r="C2539" s="27" t="s">
        <v>6</v>
      </c>
      <c r="D2539" s="27" t="s">
        <v>16</v>
      </c>
      <c r="E2539" s="28">
        <v>88100</v>
      </c>
      <c r="F2539" s="28">
        <v>86600</v>
      </c>
      <c r="G2539" s="27" t="s">
        <v>11</v>
      </c>
      <c r="H2539" s="27" t="s">
        <v>3918</v>
      </c>
      <c r="I2539" s="27" t="s">
        <v>9</v>
      </c>
    </row>
    <row r="2540" spans="1:9" x14ac:dyDescent="0.3">
      <c r="A2540" s="26">
        <v>45065</v>
      </c>
      <c r="B2540" s="27" t="s">
        <v>119</v>
      </c>
      <c r="C2540" s="27" t="s">
        <v>93</v>
      </c>
      <c r="D2540" s="27" t="s">
        <v>7</v>
      </c>
      <c r="E2540" s="28">
        <v>169700</v>
      </c>
      <c r="F2540" s="28">
        <v>179200</v>
      </c>
      <c r="G2540" s="27" t="s">
        <v>11</v>
      </c>
      <c r="H2540" s="27" t="s">
        <v>4499</v>
      </c>
      <c r="I2540" s="27" t="s">
        <v>9</v>
      </c>
    </row>
    <row r="2541" spans="1:9" x14ac:dyDescent="0.3">
      <c r="A2541" s="26">
        <v>45065</v>
      </c>
      <c r="B2541" s="27" t="s">
        <v>119</v>
      </c>
      <c r="C2541" s="27" t="s">
        <v>6</v>
      </c>
      <c r="D2541" s="27" t="s">
        <v>21</v>
      </c>
      <c r="E2541" s="28">
        <v>88400</v>
      </c>
      <c r="F2541" s="28">
        <v>97300</v>
      </c>
      <c r="G2541" s="27" t="s">
        <v>22</v>
      </c>
      <c r="H2541" s="27" t="s">
        <v>4508</v>
      </c>
      <c r="I2541" s="27" t="s">
        <v>9</v>
      </c>
    </row>
    <row r="2542" spans="1:9" x14ac:dyDescent="0.3">
      <c r="A2542" s="26">
        <v>45065</v>
      </c>
      <c r="B2542" s="27" t="s">
        <v>119</v>
      </c>
      <c r="C2542" s="27" t="s">
        <v>93</v>
      </c>
      <c r="D2542" s="27" t="s">
        <v>16</v>
      </c>
      <c r="E2542" s="28">
        <v>116500</v>
      </c>
      <c r="F2542" s="28">
        <v>92800</v>
      </c>
      <c r="G2542" s="27" t="s">
        <v>22</v>
      </c>
      <c r="H2542" s="27" t="s">
        <v>5398</v>
      </c>
      <c r="I2542" s="27" t="s">
        <v>9</v>
      </c>
    </row>
    <row r="2543" spans="1:9" x14ac:dyDescent="0.3">
      <c r="A2543" s="26">
        <v>45065</v>
      </c>
      <c r="B2543" s="27" t="s">
        <v>119</v>
      </c>
      <c r="C2543" s="27" t="s">
        <v>93</v>
      </c>
      <c r="D2543" s="27" t="s">
        <v>24</v>
      </c>
      <c r="E2543" s="28">
        <v>133700</v>
      </c>
      <c r="F2543" s="28">
        <v>141700</v>
      </c>
      <c r="G2543" s="27" t="s">
        <v>22</v>
      </c>
      <c r="H2543" s="27" t="s">
        <v>5799</v>
      </c>
      <c r="I2543" s="27" t="s">
        <v>9</v>
      </c>
    </row>
    <row r="2544" spans="1:9" x14ac:dyDescent="0.3">
      <c r="A2544" s="26">
        <v>45065</v>
      </c>
      <c r="B2544" s="27" t="s">
        <v>119</v>
      </c>
      <c r="C2544" s="27" t="s">
        <v>6</v>
      </c>
      <c r="D2544" s="27" t="s">
        <v>24</v>
      </c>
      <c r="E2544" s="28">
        <v>147700</v>
      </c>
      <c r="F2544" s="28">
        <v>147700</v>
      </c>
      <c r="G2544" s="27" t="s">
        <v>17</v>
      </c>
      <c r="H2544" s="27" t="s">
        <v>5959</v>
      </c>
      <c r="I2544" s="27" t="s">
        <v>9</v>
      </c>
    </row>
    <row r="2545" spans="1:9" x14ac:dyDescent="0.3">
      <c r="A2545" s="26">
        <v>45065</v>
      </c>
      <c r="B2545" s="27" t="s">
        <v>119</v>
      </c>
      <c r="C2545" s="27" t="s">
        <v>93</v>
      </c>
      <c r="D2545" s="27" t="s">
        <v>16</v>
      </c>
      <c r="E2545" s="28">
        <v>222400</v>
      </c>
      <c r="F2545" s="28">
        <v>245000</v>
      </c>
      <c r="G2545" s="27" t="s">
        <v>11</v>
      </c>
      <c r="H2545" s="27" t="s">
        <v>6014</v>
      </c>
      <c r="I2545" s="27" t="s">
        <v>9</v>
      </c>
    </row>
    <row r="2546" spans="1:9" x14ac:dyDescent="0.3">
      <c r="A2546" s="26">
        <v>45065</v>
      </c>
      <c r="B2546" s="27" t="s">
        <v>119</v>
      </c>
      <c r="C2546" s="27" t="s">
        <v>6</v>
      </c>
      <c r="D2546" s="27" t="s">
        <v>19</v>
      </c>
      <c r="E2546" s="28">
        <v>70400</v>
      </c>
      <c r="F2546" s="28">
        <v>87300</v>
      </c>
      <c r="G2546" s="27" t="s">
        <v>22</v>
      </c>
      <c r="H2546" s="27" t="s">
        <v>6320</v>
      </c>
      <c r="I2546" s="27" t="s">
        <v>9</v>
      </c>
    </row>
    <row r="2547" spans="1:9" x14ac:dyDescent="0.3">
      <c r="A2547" s="26">
        <v>45065</v>
      </c>
      <c r="B2547" s="27" t="s">
        <v>119</v>
      </c>
      <c r="C2547" s="27" t="s">
        <v>6</v>
      </c>
      <c r="D2547" s="27" t="s">
        <v>16</v>
      </c>
      <c r="E2547" s="28">
        <v>187900</v>
      </c>
      <c r="F2547" s="28">
        <v>158600</v>
      </c>
      <c r="G2547" s="27" t="s">
        <v>17</v>
      </c>
      <c r="H2547" s="27" t="s">
        <v>6779</v>
      </c>
      <c r="I2547" s="27" t="s">
        <v>9</v>
      </c>
    </row>
    <row r="2548" spans="1:9" x14ac:dyDescent="0.3">
      <c r="A2548" s="26">
        <v>45066</v>
      </c>
      <c r="B2548" s="27" t="s">
        <v>119</v>
      </c>
      <c r="C2548" s="27" t="s">
        <v>18</v>
      </c>
      <c r="D2548" s="27" t="s">
        <v>16</v>
      </c>
      <c r="E2548" s="28">
        <v>97304</v>
      </c>
      <c r="F2548" s="28">
        <v>168710</v>
      </c>
      <c r="G2548" s="27" t="s">
        <v>11</v>
      </c>
      <c r="H2548" s="27" t="s">
        <v>1079</v>
      </c>
      <c r="I2548" s="27" t="s">
        <v>13</v>
      </c>
    </row>
    <row r="2549" spans="1:9" x14ac:dyDescent="0.3">
      <c r="A2549" s="26">
        <v>45066</v>
      </c>
      <c r="B2549" s="27" t="s">
        <v>119</v>
      </c>
      <c r="C2549" s="27" t="s">
        <v>14</v>
      </c>
      <c r="D2549" s="27" t="s">
        <v>24</v>
      </c>
      <c r="E2549" s="28">
        <v>132874</v>
      </c>
      <c r="F2549" s="28">
        <v>77739</v>
      </c>
      <c r="G2549" s="27" t="s">
        <v>22</v>
      </c>
      <c r="H2549" s="27" t="s">
        <v>1186</v>
      </c>
      <c r="I2549" s="27" t="s">
        <v>13</v>
      </c>
    </row>
    <row r="2550" spans="1:9" x14ac:dyDescent="0.3">
      <c r="A2550" s="26">
        <v>45066</v>
      </c>
      <c r="B2550" s="27" t="s">
        <v>119</v>
      </c>
      <c r="C2550" s="27" t="s">
        <v>18</v>
      </c>
      <c r="D2550" s="27" t="s">
        <v>24</v>
      </c>
      <c r="E2550" s="28">
        <v>116243</v>
      </c>
      <c r="F2550" s="28">
        <v>15762</v>
      </c>
      <c r="G2550" s="27" t="s">
        <v>8</v>
      </c>
      <c r="H2550" s="27" t="s">
        <v>1444</v>
      </c>
      <c r="I2550" s="27" t="s">
        <v>13</v>
      </c>
    </row>
    <row r="2551" spans="1:9" x14ac:dyDescent="0.3">
      <c r="A2551" s="26">
        <v>45066</v>
      </c>
      <c r="B2551" s="27" t="s">
        <v>119</v>
      </c>
      <c r="C2551" s="27" t="s">
        <v>10</v>
      </c>
      <c r="D2551" s="27" t="s">
        <v>7</v>
      </c>
      <c r="E2551" s="28">
        <v>80599</v>
      </c>
      <c r="F2551" s="28">
        <v>89283</v>
      </c>
      <c r="G2551" s="27" t="s">
        <v>8</v>
      </c>
      <c r="H2551" s="27" t="s">
        <v>1715</v>
      </c>
      <c r="I2551" s="27" t="s">
        <v>13</v>
      </c>
    </row>
    <row r="2552" spans="1:9" x14ac:dyDescent="0.3">
      <c r="A2552" s="26">
        <v>45066</v>
      </c>
      <c r="B2552" s="27" t="s">
        <v>119</v>
      </c>
      <c r="C2552" s="27" t="s">
        <v>20</v>
      </c>
      <c r="D2552" s="27" t="s">
        <v>19</v>
      </c>
      <c r="E2552" s="28">
        <v>131558</v>
      </c>
      <c r="F2552" s="28">
        <v>99004</v>
      </c>
      <c r="G2552" s="27" t="s">
        <v>11</v>
      </c>
      <c r="H2552" s="27" t="s">
        <v>2389</v>
      </c>
      <c r="I2552" s="27" t="s">
        <v>13</v>
      </c>
    </row>
    <row r="2553" spans="1:9" x14ac:dyDescent="0.3">
      <c r="A2553" s="26">
        <v>45066</v>
      </c>
      <c r="B2553" s="27" t="s">
        <v>119</v>
      </c>
      <c r="C2553" s="27" t="s">
        <v>15</v>
      </c>
      <c r="D2553" s="27" t="s">
        <v>7</v>
      </c>
      <c r="E2553" s="28">
        <v>100454</v>
      </c>
      <c r="F2553" s="28">
        <v>140973</v>
      </c>
      <c r="G2553" s="27" t="s">
        <v>22</v>
      </c>
      <c r="H2553" s="27" t="s">
        <v>2439</v>
      </c>
      <c r="I2553" s="27" t="s">
        <v>13</v>
      </c>
    </row>
    <row r="2554" spans="1:9" x14ac:dyDescent="0.3">
      <c r="A2554" s="26">
        <v>45066</v>
      </c>
      <c r="B2554" s="27" t="s">
        <v>119</v>
      </c>
      <c r="C2554" s="27" t="s">
        <v>18</v>
      </c>
      <c r="D2554" s="27" t="s">
        <v>7</v>
      </c>
      <c r="E2554" s="28">
        <v>61244</v>
      </c>
      <c r="F2554" s="28">
        <v>131600</v>
      </c>
      <c r="G2554" s="27" t="s">
        <v>17</v>
      </c>
      <c r="H2554" s="27" t="s">
        <v>2539</v>
      </c>
      <c r="I2554" s="27" t="s">
        <v>13</v>
      </c>
    </row>
    <row r="2555" spans="1:9" x14ac:dyDescent="0.3">
      <c r="A2555" s="26">
        <v>45066</v>
      </c>
      <c r="B2555" s="27" t="s">
        <v>119</v>
      </c>
      <c r="C2555" s="27" t="s">
        <v>15</v>
      </c>
      <c r="D2555" s="27" t="s">
        <v>7</v>
      </c>
      <c r="E2555" s="28">
        <v>32325</v>
      </c>
      <c r="F2555" s="28">
        <v>103716</v>
      </c>
      <c r="G2555" s="27" t="s">
        <v>17</v>
      </c>
      <c r="H2555" s="27" t="s">
        <v>2739</v>
      </c>
      <c r="I2555" s="27" t="s">
        <v>13</v>
      </c>
    </row>
    <row r="2556" spans="1:9" x14ac:dyDescent="0.3">
      <c r="A2556" s="26">
        <v>45066</v>
      </c>
      <c r="B2556" s="27" t="s">
        <v>119</v>
      </c>
      <c r="C2556" s="27" t="s">
        <v>18</v>
      </c>
      <c r="D2556" s="27" t="s">
        <v>7</v>
      </c>
      <c r="E2556" s="28">
        <v>87987</v>
      </c>
      <c r="F2556" s="28">
        <v>83957</v>
      </c>
      <c r="G2556" s="27" t="s">
        <v>17</v>
      </c>
      <c r="H2556" s="27" t="s">
        <v>2898</v>
      </c>
      <c r="I2556" s="27" t="s">
        <v>13</v>
      </c>
    </row>
    <row r="2557" spans="1:9" x14ac:dyDescent="0.3">
      <c r="A2557" s="26">
        <v>45066</v>
      </c>
      <c r="B2557" s="27" t="s">
        <v>119</v>
      </c>
      <c r="C2557" s="27" t="s">
        <v>10</v>
      </c>
      <c r="D2557" s="27" t="s">
        <v>21</v>
      </c>
      <c r="E2557" s="28">
        <v>18455</v>
      </c>
      <c r="F2557" s="28">
        <v>128737</v>
      </c>
      <c r="G2557" s="27" t="s">
        <v>8</v>
      </c>
      <c r="H2557" s="27" t="s">
        <v>3070</v>
      </c>
      <c r="I2557" s="27" t="s">
        <v>13</v>
      </c>
    </row>
    <row r="2558" spans="1:9" x14ac:dyDescent="0.3">
      <c r="A2558" s="26">
        <v>45066</v>
      </c>
      <c r="B2558" s="27" t="s">
        <v>119</v>
      </c>
      <c r="C2558" s="27" t="s">
        <v>14</v>
      </c>
      <c r="D2558" s="27" t="s">
        <v>19</v>
      </c>
      <c r="E2558" s="28">
        <v>136607</v>
      </c>
      <c r="F2558" s="28">
        <v>152385</v>
      </c>
      <c r="G2558" s="27" t="s">
        <v>8</v>
      </c>
      <c r="H2558" s="27" t="s">
        <v>3217</v>
      </c>
      <c r="I2558" s="27" t="s">
        <v>13</v>
      </c>
    </row>
    <row r="2559" spans="1:9" x14ac:dyDescent="0.3">
      <c r="A2559" s="26">
        <v>45066</v>
      </c>
      <c r="B2559" s="27" t="s">
        <v>119</v>
      </c>
      <c r="C2559" s="27" t="s">
        <v>18</v>
      </c>
      <c r="D2559" s="27" t="s">
        <v>24</v>
      </c>
      <c r="E2559" s="28">
        <v>63371</v>
      </c>
      <c r="F2559" s="28">
        <v>91620</v>
      </c>
      <c r="G2559" s="27" t="s">
        <v>8</v>
      </c>
      <c r="H2559" s="27" t="s">
        <v>3310</v>
      </c>
      <c r="I2559" s="27" t="s">
        <v>13</v>
      </c>
    </row>
    <row r="2560" spans="1:9" x14ac:dyDescent="0.3">
      <c r="A2560" s="26">
        <v>45066</v>
      </c>
      <c r="B2560" s="27" t="s">
        <v>119</v>
      </c>
      <c r="C2560" s="27" t="s">
        <v>93</v>
      </c>
      <c r="D2560" s="27" t="s">
        <v>16</v>
      </c>
      <c r="E2560" s="28">
        <v>177100</v>
      </c>
      <c r="F2560" s="28">
        <v>215400</v>
      </c>
      <c r="G2560" s="27" t="s">
        <v>11</v>
      </c>
      <c r="H2560" s="27" t="s">
        <v>4461</v>
      </c>
      <c r="I2560" s="27" t="s">
        <v>9</v>
      </c>
    </row>
    <row r="2561" spans="1:9" x14ac:dyDescent="0.3">
      <c r="A2561" s="26">
        <v>45066</v>
      </c>
      <c r="B2561" s="27" t="s">
        <v>119</v>
      </c>
      <c r="C2561" s="27" t="s">
        <v>93</v>
      </c>
      <c r="D2561" s="27" t="s">
        <v>24</v>
      </c>
      <c r="E2561" s="28">
        <v>113800</v>
      </c>
      <c r="F2561" s="28">
        <v>102300</v>
      </c>
      <c r="G2561" s="27" t="s">
        <v>11</v>
      </c>
      <c r="H2561" s="27" t="s">
        <v>4569</v>
      </c>
      <c r="I2561" s="27" t="s">
        <v>9</v>
      </c>
    </row>
    <row r="2562" spans="1:9" x14ac:dyDescent="0.3">
      <c r="A2562" s="26">
        <v>45066</v>
      </c>
      <c r="B2562" s="27" t="s">
        <v>119</v>
      </c>
      <c r="C2562" s="27" t="s">
        <v>93</v>
      </c>
      <c r="D2562" s="27" t="s">
        <v>24</v>
      </c>
      <c r="E2562" s="28">
        <v>271000</v>
      </c>
      <c r="F2562" s="28">
        <v>220900</v>
      </c>
      <c r="G2562" s="27" t="s">
        <v>17</v>
      </c>
      <c r="H2562" s="27" t="s">
        <v>4827</v>
      </c>
      <c r="I2562" s="27" t="s">
        <v>9</v>
      </c>
    </row>
    <row r="2563" spans="1:9" x14ac:dyDescent="0.3">
      <c r="A2563" s="26">
        <v>45066</v>
      </c>
      <c r="B2563" s="27" t="s">
        <v>119</v>
      </c>
      <c r="C2563" s="27" t="s">
        <v>6</v>
      </c>
      <c r="D2563" s="27" t="s">
        <v>7</v>
      </c>
      <c r="E2563" s="28">
        <v>70100</v>
      </c>
      <c r="F2563" s="28">
        <v>75500</v>
      </c>
      <c r="G2563" s="27" t="s">
        <v>22</v>
      </c>
      <c r="H2563" s="27" t="s">
        <v>5098</v>
      </c>
      <c r="I2563" s="27" t="s">
        <v>9</v>
      </c>
    </row>
    <row r="2564" spans="1:9" x14ac:dyDescent="0.3">
      <c r="A2564" s="26">
        <v>45066</v>
      </c>
      <c r="B2564" s="27" t="s">
        <v>119</v>
      </c>
      <c r="C2564" s="27" t="s">
        <v>93</v>
      </c>
      <c r="D2564" s="27" t="s">
        <v>19</v>
      </c>
      <c r="E2564" s="28">
        <v>224400</v>
      </c>
      <c r="F2564" s="28">
        <v>243300</v>
      </c>
      <c r="G2564" s="27" t="s">
        <v>11</v>
      </c>
      <c r="H2564" s="27" t="s">
        <v>5774</v>
      </c>
      <c r="I2564" s="27" t="s">
        <v>9</v>
      </c>
    </row>
    <row r="2565" spans="1:9" x14ac:dyDescent="0.3">
      <c r="A2565" s="26">
        <v>45066</v>
      </c>
      <c r="B2565" s="27" t="s">
        <v>119</v>
      </c>
      <c r="C2565" s="27" t="s">
        <v>93</v>
      </c>
      <c r="D2565" s="27" t="s">
        <v>7</v>
      </c>
      <c r="E2565" s="28">
        <v>209300</v>
      </c>
      <c r="F2565" s="28">
        <v>194900</v>
      </c>
      <c r="G2565" s="27" t="s">
        <v>11</v>
      </c>
      <c r="H2565" s="27" t="s">
        <v>5824</v>
      </c>
      <c r="I2565" s="27" t="s">
        <v>9</v>
      </c>
    </row>
    <row r="2566" spans="1:9" x14ac:dyDescent="0.3">
      <c r="A2566" s="26">
        <v>45066</v>
      </c>
      <c r="B2566" s="27" t="s">
        <v>119</v>
      </c>
      <c r="C2566" s="27" t="s">
        <v>6</v>
      </c>
      <c r="D2566" s="27" t="s">
        <v>7</v>
      </c>
      <c r="E2566" s="28">
        <v>54300</v>
      </c>
      <c r="F2566" s="28">
        <v>46800</v>
      </c>
      <c r="G2566" s="27" t="s">
        <v>17</v>
      </c>
      <c r="H2566" s="27" t="s">
        <v>5924</v>
      </c>
      <c r="I2566" s="27" t="s">
        <v>9</v>
      </c>
    </row>
    <row r="2567" spans="1:9" x14ac:dyDescent="0.3">
      <c r="A2567" s="26">
        <v>45066</v>
      </c>
      <c r="B2567" s="27" t="s">
        <v>119</v>
      </c>
      <c r="C2567" s="27" t="s">
        <v>93</v>
      </c>
      <c r="D2567" s="27" t="s">
        <v>7</v>
      </c>
      <c r="E2567" s="28">
        <v>57900</v>
      </c>
      <c r="F2567" s="28">
        <v>56500</v>
      </c>
      <c r="G2567" s="27" t="s">
        <v>11</v>
      </c>
      <c r="H2567" s="27" t="s">
        <v>6124</v>
      </c>
      <c r="I2567" s="27" t="s">
        <v>9</v>
      </c>
    </row>
    <row r="2568" spans="1:9" x14ac:dyDescent="0.3">
      <c r="A2568" s="26">
        <v>45066</v>
      </c>
      <c r="B2568" s="27" t="s">
        <v>119</v>
      </c>
      <c r="C2568" s="27" t="s">
        <v>6</v>
      </c>
      <c r="D2568" s="27" t="s">
        <v>7</v>
      </c>
      <c r="E2568" s="28">
        <v>275600</v>
      </c>
      <c r="F2568" s="28">
        <v>233400</v>
      </c>
      <c r="G2568" s="27" t="s">
        <v>22</v>
      </c>
      <c r="H2568" s="27" t="s">
        <v>6283</v>
      </c>
      <c r="I2568" s="27" t="s">
        <v>9</v>
      </c>
    </row>
    <row r="2569" spans="1:9" x14ac:dyDescent="0.3">
      <c r="A2569" s="26">
        <v>45066</v>
      </c>
      <c r="B2569" s="27" t="s">
        <v>119</v>
      </c>
      <c r="C2569" s="27" t="s">
        <v>93</v>
      </c>
      <c r="D2569" s="27" t="s">
        <v>21</v>
      </c>
      <c r="E2569" s="28">
        <v>110400</v>
      </c>
      <c r="F2569" s="28">
        <v>90800</v>
      </c>
      <c r="G2569" s="27" t="s">
        <v>11</v>
      </c>
      <c r="H2569" s="27" t="s">
        <v>6455</v>
      </c>
      <c r="I2569" s="27" t="s">
        <v>9</v>
      </c>
    </row>
    <row r="2570" spans="1:9" x14ac:dyDescent="0.3">
      <c r="A2570" s="26">
        <v>45066</v>
      </c>
      <c r="B2570" s="27" t="s">
        <v>119</v>
      </c>
      <c r="C2570" s="27" t="s">
        <v>93</v>
      </c>
      <c r="D2570" s="27" t="s">
        <v>19</v>
      </c>
      <c r="E2570" s="28">
        <v>189000</v>
      </c>
      <c r="F2570" s="28">
        <v>233400</v>
      </c>
      <c r="G2570" s="27" t="s">
        <v>17</v>
      </c>
      <c r="H2570" s="27" t="s">
        <v>6602</v>
      </c>
      <c r="I2570" s="27" t="s">
        <v>9</v>
      </c>
    </row>
    <row r="2571" spans="1:9" x14ac:dyDescent="0.3">
      <c r="A2571" s="26">
        <v>45066</v>
      </c>
      <c r="B2571" s="27" t="s">
        <v>119</v>
      </c>
      <c r="C2571" s="27" t="s">
        <v>6</v>
      </c>
      <c r="D2571" s="27" t="s">
        <v>24</v>
      </c>
      <c r="E2571" s="28">
        <v>150300</v>
      </c>
      <c r="F2571" s="28">
        <v>139200</v>
      </c>
      <c r="G2571" s="27" t="s">
        <v>17</v>
      </c>
      <c r="H2571" s="27" t="s">
        <v>6695</v>
      </c>
      <c r="I2571" s="27" t="s">
        <v>9</v>
      </c>
    </row>
    <row r="2572" spans="1:9" x14ac:dyDescent="0.3">
      <c r="A2572" s="26">
        <v>45067</v>
      </c>
      <c r="B2572" s="27" t="s">
        <v>119</v>
      </c>
      <c r="C2572" s="27" t="s">
        <v>18</v>
      </c>
      <c r="D2572" s="27" t="s">
        <v>7</v>
      </c>
      <c r="E2572" s="28">
        <v>10645</v>
      </c>
      <c r="F2572" s="28">
        <v>117390</v>
      </c>
      <c r="G2572" s="27" t="s">
        <v>17</v>
      </c>
      <c r="H2572" s="27" t="s">
        <v>45</v>
      </c>
      <c r="I2572" s="27" t="s">
        <v>13</v>
      </c>
    </row>
    <row r="2573" spans="1:9" x14ac:dyDescent="0.3">
      <c r="A2573" s="26">
        <v>45067</v>
      </c>
      <c r="B2573" s="27" t="s">
        <v>119</v>
      </c>
      <c r="C2573" s="27" t="s">
        <v>15</v>
      </c>
      <c r="D2573" s="27" t="s">
        <v>7</v>
      </c>
      <c r="E2573" s="28">
        <v>28710</v>
      </c>
      <c r="F2573" s="28">
        <v>117929</v>
      </c>
      <c r="G2573" s="27" t="s">
        <v>22</v>
      </c>
      <c r="H2573" s="27" t="s">
        <v>560</v>
      </c>
      <c r="I2573" s="27" t="s">
        <v>13</v>
      </c>
    </row>
    <row r="2574" spans="1:9" x14ac:dyDescent="0.3">
      <c r="A2574" s="26">
        <v>45067</v>
      </c>
      <c r="B2574" s="27" t="s">
        <v>119</v>
      </c>
      <c r="C2574" s="27" t="s">
        <v>18</v>
      </c>
      <c r="D2574" s="27" t="s">
        <v>21</v>
      </c>
      <c r="E2574" s="28">
        <v>24880</v>
      </c>
      <c r="F2574" s="28">
        <v>67959</v>
      </c>
      <c r="G2574" s="27" t="s">
        <v>8</v>
      </c>
      <c r="H2574" s="27" t="s">
        <v>787</v>
      </c>
      <c r="I2574" s="27" t="s">
        <v>13</v>
      </c>
    </row>
    <row r="2575" spans="1:9" x14ac:dyDescent="0.3">
      <c r="A2575" s="26">
        <v>45067</v>
      </c>
      <c r="B2575" s="27" t="s">
        <v>119</v>
      </c>
      <c r="C2575" s="27" t="s">
        <v>14</v>
      </c>
      <c r="D2575" s="27" t="s">
        <v>19</v>
      </c>
      <c r="E2575" s="28">
        <v>142489</v>
      </c>
      <c r="F2575" s="28">
        <v>35506</v>
      </c>
      <c r="G2575" s="27" t="s">
        <v>22</v>
      </c>
      <c r="H2575" s="27" t="s">
        <v>1039</v>
      </c>
      <c r="I2575" s="27" t="s">
        <v>13</v>
      </c>
    </row>
    <row r="2576" spans="1:9" x14ac:dyDescent="0.3">
      <c r="A2576" s="26">
        <v>45067</v>
      </c>
      <c r="B2576" s="27" t="s">
        <v>119</v>
      </c>
      <c r="C2576" s="27" t="s">
        <v>15</v>
      </c>
      <c r="D2576" s="27" t="s">
        <v>19</v>
      </c>
      <c r="E2576" s="28">
        <v>142493</v>
      </c>
      <c r="F2576" s="28">
        <v>100372</v>
      </c>
      <c r="G2576" s="27" t="s">
        <v>22</v>
      </c>
      <c r="H2576" s="27" t="s">
        <v>1389</v>
      </c>
      <c r="I2576" s="27" t="s">
        <v>13</v>
      </c>
    </row>
    <row r="2577" spans="1:9" x14ac:dyDescent="0.3">
      <c r="A2577" s="26">
        <v>45067</v>
      </c>
      <c r="B2577" s="27" t="s">
        <v>119</v>
      </c>
      <c r="C2577" s="27" t="s">
        <v>15</v>
      </c>
      <c r="D2577" s="27" t="s">
        <v>16</v>
      </c>
      <c r="E2577" s="28">
        <v>144921</v>
      </c>
      <c r="F2577" s="28">
        <v>168788</v>
      </c>
      <c r="G2577" s="27" t="s">
        <v>8</v>
      </c>
      <c r="H2577" s="27" t="s">
        <v>1410</v>
      </c>
      <c r="I2577" s="27" t="s">
        <v>13</v>
      </c>
    </row>
    <row r="2578" spans="1:9" x14ac:dyDescent="0.3">
      <c r="A2578" s="26">
        <v>45067</v>
      </c>
      <c r="B2578" s="27" t="s">
        <v>119</v>
      </c>
      <c r="C2578" s="27" t="s">
        <v>18</v>
      </c>
      <c r="D2578" s="27" t="s">
        <v>7</v>
      </c>
      <c r="E2578" s="28">
        <v>62839</v>
      </c>
      <c r="F2578" s="28">
        <v>48224</v>
      </c>
      <c r="G2578" s="27" t="s">
        <v>11</v>
      </c>
      <c r="H2578" s="27" t="s">
        <v>1563</v>
      </c>
      <c r="I2578" s="27" t="s">
        <v>13</v>
      </c>
    </row>
    <row r="2579" spans="1:9" x14ac:dyDescent="0.3">
      <c r="A2579" s="26">
        <v>45067</v>
      </c>
      <c r="B2579" s="27" t="s">
        <v>119</v>
      </c>
      <c r="C2579" s="27" t="s">
        <v>18</v>
      </c>
      <c r="D2579" s="27" t="s">
        <v>21</v>
      </c>
      <c r="E2579" s="28">
        <v>23657</v>
      </c>
      <c r="F2579" s="28">
        <v>14308</v>
      </c>
      <c r="G2579" s="27" t="s">
        <v>17</v>
      </c>
      <c r="H2579" s="27" t="s">
        <v>1705</v>
      </c>
      <c r="I2579" s="27" t="s">
        <v>13</v>
      </c>
    </row>
    <row r="2580" spans="1:9" x14ac:dyDescent="0.3">
      <c r="A2580" s="26">
        <v>45067</v>
      </c>
      <c r="B2580" s="27" t="s">
        <v>119</v>
      </c>
      <c r="C2580" s="27" t="s">
        <v>32</v>
      </c>
      <c r="D2580" s="27" t="s">
        <v>7</v>
      </c>
      <c r="E2580" s="28">
        <v>66746</v>
      </c>
      <c r="F2580" s="28">
        <v>85201</v>
      </c>
      <c r="G2580" s="27" t="s">
        <v>22</v>
      </c>
      <c r="H2580" s="27" t="s">
        <v>1855</v>
      </c>
      <c r="I2580" s="27" t="s">
        <v>13</v>
      </c>
    </row>
    <row r="2581" spans="1:9" x14ac:dyDescent="0.3">
      <c r="A2581" s="26">
        <v>45067</v>
      </c>
      <c r="B2581" s="27" t="s">
        <v>119</v>
      </c>
      <c r="C2581" s="27" t="s">
        <v>14</v>
      </c>
      <c r="D2581" s="27" t="s">
        <v>24</v>
      </c>
      <c r="E2581" s="28">
        <v>32312</v>
      </c>
      <c r="F2581" s="28">
        <v>9578</v>
      </c>
      <c r="G2581" s="27" t="s">
        <v>17</v>
      </c>
      <c r="H2581" s="27" t="s">
        <v>2109</v>
      </c>
      <c r="I2581" s="27" t="s">
        <v>13</v>
      </c>
    </row>
    <row r="2582" spans="1:9" x14ac:dyDescent="0.3">
      <c r="A2582" s="26">
        <v>45067</v>
      </c>
      <c r="B2582" s="27" t="s">
        <v>119</v>
      </c>
      <c r="C2582" s="27" t="s">
        <v>32</v>
      </c>
      <c r="D2582" s="27" t="s">
        <v>21</v>
      </c>
      <c r="E2582" s="28">
        <v>80621</v>
      </c>
      <c r="F2582" s="28">
        <v>81711</v>
      </c>
      <c r="G2582" s="27" t="s">
        <v>22</v>
      </c>
      <c r="H2582" s="27" t="s">
        <v>2198</v>
      </c>
      <c r="I2582" s="27" t="s">
        <v>13</v>
      </c>
    </row>
    <row r="2583" spans="1:9" x14ac:dyDescent="0.3">
      <c r="A2583" s="26">
        <v>45067</v>
      </c>
      <c r="B2583" s="27" t="s">
        <v>119</v>
      </c>
      <c r="C2583" s="27" t="s">
        <v>18</v>
      </c>
      <c r="D2583" s="27" t="s">
        <v>24</v>
      </c>
      <c r="E2583" s="28">
        <v>17424</v>
      </c>
      <c r="F2583" s="28">
        <v>144759</v>
      </c>
      <c r="G2583" s="27" t="s">
        <v>8</v>
      </c>
      <c r="H2583" s="27" t="s">
        <v>2642</v>
      </c>
      <c r="I2583" s="27" t="s">
        <v>13</v>
      </c>
    </row>
    <row r="2584" spans="1:9" x14ac:dyDescent="0.3">
      <c r="A2584" s="26">
        <v>45067</v>
      </c>
      <c r="B2584" s="27" t="s">
        <v>119</v>
      </c>
      <c r="C2584" s="27" t="s">
        <v>93</v>
      </c>
      <c r="D2584" s="27" t="s">
        <v>7</v>
      </c>
      <c r="E2584" s="28">
        <v>119700</v>
      </c>
      <c r="F2584" s="28">
        <v>92900</v>
      </c>
      <c r="G2584" s="27" t="s">
        <v>17</v>
      </c>
      <c r="H2584" s="27" t="s">
        <v>3478</v>
      </c>
      <c r="I2584" s="27" t="s">
        <v>9</v>
      </c>
    </row>
    <row r="2585" spans="1:9" x14ac:dyDescent="0.3">
      <c r="A2585" s="26">
        <v>45067</v>
      </c>
      <c r="B2585" s="27" t="s">
        <v>119</v>
      </c>
      <c r="C2585" s="27" t="s">
        <v>93</v>
      </c>
      <c r="D2585" s="27" t="s">
        <v>7</v>
      </c>
      <c r="E2585" s="28">
        <v>76100</v>
      </c>
      <c r="F2585" s="28">
        <v>104500</v>
      </c>
      <c r="G2585" s="27" t="s">
        <v>11</v>
      </c>
      <c r="H2585" s="27" t="s">
        <v>3941</v>
      </c>
      <c r="I2585" s="27" t="s">
        <v>9</v>
      </c>
    </row>
    <row r="2586" spans="1:9" x14ac:dyDescent="0.3">
      <c r="A2586" s="26">
        <v>45067</v>
      </c>
      <c r="B2586" s="27" t="s">
        <v>119</v>
      </c>
      <c r="C2586" s="27" t="s">
        <v>6</v>
      </c>
      <c r="D2586" s="27" t="s">
        <v>21</v>
      </c>
      <c r="E2586" s="28">
        <v>74800</v>
      </c>
      <c r="F2586" s="28">
        <v>72200</v>
      </c>
      <c r="G2586" s="27" t="s">
        <v>11</v>
      </c>
      <c r="H2586" s="27" t="s">
        <v>4168</v>
      </c>
      <c r="I2586" s="27" t="s">
        <v>9</v>
      </c>
    </row>
    <row r="2587" spans="1:9" x14ac:dyDescent="0.3">
      <c r="A2587" s="26">
        <v>45067</v>
      </c>
      <c r="B2587" s="27" t="s">
        <v>119</v>
      </c>
      <c r="C2587" s="27" t="s">
        <v>93</v>
      </c>
      <c r="D2587" s="27" t="s">
        <v>19</v>
      </c>
      <c r="E2587" s="28">
        <v>76900</v>
      </c>
      <c r="F2587" s="28">
        <v>54000</v>
      </c>
      <c r="G2587" s="27" t="s">
        <v>17</v>
      </c>
      <c r="H2587" s="27" t="s">
        <v>4421</v>
      </c>
      <c r="I2587" s="27" t="s">
        <v>9</v>
      </c>
    </row>
    <row r="2588" spans="1:9" x14ac:dyDescent="0.3">
      <c r="A2588" s="26">
        <v>45067</v>
      </c>
      <c r="B2588" s="27" t="s">
        <v>119</v>
      </c>
      <c r="C2588" s="27" t="s">
        <v>93</v>
      </c>
      <c r="D2588" s="27" t="s">
        <v>19</v>
      </c>
      <c r="E2588" s="28">
        <v>143600</v>
      </c>
      <c r="F2588" s="28">
        <v>133500</v>
      </c>
      <c r="G2588" s="27" t="s">
        <v>11</v>
      </c>
      <c r="H2588" s="27" t="s">
        <v>4772</v>
      </c>
      <c r="I2588" s="27" t="s">
        <v>9</v>
      </c>
    </row>
    <row r="2589" spans="1:9" x14ac:dyDescent="0.3">
      <c r="A2589" s="26">
        <v>45067</v>
      </c>
      <c r="B2589" s="27" t="s">
        <v>119</v>
      </c>
      <c r="C2589" s="27" t="s">
        <v>93</v>
      </c>
      <c r="D2589" s="27" t="s">
        <v>16</v>
      </c>
      <c r="E2589" s="28">
        <v>272300</v>
      </c>
      <c r="F2589" s="28">
        <v>269300</v>
      </c>
      <c r="G2589" s="27" t="s">
        <v>17</v>
      </c>
      <c r="H2589" s="27" t="s">
        <v>4793</v>
      </c>
      <c r="I2589" s="27" t="s">
        <v>9</v>
      </c>
    </row>
    <row r="2590" spans="1:9" x14ac:dyDescent="0.3">
      <c r="A2590" s="26">
        <v>45067</v>
      </c>
      <c r="B2590" s="27" t="s">
        <v>119</v>
      </c>
      <c r="C2590" s="27" t="s">
        <v>6</v>
      </c>
      <c r="D2590" s="27" t="s">
        <v>7</v>
      </c>
      <c r="E2590" s="28">
        <v>94500</v>
      </c>
      <c r="F2590" s="28">
        <v>85400</v>
      </c>
      <c r="G2590" s="27" t="s">
        <v>11</v>
      </c>
      <c r="H2590" s="27" t="s">
        <v>4946</v>
      </c>
      <c r="I2590" s="27" t="s">
        <v>9</v>
      </c>
    </row>
    <row r="2591" spans="1:9" x14ac:dyDescent="0.3">
      <c r="A2591" s="26">
        <v>45067</v>
      </c>
      <c r="B2591" s="27" t="s">
        <v>119</v>
      </c>
      <c r="C2591" s="27" t="s">
        <v>93</v>
      </c>
      <c r="D2591" s="27" t="s">
        <v>21</v>
      </c>
      <c r="E2591" s="28">
        <v>84300</v>
      </c>
      <c r="F2591" s="28">
        <v>93800</v>
      </c>
      <c r="G2591" s="27" t="s">
        <v>11</v>
      </c>
      <c r="H2591" s="27" t="s">
        <v>5088</v>
      </c>
      <c r="I2591" s="27" t="s">
        <v>9</v>
      </c>
    </row>
    <row r="2592" spans="1:9" x14ac:dyDescent="0.3">
      <c r="A2592" s="26">
        <v>45067</v>
      </c>
      <c r="B2592" s="27" t="s">
        <v>119</v>
      </c>
      <c r="C2592" s="27" t="s">
        <v>93</v>
      </c>
      <c r="D2592" s="27" t="s">
        <v>7</v>
      </c>
      <c r="E2592" s="28">
        <v>175700</v>
      </c>
      <c r="F2592" s="28">
        <v>217700</v>
      </c>
      <c r="G2592" s="27" t="s">
        <v>22</v>
      </c>
      <c r="H2592" s="27" t="s">
        <v>5239</v>
      </c>
      <c r="I2592" s="27" t="s">
        <v>9</v>
      </c>
    </row>
    <row r="2593" spans="1:9" x14ac:dyDescent="0.3">
      <c r="A2593" s="26">
        <v>45067</v>
      </c>
      <c r="B2593" s="27" t="s">
        <v>119</v>
      </c>
      <c r="C2593" s="27" t="s">
        <v>6</v>
      </c>
      <c r="D2593" s="27" t="s">
        <v>24</v>
      </c>
      <c r="E2593" s="28">
        <v>124500</v>
      </c>
      <c r="F2593" s="28">
        <v>103400</v>
      </c>
      <c r="G2593" s="27" t="s">
        <v>17</v>
      </c>
      <c r="H2593" s="27" t="s">
        <v>5493</v>
      </c>
      <c r="I2593" s="27" t="s">
        <v>9</v>
      </c>
    </row>
    <row r="2594" spans="1:9" x14ac:dyDescent="0.3">
      <c r="A2594" s="26">
        <v>45067</v>
      </c>
      <c r="B2594" s="27" t="s">
        <v>119</v>
      </c>
      <c r="C2594" s="27" t="s">
        <v>6</v>
      </c>
      <c r="D2594" s="27" t="s">
        <v>21</v>
      </c>
      <c r="E2594" s="28">
        <v>263100</v>
      </c>
      <c r="F2594" s="28">
        <v>297200</v>
      </c>
      <c r="G2594" s="27" t="s">
        <v>11</v>
      </c>
      <c r="H2594" s="27" t="s">
        <v>5583</v>
      </c>
      <c r="I2594" s="27" t="s">
        <v>9</v>
      </c>
    </row>
    <row r="2595" spans="1:9" x14ac:dyDescent="0.3">
      <c r="A2595" s="26">
        <v>45067</v>
      </c>
      <c r="B2595" s="27" t="s">
        <v>119</v>
      </c>
      <c r="C2595" s="27" t="s">
        <v>6</v>
      </c>
      <c r="D2595" s="27" t="s">
        <v>24</v>
      </c>
      <c r="E2595" s="28">
        <v>64100</v>
      </c>
      <c r="F2595" s="28">
        <v>71000</v>
      </c>
      <c r="G2595" s="27" t="s">
        <v>11</v>
      </c>
      <c r="H2595" s="27" t="s">
        <v>6027</v>
      </c>
      <c r="I2595" s="27" t="s">
        <v>9</v>
      </c>
    </row>
    <row r="2596" spans="1:9" x14ac:dyDescent="0.3">
      <c r="A2596" s="26">
        <v>45068</v>
      </c>
      <c r="B2596" s="27" t="s">
        <v>119</v>
      </c>
      <c r="C2596" s="27" t="s">
        <v>14</v>
      </c>
      <c r="D2596" s="27" t="s">
        <v>16</v>
      </c>
      <c r="E2596" s="28">
        <v>144311</v>
      </c>
      <c r="F2596" s="28">
        <v>69127</v>
      </c>
      <c r="G2596" s="27" t="s">
        <v>17</v>
      </c>
      <c r="H2596" s="27" t="s">
        <v>46</v>
      </c>
      <c r="I2596" s="27" t="s">
        <v>13</v>
      </c>
    </row>
    <row r="2597" spans="1:9" x14ac:dyDescent="0.3">
      <c r="A2597" s="26">
        <v>45068</v>
      </c>
      <c r="B2597" s="27" t="s">
        <v>119</v>
      </c>
      <c r="C2597" s="27" t="s">
        <v>10</v>
      </c>
      <c r="D2597" s="27" t="s">
        <v>21</v>
      </c>
      <c r="E2597" s="28">
        <v>66371</v>
      </c>
      <c r="F2597" s="28">
        <v>138929</v>
      </c>
      <c r="G2597" s="27" t="s">
        <v>17</v>
      </c>
      <c r="H2597" s="27" t="s">
        <v>103</v>
      </c>
      <c r="I2597" s="27" t="s">
        <v>13</v>
      </c>
    </row>
    <row r="2598" spans="1:9" x14ac:dyDescent="0.3">
      <c r="A2598" s="26">
        <v>45068</v>
      </c>
      <c r="B2598" s="27" t="s">
        <v>119</v>
      </c>
      <c r="C2598" s="27" t="s">
        <v>14</v>
      </c>
      <c r="D2598" s="27" t="s">
        <v>19</v>
      </c>
      <c r="E2598" s="28">
        <v>123518</v>
      </c>
      <c r="F2598" s="28">
        <v>104766</v>
      </c>
      <c r="G2598" s="27" t="s">
        <v>8</v>
      </c>
      <c r="H2598" s="27" t="s">
        <v>361</v>
      </c>
      <c r="I2598" s="27" t="s">
        <v>13</v>
      </c>
    </row>
    <row r="2599" spans="1:9" x14ac:dyDescent="0.3">
      <c r="A2599" s="26">
        <v>45068</v>
      </c>
      <c r="B2599" s="27" t="s">
        <v>119</v>
      </c>
      <c r="C2599" s="27" t="s">
        <v>15</v>
      </c>
      <c r="D2599" s="27" t="s">
        <v>21</v>
      </c>
      <c r="E2599" s="28">
        <v>41898</v>
      </c>
      <c r="F2599" s="28">
        <v>106901</v>
      </c>
      <c r="G2599" s="27" t="s">
        <v>8</v>
      </c>
      <c r="H2599" s="27" t="s">
        <v>1089</v>
      </c>
      <c r="I2599" s="27" t="s">
        <v>13</v>
      </c>
    </row>
    <row r="2600" spans="1:9" x14ac:dyDescent="0.3">
      <c r="A2600" s="26">
        <v>45068</v>
      </c>
      <c r="B2600" s="27" t="s">
        <v>119</v>
      </c>
      <c r="C2600" s="27" t="s">
        <v>20</v>
      </c>
      <c r="D2600" s="27" t="s">
        <v>21</v>
      </c>
      <c r="E2600" s="28">
        <v>77970</v>
      </c>
      <c r="F2600" s="28">
        <v>111348</v>
      </c>
      <c r="G2600" s="27" t="s">
        <v>22</v>
      </c>
      <c r="H2600" s="27" t="s">
        <v>1442</v>
      </c>
      <c r="I2600" s="27" t="s">
        <v>13</v>
      </c>
    </row>
    <row r="2601" spans="1:9" x14ac:dyDescent="0.3">
      <c r="A2601" s="26">
        <v>45068</v>
      </c>
      <c r="B2601" s="27" t="s">
        <v>119</v>
      </c>
      <c r="C2601" s="27" t="s">
        <v>15</v>
      </c>
      <c r="D2601" s="27" t="s">
        <v>16</v>
      </c>
      <c r="E2601" s="28">
        <v>137899</v>
      </c>
      <c r="F2601" s="28">
        <v>21026</v>
      </c>
      <c r="G2601" s="27" t="s">
        <v>11</v>
      </c>
      <c r="H2601" s="27" t="s">
        <v>1685</v>
      </c>
      <c r="I2601" s="27" t="s">
        <v>13</v>
      </c>
    </row>
    <row r="2602" spans="1:9" x14ac:dyDescent="0.3">
      <c r="A2602" s="26">
        <v>45068</v>
      </c>
      <c r="B2602" s="27" t="s">
        <v>119</v>
      </c>
      <c r="C2602" s="27" t="s">
        <v>10</v>
      </c>
      <c r="D2602" s="27" t="s">
        <v>24</v>
      </c>
      <c r="E2602" s="28">
        <v>25271</v>
      </c>
      <c r="F2602" s="28">
        <v>104550</v>
      </c>
      <c r="G2602" s="27" t="s">
        <v>8</v>
      </c>
      <c r="H2602" s="27" t="s">
        <v>2302</v>
      </c>
      <c r="I2602" s="27" t="s">
        <v>13</v>
      </c>
    </row>
    <row r="2603" spans="1:9" x14ac:dyDescent="0.3">
      <c r="A2603" s="26">
        <v>45068</v>
      </c>
      <c r="B2603" s="27" t="s">
        <v>119</v>
      </c>
      <c r="C2603" s="27" t="s">
        <v>32</v>
      </c>
      <c r="D2603" s="27" t="s">
        <v>7</v>
      </c>
      <c r="E2603" s="28">
        <v>133894</v>
      </c>
      <c r="F2603" s="28">
        <v>110897</v>
      </c>
      <c r="G2603" s="27" t="s">
        <v>8</v>
      </c>
      <c r="H2603" s="27" t="s">
        <v>2392</v>
      </c>
      <c r="I2603" s="27" t="s">
        <v>13</v>
      </c>
    </row>
    <row r="2604" spans="1:9" x14ac:dyDescent="0.3">
      <c r="A2604" s="26">
        <v>45068</v>
      </c>
      <c r="B2604" s="27" t="s">
        <v>119</v>
      </c>
      <c r="C2604" s="27" t="s">
        <v>20</v>
      </c>
      <c r="D2604" s="27" t="s">
        <v>16</v>
      </c>
      <c r="E2604" s="28">
        <v>69672</v>
      </c>
      <c r="F2604" s="28">
        <v>11401</v>
      </c>
      <c r="G2604" s="27" t="s">
        <v>8</v>
      </c>
      <c r="H2604" s="27" t="s">
        <v>2987</v>
      </c>
      <c r="I2604" s="27" t="s">
        <v>13</v>
      </c>
    </row>
    <row r="2605" spans="1:9" x14ac:dyDescent="0.3">
      <c r="A2605" s="26">
        <v>45068</v>
      </c>
      <c r="B2605" s="27" t="s">
        <v>119</v>
      </c>
      <c r="C2605" s="27" t="s">
        <v>93</v>
      </c>
      <c r="D2605" s="27" t="s">
        <v>16</v>
      </c>
      <c r="E2605" s="28">
        <v>40200</v>
      </c>
      <c r="F2605" s="28">
        <v>48800</v>
      </c>
      <c r="G2605" s="27" t="s">
        <v>11</v>
      </c>
      <c r="H2605" s="27" t="s">
        <v>3441</v>
      </c>
      <c r="I2605" s="27" t="s">
        <v>9</v>
      </c>
    </row>
    <row r="2606" spans="1:9" x14ac:dyDescent="0.3">
      <c r="A2606" s="26">
        <v>45068</v>
      </c>
      <c r="B2606" s="27" t="s">
        <v>119</v>
      </c>
      <c r="C2606" s="27" t="s">
        <v>93</v>
      </c>
      <c r="D2606" s="27" t="s">
        <v>21</v>
      </c>
      <c r="E2606" s="28">
        <v>69900</v>
      </c>
      <c r="F2606" s="28">
        <v>76200</v>
      </c>
      <c r="G2606" s="27" t="s">
        <v>11</v>
      </c>
      <c r="H2606" s="27" t="s">
        <v>3503</v>
      </c>
      <c r="I2606" s="27" t="s">
        <v>9</v>
      </c>
    </row>
    <row r="2607" spans="1:9" x14ac:dyDescent="0.3">
      <c r="A2607" s="26">
        <v>45068</v>
      </c>
      <c r="B2607" s="27" t="s">
        <v>119</v>
      </c>
      <c r="C2607" s="27" t="s">
        <v>6</v>
      </c>
      <c r="D2607" s="27" t="s">
        <v>19</v>
      </c>
      <c r="E2607" s="28">
        <v>89600</v>
      </c>
      <c r="F2607" s="28">
        <v>89300</v>
      </c>
      <c r="G2607" s="27" t="s">
        <v>17</v>
      </c>
      <c r="H2607" s="27" t="s">
        <v>3742</v>
      </c>
      <c r="I2607" s="27" t="s">
        <v>9</v>
      </c>
    </row>
    <row r="2608" spans="1:9" x14ac:dyDescent="0.3">
      <c r="A2608" s="26">
        <v>45068</v>
      </c>
      <c r="B2608" s="27" t="s">
        <v>119</v>
      </c>
      <c r="C2608" s="27" t="s">
        <v>6</v>
      </c>
      <c r="D2608" s="27" t="s">
        <v>21</v>
      </c>
      <c r="E2608" s="28">
        <v>99100</v>
      </c>
      <c r="F2608" s="28">
        <v>124900</v>
      </c>
      <c r="G2608" s="27" t="s">
        <v>22</v>
      </c>
      <c r="H2608" s="27" t="s">
        <v>4471</v>
      </c>
      <c r="I2608" s="27" t="s">
        <v>9</v>
      </c>
    </row>
    <row r="2609" spans="1:9" x14ac:dyDescent="0.3">
      <c r="A2609" s="26">
        <v>45068</v>
      </c>
      <c r="B2609" s="27" t="s">
        <v>119</v>
      </c>
      <c r="C2609" s="27" t="s">
        <v>93</v>
      </c>
      <c r="D2609" s="27" t="s">
        <v>21</v>
      </c>
      <c r="E2609" s="28">
        <v>90000</v>
      </c>
      <c r="F2609" s="28">
        <v>108100</v>
      </c>
      <c r="G2609" s="27" t="s">
        <v>22</v>
      </c>
      <c r="H2609" s="27" t="s">
        <v>4825</v>
      </c>
      <c r="I2609" s="27" t="s">
        <v>9</v>
      </c>
    </row>
    <row r="2610" spans="1:9" x14ac:dyDescent="0.3">
      <c r="A2610" s="26">
        <v>45068</v>
      </c>
      <c r="B2610" s="27" t="s">
        <v>119</v>
      </c>
      <c r="C2610" s="27" t="s">
        <v>6</v>
      </c>
      <c r="D2610" s="27" t="s">
        <v>16</v>
      </c>
      <c r="E2610" s="28">
        <v>126800</v>
      </c>
      <c r="F2610" s="28">
        <v>110100</v>
      </c>
      <c r="G2610" s="27" t="s">
        <v>22</v>
      </c>
      <c r="H2610" s="27" t="s">
        <v>5068</v>
      </c>
      <c r="I2610" s="27" t="s">
        <v>9</v>
      </c>
    </row>
    <row r="2611" spans="1:9" x14ac:dyDescent="0.3">
      <c r="A2611" s="26">
        <v>45068</v>
      </c>
      <c r="B2611" s="27" t="s">
        <v>119</v>
      </c>
      <c r="C2611" s="27" t="s">
        <v>6</v>
      </c>
      <c r="D2611" s="27" t="s">
        <v>24</v>
      </c>
      <c r="E2611" s="28">
        <v>71000</v>
      </c>
      <c r="F2611" s="28">
        <v>70900</v>
      </c>
      <c r="G2611" s="27" t="s">
        <v>17</v>
      </c>
      <c r="H2611" s="27" t="s">
        <v>5687</v>
      </c>
      <c r="I2611" s="27" t="s">
        <v>9</v>
      </c>
    </row>
    <row r="2612" spans="1:9" x14ac:dyDescent="0.3">
      <c r="A2612" s="26">
        <v>45068</v>
      </c>
      <c r="B2612" s="27" t="s">
        <v>119</v>
      </c>
      <c r="C2612" s="27" t="s">
        <v>6</v>
      </c>
      <c r="D2612" s="27" t="s">
        <v>7</v>
      </c>
      <c r="E2612" s="28">
        <v>45100</v>
      </c>
      <c r="F2612" s="28">
        <v>52200</v>
      </c>
      <c r="G2612" s="27" t="s">
        <v>22</v>
      </c>
      <c r="H2612" s="27" t="s">
        <v>5777</v>
      </c>
      <c r="I2612" s="27" t="s">
        <v>9</v>
      </c>
    </row>
    <row r="2613" spans="1:9" x14ac:dyDescent="0.3">
      <c r="A2613" s="26">
        <v>45068</v>
      </c>
      <c r="B2613" s="27" t="s">
        <v>119</v>
      </c>
      <c r="C2613" s="27" t="s">
        <v>93</v>
      </c>
      <c r="D2613" s="27" t="s">
        <v>16</v>
      </c>
      <c r="E2613" s="28">
        <v>88400</v>
      </c>
      <c r="F2613" s="28">
        <v>100200</v>
      </c>
      <c r="G2613" s="27" t="s">
        <v>11</v>
      </c>
      <c r="H2613" s="27" t="s">
        <v>6372</v>
      </c>
      <c r="I2613" s="27" t="s">
        <v>9</v>
      </c>
    </row>
    <row r="2614" spans="1:9" x14ac:dyDescent="0.3">
      <c r="A2614" s="26">
        <v>45069</v>
      </c>
      <c r="B2614" s="27" t="s">
        <v>119</v>
      </c>
      <c r="C2614" s="27" t="s">
        <v>14</v>
      </c>
      <c r="D2614" s="27" t="s">
        <v>16</v>
      </c>
      <c r="E2614" s="28">
        <v>61832</v>
      </c>
      <c r="F2614" s="28">
        <v>133400</v>
      </c>
      <c r="G2614" s="27" t="s">
        <v>17</v>
      </c>
      <c r="H2614" s="27" t="s">
        <v>214</v>
      </c>
      <c r="I2614" s="27" t="s">
        <v>13</v>
      </c>
    </row>
    <row r="2615" spans="1:9" x14ac:dyDescent="0.3">
      <c r="A2615" s="26">
        <v>45069</v>
      </c>
      <c r="B2615" s="27" t="s">
        <v>119</v>
      </c>
      <c r="C2615" s="27" t="s">
        <v>32</v>
      </c>
      <c r="D2615" s="27" t="s">
        <v>24</v>
      </c>
      <c r="E2615" s="28">
        <v>38566</v>
      </c>
      <c r="F2615" s="28">
        <v>120179</v>
      </c>
      <c r="G2615" s="27" t="s">
        <v>11</v>
      </c>
      <c r="H2615" s="27" t="s">
        <v>339</v>
      </c>
      <c r="I2615" s="27" t="s">
        <v>13</v>
      </c>
    </row>
    <row r="2616" spans="1:9" x14ac:dyDescent="0.3">
      <c r="A2616" s="26">
        <v>45069</v>
      </c>
      <c r="B2616" s="27" t="s">
        <v>119</v>
      </c>
      <c r="C2616" s="27" t="s">
        <v>20</v>
      </c>
      <c r="D2616" s="27" t="s">
        <v>21</v>
      </c>
      <c r="E2616" s="28">
        <v>11268</v>
      </c>
      <c r="F2616" s="28">
        <v>20167</v>
      </c>
      <c r="G2616" s="27" t="s">
        <v>17</v>
      </c>
      <c r="H2616" s="27" t="s">
        <v>575</v>
      </c>
      <c r="I2616" s="27" t="s">
        <v>13</v>
      </c>
    </row>
    <row r="2617" spans="1:9" x14ac:dyDescent="0.3">
      <c r="A2617" s="26">
        <v>45069</v>
      </c>
      <c r="B2617" s="27" t="s">
        <v>119</v>
      </c>
      <c r="C2617" s="27" t="s">
        <v>18</v>
      </c>
      <c r="D2617" s="27" t="s">
        <v>19</v>
      </c>
      <c r="E2617" s="28">
        <v>73616</v>
      </c>
      <c r="F2617" s="28">
        <v>124639</v>
      </c>
      <c r="G2617" s="27" t="s">
        <v>8</v>
      </c>
      <c r="H2617" s="27" t="s">
        <v>1022</v>
      </c>
      <c r="I2617" s="27" t="s">
        <v>13</v>
      </c>
    </row>
    <row r="2618" spans="1:9" x14ac:dyDescent="0.3">
      <c r="A2618" s="26">
        <v>45069</v>
      </c>
      <c r="B2618" s="27" t="s">
        <v>119</v>
      </c>
      <c r="C2618" s="27" t="s">
        <v>10</v>
      </c>
      <c r="D2618" s="27" t="s">
        <v>24</v>
      </c>
      <c r="E2618" s="28">
        <v>45540</v>
      </c>
      <c r="F2618" s="28">
        <v>28548</v>
      </c>
      <c r="G2618" s="27" t="s">
        <v>17</v>
      </c>
      <c r="H2618" s="27" t="s">
        <v>1041</v>
      </c>
      <c r="I2618" s="27" t="s">
        <v>13</v>
      </c>
    </row>
    <row r="2619" spans="1:9" x14ac:dyDescent="0.3">
      <c r="A2619" s="26">
        <v>45069</v>
      </c>
      <c r="B2619" s="27" t="s">
        <v>119</v>
      </c>
      <c r="C2619" s="27" t="s">
        <v>20</v>
      </c>
      <c r="D2619" s="27" t="s">
        <v>16</v>
      </c>
      <c r="E2619" s="28">
        <v>36425</v>
      </c>
      <c r="F2619" s="28">
        <v>14642</v>
      </c>
      <c r="G2619" s="27" t="s">
        <v>17</v>
      </c>
      <c r="H2619" s="27" t="s">
        <v>1687</v>
      </c>
      <c r="I2619" s="27" t="s">
        <v>13</v>
      </c>
    </row>
    <row r="2620" spans="1:9" x14ac:dyDescent="0.3">
      <c r="A2620" s="26">
        <v>45069</v>
      </c>
      <c r="B2620" s="27" t="s">
        <v>119</v>
      </c>
      <c r="C2620" s="27" t="s">
        <v>20</v>
      </c>
      <c r="D2620" s="27" t="s">
        <v>19</v>
      </c>
      <c r="E2620" s="28">
        <v>13866</v>
      </c>
      <c r="F2620" s="28">
        <v>35605</v>
      </c>
      <c r="G2620" s="27" t="s">
        <v>22</v>
      </c>
      <c r="H2620" s="27" t="s">
        <v>1787</v>
      </c>
      <c r="I2620" s="27" t="s">
        <v>13</v>
      </c>
    </row>
    <row r="2621" spans="1:9" x14ac:dyDescent="0.3">
      <c r="A2621" s="26">
        <v>45069</v>
      </c>
      <c r="B2621" s="27" t="s">
        <v>119</v>
      </c>
      <c r="C2621" s="27" t="s">
        <v>20</v>
      </c>
      <c r="D2621" s="27" t="s">
        <v>7</v>
      </c>
      <c r="E2621" s="28">
        <v>87674</v>
      </c>
      <c r="F2621" s="28">
        <v>155460</v>
      </c>
      <c r="G2621" s="27" t="s">
        <v>17</v>
      </c>
      <c r="H2621" s="27" t="s">
        <v>2078</v>
      </c>
      <c r="I2621" s="27" t="s">
        <v>13</v>
      </c>
    </row>
    <row r="2622" spans="1:9" x14ac:dyDescent="0.3">
      <c r="A2622" s="26">
        <v>45069</v>
      </c>
      <c r="B2622" s="27" t="s">
        <v>119</v>
      </c>
      <c r="C2622" s="27" t="s">
        <v>10</v>
      </c>
      <c r="D2622" s="27" t="s">
        <v>24</v>
      </c>
      <c r="E2622" s="28">
        <v>16073</v>
      </c>
      <c r="F2622" s="28">
        <v>91705</v>
      </c>
      <c r="G2622" s="27" t="s">
        <v>8</v>
      </c>
      <c r="H2622" s="27" t="s">
        <v>2437</v>
      </c>
      <c r="I2622" s="27" t="s">
        <v>13</v>
      </c>
    </row>
    <row r="2623" spans="1:9" x14ac:dyDescent="0.3">
      <c r="A2623" s="26">
        <v>45069</v>
      </c>
      <c r="B2623" s="27" t="s">
        <v>119</v>
      </c>
      <c r="C2623" s="27" t="s">
        <v>18</v>
      </c>
      <c r="D2623" s="27" t="s">
        <v>16</v>
      </c>
      <c r="E2623" s="28">
        <v>104045</v>
      </c>
      <c r="F2623" s="28">
        <v>12528</v>
      </c>
      <c r="G2623" s="27" t="s">
        <v>22</v>
      </c>
      <c r="H2623" s="27" t="s">
        <v>3341</v>
      </c>
      <c r="I2623" s="27" t="s">
        <v>13</v>
      </c>
    </row>
    <row r="2624" spans="1:9" x14ac:dyDescent="0.3">
      <c r="A2624" s="26">
        <v>45069</v>
      </c>
      <c r="B2624" s="27" t="s">
        <v>119</v>
      </c>
      <c r="C2624" s="27" t="s">
        <v>14</v>
      </c>
      <c r="D2624" s="27" t="s">
        <v>19</v>
      </c>
      <c r="E2624" s="28">
        <v>95401</v>
      </c>
      <c r="F2624" s="28">
        <v>63119</v>
      </c>
      <c r="G2624" s="27" t="s">
        <v>22</v>
      </c>
      <c r="H2624" s="27" t="s">
        <v>3357</v>
      </c>
      <c r="I2624" s="27" t="s">
        <v>13</v>
      </c>
    </row>
    <row r="2625" spans="1:9" x14ac:dyDescent="0.3">
      <c r="A2625" s="26">
        <v>45069</v>
      </c>
      <c r="B2625" s="27" t="s">
        <v>119</v>
      </c>
      <c r="C2625" s="27" t="s">
        <v>6</v>
      </c>
      <c r="D2625" s="27" t="s">
        <v>16</v>
      </c>
      <c r="E2625" s="28">
        <v>99100</v>
      </c>
      <c r="F2625" s="28">
        <v>114600</v>
      </c>
      <c r="G2625" s="27" t="s">
        <v>11</v>
      </c>
      <c r="H2625" s="27" t="s">
        <v>3595</v>
      </c>
      <c r="I2625" s="27" t="s">
        <v>9</v>
      </c>
    </row>
    <row r="2626" spans="1:9" x14ac:dyDescent="0.3">
      <c r="A2626" s="26">
        <v>45069</v>
      </c>
      <c r="B2626" s="27" t="s">
        <v>119</v>
      </c>
      <c r="C2626" s="27" t="s">
        <v>6</v>
      </c>
      <c r="D2626" s="27" t="s">
        <v>24</v>
      </c>
      <c r="E2626" s="28">
        <v>174600</v>
      </c>
      <c r="F2626" s="28">
        <v>160100</v>
      </c>
      <c r="G2626" s="27" t="s">
        <v>22</v>
      </c>
      <c r="H2626" s="27" t="s">
        <v>3720</v>
      </c>
      <c r="I2626" s="27" t="s">
        <v>9</v>
      </c>
    </row>
    <row r="2627" spans="1:9" x14ac:dyDescent="0.3">
      <c r="A2627" s="26">
        <v>45069</v>
      </c>
      <c r="B2627" s="27" t="s">
        <v>119</v>
      </c>
      <c r="C2627" s="27" t="s">
        <v>93</v>
      </c>
      <c r="D2627" s="27" t="s">
        <v>21</v>
      </c>
      <c r="E2627" s="28">
        <v>142900</v>
      </c>
      <c r="F2627" s="28">
        <v>129300</v>
      </c>
      <c r="G2627" s="27" t="s">
        <v>11</v>
      </c>
      <c r="H2627" s="27" t="s">
        <v>3956</v>
      </c>
      <c r="I2627" s="27" t="s">
        <v>9</v>
      </c>
    </row>
    <row r="2628" spans="1:9" x14ac:dyDescent="0.3">
      <c r="A2628" s="26">
        <v>45069</v>
      </c>
      <c r="B2628" s="27" t="s">
        <v>119</v>
      </c>
      <c r="C2628" s="27" t="s">
        <v>6</v>
      </c>
      <c r="D2628" s="27" t="s">
        <v>19</v>
      </c>
      <c r="E2628" s="28">
        <v>139100</v>
      </c>
      <c r="F2628" s="28">
        <v>139800</v>
      </c>
      <c r="G2628" s="27" t="s">
        <v>11</v>
      </c>
      <c r="H2628" s="27" t="s">
        <v>4404</v>
      </c>
      <c r="I2628" s="27" t="s">
        <v>9</v>
      </c>
    </row>
    <row r="2629" spans="1:9" x14ac:dyDescent="0.3">
      <c r="A2629" s="26">
        <v>45069</v>
      </c>
      <c r="B2629" s="27" t="s">
        <v>119</v>
      </c>
      <c r="C2629" s="27" t="s">
        <v>6</v>
      </c>
      <c r="D2629" s="27" t="s">
        <v>24</v>
      </c>
      <c r="E2629" s="28">
        <v>120900</v>
      </c>
      <c r="F2629" s="28">
        <v>137200</v>
      </c>
      <c r="G2629" s="27" t="s">
        <v>11</v>
      </c>
      <c r="H2629" s="27" t="s">
        <v>4423</v>
      </c>
      <c r="I2629" s="27" t="s">
        <v>9</v>
      </c>
    </row>
    <row r="2630" spans="1:9" x14ac:dyDescent="0.3">
      <c r="A2630" s="26">
        <v>45069</v>
      </c>
      <c r="B2630" s="27" t="s">
        <v>119</v>
      </c>
      <c r="C2630" s="27" t="s">
        <v>93</v>
      </c>
      <c r="D2630" s="27" t="s">
        <v>16</v>
      </c>
      <c r="E2630" s="28">
        <v>125000</v>
      </c>
      <c r="F2630" s="28">
        <v>124900</v>
      </c>
      <c r="G2630" s="27" t="s">
        <v>17</v>
      </c>
      <c r="H2630" s="27" t="s">
        <v>5070</v>
      </c>
      <c r="I2630" s="27" t="s">
        <v>9</v>
      </c>
    </row>
    <row r="2631" spans="1:9" x14ac:dyDescent="0.3">
      <c r="A2631" s="26">
        <v>45069</v>
      </c>
      <c r="B2631" s="27" t="s">
        <v>119</v>
      </c>
      <c r="C2631" s="27" t="s">
        <v>6</v>
      </c>
      <c r="D2631" s="27" t="s">
        <v>19</v>
      </c>
      <c r="E2631" s="28">
        <v>216200</v>
      </c>
      <c r="F2631" s="28">
        <v>220600</v>
      </c>
      <c r="G2631" s="27" t="s">
        <v>17</v>
      </c>
      <c r="H2631" s="27" t="s">
        <v>5170</v>
      </c>
      <c r="I2631" s="27" t="s">
        <v>9</v>
      </c>
    </row>
    <row r="2632" spans="1:9" x14ac:dyDescent="0.3">
      <c r="A2632" s="26">
        <v>45069</v>
      </c>
      <c r="B2632" s="27" t="s">
        <v>119</v>
      </c>
      <c r="C2632" s="27" t="s">
        <v>6</v>
      </c>
      <c r="D2632" s="27" t="s">
        <v>7</v>
      </c>
      <c r="E2632" s="28">
        <v>215600</v>
      </c>
      <c r="F2632" s="28">
        <v>184400</v>
      </c>
      <c r="G2632" s="27" t="s">
        <v>11</v>
      </c>
      <c r="H2632" s="27" t="s">
        <v>5462</v>
      </c>
      <c r="I2632" s="27" t="s">
        <v>9</v>
      </c>
    </row>
    <row r="2633" spans="1:9" x14ac:dyDescent="0.3">
      <c r="A2633" s="26">
        <v>45069</v>
      </c>
      <c r="B2633" s="27" t="s">
        <v>119</v>
      </c>
      <c r="C2633" s="27" t="s">
        <v>6</v>
      </c>
      <c r="D2633" s="27" t="s">
        <v>24</v>
      </c>
      <c r="E2633" s="28">
        <v>36700</v>
      </c>
      <c r="F2633" s="28">
        <v>36600</v>
      </c>
      <c r="G2633" s="27" t="s">
        <v>11</v>
      </c>
      <c r="H2633" s="27" t="s">
        <v>5822</v>
      </c>
      <c r="I2633" s="27" t="s">
        <v>9</v>
      </c>
    </row>
    <row r="2634" spans="1:9" x14ac:dyDescent="0.3">
      <c r="A2634" s="26">
        <v>45069</v>
      </c>
      <c r="B2634" s="27" t="s">
        <v>119</v>
      </c>
      <c r="C2634" s="27" t="s">
        <v>6</v>
      </c>
      <c r="D2634" s="27" t="s">
        <v>16</v>
      </c>
      <c r="E2634" s="28">
        <v>262100</v>
      </c>
      <c r="F2634" s="28">
        <v>289900</v>
      </c>
      <c r="G2634" s="27" t="s">
        <v>11</v>
      </c>
      <c r="H2634" s="27" t="s">
        <v>6726</v>
      </c>
      <c r="I2634" s="27" t="s">
        <v>9</v>
      </c>
    </row>
    <row r="2635" spans="1:9" x14ac:dyDescent="0.3">
      <c r="A2635" s="26">
        <v>45069</v>
      </c>
      <c r="B2635" s="27" t="s">
        <v>119</v>
      </c>
      <c r="C2635" s="27" t="s">
        <v>93</v>
      </c>
      <c r="D2635" s="27" t="s">
        <v>19</v>
      </c>
      <c r="E2635" s="28">
        <v>85800</v>
      </c>
      <c r="F2635" s="28">
        <v>81200</v>
      </c>
      <c r="G2635" s="27" t="s">
        <v>11</v>
      </c>
      <c r="H2635" s="27" t="s">
        <v>6742</v>
      </c>
      <c r="I2635" s="27" t="s">
        <v>9</v>
      </c>
    </row>
    <row r="2636" spans="1:9" x14ac:dyDescent="0.3">
      <c r="A2636" s="26">
        <v>45070</v>
      </c>
      <c r="B2636" s="27" t="s">
        <v>119</v>
      </c>
      <c r="C2636" s="27" t="s">
        <v>14</v>
      </c>
      <c r="D2636" s="27" t="s">
        <v>21</v>
      </c>
      <c r="E2636" s="28">
        <v>104301</v>
      </c>
      <c r="F2636" s="28">
        <v>71297</v>
      </c>
      <c r="G2636" s="27" t="s">
        <v>22</v>
      </c>
      <c r="H2636" s="27" t="s">
        <v>567</v>
      </c>
      <c r="I2636" s="27" t="s">
        <v>13</v>
      </c>
    </row>
    <row r="2637" spans="1:9" x14ac:dyDescent="0.3">
      <c r="A2637" s="26">
        <v>45070</v>
      </c>
      <c r="B2637" s="27" t="s">
        <v>119</v>
      </c>
      <c r="C2637" s="27" t="s">
        <v>32</v>
      </c>
      <c r="D2637" s="27" t="s">
        <v>21</v>
      </c>
      <c r="E2637" s="28">
        <v>147994</v>
      </c>
      <c r="F2637" s="28">
        <v>135304</v>
      </c>
      <c r="G2637" s="27" t="s">
        <v>8</v>
      </c>
      <c r="H2637" s="27" t="s">
        <v>772</v>
      </c>
      <c r="I2637" s="27" t="s">
        <v>13</v>
      </c>
    </row>
    <row r="2638" spans="1:9" x14ac:dyDescent="0.3">
      <c r="A2638" s="26">
        <v>45070</v>
      </c>
      <c r="B2638" s="27" t="s">
        <v>119</v>
      </c>
      <c r="C2638" s="27" t="s">
        <v>15</v>
      </c>
      <c r="D2638" s="27" t="s">
        <v>24</v>
      </c>
      <c r="E2638" s="28">
        <v>69395</v>
      </c>
      <c r="F2638" s="28">
        <v>50381</v>
      </c>
      <c r="G2638" s="27" t="s">
        <v>11</v>
      </c>
      <c r="H2638" s="27" t="s">
        <v>1104</v>
      </c>
      <c r="I2638" s="27" t="s">
        <v>13</v>
      </c>
    </row>
    <row r="2639" spans="1:9" x14ac:dyDescent="0.3">
      <c r="A2639" s="26">
        <v>45070</v>
      </c>
      <c r="B2639" s="27" t="s">
        <v>119</v>
      </c>
      <c r="C2639" s="27" t="s">
        <v>10</v>
      </c>
      <c r="D2639" s="27" t="s">
        <v>24</v>
      </c>
      <c r="E2639" s="28">
        <v>109006</v>
      </c>
      <c r="F2639" s="28">
        <v>90109</v>
      </c>
      <c r="G2639" s="27" t="s">
        <v>17</v>
      </c>
      <c r="H2639" s="27" t="s">
        <v>1756</v>
      </c>
      <c r="I2639" s="27" t="s">
        <v>13</v>
      </c>
    </row>
    <row r="2640" spans="1:9" x14ac:dyDescent="0.3">
      <c r="A2640" s="26">
        <v>45070</v>
      </c>
      <c r="B2640" s="27" t="s">
        <v>119</v>
      </c>
      <c r="C2640" s="27" t="s">
        <v>32</v>
      </c>
      <c r="D2640" s="27" t="s">
        <v>7</v>
      </c>
      <c r="E2640" s="28">
        <v>113499</v>
      </c>
      <c r="F2640" s="28">
        <v>160324</v>
      </c>
      <c r="G2640" s="27" t="s">
        <v>8</v>
      </c>
      <c r="H2640" s="27" t="s">
        <v>1868</v>
      </c>
      <c r="I2640" s="27" t="s">
        <v>13</v>
      </c>
    </row>
    <row r="2641" spans="1:9" x14ac:dyDescent="0.3">
      <c r="A2641" s="26">
        <v>45070</v>
      </c>
      <c r="B2641" s="27" t="s">
        <v>119</v>
      </c>
      <c r="C2641" s="27" t="s">
        <v>32</v>
      </c>
      <c r="D2641" s="27" t="s">
        <v>16</v>
      </c>
      <c r="E2641" s="28">
        <v>115852</v>
      </c>
      <c r="F2641" s="28">
        <v>127429</v>
      </c>
      <c r="G2641" s="27" t="s">
        <v>17</v>
      </c>
      <c r="H2641" s="27" t="s">
        <v>1919</v>
      </c>
      <c r="I2641" s="27" t="s">
        <v>13</v>
      </c>
    </row>
    <row r="2642" spans="1:9" x14ac:dyDescent="0.3">
      <c r="A2642" s="26">
        <v>45070</v>
      </c>
      <c r="B2642" s="27" t="s">
        <v>119</v>
      </c>
      <c r="C2642" s="27" t="s">
        <v>15</v>
      </c>
      <c r="D2642" s="27" t="s">
        <v>7</v>
      </c>
      <c r="E2642" s="28">
        <v>66247</v>
      </c>
      <c r="F2642" s="28">
        <v>137062</v>
      </c>
      <c r="G2642" s="27" t="s">
        <v>11</v>
      </c>
      <c r="H2642" s="27" t="s">
        <v>2119</v>
      </c>
      <c r="I2642" s="27" t="s">
        <v>13</v>
      </c>
    </row>
    <row r="2643" spans="1:9" x14ac:dyDescent="0.3">
      <c r="A2643" s="26">
        <v>45070</v>
      </c>
      <c r="B2643" s="27" t="s">
        <v>119</v>
      </c>
      <c r="C2643" s="27" t="s">
        <v>20</v>
      </c>
      <c r="D2643" s="27" t="s">
        <v>19</v>
      </c>
      <c r="E2643" s="28">
        <v>143761</v>
      </c>
      <c r="F2643" s="28">
        <v>134025</v>
      </c>
      <c r="G2643" s="27" t="s">
        <v>17</v>
      </c>
      <c r="H2643" s="27" t="s">
        <v>2120</v>
      </c>
      <c r="I2643" s="27" t="s">
        <v>13</v>
      </c>
    </row>
    <row r="2644" spans="1:9" x14ac:dyDescent="0.3">
      <c r="A2644" s="26">
        <v>45070</v>
      </c>
      <c r="B2644" s="27" t="s">
        <v>119</v>
      </c>
      <c r="C2644" s="27" t="s">
        <v>20</v>
      </c>
      <c r="D2644" s="27" t="s">
        <v>7</v>
      </c>
      <c r="E2644" s="28">
        <v>14200</v>
      </c>
      <c r="F2644" s="28">
        <v>61968</v>
      </c>
      <c r="G2644" s="27" t="s">
        <v>11</v>
      </c>
      <c r="H2644" s="27" t="s">
        <v>2353</v>
      </c>
      <c r="I2644" s="27" t="s">
        <v>13</v>
      </c>
    </row>
    <row r="2645" spans="1:9" x14ac:dyDescent="0.3">
      <c r="A2645" s="26">
        <v>45070</v>
      </c>
      <c r="B2645" s="27" t="s">
        <v>119</v>
      </c>
      <c r="C2645" s="27" t="s">
        <v>10</v>
      </c>
      <c r="D2645" s="27" t="s">
        <v>16</v>
      </c>
      <c r="E2645" s="28">
        <v>115018</v>
      </c>
      <c r="F2645" s="28">
        <v>86672</v>
      </c>
      <c r="G2645" s="27" t="s">
        <v>11</v>
      </c>
      <c r="H2645" s="27" t="s">
        <v>2470</v>
      </c>
      <c r="I2645" s="27" t="s">
        <v>13</v>
      </c>
    </row>
    <row r="2646" spans="1:9" x14ac:dyDescent="0.3">
      <c r="A2646" s="26">
        <v>45070</v>
      </c>
      <c r="B2646" s="27" t="s">
        <v>119</v>
      </c>
      <c r="C2646" s="27" t="s">
        <v>10</v>
      </c>
      <c r="D2646" s="27" t="s">
        <v>7</v>
      </c>
      <c r="E2646" s="28">
        <v>33823</v>
      </c>
      <c r="F2646" s="28">
        <v>19826</v>
      </c>
      <c r="G2646" s="27" t="s">
        <v>8</v>
      </c>
      <c r="H2646" s="27" t="s">
        <v>2612</v>
      </c>
      <c r="I2646" s="27" t="s">
        <v>13</v>
      </c>
    </row>
    <row r="2647" spans="1:9" x14ac:dyDescent="0.3">
      <c r="A2647" s="26">
        <v>45070</v>
      </c>
      <c r="B2647" s="27" t="s">
        <v>119</v>
      </c>
      <c r="C2647" s="27" t="s">
        <v>18</v>
      </c>
      <c r="D2647" s="27" t="s">
        <v>19</v>
      </c>
      <c r="E2647" s="28">
        <v>93425</v>
      </c>
      <c r="F2647" s="28">
        <v>62693</v>
      </c>
      <c r="G2647" s="27" t="s">
        <v>8</v>
      </c>
      <c r="H2647" s="27" t="s">
        <v>2871</v>
      </c>
      <c r="I2647" s="27" t="s">
        <v>13</v>
      </c>
    </row>
    <row r="2648" spans="1:9" x14ac:dyDescent="0.3">
      <c r="A2648" s="26">
        <v>45070</v>
      </c>
      <c r="B2648" s="27" t="s">
        <v>119</v>
      </c>
      <c r="C2648" s="27" t="s">
        <v>15</v>
      </c>
      <c r="D2648" s="27" t="s">
        <v>7</v>
      </c>
      <c r="E2648" s="28">
        <v>37881</v>
      </c>
      <c r="F2648" s="28">
        <v>9823</v>
      </c>
      <c r="G2648" s="27" t="s">
        <v>17</v>
      </c>
      <c r="H2648" s="27" t="s">
        <v>3178</v>
      </c>
      <c r="I2648" s="27" t="s">
        <v>13</v>
      </c>
    </row>
    <row r="2649" spans="1:9" x14ac:dyDescent="0.3">
      <c r="A2649" s="26">
        <v>45070</v>
      </c>
      <c r="B2649" s="27" t="s">
        <v>119</v>
      </c>
      <c r="C2649" s="27" t="s">
        <v>18</v>
      </c>
      <c r="D2649" s="27" t="s">
        <v>21</v>
      </c>
      <c r="E2649" s="28">
        <v>148365</v>
      </c>
      <c r="F2649" s="28">
        <v>60887</v>
      </c>
      <c r="G2649" s="27" t="s">
        <v>17</v>
      </c>
      <c r="H2649" s="27" t="s">
        <v>3212</v>
      </c>
      <c r="I2649" s="27" t="s">
        <v>13</v>
      </c>
    </row>
    <row r="2650" spans="1:9" x14ac:dyDescent="0.3">
      <c r="A2650" s="26">
        <v>45070</v>
      </c>
      <c r="B2650" s="27" t="s">
        <v>119</v>
      </c>
      <c r="C2650" s="27" t="s">
        <v>10</v>
      </c>
      <c r="D2650" s="27" t="s">
        <v>19</v>
      </c>
      <c r="E2650" s="28">
        <v>96919</v>
      </c>
      <c r="F2650" s="28">
        <v>147038</v>
      </c>
      <c r="G2650" s="27" t="s">
        <v>8</v>
      </c>
      <c r="H2650" s="27" t="s">
        <v>3339</v>
      </c>
      <c r="I2650" s="27" t="s">
        <v>13</v>
      </c>
    </row>
    <row r="2651" spans="1:9" x14ac:dyDescent="0.3">
      <c r="A2651" s="26">
        <v>45070</v>
      </c>
      <c r="B2651" s="27" t="s">
        <v>119</v>
      </c>
      <c r="C2651" s="27" t="s">
        <v>6</v>
      </c>
      <c r="D2651" s="27" t="s">
        <v>21</v>
      </c>
      <c r="E2651" s="28">
        <v>71100</v>
      </c>
      <c r="F2651" s="28">
        <v>81800</v>
      </c>
      <c r="G2651" s="27" t="s">
        <v>17</v>
      </c>
      <c r="H2651" s="27" t="s">
        <v>3948</v>
      </c>
      <c r="I2651" s="27" t="s">
        <v>9</v>
      </c>
    </row>
    <row r="2652" spans="1:9" x14ac:dyDescent="0.3">
      <c r="A2652" s="26">
        <v>45070</v>
      </c>
      <c r="B2652" s="27" t="s">
        <v>119</v>
      </c>
      <c r="C2652" s="27" t="s">
        <v>93</v>
      </c>
      <c r="D2652" s="27" t="s">
        <v>21</v>
      </c>
      <c r="E2652" s="28">
        <v>212700</v>
      </c>
      <c r="F2652" s="28">
        <v>226300</v>
      </c>
      <c r="G2652" s="27" t="s">
        <v>22</v>
      </c>
      <c r="H2652" s="27" t="s">
        <v>4153</v>
      </c>
      <c r="I2652" s="27" t="s">
        <v>9</v>
      </c>
    </row>
    <row r="2653" spans="1:9" x14ac:dyDescent="0.3">
      <c r="A2653" s="26">
        <v>45070</v>
      </c>
      <c r="B2653" s="27" t="s">
        <v>119</v>
      </c>
      <c r="C2653" s="27" t="s">
        <v>93</v>
      </c>
      <c r="D2653" s="27" t="s">
        <v>24</v>
      </c>
      <c r="E2653" s="28">
        <v>72200</v>
      </c>
      <c r="F2653" s="28">
        <v>68500</v>
      </c>
      <c r="G2653" s="27" t="s">
        <v>22</v>
      </c>
      <c r="H2653" s="27" t="s">
        <v>4487</v>
      </c>
      <c r="I2653" s="27" t="s">
        <v>9</v>
      </c>
    </row>
    <row r="2654" spans="1:9" x14ac:dyDescent="0.3">
      <c r="A2654" s="26">
        <v>45070</v>
      </c>
      <c r="B2654" s="27" t="s">
        <v>119</v>
      </c>
      <c r="C2654" s="27" t="s">
        <v>93</v>
      </c>
      <c r="D2654" s="27" t="s">
        <v>24</v>
      </c>
      <c r="E2654" s="28">
        <v>92900</v>
      </c>
      <c r="F2654" s="28">
        <v>106100</v>
      </c>
      <c r="G2654" s="27" t="s">
        <v>11</v>
      </c>
      <c r="H2654" s="27" t="s">
        <v>5139</v>
      </c>
      <c r="I2654" s="27" t="s">
        <v>9</v>
      </c>
    </row>
    <row r="2655" spans="1:9" x14ac:dyDescent="0.3">
      <c r="A2655" s="26">
        <v>45070</v>
      </c>
      <c r="B2655" s="27" t="s">
        <v>119</v>
      </c>
      <c r="C2655" s="27" t="s">
        <v>6</v>
      </c>
      <c r="D2655" s="27" t="s">
        <v>7</v>
      </c>
      <c r="E2655" s="28">
        <v>98300</v>
      </c>
      <c r="F2655" s="28">
        <v>101800</v>
      </c>
      <c r="G2655" s="27" t="s">
        <v>11</v>
      </c>
      <c r="H2655" s="27" t="s">
        <v>5252</v>
      </c>
      <c r="I2655" s="27" t="s">
        <v>9</v>
      </c>
    </row>
    <row r="2656" spans="1:9" x14ac:dyDescent="0.3">
      <c r="A2656" s="26">
        <v>45070</v>
      </c>
      <c r="B2656" s="27" t="s">
        <v>119</v>
      </c>
      <c r="C2656" s="27" t="s">
        <v>93</v>
      </c>
      <c r="D2656" s="27" t="s">
        <v>16</v>
      </c>
      <c r="E2656" s="28">
        <v>130300</v>
      </c>
      <c r="F2656" s="28">
        <v>99600</v>
      </c>
      <c r="G2656" s="27" t="s">
        <v>17</v>
      </c>
      <c r="H2656" s="27" t="s">
        <v>5303</v>
      </c>
      <c r="I2656" s="27" t="s">
        <v>9</v>
      </c>
    </row>
    <row r="2657" spans="1:9" x14ac:dyDescent="0.3">
      <c r="A2657" s="26">
        <v>45070</v>
      </c>
      <c r="B2657" s="27" t="s">
        <v>119</v>
      </c>
      <c r="C2657" s="27" t="s">
        <v>6</v>
      </c>
      <c r="D2657" s="27" t="s">
        <v>7</v>
      </c>
      <c r="E2657" s="28">
        <v>216600</v>
      </c>
      <c r="F2657" s="28">
        <v>243300</v>
      </c>
      <c r="G2657" s="27" t="s">
        <v>11</v>
      </c>
      <c r="H2657" s="27" t="s">
        <v>5503</v>
      </c>
      <c r="I2657" s="27" t="s">
        <v>9</v>
      </c>
    </row>
    <row r="2658" spans="1:9" x14ac:dyDescent="0.3">
      <c r="A2658" s="26">
        <v>45070</v>
      </c>
      <c r="B2658" s="27" t="s">
        <v>119</v>
      </c>
      <c r="C2658" s="27" t="s">
        <v>93</v>
      </c>
      <c r="D2658" s="27" t="s">
        <v>19</v>
      </c>
      <c r="E2658" s="28">
        <v>184600</v>
      </c>
      <c r="F2658" s="28">
        <v>157100</v>
      </c>
      <c r="G2658" s="27" t="s">
        <v>22</v>
      </c>
      <c r="H2658" s="27" t="s">
        <v>5504</v>
      </c>
      <c r="I2658" s="27" t="s">
        <v>9</v>
      </c>
    </row>
    <row r="2659" spans="1:9" x14ac:dyDescent="0.3">
      <c r="A2659" s="26">
        <v>45070</v>
      </c>
      <c r="B2659" s="27" t="s">
        <v>119</v>
      </c>
      <c r="C2659" s="27" t="s">
        <v>93</v>
      </c>
      <c r="D2659" s="27" t="s">
        <v>7</v>
      </c>
      <c r="E2659" s="28">
        <v>49700</v>
      </c>
      <c r="F2659" s="28">
        <v>37800</v>
      </c>
      <c r="G2659" s="27" t="s">
        <v>22</v>
      </c>
      <c r="H2659" s="27" t="s">
        <v>5738</v>
      </c>
      <c r="I2659" s="27" t="s">
        <v>9</v>
      </c>
    </row>
    <row r="2660" spans="1:9" x14ac:dyDescent="0.3">
      <c r="A2660" s="26">
        <v>45070</v>
      </c>
      <c r="B2660" s="27" t="s">
        <v>119</v>
      </c>
      <c r="C2660" s="27" t="s">
        <v>6</v>
      </c>
      <c r="D2660" s="27" t="s">
        <v>16</v>
      </c>
      <c r="E2660" s="28">
        <v>186500</v>
      </c>
      <c r="F2660" s="28">
        <v>162300</v>
      </c>
      <c r="G2660" s="27" t="s">
        <v>11</v>
      </c>
      <c r="H2660" s="27" t="s">
        <v>5855</v>
      </c>
      <c r="I2660" s="27" t="s">
        <v>9</v>
      </c>
    </row>
    <row r="2661" spans="1:9" x14ac:dyDescent="0.3">
      <c r="A2661" s="26">
        <v>45070</v>
      </c>
      <c r="B2661" s="27" t="s">
        <v>119</v>
      </c>
      <c r="C2661" s="27" t="s">
        <v>6</v>
      </c>
      <c r="D2661" s="27" t="s">
        <v>7</v>
      </c>
      <c r="E2661" s="28">
        <v>79600</v>
      </c>
      <c r="F2661" s="28">
        <v>92800</v>
      </c>
      <c r="G2661" s="27" t="s">
        <v>11</v>
      </c>
      <c r="H2661" s="27" t="s">
        <v>5997</v>
      </c>
      <c r="I2661" s="27" t="s">
        <v>9</v>
      </c>
    </row>
    <row r="2662" spans="1:9" x14ac:dyDescent="0.3">
      <c r="A2662" s="26">
        <v>45070</v>
      </c>
      <c r="B2662" s="27" t="s">
        <v>119</v>
      </c>
      <c r="C2662" s="27" t="s">
        <v>6</v>
      </c>
      <c r="D2662" s="27" t="s">
        <v>19</v>
      </c>
      <c r="E2662" s="28">
        <v>268400</v>
      </c>
      <c r="F2662" s="28">
        <v>281200</v>
      </c>
      <c r="G2662" s="27" t="s">
        <v>11</v>
      </c>
      <c r="H2662" s="27" t="s">
        <v>6256</v>
      </c>
      <c r="I2662" s="27" t="s">
        <v>9</v>
      </c>
    </row>
    <row r="2663" spans="1:9" x14ac:dyDescent="0.3">
      <c r="A2663" s="26">
        <v>45070</v>
      </c>
      <c r="B2663" s="27" t="s">
        <v>119</v>
      </c>
      <c r="C2663" s="27" t="s">
        <v>6</v>
      </c>
      <c r="D2663" s="27" t="s">
        <v>7</v>
      </c>
      <c r="E2663" s="28">
        <v>68900</v>
      </c>
      <c r="F2663" s="28">
        <v>77100</v>
      </c>
      <c r="G2663" s="27" t="s">
        <v>22</v>
      </c>
      <c r="H2663" s="27" t="s">
        <v>6563</v>
      </c>
      <c r="I2663" s="27" t="s">
        <v>9</v>
      </c>
    </row>
    <row r="2664" spans="1:9" x14ac:dyDescent="0.3">
      <c r="A2664" s="26">
        <v>45070</v>
      </c>
      <c r="B2664" s="27" t="s">
        <v>119</v>
      </c>
      <c r="C2664" s="27" t="s">
        <v>93</v>
      </c>
      <c r="D2664" s="27" t="s">
        <v>21</v>
      </c>
      <c r="E2664" s="28">
        <v>101700</v>
      </c>
      <c r="F2664" s="28">
        <v>118400</v>
      </c>
      <c r="G2664" s="27" t="s">
        <v>11</v>
      </c>
      <c r="H2664" s="27" t="s">
        <v>6597</v>
      </c>
      <c r="I2664" s="27" t="s">
        <v>9</v>
      </c>
    </row>
    <row r="2665" spans="1:9" x14ac:dyDescent="0.3">
      <c r="A2665" s="26">
        <v>45070</v>
      </c>
      <c r="B2665" s="27" t="s">
        <v>119</v>
      </c>
      <c r="C2665" s="27" t="s">
        <v>93</v>
      </c>
      <c r="D2665" s="27" t="s">
        <v>19</v>
      </c>
      <c r="E2665" s="28">
        <v>118800</v>
      </c>
      <c r="F2665" s="28">
        <v>95700</v>
      </c>
      <c r="G2665" s="27" t="s">
        <v>22</v>
      </c>
      <c r="H2665" s="27" t="s">
        <v>6724</v>
      </c>
      <c r="I2665" s="27" t="s">
        <v>9</v>
      </c>
    </row>
    <row r="2666" spans="1:9" x14ac:dyDescent="0.3">
      <c r="A2666" s="26">
        <v>45071</v>
      </c>
      <c r="B2666" s="27" t="s">
        <v>119</v>
      </c>
      <c r="C2666" s="27" t="s">
        <v>14</v>
      </c>
      <c r="D2666" s="27" t="s">
        <v>19</v>
      </c>
      <c r="E2666" s="28">
        <v>92268</v>
      </c>
      <c r="F2666" s="28">
        <v>59060</v>
      </c>
      <c r="G2666" s="27" t="s">
        <v>11</v>
      </c>
      <c r="H2666" s="27" t="s">
        <v>822</v>
      </c>
      <c r="I2666" s="27" t="s">
        <v>13</v>
      </c>
    </row>
    <row r="2667" spans="1:9" x14ac:dyDescent="0.3">
      <c r="A2667" s="26">
        <v>45071</v>
      </c>
      <c r="B2667" s="27" t="s">
        <v>119</v>
      </c>
      <c r="C2667" s="27" t="s">
        <v>20</v>
      </c>
      <c r="D2667" s="27" t="s">
        <v>19</v>
      </c>
      <c r="E2667" s="28">
        <v>70363</v>
      </c>
      <c r="F2667" s="28">
        <v>32987</v>
      </c>
      <c r="G2667" s="27" t="s">
        <v>11</v>
      </c>
      <c r="H2667" s="27" t="s">
        <v>1195</v>
      </c>
      <c r="I2667" s="27" t="s">
        <v>13</v>
      </c>
    </row>
    <row r="2668" spans="1:9" x14ac:dyDescent="0.3">
      <c r="A2668" s="26">
        <v>45071</v>
      </c>
      <c r="B2668" s="27" t="s">
        <v>119</v>
      </c>
      <c r="C2668" s="27" t="s">
        <v>20</v>
      </c>
      <c r="D2668" s="27" t="s">
        <v>7</v>
      </c>
      <c r="E2668" s="28">
        <v>45132</v>
      </c>
      <c r="F2668" s="28">
        <v>29329</v>
      </c>
      <c r="G2668" s="27" t="s">
        <v>8</v>
      </c>
      <c r="H2668" s="27" t="s">
        <v>1440</v>
      </c>
      <c r="I2668" s="27" t="s">
        <v>13</v>
      </c>
    </row>
    <row r="2669" spans="1:9" x14ac:dyDescent="0.3">
      <c r="A2669" s="26">
        <v>45071</v>
      </c>
      <c r="B2669" s="27" t="s">
        <v>119</v>
      </c>
      <c r="C2669" s="27" t="s">
        <v>10</v>
      </c>
      <c r="D2669" s="27" t="s">
        <v>19</v>
      </c>
      <c r="E2669" s="28">
        <v>65511</v>
      </c>
      <c r="F2669" s="28">
        <v>137465</v>
      </c>
      <c r="G2669" s="27" t="s">
        <v>8</v>
      </c>
      <c r="H2669" s="27" t="s">
        <v>2411</v>
      </c>
      <c r="I2669" s="27" t="s">
        <v>13</v>
      </c>
    </row>
    <row r="2670" spans="1:9" x14ac:dyDescent="0.3">
      <c r="A2670" s="26">
        <v>45071</v>
      </c>
      <c r="B2670" s="27" t="s">
        <v>119</v>
      </c>
      <c r="C2670" s="27" t="s">
        <v>32</v>
      </c>
      <c r="D2670" s="27" t="s">
        <v>7</v>
      </c>
      <c r="E2670" s="28">
        <v>129138</v>
      </c>
      <c r="F2670" s="28">
        <v>81454</v>
      </c>
      <c r="G2670" s="27" t="s">
        <v>11</v>
      </c>
      <c r="H2670" s="27" t="s">
        <v>2615</v>
      </c>
      <c r="I2670" s="27" t="s">
        <v>13</v>
      </c>
    </row>
    <row r="2671" spans="1:9" x14ac:dyDescent="0.3">
      <c r="A2671" s="26">
        <v>45071</v>
      </c>
      <c r="B2671" s="27" t="s">
        <v>119</v>
      </c>
      <c r="C2671" s="27" t="s">
        <v>18</v>
      </c>
      <c r="D2671" s="27" t="s">
        <v>7</v>
      </c>
      <c r="E2671" s="28">
        <v>38684</v>
      </c>
      <c r="F2671" s="28">
        <v>89688</v>
      </c>
      <c r="G2671" s="27" t="s">
        <v>11</v>
      </c>
      <c r="H2671" s="27" t="s">
        <v>3081</v>
      </c>
      <c r="I2671" s="27" t="s">
        <v>13</v>
      </c>
    </row>
    <row r="2672" spans="1:9" x14ac:dyDescent="0.3">
      <c r="A2672" s="26">
        <v>45071</v>
      </c>
      <c r="B2672" s="27" t="s">
        <v>119</v>
      </c>
      <c r="C2672" s="27" t="s">
        <v>10</v>
      </c>
      <c r="D2672" s="27" t="s">
        <v>16</v>
      </c>
      <c r="E2672" s="28">
        <v>24968</v>
      </c>
      <c r="F2672" s="28">
        <v>21528</v>
      </c>
      <c r="G2672" s="27" t="s">
        <v>17</v>
      </c>
      <c r="H2672" s="27" t="s">
        <v>3132</v>
      </c>
      <c r="I2672" s="27" t="s">
        <v>13</v>
      </c>
    </row>
    <row r="2673" spans="1:9" x14ac:dyDescent="0.3">
      <c r="A2673" s="26">
        <v>45071</v>
      </c>
      <c r="B2673" s="27" t="s">
        <v>119</v>
      </c>
      <c r="C2673" s="27" t="s">
        <v>15</v>
      </c>
      <c r="D2673" s="27" t="s">
        <v>24</v>
      </c>
      <c r="E2673" s="28">
        <v>108331</v>
      </c>
      <c r="F2673" s="28">
        <v>123983</v>
      </c>
      <c r="G2673" s="27" t="s">
        <v>11</v>
      </c>
      <c r="H2673" s="27" t="s">
        <v>3177</v>
      </c>
      <c r="I2673" s="27" t="s">
        <v>13</v>
      </c>
    </row>
    <row r="2674" spans="1:9" x14ac:dyDescent="0.3">
      <c r="A2674" s="26">
        <v>45071</v>
      </c>
      <c r="B2674" s="27" t="s">
        <v>119</v>
      </c>
      <c r="C2674" s="27" t="s">
        <v>18</v>
      </c>
      <c r="D2674" s="27" t="s">
        <v>21</v>
      </c>
      <c r="E2674" s="28">
        <v>137776</v>
      </c>
      <c r="F2674" s="28">
        <v>72195</v>
      </c>
      <c r="G2674" s="27" t="s">
        <v>11</v>
      </c>
      <c r="H2674" s="27" t="s">
        <v>3273</v>
      </c>
      <c r="I2674" s="27" t="s">
        <v>13</v>
      </c>
    </row>
    <row r="2675" spans="1:9" x14ac:dyDescent="0.3">
      <c r="A2675" s="26">
        <v>45071</v>
      </c>
      <c r="B2675" s="27" t="s">
        <v>119</v>
      </c>
      <c r="C2675" s="27" t="s">
        <v>10</v>
      </c>
      <c r="D2675" s="27" t="s">
        <v>19</v>
      </c>
      <c r="E2675" s="28">
        <v>93987</v>
      </c>
      <c r="F2675" s="28">
        <v>16078</v>
      </c>
      <c r="G2675" s="27" t="s">
        <v>17</v>
      </c>
      <c r="H2675" s="27" t="s">
        <v>3276</v>
      </c>
      <c r="I2675" s="27" t="s">
        <v>13</v>
      </c>
    </row>
    <row r="2676" spans="1:9" x14ac:dyDescent="0.3">
      <c r="A2676" s="26">
        <v>45071</v>
      </c>
      <c r="B2676" s="27" t="s">
        <v>119</v>
      </c>
      <c r="C2676" s="27" t="s">
        <v>15</v>
      </c>
      <c r="D2676" s="27" t="s">
        <v>19</v>
      </c>
      <c r="E2676" s="28">
        <v>47822</v>
      </c>
      <c r="F2676" s="28">
        <v>111410</v>
      </c>
      <c r="G2676" s="27" t="s">
        <v>22</v>
      </c>
      <c r="H2676" s="27" t="s">
        <v>3307</v>
      </c>
      <c r="I2676" s="27" t="s">
        <v>13</v>
      </c>
    </row>
    <row r="2677" spans="1:9" x14ac:dyDescent="0.3">
      <c r="A2677" s="26">
        <v>45071</v>
      </c>
      <c r="B2677" s="27" t="s">
        <v>119</v>
      </c>
      <c r="C2677" s="27" t="s">
        <v>93</v>
      </c>
      <c r="D2677" s="27" t="s">
        <v>19</v>
      </c>
      <c r="E2677" s="28">
        <v>64400</v>
      </c>
      <c r="F2677" s="28">
        <v>72400</v>
      </c>
      <c r="G2677" s="27" t="s">
        <v>11</v>
      </c>
      <c r="H2677" s="27" t="s">
        <v>4203</v>
      </c>
      <c r="I2677" s="27" t="s">
        <v>9</v>
      </c>
    </row>
    <row r="2678" spans="1:9" x14ac:dyDescent="0.3">
      <c r="A2678" s="26">
        <v>45071</v>
      </c>
      <c r="B2678" s="27" t="s">
        <v>119</v>
      </c>
      <c r="C2678" s="27" t="s">
        <v>93</v>
      </c>
      <c r="D2678" s="27" t="s">
        <v>19</v>
      </c>
      <c r="E2678" s="28">
        <v>149400</v>
      </c>
      <c r="F2678" s="28">
        <v>194400</v>
      </c>
      <c r="G2678" s="27" t="s">
        <v>11</v>
      </c>
      <c r="H2678" s="27" t="s">
        <v>4578</v>
      </c>
      <c r="I2678" s="27" t="s">
        <v>9</v>
      </c>
    </row>
    <row r="2679" spans="1:9" x14ac:dyDescent="0.3">
      <c r="A2679" s="26">
        <v>45071</v>
      </c>
      <c r="B2679" s="27" t="s">
        <v>119</v>
      </c>
      <c r="C2679" s="27" t="s">
        <v>93</v>
      </c>
      <c r="D2679" s="27" t="s">
        <v>7</v>
      </c>
      <c r="E2679" s="28">
        <v>351000</v>
      </c>
      <c r="F2679" s="28">
        <v>315200</v>
      </c>
      <c r="G2679" s="27" t="s">
        <v>22</v>
      </c>
      <c r="H2679" s="27" t="s">
        <v>4823</v>
      </c>
      <c r="I2679" s="27" t="s">
        <v>9</v>
      </c>
    </row>
    <row r="2680" spans="1:9" x14ac:dyDescent="0.3">
      <c r="A2680" s="26">
        <v>45071</v>
      </c>
      <c r="B2680" s="27" t="s">
        <v>119</v>
      </c>
      <c r="C2680" s="27" t="s">
        <v>6</v>
      </c>
      <c r="D2680" s="27" t="s">
        <v>19</v>
      </c>
      <c r="E2680" s="28">
        <v>175300</v>
      </c>
      <c r="F2680" s="28">
        <v>190000</v>
      </c>
      <c r="G2680" s="27" t="s">
        <v>11</v>
      </c>
      <c r="H2680" s="27" t="s">
        <v>5796</v>
      </c>
      <c r="I2680" s="27" t="s">
        <v>9</v>
      </c>
    </row>
    <row r="2681" spans="1:9" x14ac:dyDescent="0.3">
      <c r="A2681" s="26">
        <v>45071</v>
      </c>
      <c r="B2681" s="27" t="s">
        <v>119</v>
      </c>
      <c r="C2681" s="27" t="s">
        <v>93</v>
      </c>
      <c r="D2681" s="27" t="s">
        <v>7</v>
      </c>
      <c r="E2681" s="28">
        <v>169500</v>
      </c>
      <c r="F2681" s="28">
        <v>178300</v>
      </c>
      <c r="G2681" s="27" t="s">
        <v>22</v>
      </c>
      <c r="H2681" s="27" t="s">
        <v>6000</v>
      </c>
      <c r="I2681" s="27" t="s">
        <v>9</v>
      </c>
    </row>
    <row r="2682" spans="1:9" x14ac:dyDescent="0.3">
      <c r="A2682" s="26">
        <v>45071</v>
      </c>
      <c r="B2682" s="27" t="s">
        <v>119</v>
      </c>
      <c r="C2682" s="27" t="s">
        <v>93</v>
      </c>
      <c r="D2682" s="27" t="s">
        <v>7</v>
      </c>
      <c r="E2682" s="28">
        <v>114800</v>
      </c>
      <c r="F2682" s="28">
        <v>160800</v>
      </c>
      <c r="G2682" s="27" t="s">
        <v>11</v>
      </c>
      <c r="H2682" s="27" t="s">
        <v>6466</v>
      </c>
      <c r="I2682" s="27" t="s">
        <v>9</v>
      </c>
    </row>
    <row r="2683" spans="1:9" x14ac:dyDescent="0.3">
      <c r="A2683" s="26">
        <v>45071</v>
      </c>
      <c r="B2683" s="27" t="s">
        <v>119</v>
      </c>
      <c r="C2683" s="27" t="s">
        <v>93</v>
      </c>
      <c r="D2683" s="27" t="s">
        <v>16</v>
      </c>
      <c r="E2683" s="28">
        <v>131700</v>
      </c>
      <c r="F2683" s="28">
        <v>123900</v>
      </c>
      <c r="G2683" s="27" t="s">
        <v>22</v>
      </c>
      <c r="H2683" s="27" t="s">
        <v>6517</v>
      </c>
      <c r="I2683" s="27" t="s">
        <v>9</v>
      </c>
    </row>
    <row r="2684" spans="1:9" x14ac:dyDescent="0.3">
      <c r="A2684" s="26">
        <v>45071</v>
      </c>
      <c r="B2684" s="27" t="s">
        <v>119</v>
      </c>
      <c r="C2684" s="27" t="s">
        <v>6</v>
      </c>
      <c r="D2684" s="27" t="s">
        <v>24</v>
      </c>
      <c r="E2684" s="28">
        <v>119300</v>
      </c>
      <c r="F2684" s="28">
        <v>99000</v>
      </c>
      <c r="G2684" s="27" t="s">
        <v>11</v>
      </c>
      <c r="H2684" s="27" t="s">
        <v>6562</v>
      </c>
      <c r="I2684" s="27" t="s">
        <v>9</v>
      </c>
    </row>
    <row r="2685" spans="1:9" x14ac:dyDescent="0.3">
      <c r="A2685" s="26">
        <v>45071</v>
      </c>
      <c r="B2685" s="27" t="s">
        <v>119</v>
      </c>
      <c r="C2685" s="27" t="s">
        <v>6</v>
      </c>
      <c r="D2685" s="27" t="s">
        <v>21</v>
      </c>
      <c r="E2685" s="28">
        <v>109100</v>
      </c>
      <c r="F2685" s="28">
        <v>131100</v>
      </c>
      <c r="G2685" s="27" t="s">
        <v>17</v>
      </c>
      <c r="H2685" s="27" t="s">
        <v>6658</v>
      </c>
      <c r="I2685" s="27" t="s">
        <v>9</v>
      </c>
    </row>
    <row r="2686" spans="1:9" x14ac:dyDescent="0.3">
      <c r="A2686" s="26">
        <v>45071</v>
      </c>
      <c r="B2686" s="27" t="s">
        <v>119</v>
      </c>
      <c r="C2686" s="27" t="s">
        <v>93</v>
      </c>
      <c r="D2686" s="27" t="s">
        <v>19</v>
      </c>
      <c r="E2686" s="28">
        <v>99400</v>
      </c>
      <c r="F2686" s="28">
        <v>101300</v>
      </c>
      <c r="G2686" s="27" t="s">
        <v>11</v>
      </c>
      <c r="H2686" s="27" t="s">
        <v>6661</v>
      </c>
      <c r="I2686" s="27" t="s">
        <v>9</v>
      </c>
    </row>
    <row r="2687" spans="1:9" x14ac:dyDescent="0.3">
      <c r="A2687" s="26">
        <v>45071</v>
      </c>
      <c r="B2687" s="27" t="s">
        <v>119</v>
      </c>
      <c r="C2687" s="27" t="s">
        <v>6</v>
      </c>
      <c r="D2687" s="27" t="s">
        <v>19</v>
      </c>
      <c r="E2687" s="28">
        <v>52000</v>
      </c>
      <c r="F2687" s="28">
        <v>64000</v>
      </c>
      <c r="G2687" s="27" t="s">
        <v>17</v>
      </c>
      <c r="H2687" s="27" t="s">
        <v>6692</v>
      </c>
      <c r="I2687" s="27" t="s">
        <v>9</v>
      </c>
    </row>
    <row r="2688" spans="1:9" x14ac:dyDescent="0.3">
      <c r="A2688" s="26">
        <v>45072</v>
      </c>
      <c r="B2688" s="27" t="s">
        <v>119</v>
      </c>
      <c r="C2688" s="27" t="s">
        <v>18</v>
      </c>
      <c r="D2688" s="27" t="s">
        <v>7</v>
      </c>
      <c r="E2688" s="28">
        <v>57038</v>
      </c>
      <c r="F2688" s="28">
        <v>148669</v>
      </c>
      <c r="G2688" s="27" t="s">
        <v>22</v>
      </c>
      <c r="H2688" s="27" t="s">
        <v>234</v>
      </c>
      <c r="I2688" s="27" t="s">
        <v>13</v>
      </c>
    </row>
    <row r="2689" spans="1:9" x14ac:dyDescent="0.3">
      <c r="A2689" s="26">
        <v>45072</v>
      </c>
      <c r="B2689" s="27" t="s">
        <v>119</v>
      </c>
      <c r="C2689" s="27" t="s">
        <v>32</v>
      </c>
      <c r="D2689" s="27" t="s">
        <v>16</v>
      </c>
      <c r="E2689" s="28">
        <v>129115</v>
      </c>
      <c r="F2689" s="28">
        <v>14677</v>
      </c>
      <c r="G2689" s="27" t="s">
        <v>11</v>
      </c>
      <c r="H2689" s="27" t="s">
        <v>383</v>
      </c>
      <c r="I2689" s="27" t="s">
        <v>13</v>
      </c>
    </row>
    <row r="2690" spans="1:9" x14ac:dyDescent="0.3">
      <c r="A2690" s="26">
        <v>45072</v>
      </c>
      <c r="B2690" s="27" t="s">
        <v>119</v>
      </c>
      <c r="C2690" s="27" t="s">
        <v>18</v>
      </c>
      <c r="D2690" s="27" t="s">
        <v>7</v>
      </c>
      <c r="E2690" s="28">
        <v>105877</v>
      </c>
      <c r="F2690" s="28">
        <v>62827</v>
      </c>
      <c r="G2690" s="27" t="s">
        <v>17</v>
      </c>
      <c r="H2690" s="27" t="s">
        <v>818</v>
      </c>
      <c r="I2690" s="27" t="s">
        <v>13</v>
      </c>
    </row>
    <row r="2691" spans="1:9" x14ac:dyDescent="0.3">
      <c r="A2691" s="26">
        <v>45072</v>
      </c>
      <c r="B2691" s="27" t="s">
        <v>119</v>
      </c>
      <c r="C2691" s="27" t="s">
        <v>20</v>
      </c>
      <c r="D2691" s="27" t="s">
        <v>16</v>
      </c>
      <c r="E2691" s="28">
        <v>113913</v>
      </c>
      <c r="F2691" s="28">
        <v>36594</v>
      </c>
      <c r="G2691" s="27" t="s">
        <v>8</v>
      </c>
      <c r="H2691" s="27" t="s">
        <v>1320</v>
      </c>
      <c r="I2691" s="27" t="s">
        <v>13</v>
      </c>
    </row>
    <row r="2692" spans="1:9" x14ac:dyDescent="0.3">
      <c r="A2692" s="26">
        <v>45072</v>
      </c>
      <c r="B2692" s="27" t="s">
        <v>119</v>
      </c>
      <c r="C2692" s="27" t="s">
        <v>10</v>
      </c>
      <c r="D2692" s="27" t="s">
        <v>24</v>
      </c>
      <c r="E2692" s="28">
        <v>108802</v>
      </c>
      <c r="F2692" s="28">
        <v>113026</v>
      </c>
      <c r="G2692" s="27" t="s">
        <v>22</v>
      </c>
      <c r="H2692" s="27" t="s">
        <v>1480</v>
      </c>
      <c r="I2692" s="27" t="s">
        <v>13</v>
      </c>
    </row>
    <row r="2693" spans="1:9" x14ac:dyDescent="0.3">
      <c r="A2693" s="26">
        <v>45072</v>
      </c>
      <c r="B2693" s="27" t="s">
        <v>119</v>
      </c>
      <c r="C2693" s="27" t="s">
        <v>32</v>
      </c>
      <c r="D2693" s="27" t="s">
        <v>21</v>
      </c>
      <c r="E2693" s="28">
        <v>83658</v>
      </c>
      <c r="F2693" s="28">
        <v>147299</v>
      </c>
      <c r="G2693" s="27" t="s">
        <v>22</v>
      </c>
      <c r="H2693" s="27" t="s">
        <v>2268</v>
      </c>
      <c r="I2693" s="27" t="s">
        <v>13</v>
      </c>
    </row>
    <row r="2694" spans="1:9" x14ac:dyDescent="0.3">
      <c r="A2694" s="26">
        <v>45072</v>
      </c>
      <c r="B2694" s="27" t="s">
        <v>119</v>
      </c>
      <c r="C2694" s="27" t="s">
        <v>14</v>
      </c>
      <c r="D2694" s="27" t="s">
        <v>21</v>
      </c>
      <c r="E2694" s="28">
        <v>147417</v>
      </c>
      <c r="F2694" s="28">
        <v>155871</v>
      </c>
      <c r="G2694" s="27" t="s">
        <v>11</v>
      </c>
      <c r="H2694" s="27" t="s">
        <v>2300</v>
      </c>
      <c r="I2694" s="27" t="s">
        <v>13</v>
      </c>
    </row>
    <row r="2695" spans="1:9" x14ac:dyDescent="0.3">
      <c r="A2695" s="26">
        <v>45072</v>
      </c>
      <c r="B2695" s="27" t="s">
        <v>119</v>
      </c>
      <c r="C2695" s="27" t="s">
        <v>14</v>
      </c>
      <c r="D2695" s="27" t="s">
        <v>7</v>
      </c>
      <c r="E2695" s="28">
        <v>80409</v>
      </c>
      <c r="F2695" s="28">
        <v>160623</v>
      </c>
      <c r="G2695" s="27" t="s">
        <v>11</v>
      </c>
      <c r="H2695" s="27" t="s">
        <v>2386</v>
      </c>
      <c r="I2695" s="27" t="s">
        <v>13</v>
      </c>
    </row>
    <row r="2696" spans="1:9" x14ac:dyDescent="0.3">
      <c r="A2696" s="26">
        <v>45072</v>
      </c>
      <c r="B2696" s="27" t="s">
        <v>119</v>
      </c>
      <c r="C2696" s="27" t="s">
        <v>18</v>
      </c>
      <c r="D2696" s="27" t="s">
        <v>7</v>
      </c>
      <c r="E2696" s="28">
        <v>17792</v>
      </c>
      <c r="F2696" s="28">
        <v>80333</v>
      </c>
      <c r="G2696" s="27" t="s">
        <v>8</v>
      </c>
      <c r="H2696" s="27" t="s">
        <v>3186</v>
      </c>
      <c r="I2696" s="27" t="s">
        <v>13</v>
      </c>
    </row>
    <row r="2697" spans="1:9" x14ac:dyDescent="0.3">
      <c r="A2697" s="26">
        <v>45072</v>
      </c>
      <c r="B2697" s="27" t="s">
        <v>119</v>
      </c>
      <c r="C2697" s="27" t="s">
        <v>14</v>
      </c>
      <c r="D2697" s="27" t="s">
        <v>7</v>
      </c>
      <c r="E2697" s="28">
        <v>47689</v>
      </c>
      <c r="F2697" s="28">
        <v>150292</v>
      </c>
      <c r="G2697" s="27" t="s">
        <v>11</v>
      </c>
      <c r="H2697" s="27" t="s">
        <v>3420</v>
      </c>
      <c r="I2697" s="27" t="s">
        <v>13</v>
      </c>
    </row>
    <row r="2698" spans="1:9" x14ac:dyDescent="0.3">
      <c r="A2698" s="26">
        <v>45072</v>
      </c>
      <c r="B2698" s="27" t="s">
        <v>119</v>
      </c>
      <c r="C2698" s="27" t="s">
        <v>6</v>
      </c>
      <c r="D2698" s="27" t="s">
        <v>7</v>
      </c>
      <c r="E2698" s="28">
        <v>98600</v>
      </c>
      <c r="F2698" s="28">
        <v>95000</v>
      </c>
      <c r="G2698" s="27" t="s">
        <v>11</v>
      </c>
      <c r="H2698" s="27" t="s">
        <v>3615</v>
      </c>
      <c r="I2698" s="27" t="s">
        <v>9</v>
      </c>
    </row>
    <row r="2699" spans="1:9" x14ac:dyDescent="0.3">
      <c r="A2699" s="26">
        <v>45072</v>
      </c>
      <c r="B2699" s="27" t="s">
        <v>119</v>
      </c>
      <c r="C2699" s="27" t="s">
        <v>93</v>
      </c>
      <c r="D2699" s="27" t="s">
        <v>16</v>
      </c>
      <c r="E2699" s="28">
        <v>124500</v>
      </c>
      <c r="F2699" s="28">
        <v>121900</v>
      </c>
      <c r="G2699" s="27" t="s">
        <v>11</v>
      </c>
      <c r="H2699" s="27" t="s">
        <v>3764</v>
      </c>
      <c r="I2699" s="27" t="s">
        <v>9</v>
      </c>
    </row>
    <row r="2700" spans="1:9" x14ac:dyDescent="0.3">
      <c r="A2700" s="26">
        <v>45072</v>
      </c>
      <c r="B2700" s="27" t="s">
        <v>119</v>
      </c>
      <c r="C2700" s="27" t="s">
        <v>93</v>
      </c>
      <c r="D2700" s="27" t="s">
        <v>7</v>
      </c>
      <c r="E2700" s="28">
        <v>202700</v>
      </c>
      <c r="F2700" s="28">
        <v>231900</v>
      </c>
      <c r="G2700" s="27" t="s">
        <v>11</v>
      </c>
      <c r="H2700" s="27" t="s">
        <v>4199</v>
      </c>
      <c r="I2700" s="27" t="s">
        <v>9</v>
      </c>
    </row>
    <row r="2701" spans="1:9" x14ac:dyDescent="0.3">
      <c r="A2701" s="26">
        <v>45072</v>
      </c>
      <c r="B2701" s="27" t="s">
        <v>119</v>
      </c>
      <c r="C2701" s="27" t="s">
        <v>6</v>
      </c>
      <c r="D2701" s="27" t="s">
        <v>16</v>
      </c>
      <c r="E2701" s="28">
        <v>113800</v>
      </c>
      <c r="F2701" s="28">
        <v>108600</v>
      </c>
      <c r="G2701" s="27" t="s">
        <v>22</v>
      </c>
      <c r="H2701" s="27" t="s">
        <v>4703</v>
      </c>
      <c r="I2701" s="27" t="s">
        <v>9</v>
      </c>
    </row>
    <row r="2702" spans="1:9" x14ac:dyDescent="0.3">
      <c r="A2702" s="26">
        <v>45072</v>
      </c>
      <c r="B2702" s="27" t="s">
        <v>119</v>
      </c>
      <c r="C2702" s="27" t="s">
        <v>6</v>
      </c>
      <c r="D2702" s="27" t="s">
        <v>24</v>
      </c>
      <c r="E2702" s="28">
        <v>144400</v>
      </c>
      <c r="F2702" s="28">
        <v>162300</v>
      </c>
      <c r="G2702" s="27" t="s">
        <v>11</v>
      </c>
      <c r="H2702" s="27" t="s">
        <v>4863</v>
      </c>
      <c r="I2702" s="27" t="s">
        <v>9</v>
      </c>
    </row>
    <row r="2703" spans="1:9" x14ac:dyDescent="0.3">
      <c r="A2703" s="26">
        <v>45072</v>
      </c>
      <c r="B2703" s="27" t="s">
        <v>119</v>
      </c>
      <c r="C2703" s="27" t="s">
        <v>93</v>
      </c>
      <c r="D2703" s="27" t="s">
        <v>21</v>
      </c>
      <c r="E2703" s="28">
        <v>102400</v>
      </c>
      <c r="F2703" s="28">
        <v>76100</v>
      </c>
      <c r="G2703" s="27" t="s">
        <v>22</v>
      </c>
      <c r="H2703" s="27" t="s">
        <v>5653</v>
      </c>
      <c r="I2703" s="27" t="s">
        <v>9</v>
      </c>
    </row>
    <row r="2704" spans="1:9" x14ac:dyDescent="0.3">
      <c r="A2704" s="26">
        <v>45072</v>
      </c>
      <c r="B2704" s="27" t="s">
        <v>119</v>
      </c>
      <c r="C2704" s="27" t="s">
        <v>6</v>
      </c>
      <c r="D2704" s="27" t="s">
        <v>21</v>
      </c>
      <c r="E2704" s="28">
        <v>259100</v>
      </c>
      <c r="F2704" s="28">
        <v>268100</v>
      </c>
      <c r="G2704" s="27" t="s">
        <v>11</v>
      </c>
      <c r="H2704" s="27" t="s">
        <v>5685</v>
      </c>
      <c r="I2704" s="27" t="s">
        <v>9</v>
      </c>
    </row>
    <row r="2705" spans="1:9" x14ac:dyDescent="0.3">
      <c r="A2705" s="26">
        <v>45072</v>
      </c>
      <c r="B2705" s="27" t="s">
        <v>119</v>
      </c>
      <c r="C2705" s="27" t="s">
        <v>93</v>
      </c>
      <c r="D2705" s="27" t="s">
        <v>7</v>
      </c>
      <c r="E2705" s="28">
        <v>39900</v>
      </c>
      <c r="F2705" s="28">
        <v>42900</v>
      </c>
      <c r="G2705" s="27" t="s">
        <v>11</v>
      </c>
      <c r="H2705" s="27" t="s">
        <v>5771</v>
      </c>
      <c r="I2705" s="27" t="s">
        <v>9</v>
      </c>
    </row>
    <row r="2706" spans="1:9" x14ac:dyDescent="0.3">
      <c r="A2706" s="26">
        <v>45072</v>
      </c>
      <c r="B2706" s="27" t="s">
        <v>119</v>
      </c>
      <c r="C2706" s="27" t="s">
        <v>6</v>
      </c>
      <c r="D2706" s="27" t="s">
        <v>7</v>
      </c>
      <c r="E2706" s="28">
        <v>246400</v>
      </c>
      <c r="F2706" s="28">
        <v>213300</v>
      </c>
      <c r="G2706" s="27" t="s">
        <v>17</v>
      </c>
      <c r="H2706" s="27" t="s">
        <v>6571</v>
      </c>
      <c r="I2706" s="27" t="s">
        <v>9</v>
      </c>
    </row>
    <row r="2707" spans="1:9" x14ac:dyDescent="0.3">
      <c r="A2707" s="26">
        <v>45072</v>
      </c>
      <c r="B2707" s="27" t="s">
        <v>119</v>
      </c>
      <c r="C2707" s="27" t="s">
        <v>93</v>
      </c>
      <c r="D2707" s="27" t="s">
        <v>7</v>
      </c>
      <c r="E2707" s="28">
        <v>108100</v>
      </c>
      <c r="F2707" s="28">
        <v>114700</v>
      </c>
      <c r="G2707" s="27" t="s">
        <v>11</v>
      </c>
      <c r="H2707" s="27" t="s">
        <v>6805</v>
      </c>
      <c r="I2707" s="27" t="s">
        <v>9</v>
      </c>
    </row>
    <row r="2708" spans="1:9" x14ac:dyDescent="0.3">
      <c r="A2708" s="26">
        <v>45073</v>
      </c>
      <c r="B2708" s="27" t="s">
        <v>119</v>
      </c>
      <c r="C2708" s="27" t="s">
        <v>15</v>
      </c>
      <c r="D2708" s="27" t="s">
        <v>24</v>
      </c>
      <c r="E2708" s="28">
        <v>139807</v>
      </c>
      <c r="F2708" s="28">
        <v>97194</v>
      </c>
      <c r="G2708" s="27" t="s">
        <v>11</v>
      </c>
      <c r="H2708" s="27" t="s">
        <v>168</v>
      </c>
      <c r="I2708" s="27" t="s">
        <v>13</v>
      </c>
    </row>
    <row r="2709" spans="1:9" x14ac:dyDescent="0.3">
      <c r="A2709" s="26">
        <v>45073</v>
      </c>
      <c r="B2709" s="27" t="s">
        <v>119</v>
      </c>
      <c r="C2709" s="27" t="s">
        <v>32</v>
      </c>
      <c r="D2709" s="27" t="s">
        <v>24</v>
      </c>
      <c r="E2709" s="28">
        <v>142910</v>
      </c>
      <c r="F2709" s="28">
        <v>97511</v>
      </c>
      <c r="G2709" s="27" t="s">
        <v>22</v>
      </c>
      <c r="H2709" s="27" t="s">
        <v>265</v>
      </c>
      <c r="I2709" s="27" t="s">
        <v>13</v>
      </c>
    </row>
    <row r="2710" spans="1:9" x14ac:dyDescent="0.3">
      <c r="A2710" s="26">
        <v>45073</v>
      </c>
      <c r="B2710" s="27" t="s">
        <v>119</v>
      </c>
      <c r="C2710" s="27" t="s">
        <v>32</v>
      </c>
      <c r="D2710" s="27" t="s">
        <v>19</v>
      </c>
      <c r="E2710" s="28">
        <v>12128</v>
      </c>
      <c r="F2710" s="28">
        <v>18921</v>
      </c>
      <c r="G2710" s="27" t="s">
        <v>11</v>
      </c>
      <c r="H2710" s="27" t="s">
        <v>320</v>
      </c>
      <c r="I2710" s="27" t="s">
        <v>13</v>
      </c>
    </row>
    <row r="2711" spans="1:9" x14ac:dyDescent="0.3">
      <c r="A2711" s="26">
        <v>45073</v>
      </c>
      <c r="B2711" s="27" t="s">
        <v>119</v>
      </c>
      <c r="C2711" s="27" t="s">
        <v>32</v>
      </c>
      <c r="D2711" s="27" t="s">
        <v>7</v>
      </c>
      <c r="E2711" s="28">
        <v>118296</v>
      </c>
      <c r="F2711" s="28">
        <v>15166</v>
      </c>
      <c r="G2711" s="27" t="s">
        <v>22</v>
      </c>
      <c r="H2711" s="27" t="s">
        <v>854</v>
      </c>
      <c r="I2711" s="27" t="s">
        <v>13</v>
      </c>
    </row>
    <row r="2712" spans="1:9" x14ac:dyDescent="0.3">
      <c r="A2712" s="26">
        <v>45073</v>
      </c>
      <c r="B2712" s="27" t="s">
        <v>119</v>
      </c>
      <c r="C2712" s="27" t="s">
        <v>18</v>
      </c>
      <c r="D2712" s="27" t="s">
        <v>19</v>
      </c>
      <c r="E2712" s="28">
        <v>48575</v>
      </c>
      <c r="F2712" s="28">
        <v>22436</v>
      </c>
      <c r="G2712" s="27" t="s">
        <v>11</v>
      </c>
      <c r="H2712" s="27" t="s">
        <v>1110</v>
      </c>
      <c r="I2712" s="27" t="s">
        <v>13</v>
      </c>
    </row>
    <row r="2713" spans="1:9" x14ac:dyDescent="0.3">
      <c r="A2713" s="26">
        <v>45073</v>
      </c>
      <c r="B2713" s="27" t="s">
        <v>119</v>
      </c>
      <c r="C2713" s="27" t="s">
        <v>20</v>
      </c>
      <c r="D2713" s="27" t="s">
        <v>19</v>
      </c>
      <c r="E2713" s="28">
        <v>12646</v>
      </c>
      <c r="F2713" s="28">
        <v>33937</v>
      </c>
      <c r="G2713" s="27" t="s">
        <v>8</v>
      </c>
      <c r="H2713" s="27" t="s">
        <v>1368</v>
      </c>
      <c r="I2713" s="27" t="s">
        <v>13</v>
      </c>
    </row>
    <row r="2714" spans="1:9" x14ac:dyDescent="0.3">
      <c r="A2714" s="26">
        <v>45073</v>
      </c>
      <c r="B2714" s="27" t="s">
        <v>119</v>
      </c>
      <c r="C2714" s="27" t="s">
        <v>32</v>
      </c>
      <c r="D2714" s="27" t="s">
        <v>19</v>
      </c>
      <c r="E2714" s="28">
        <v>15097</v>
      </c>
      <c r="F2714" s="28">
        <v>19632</v>
      </c>
      <c r="G2714" s="27" t="s">
        <v>8</v>
      </c>
      <c r="H2714" s="27" t="s">
        <v>1585</v>
      </c>
      <c r="I2714" s="27" t="s">
        <v>13</v>
      </c>
    </row>
    <row r="2715" spans="1:9" x14ac:dyDescent="0.3">
      <c r="A2715" s="26">
        <v>45073</v>
      </c>
      <c r="B2715" s="27" t="s">
        <v>119</v>
      </c>
      <c r="C2715" s="27" t="s">
        <v>20</v>
      </c>
      <c r="D2715" s="27" t="s">
        <v>24</v>
      </c>
      <c r="E2715" s="28">
        <v>93160</v>
      </c>
      <c r="F2715" s="28">
        <v>29600</v>
      </c>
      <c r="G2715" s="27" t="s">
        <v>17</v>
      </c>
      <c r="H2715" s="27" t="s">
        <v>3066</v>
      </c>
      <c r="I2715" s="27" t="s">
        <v>13</v>
      </c>
    </row>
    <row r="2716" spans="1:9" x14ac:dyDescent="0.3">
      <c r="A2716" s="26">
        <v>45073</v>
      </c>
      <c r="B2716" s="27" t="s">
        <v>119</v>
      </c>
      <c r="C2716" s="27" t="s">
        <v>6</v>
      </c>
      <c r="D2716" s="27" t="s">
        <v>24</v>
      </c>
      <c r="E2716" s="28">
        <v>51500</v>
      </c>
      <c r="F2716" s="28">
        <v>54600</v>
      </c>
      <c r="G2716" s="27" t="s">
        <v>22</v>
      </c>
      <c r="H2716" s="27" t="s">
        <v>3549</v>
      </c>
      <c r="I2716" s="27" t="s">
        <v>9</v>
      </c>
    </row>
    <row r="2717" spans="1:9" x14ac:dyDescent="0.3">
      <c r="A2717" s="26">
        <v>45073</v>
      </c>
      <c r="B2717" s="27" t="s">
        <v>119</v>
      </c>
      <c r="C2717" s="27" t="s">
        <v>93</v>
      </c>
      <c r="D2717" s="27" t="s">
        <v>24</v>
      </c>
      <c r="E2717" s="28">
        <v>117200</v>
      </c>
      <c r="F2717" s="28">
        <v>76000</v>
      </c>
      <c r="G2717" s="27" t="s">
        <v>17</v>
      </c>
      <c r="H2717" s="27" t="s">
        <v>3646</v>
      </c>
      <c r="I2717" s="27" t="s">
        <v>9</v>
      </c>
    </row>
    <row r="2718" spans="1:9" x14ac:dyDescent="0.3">
      <c r="A2718" s="26">
        <v>45073</v>
      </c>
      <c r="B2718" s="27" t="s">
        <v>119</v>
      </c>
      <c r="C2718" s="27" t="s">
        <v>6</v>
      </c>
      <c r="D2718" s="27" t="s">
        <v>19</v>
      </c>
      <c r="E2718" s="28">
        <v>110100</v>
      </c>
      <c r="F2718" s="28">
        <v>128100</v>
      </c>
      <c r="G2718" s="27" t="s">
        <v>22</v>
      </c>
      <c r="H2718" s="27" t="s">
        <v>3701</v>
      </c>
      <c r="I2718" s="27" t="s">
        <v>9</v>
      </c>
    </row>
    <row r="2719" spans="1:9" x14ac:dyDescent="0.3">
      <c r="A2719" s="26">
        <v>45073</v>
      </c>
      <c r="B2719" s="27" t="s">
        <v>119</v>
      </c>
      <c r="C2719" s="27" t="s">
        <v>6</v>
      </c>
      <c r="D2719" s="27" t="s">
        <v>7</v>
      </c>
      <c r="E2719" s="28">
        <v>373500</v>
      </c>
      <c r="F2719" s="28">
        <v>390900</v>
      </c>
      <c r="G2719" s="27" t="s">
        <v>17</v>
      </c>
      <c r="H2719" s="27" t="s">
        <v>4235</v>
      </c>
      <c r="I2719" s="27" t="s">
        <v>9</v>
      </c>
    </row>
    <row r="2720" spans="1:9" x14ac:dyDescent="0.3">
      <c r="A2720" s="26">
        <v>45073</v>
      </c>
      <c r="B2720" s="27" t="s">
        <v>119</v>
      </c>
      <c r="C2720" s="27" t="s">
        <v>6</v>
      </c>
      <c r="D2720" s="27" t="s">
        <v>19</v>
      </c>
      <c r="E2720" s="28">
        <v>88600</v>
      </c>
      <c r="F2720" s="28">
        <v>71800</v>
      </c>
      <c r="G2720" s="27" t="s">
        <v>11</v>
      </c>
      <c r="H2720" s="27" t="s">
        <v>4493</v>
      </c>
      <c r="I2720" s="27" t="s">
        <v>9</v>
      </c>
    </row>
    <row r="2721" spans="1:9" x14ac:dyDescent="0.3">
      <c r="A2721" s="26">
        <v>45073</v>
      </c>
      <c r="B2721" s="27" t="s">
        <v>119</v>
      </c>
      <c r="C2721" s="27" t="s">
        <v>6</v>
      </c>
      <c r="D2721" s="27" t="s">
        <v>19</v>
      </c>
      <c r="E2721" s="28">
        <v>114000</v>
      </c>
      <c r="F2721" s="28">
        <v>97900</v>
      </c>
      <c r="G2721" s="27" t="s">
        <v>11</v>
      </c>
      <c r="H2721" s="27" t="s">
        <v>4751</v>
      </c>
      <c r="I2721" s="27" t="s">
        <v>9</v>
      </c>
    </row>
    <row r="2722" spans="1:9" x14ac:dyDescent="0.3">
      <c r="A2722" s="26">
        <v>45073</v>
      </c>
      <c r="B2722" s="27" t="s">
        <v>119</v>
      </c>
      <c r="C2722" s="27" t="s">
        <v>6</v>
      </c>
      <c r="D2722" s="27" t="s">
        <v>19</v>
      </c>
      <c r="E2722" s="28">
        <v>152800</v>
      </c>
      <c r="F2722" s="28">
        <v>184600</v>
      </c>
      <c r="G2722" s="27" t="s">
        <v>22</v>
      </c>
      <c r="H2722" s="27" t="s">
        <v>4968</v>
      </c>
      <c r="I2722" s="27" t="s">
        <v>9</v>
      </c>
    </row>
    <row r="2723" spans="1:9" x14ac:dyDescent="0.3">
      <c r="A2723" s="26">
        <v>45073</v>
      </c>
      <c r="B2723" s="27" t="s">
        <v>119</v>
      </c>
      <c r="C2723" s="27" t="s">
        <v>93</v>
      </c>
      <c r="D2723" s="27" t="s">
        <v>24</v>
      </c>
      <c r="E2723" s="28">
        <v>91200</v>
      </c>
      <c r="F2723" s="28">
        <v>104800</v>
      </c>
      <c r="G2723" s="27" t="s">
        <v>11</v>
      </c>
      <c r="H2723" s="27" t="s">
        <v>6451</v>
      </c>
      <c r="I2723" s="27" t="s">
        <v>9</v>
      </c>
    </row>
    <row r="2724" spans="1:9" x14ac:dyDescent="0.3">
      <c r="A2724" s="26">
        <v>45074</v>
      </c>
      <c r="B2724" s="27" t="s">
        <v>119</v>
      </c>
      <c r="C2724" s="27" t="s">
        <v>18</v>
      </c>
      <c r="D2724" s="27" t="s">
        <v>7</v>
      </c>
      <c r="E2724" s="28">
        <v>63551</v>
      </c>
      <c r="F2724" s="28">
        <v>113909</v>
      </c>
      <c r="G2724" s="27" t="s">
        <v>22</v>
      </c>
      <c r="H2724" s="27" t="s">
        <v>130</v>
      </c>
      <c r="I2724" s="27" t="s">
        <v>13</v>
      </c>
    </row>
    <row r="2725" spans="1:9" x14ac:dyDescent="0.3">
      <c r="A2725" s="26">
        <v>45074</v>
      </c>
      <c r="B2725" s="27" t="s">
        <v>119</v>
      </c>
      <c r="C2725" s="27" t="s">
        <v>18</v>
      </c>
      <c r="D2725" s="27" t="s">
        <v>19</v>
      </c>
      <c r="E2725" s="28">
        <v>142869</v>
      </c>
      <c r="F2725" s="28">
        <v>114596</v>
      </c>
      <c r="G2725" s="27" t="s">
        <v>11</v>
      </c>
      <c r="H2725" s="27" t="s">
        <v>1432</v>
      </c>
      <c r="I2725" s="27" t="s">
        <v>13</v>
      </c>
    </row>
    <row r="2726" spans="1:9" x14ac:dyDescent="0.3">
      <c r="A2726" s="26">
        <v>45074</v>
      </c>
      <c r="B2726" s="27" t="s">
        <v>119</v>
      </c>
      <c r="C2726" s="27" t="s">
        <v>14</v>
      </c>
      <c r="D2726" s="27" t="s">
        <v>21</v>
      </c>
      <c r="E2726" s="28">
        <v>16646</v>
      </c>
      <c r="F2726" s="28">
        <v>17793</v>
      </c>
      <c r="G2726" s="27" t="s">
        <v>8</v>
      </c>
      <c r="H2726" s="27" t="s">
        <v>1752</v>
      </c>
      <c r="I2726" s="27" t="s">
        <v>13</v>
      </c>
    </row>
    <row r="2727" spans="1:9" x14ac:dyDescent="0.3">
      <c r="A2727" s="26">
        <v>45074</v>
      </c>
      <c r="B2727" s="27" t="s">
        <v>119</v>
      </c>
      <c r="C2727" s="27" t="s">
        <v>20</v>
      </c>
      <c r="D2727" s="27" t="s">
        <v>16</v>
      </c>
      <c r="E2727" s="28">
        <v>77152</v>
      </c>
      <c r="F2727" s="28">
        <v>9896</v>
      </c>
      <c r="G2727" s="27" t="s">
        <v>8</v>
      </c>
      <c r="H2727" s="27" t="s">
        <v>1923</v>
      </c>
      <c r="I2727" s="27" t="s">
        <v>13</v>
      </c>
    </row>
    <row r="2728" spans="1:9" x14ac:dyDescent="0.3">
      <c r="A2728" s="26">
        <v>45074</v>
      </c>
      <c r="B2728" s="27" t="s">
        <v>119</v>
      </c>
      <c r="C2728" s="27" t="s">
        <v>20</v>
      </c>
      <c r="D2728" s="27" t="s">
        <v>16</v>
      </c>
      <c r="E2728" s="28">
        <v>108896</v>
      </c>
      <c r="F2728" s="28">
        <v>122337</v>
      </c>
      <c r="G2728" s="27" t="s">
        <v>22</v>
      </c>
      <c r="H2728" s="27" t="s">
        <v>2397</v>
      </c>
      <c r="I2728" s="27" t="s">
        <v>13</v>
      </c>
    </row>
    <row r="2729" spans="1:9" x14ac:dyDescent="0.3">
      <c r="A2729" s="26">
        <v>45074</v>
      </c>
      <c r="B2729" s="27" t="s">
        <v>119</v>
      </c>
      <c r="C2729" s="27" t="s">
        <v>14</v>
      </c>
      <c r="D2729" s="27" t="s">
        <v>24</v>
      </c>
      <c r="E2729" s="28">
        <v>120167</v>
      </c>
      <c r="F2729" s="28">
        <v>145668</v>
      </c>
      <c r="G2729" s="27" t="s">
        <v>11</v>
      </c>
      <c r="H2729" s="27" t="s">
        <v>2520</v>
      </c>
      <c r="I2729" s="27" t="s">
        <v>13</v>
      </c>
    </row>
    <row r="2730" spans="1:9" x14ac:dyDescent="0.3">
      <c r="A2730" s="26">
        <v>45074</v>
      </c>
      <c r="B2730" s="27" t="s">
        <v>119</v>
      </c>
      <c r="C2730" s="27" t="s">
        <v>93</v>
      </c>
      <c r="D2730" s="27" t="s">
        <v>7</v>
      </c>
      <c r="E2730" s="28">
        <v>146700</v>
      </c>
      <c r="F2730" s="28">
        <v>155400</v>
      </c>
      <c r="G2730" s="27" t="s">
        <v>22</v>
      </c>
      <c r="H2730" s="27" t="s">
        <v>3511</v>
      </c>
      <c r="I2730" s="27" t="s">
        <v>9</v>
      </c>
    </row>
    <row r="2731" spans="1:9" x14ac:dyDescent="0.3">
      <c r="A2731" s="26">
        <v>45074</v>
      </c>
      <c r="B2731" s="27" t="s">
        <v>119</v>
      </c>
      <c r="C2731" s="27" t="s">
        <v>93</v>
      </c>
      <c r="D2731" s="27" t="s">
        <v>19</v>
      </c>
      <c r="E2731" s="28">
        <v>133700</v>
      </c>
      <c r="F2731" s="28">
        <v>110300</v>
      </c>
      <c r="G2731" s="27" t="s">
        <v>22</v>
      </c>
      <c r="H2731" s="27" t="s">
        <v>4815</v>
      </c>
      <c r="I2731" s="27" t="s">
        <v>9</v>
      </c>
    </row>
    <row r="2732" spans="1:9" x14ac:dyDescent="0.3">
      <c r="A2732" s="26">
        <v>45074</v>
      </c>
      <c r="B2732" s="27" t="s">
        <v>119</v>
      </c>
      <c r="C2732" s="27" t="s">
        <v>6</v>
      </c>
      <c r="D2732" s="27" t="s">
        <v>21</v>
      </c>
      <c r="E2732" s="28">
        <v>64000</v>
      </c>
      <c r="F2732" s="28">
        <v>77800</v>
      </c>
      <c r="G2732" s="27" t="s">
        <v>22</v>
      </c>
      <c r="H2732" s="27" t="s">
        <v>5135</v>
      </c>
      <c r="I2732" s="27" t="s">
        <v>9</v>
      </c>
    </row>
    <row r="2733" spans="1:9" x14ac:dyDescent="0.3">
      <c r="A2733" s="26">
        <v>45074</v>
      </c>
      <c r="B2733" s="27" t="s">
        <v>119</v>
      </c>
      <c r="C2733" s="27" t="s">
        <v>6</v>
      </c>
      <c r="D2733" s="27" t="s">
        <v>16</v>
      </c>
      <c r="E2733" s="28">
        <v>125200</v>
      </c>
      <c r="F2733" s="28">
        <v>141700</v>
      </c>
      <c r="G2733" s="27" t="s">
        <v>11</v>
      </c>
      <c r="H2733" s="27" t="s">
        <v>5307</v>
      </c>
      <c r="I2733" s="27" t="s">
        <v>9</v>
      </c>
    </row>
    <row r="2734" spans="1:9" x14ac:dyDescent="0.3">
      <c r="A2734" s="26">
        <v>45074</v>
      </c>
      <c r="B2734" s="27" t="s">
        <v>119</v>
      </c>
      <c r="C2734" s="27" t="s">
        <v>6</v>
      </c>
      <c r="D2734" s="27" t="s">
        <v>16</v>
      </c>
      <c r="E2734" s="28">
        <v>171700</v>
      </c>
      <c r="F2734" s="28">
        <v>213300</v>
      </c>
      <c r="G2734" s="27" t="s">
        <v>22</v>
      </c>
      <c r="H2734" s="27" t="s">
        <v>5782</v>
      </c>
      <c r="I2734" s="27" t="s">
        <v>9</v>
      </c>
    </row>
    <row r="2735" spans="1:9" x14ac:dyDescent="0.3">
      <c r="A2735" s="26">
        <v>45074</v>
      </c>
      <c r="B2735" s="27" t="s">
        <v>119</v>
      </c>
      <c r="C2735" s="27" t="s">
        <v>93</v>
      </c>
      <c r="D2735" s="27" t="s">
        <v>24</v>
      </c>
      <c r="E2735" s="28">
        <v>90300</v>
      </c>
      <c r="F2735" s="28">
        <v>97700</v>
      </c>
      <c r="G2735" s="27" t="s">
        <v>11</v>
      </c>
      <c r="H2735" s="27" t="s">
        <v>5905</v>
      </c>
      <c r="I2735" s="27" t="s">
        <v>9</v>
      </c>
    </row>
    <row r="2736" spans="1:9" x14ac:dyDescent="0.3">
      <c r="A2736" s="26">
        <v>45075</v>
      </c>
      <c r="B2736" s="27" t="s">
        <v>119</v>
      </c>
      <c r="C2736" s="27" t="s">
        <v>32</v>
      </c>
      <c r="D2736" s="27" t="s">
        <v>24</v>
      </c>
      <c r="E2736" s="28">
        <v>56841</v>
      </c>
      <c r="F2736" s="28">
        <v>85906</v>
      </c>
      <c r="G2736" s="27" t="s">
        <v>22</v>
      </c>
      <c r="H2736" s="27" t="s">
        <v>47</v>
      </c>
      <c r="I2736" s="27" t="s">
        <v>13</v>
      </c>
    </row>
    <row r="2737" spans="1:9" x14ac:dyDescent="0.3">
      <c r="A2737" s="26">
        <v>45075</v>
      </c>
      <c r="B2737" s="27" t="s">
        <v>119</v>
      </c>
      <c r="C2737" s="27" t="s">
        <v>14</v>
      </c>
      <c r="D2737" s="27" t="s">
        <v>24</v>
      </c>
      <c r="E2737" s="28">
        <v>18418</v>
      </c>
      <c r="F2737" s="28">
        <v>166403</v>
      </c>
      <c r="G2737" s="27" t="s">
        <v>22</v>
      </c>
      <c r="H2737" s="27" t="s">
        <v>140</v>
      </c>
      <c r="I2737" s="27" t="s">
        <v>13</v>
      </c>
    </row>
    <row r="2738" spans="1:9" x14ac:dyDescent="0.3">
      <c r="A2738" s="26">
        <v>45075</v>
      </c>
      <c r="B2738" s="27" t="s">
        <v>119</v>
      </c>
      <c r="C2738" s="27" t="s">
        <v>15</v>
      </c>
      <c r="D2738" s="27" t="s">
        <v>7</v>
      </c>
      <c r="E2738" s="28">
        <v>30199</v>
      </c>
      <c r="F2738" s="28">
        <v>62384</v>
      </c>
      <c r="G2738" s="27" t="s">
        <v>11</v>
      </c>
      <c r="H2738" s="27" t="s">
        <v>526</v>
      </c>
      <c r="I2738" s="27" t="s">
        <v>13</v>
      </c>
    </row>
    <row r="2739" spans="1:9" x14ac:dyDescent="0.3">
      <c r="A2739" s="26">
        <v>45075</v>
      </c>
      <c r="B2739" s="27" t="s">
        <v>119</v>
      </c>
      <c r="C2739" s="27" t="s">
        <v>15</v>
      </c>
      <c r="D2739" s="27" t="s">
        <v>24</v>
      </c>
      <c r="E2739" s="28">
        <v>19913</v>
      </c>
      <c r="F2739" s="28">
        <v>45861</v>
      </c>
      <c r="G2739" s="27" t="s">
        <v>11</v>
      </c>
      <c r="H2739" s="27" t="s">
        <v>2144</v>
      </c>
      <c r="I2739" s="27" t="s">
        <v>13</v>
      </c>
    </row>
    <row r="2740" spans="1:9" x14ac:dyDescent="0.3">
      <c r="A2740" s="26">
        <v>45075</v>
      </c>
      <c r="B2740" s="27" t="s">
        <v>119</v>
      </c>
      <c r="C2740" s="27" t="s">
        <v>10</v>
      </c>
      <c r="D2740" s="27" t="s">
        <v>16</v>
      </c>
      <c r="E2740" s="28">
        <v>23683</v>
      </c>
      <c r="F2740" s="28">
        <v>8542</v>
      </c>
      <c r="G2740" s="27" t="s">
        <v>17</v>
      </c>
      <c r="H2740" s="27" t="s">
        <v>2894</v>
      </c>
      <c r="I2740" s="27" t="s">
        <v>13</v>
      </c>
    </row>
    <row r="2741" spans="1:9" x14ac:dyDescent="0.3">
      <c r="A2741" s="26">
        <v>45075</v>
      </c>
      <c r="B2741" s="27" t="s">
        <v>119</v>
      </c>
      <c r="C2741" s="27" t="s">
        <v>20</v>
      </c>
      <c r="D2741" s="27" t="s">
        <v>7</v>
      </c>
      <c r="E2741" s="28">
        <v>109964</v>
      </c>
      <c r="F2741" s="28">
        <v>89435</v>
      </c>
      <c r="G2741" s="27" t="s">
        <v>22</v>
      </c>
      <c r="H2741" s="27" t="s">
        <v>2942</v>
      </c>
      <c r="I2741" s="27" t="s">
        <v>13</v>
      </c>
    </row>
    <row r="2742" spans="1:9" x14ac:dyDescent="0.3">
      <c r="A2742" s="26">
        <v>45075</v>
      </c>
      <c r="B2742" s="27" t="s">
        <v>119</v>
      </c>
      <c r="C2742" s="27" t="s">
        <v>15</v>
      </c>
      <c r="D2742" s="27" t="s">
        <v>16</v>
      </c>
      <c r="E2742" s="28">
        <v>78225</v>
      </c>
      <c r="F2742" s="28">
        <v>93886</v>
      </c>
      <c r="G2742" s="27" t="s">
        <v>8</v>
      </c>
      <c r="H2742" s="27" t="s">
        <v>3224</v>
      </c>
      <c r="I2742" s="27" t="s">
        <v>13</v>
      </c>
    </row>
    <row r="2743" spans="1:9" x14ac:dyDescent="0.3">
      <c r="A2743" s="26">
        <v>45075</v>
      </c>
      <c r="B2743" s="27" t="s">
        <v>119</v>
      </c>
      <c r="C2743" s="27" t="s">
        <v>10</v>
      </c>
      <c r="D2743" s="27" t="s">
        <v>24</v>
      </c>
      <c r="E2743" s="28">
        <v>147211</v>
      </c>
      <c r="F2743" s="28">
        <v>125351</v>
      </c>
      <c r="G2743" s="27" t="s">
        <v>11</v>
      </c>
      <c r="H2743" s="27" t="s">
        <v>3429</v>
      </c>
      <c r="I2743" s="27" t="s">
        <v>13</v>
      </c>
    </row>
    <row r="2744" spans="1:9" x14ac:dyDescent="0.3">
      <c r="A2744" s="26">
        <v>45075</v>
      </c>
      <c r="B2744" s="27" t="s">
        <v>119</v>
      </c>
      <c r="C2744" s="27" t="s">
        <v>93</v>
      </c>
      <c r="D2744" s="27" t="s">
        <v>24</v>
      </c>
      <c r="E2744" s="28">
        <v>98900</v>
      </c>
      <c r="F2744" s="28">
        <v>99200</v>
      </c>
      <c r="G2744" s="27" t="s">
        <v>22</v>
      </c>
      <c r="H2744" s="27" t="s">
        <v>3462</v>
      </c>
      <c r="I2744" s="27" t="s">
        <v>9</v>
      </c>
    </row>
    <row r="2745" spans="1:9" x14ac:dyDescent="0.3">
      <c r="A2745" s="26">
        <v>45075</v>
      </c>
      <c r="B2745" s="27" t="s">
        <v>119</v>
      </c>
      <c r="C2745" s="27" t="s">
        <v>93</v>
      </c>
      <c r="D2745" s="27" t="s">
        <v>24</v>
      </c>
      <c r="E2745" s="28">
        <v>103600</v>
      </c>
      <c r="F2745" s="28">
        <v>113700</v>
      </c>
      <c r="G2745" s="27" t="s">
        <v>22</v>
      </c>
      <c r="H2745" s="27" t="s">
        <v>3521</v>
      </c>
      <c r="I2745" s="27" t="s">
        <v>9</v>
      </c>
    </row>
    <row r="2746" spans="1:9" x14ac:dyDescent="0.3">
      <c r="A2746" s="26">
        <v>45075</v>
      </c>
      <c r="B2746" s="27" t="s">
        <v>119</v>
      </c>
      <c r="C2746" s="27" t="s">
        <v>6</v>
      </c>
      <c r="D2746" s="27" t="s">
        <v>7</v>
      </c>
      <c r="E2746" s="28">
        <v>147300</v>
      </c>
      <c r="F2746" s="28">
        <v>213800</v>
      </c>
      <c r="G2746" s="27" t="s">
        <v>11</v>
      </c>
      <c r="H2746" s="27" t="s">
        <v>3907</v>
      </c>
      <c r="I2746" s="27" t="s">
        <v>9</v>
      </c>
    </row>
    <row r="2747" spans="1:9" x14ac:dyDescent="0.3">
      <c r="A2747" s="26">
        <v>45075</v>
      </c>
      <c r="B2747" s="27" t="s">
        <v>119</v>
      </c>
      <c r="C2747" s="27" t="s">
        <v>6</v>
      </c>
      <c r="D2747" s="27" t="s">
        <v>24</v>
      </c>
      <c r="E2747" s="28">
        <v>190600</v>
      </c>
      <c r="F2747" s="28">
        <v>219600</v>
      </c>
      <c r="G2747" s="27" t="s">
        <v>22</v>
      </c>
      <c r="H2747" s="27" t="s">
        <v>5529</v>
      </c>
      <c r="I2747" s="27" t="s">
        <v>9</v>
      </c>
    </row>
    <row r="2748" spans="1:9" x14ac:dyDescent="0.3">
      <c r="A2748" s="26">
        <v>45075</v>
      </c>
      <c r="B2748" s="27" t="s">
        <v>119</v>
      </c>
      <c r="C2748" s="27" t="s">
        <v>93</v>
      </c>
      <c r="D2748" s="27" t="s">
        <v>16</v>
      </c>
      <c r="E2748" s="28">
        <v>81300</v>
      </c>
      <c r="F2748" s="28">
        <v>77200</v>
      </c>
      <c r="G2748" s="27" t="s">
        <v>11</v>
      </c>
      <c r="H2748" s="27" t="s">
        <v>6279</v>
      </c>
      <c r="I2748" s="27" t="s">
        <v>9</v>
      </c>
    </row>
    <row r="2749" spans="1:9" x14ac:dyDescent="0.3">
      <c r="A2749" s="26">
        <v>45075</v>
      </c>
      <c r="B2749" s="27" t="s">
        <v>119</v>
      </c>
      <c r="C2749" s="27" t="s">
        <v>6</v>
      </c>
      <c r="D2749" s="27" t="s">
        <v>7</v>
      </c>
      <c r="E2749" s="28">
        <v>103600</v>
      </c>
      <c r="F2749" s="28">
        <v>114900</v>
      </c>
      <c r="G2749" s="27" t="s">
        <v>11</v>
      </c>
      <c r="H2749" s="27" t="s">
        <v>6327</v>
      </c>
      <c r="I2749" s="27" t="s">
        <v>9</v>
      </c>
    </row>
    <row r="2750" spans="1:9" x14ac:dyDescent="0.3">
      <c r="A2750" s="26">
        <v>45075</v>
      </c>
      <c r="B2750" s="27" t="s">
        <v>119</v>
      </c>
      <c r="C2750" s="27" t="s">
        <v>93</v>
      </c>
      <c r="D2750" s="27" t="s">
        <v>16</v>
      </c>
      <c r="E2750" s="28">
        <v>57700</v>
      </c>
      <c r="F2750" s="28">
        <v>57300</v>
      </c>
      <c r="G2750" s="27" t="s">
        <v>11</v>
      </c>
      <c r="H2750" s="27" t="s">
        <v>6609</v>
      </c>
      <c r="I2750" s="27" t="s">
        <v>9</v>
      </c>
    </row>
    <row r="2751" spans="1:9" x14ac:dyDescent="0.3">
      <c r="A2751" s="26">
        <v>45075</v>
      </c>
      <c r="B2751" s="27" t="s">
        <v>119</v>
      </c>
      <c r="C2751" s="27" t="s">
        <v>6</v>
      </c>
      <c r="D2751" s="27" t="s">
        <v>24</v>
      </c>
      <c r="E2751" s="28">
        <v>115000</v>
      </c>
      <c r="F2751" s="28">
        <v>146200</v>
      </c>
      <c r="G2751" s="27" t="s">
        <v>11</v>
      </c>
      <c r="H2751" s="27" t="s">
        <v>6814</v>
      </c>
      <c r="I2751" s="27" t="s">
        <v>9</v>
      </c>
    </row>
    <row r="2752" spans="1:9" x14ac:dyDescent="0.3">
      <c r="A2752" s="26">
        <v>45076</v>
      </c>
      <c r="B2752" s="27" t="s">
        <v>119</v>
      </c>
      <c r="C2752" s="27" t="s">
        <v>32</v>
      </c>
      <c r="D2752" s="27" t="s">
        <v>21</v>
      </c>
      <c r="E2752" s="28">
        <v>103806</v>
      </c>
      <c r="F2752" s="28">
        <v>43841</v>
      </c>
      <c r="G2752" s="27" t="s">
        <v>11</v>
      </c>
      <c r="H2752" s="27" t="s">
        <v>1472</v>
      </c>
      <c r="I2752" s="27" t="s">
        <v>13</v>
      </c>
    </row>
    <row r="2753" spans="1:9" x14ac:dyDescent="0.3">
      <c r="A2753" s="26">
        <v>45076</v>
      </c>
      <c r="B2753" s="27" t="s">
        <v>119</v>
      </c>
      <c r="C2753" s="27" t="s">
        <v>14</v>
      </c>
      <c r="D2753" s="27" t="s">
        <v>19</v>
      </c>
      <c r="E2753" s="28">
        <v>112945</v>
      </c>
      <c r="F2753" s="28">
        <v>71123</v>
      </c>
      <c r="G2753" s="27" t="s">
        <v>22</v>
      </c>
      <c r="H2753" s="27" t="s">
        <v>2216</v>
      </c>
      <c r="I2753" s="27" t="s">
        <v>13</v>
      </c>
    </row>
    <row r="2754" spans="1:9" x14ac:dyDescent="0.3">
      <c r="A2754" s="26">
        <v>45076</v>
      </c>
      <c r="B2754" s="27" t="s">
        <v>119</v>
      </c>
      <c r="C2754" s="27" t="s">
        <v>10</v>
      </c>
      <c r="D2754" s="27" t="s">
        <v>7</v>
      </c>
      <c r="E2754" s="28">
        <v>29029</v>
      </c>
      <c r="F2754" s="28">
        <v>149266</v>
      </c>
      <c r="G2754" s="27" t="s">
        <v>17</v>
      </c>
      <c r="H2754" s="27" t="s">
        <v>2701</v>
      </c>
      <c r="I2754" s="27" t="s">
        <v>13</v>
      </c>
    </row>
    <row r="2755" spans="1:9" x14ac:dyDescent="0.3">
      <c r="A2755" s="26">
        <v>45076</v>
      </c>
      <c r="B2755" s="27" t="s">
        <v>119</v>
      </c>
      <c r="C2755" s="27" t="s">
        <v>10</v>
      </c>
      <c r="D2755" s="27" t="s">
        <v>21</v>
      </c>
      <c r="E2755" s="28">
        <v>149244</v>
      </c>
      <c r="F2755" s="28">
        <v>52544</v>
      </c>
      <c r="G2755" s="27" t="s">
        <v>22</v>
      </c>
      <c r="H2755" s="27" t="s">
        <v>2895</v>
      </c>
      <c r="I2755" s="27" t="s">
        <v>13</v>
      </c>
    </row>
    <row r="2756" spans="1:9" x14ac:dyDescent="0.3">
      <c r="A2756" s="26">
        <v>45076</v>
      </c>
      <c r="B2756" s="27" t="s">
        <v>119</v>
      </c>
      <c r="C2756" s="27" t="s">
        <v>6</v>
      </c>
      <c r="D2756" s="27" t="s">
        <v>21</v>
      </c>
      <c r="E2756" s="28">
        <v>77800</v>
      </c>
      <c r="F2756" s="28">
        <v>73600</v>
      </c>
      <c r="G2756" s="27" t="s">
        <v>22</v>
      </c>
      <c r="H2756" s="27" t="s">
        <v>4855</v>
      </c>
      <c r="I2756" s="27" t="s">
        <v>9</v>
      </c>
    </row>
    <row r="2757" spans="1:9" x14ac:dyDescent="0.3">
      <c r="A2757" s="26">
        <v>45076</v>
      </c>
      <c r="B2757" s="27" t="s">
        <v>119</v>
      </c>
      <c r="C2757" s="27" t="s">
        <v>6</v>
      </c>
      <c r="D2757" s="27" t="s">
        <v>19</v>
      </c>
      <c r="E2757" s="28">
        <v>95500</v>
      </c>
      <c r="F2757" s="28">
        <v>81600</v>
      </c>
      <c r="G2757" s="27" t="s">
        <v>17</v>
      </c>
      <c r="H2757" s="27" t="s">
        <v>5601</v>
      </c>
      <c r="I2757" s="27" t="s">
        <v>9</v>
      </c>
    </row>
    <row r="2758" spans="1:9" x14ac:dyDescent="0.3">
      <c r="A2758" s="26">
        <v>45076</v>
      </c>
      <c r="B2758" s="27" t="s">
        <v>119</v>
      </c>
      <c r="C2758" s="27" t="s">
        <v>93</v>
      </c>
      <c r="D2758" s="27" t="s">
        <v>7</v>
      </c>
      <c r="E2758" s="28">
        <v>67700</v>
      </c>
      <c r="F2758" s="28">
        <v>67700</v>
      </c>
      <c r="G2758" s="27" t="s">
        <v>22</v>
      </c>
      <c r="H2758" s="27" t="s">
        <v>6086</v>
      </c>
      <c r="I2758" s="27" t="s">
        <v>9</v>
      </c>
    </row>
    <row r="2759" spans="1:9" x14ac:dyDescent="0.3">
      <c r="A2759" s="26">
        <v>45076</v>
      </c>
      <c r="B2759" s="27" t="s">
        <v>119</v>
      </c>
      <c r="C2759" s="27" t="s">
        <v>6</v>
      </c>
      <c r="D2759" s="27" t="s">
        <v>21</v>
      </c>
      <c r="E2759" s="28">
        <v>79300</v>
      </c>
      <c r="F2759" s="28">
        <v>82100</v>
      </c>
      <c r="G2759" s="27" t="s">
        <v>11</v>
      </c>
      <c r="H2759" s="27" t="s">
        <v>6280</v>
      </c>
      <c r="I2759" s="27" t="s">
        <v>9</v>
      </c>
    </row>
    <row r="2760" spans="1:9" x14ac:dyDescent="0.3">
      <c r="A2760" s="26">
        <v>45077</v>
      </c>
      <c r="B2760" s="27" t="s">
        <v>119</v>
      </c>
      <c r="C2760" s="27" t="s">
        <v>20</v>
      </c>
      <c r="D2760" s="27" t="s">
        <v>7</v>
      </c>
      <c r="E2760" s="28">
        <v>46973</v>
      </c>
      <c r="F2760" s="28">
        <v>158992</v>
      </c>
      <c r="G2760" s="27" t="s">
        <v>22</v>
      </c>
      <c r="H2760" s="27" t="s">
        <v>105</v>
      </c>
      <c r="I2760" s="27" t="s">
        <v>13</v>
      </c>
    </row>
    <row r="2761" spans="1:9" x14ac:dyDescent="0.3">
      <c r="A2761" s="26">
        <v>45077</v>
      </c>
      <c r="B2761" s="27" t="s">
        <v>119</v>
      </c>
      <c r="C2761" s="27" t="s">
        <v>20</v>
      </c>
      <c r="D2761" s="27" t="s">
        <v>19</v>
      </c>
      <c r="E2761" s="28">
        <v>12358</v>
      </c>
      <c r="F2761" s="28">
        <v>71182</v>
      </c>
      <c r="G2761" s="27" t="s">
        <v>8</v>
      </c>
      <c r="H2761" s="27" t="s">
        <v>276</v>
      </c>
      <c r="I2761" s="27" t="s">
        <v>13</v>
      </c>
    </row>
    <row r="2762" spans="1:9" x14ac:dyDescent="0.3">
      <c r="A2762" s="26">
        <v>45077</v>
      </c>
      <c r="B2762" s="27" t="s">
        <v>119</v>
      </c>
      <c r="C2762" s="27" t="s">
        <v>20</v>
      </c>
      <c r="D2762" s="27" t="s">
        <v>7</v>
      </c>
      <c r="E2762" s="28">
        <v>12917</v>
      </c>
      <c r="F2762" s="28">
        <v>93407</v>
      </c>
      <c r="G2762" s="27" t="s">
        <v>17</v>
      </c>
      <c r="H2762" s="27" t="s">
        <v>327</v>
      </c>
      <c r="I2762" s="27" t="s">
        <v>13</v>
      </c>
    </row>
    <row r="2763" spans="1:9" x14ac:dyDescent="0.3">
      <c r="A2763" s="26">
        <v>45077</v>
      </c>
      <c r="B2763" s="27" t="s">
        <v>119</v>
      </c>
      <c r="C2763" s="27" t="s">
        <v>10</v>
      </c>
      <c r="D2763" s="27" t="s">
        <v>16</v>
      </c>
      <c r="E2763" s="28">
        <v>118787</v>
      </c>
      <c r="F2763" s="28">
        <v>79678</v>
      </c>
      <c r="G2763" s="27" t="s">
        <v>22</v>
      </c>
      <c r="H2763" s="27" t="s">
        <v>845</v>
      </c>
      <c r="I2763" s="27" t="s">
        <v>13</v>
      </c>
    </row>
    <row r="2764" spans="1:9" x14ac:dyDescent="0.3">
      <c r="A2764" s="26">
        <v>45077</v>
      </c>
      <c r="B2764" s="27" t="s">
        <v>119</v>
      </c>
      <c r="C2764" s="27" t="s">
        <v>14</v>
      </c>
      <c r="D2764" s="27" t="s">
        <v>7</v>
      </c>
      <c r="E2764" s="28">
        <v>70589</v>
      </c>
      <c r="F2764" s="28">
        <v>168977</v>
      </c>
      <c r="G2764" s="27" t="s">
        <v>8</v>
      </c>
      <c r="H2764" s="27" t="s">
        <v>904</v>
      </c>
      <c r="I2764" s="27" t="s">
        <v>13</v>
      </c>
    </row>
    <row r="2765" spans="1:9" x14ac:dyDescent="0.3">
      <c r="A2765" s="26">
        <v>45077</v>
      </c>
      <c r="B2765" s="27" t="s">
        <v>119</v>
      </c>
      <c r="C2765" s="27" t="s">
        <v>18</v>
      </c>
      <c r="D2765" s="27" t="s">
        <v>16</v>
      </c>
      <c r="E2765" s="28">
        <v>133549</v>
      </c>
      <c r="F2765" s="28">
        <v>96672</v>
      </c>
      <c r="G2765" s="27" t="s">
        <v>17</v>
      </c>
      <c r="H2765" s="27" t="s">
        <v>921</v>
      </c>
      <c r="I2765" s="27" t="s">
        <v>13</v>
      </c>
    </row>
    <row r="2766" spans="1:9" x14ac:dyDescent="0.3">
      <c r="A2766" s="26">
        <v>45077</v>
      </c>
      <c r="B2766" s="27" t="s">
        <v>119</v>
      </c>
      <c r="C2766" s="27" t="s">
        <v>10</v>
      </c>
      <c r="D2766" s="27" t="s">
        <v>19</v>
      </c>
      <c r="E2766" s="28">
        <v>100808</v>
      </c>
      <c r="F2766" s="28">
        <v>150440</v>
      </c>
      <c r="G2766" s="27" t="s">
        <v>8</v>
      </c>
      <c r="H2766" s="27" t="s">
        <v>951</v>
      </c>
      <c r="I2766" s="27" t="s">
        <v>13</v>
      </c>
    </row>
    <row r="2767" spans="1:9" x14ac:dyDescent="0.3">
      <c r="A2767" s="26">
        <v>45077</v>
      </c>
      <c r="B2767" s="27" t="s">
        <v>119</v>
      </c>
      <c r="C2767" s="27" t="s">
        <v>10</v>
      </c>
      <c r="D2767" s="27" t="s">
        <v>7</v>
      </c>
      <c r="E2767" s="28">
        <v>99421</v>
      </c>
      <c r="F2767" s="28">
        <v>135362</v>
      </c>
      <c r="G2767" s="27" t="s">
        <v>11</v>
      </c>
      <c r="H2767" s="27" t="s">
        <v>989</v>
      </c>
      <c r="I2767" s="27" t="s">
        <v>13</v>
      </c>
    </row>
    <row r="2768" spans="1:9" x14ac:dyDescent="0.3">
      <c r="A2768" s="26">
        <v>45077</v>
      </c>
      <c r="B2768" s="27" t="s">
        <v>119</v>
      </c>
      <c r="C2768" s="27" t="s">
        <v>10</v>
      </c>
      <c r="D2768" s="27" t="s">
        <v>24</v>
      </c>
      <c r="E2768" s="28">
        <v>33874</v>
      </c>
      <c r="F2768" s="28">
        <v>155968</v>
      </c>
      <c r="G2768" s="27" t="s">
        <v>8</v>
      </c>
      <c r="H2768" s="27" t="s">
        <v>1169</v>
      </c>
      <c r="I2768" s="27" t="s">
        <v>13</v>
      </c>
    </row>
    <row r="2769" spans="1:9" x14ac:dyDescent="0.3">
      <c r="A2769" s="26">
        <v>45077</v>
      </c>
      <c r="B2769" s="27" t="s">
        <v>119</v>
      </c>
      <c r="C2769" s="27" t="s">
        <v>20</v>
      </c>
      <c r="D2769" s="27" t="s">
        <v>16</v>
      </c>
      <c r="E2769" s="28">
        <v>120875</v>
      </c>
      <c r="F2769" s="28">
        <v>48908</v>
      </c>
      <c r="G2769" s="27" t="s">
        <v>11</v>
      </c>
      <c r="H2769" s="27" t="s">
        <v>1212</v>
      </c>
      <c r="I2769" s="27" t="s">
        <v>13</v>
      </c>
    </row>
    <row r="2770" spans="1:9" x14ac:dyDescent="0.3">
      <c r="A2770" s="26">
        <v>45077</v>
      </c>
      <c r="B2770" s="27" t="s">
        <v>119</v>
      </c>
      <c r="C2770" s="27" t="s">
        <v>20</v>
      </c>
      <c r="D2770" s="27" t="s">
        <v>24</v>
      </c>
      <c r="E2770" s="28">
        <v>109941</v>
      </c>
      <c r="F2770" s="28">
        <v>22026</v>
      </c>
      <c r="G2770" s="27" t="s">
        <v>22</v>
      </c>
      <c r="H2770" s="27" t="s">
        <v>1553</v>
      </c>
      <c r="I2770" s="27" t="s">
        <v>13</v>
      </c>
    </row>
    <row r="2771" spans="1:9" x14ac:dyDescent="0.3">
      <c r="A2771" s="26">
        <v>45077</v>
      </c>
      <c r="B2771" s="27" t="s">
        <v>119</v>
      </c>
      <c r="C2771" s="27" t="s">
        <v>10</v>
      </c>
      <c r="D2771" s="27" t="s">
        <v>16</v>
      </c>
      <c r="E2771" s="28">
        <v>46119</v>
      </c>
      <c r="F2771" s="28">
        <v>66778</v>
      </c>
      <c r="G2771" s="27" t="s">
        <v>11</v>
      </c>
      <c r="H2771" s="27" t="s">
        <v>1626</v>
      </c>
      <c r="I2771" s="27" t="s">
        <v>13</v>
      </c>
    </row>
    <row r="2772" spans="1:9" x14ac:dyDescent="0.3">
      <c r="A2772" s="26">
        <v>45077</v>
      </c>
      <c r="B2772" s="27" t="s">
        <v>119</v>
      </c>
      <c r="C2772" s="27" t="s">
        <v>18</v>
      </c>
      <c r="D2772" s="27" t="s">
        <v>21</v>
      </c>
      <c r="E2772" s="28">
        <v>54689</v>
      </c>
      <c r="F2772" s="28">
        <v>167022</v>
      </c>
      <c r="G2772" s="27" t="s">
        <v>22</v>
      </c>
      <c r="H2772" s="27" t="s">
        <v>1966</v>
      </c>
      <c r="I2772" s="27" t="s">
        <v>13</v>
      </c>
    </row>
    <row r="2773" spans="1:9" x14ac:dyDescent="0.3">
      <c r="A2773" s="26">
        <v>45077</v>
      </c>
      <c r="B2773" s="27" t="s">
        <v>119</v>
      </c>
      <c r="C2773" s="27" t="s">
        <v>15</v>
      </c>
      <c r="D2773" s="27" t="s">
        <v>21</v>
      </c>
      <c r="E2773" s="28">
        <v>72803</v>
      </c>
      <c r="F2773" s="28">
        <v>27959</v>
      </c>
      <c r="G2773" s="27" t="s">
        <v>22</v>
      </c>
      <c r="H2773" s="27" t="s">
        <v>2367</v>
      </c>
      <c r="I2773" s="27" t="s">
        <v>13</v>
      </c>
    </row>
    <row r="2774" spans="1:9" x14ac:dyDescent="0.3">
      <c r="A2774" s="26">
        <v>45077</v>
      </c>
      <c r="B2774" s="27" t="s">
        <v>119</v>
      </c>
      <c r="C2774" s="27" t="s">
        <v>18</v>
      </c>
      <c r="D2774" s="27" t="s">
        <v>7</v>
      </c>
      <c r="E2774" s="28">
        <v>20363</v>
      </c>
      <c r="F2774" s="28">
        <v>58625</v>
      </c>
      <c r="G2774" s="27" t="s">
        <v>22</v>
      </c>
      <c r="H2774" s="27" t="s">
        <v>2547</v>
      </c>
      <c r="I2774" s="27" t="s">
        <v>13</v>
      </c>
    </row>
    <row r="2775" spans="1:9" x14ac:dyDescent="0.3">
      <c r="A2775" s="26">
        <v>45077</v>
      </c>
      <c r="B2775" s="27" t="s">
        <v>119</v>
      </c>
      <c r="C2775" s="27" t="s">
        <v>10</v>
      </c>
      <c r="D2775" s="27" t="s">
        <v>16</v>
      </c>
      <c r="E2775" s="28">
        <v>148460</v>
      </c>
      <c r="F2775" s="28">
        <v>143381</v>
      </c>
      <c r="G2775" s="27" t="s">
        <v>17</v>
      </c>
      <c r="H2775" s="27" t="s">
        <v>2991</v>
      </c>
      <c r="I2775" s="27" t="s">
        <v>13</v>
      </c>
    </row>
    <row r="2776" spans="1:9" x14ac:dyDescent="0.3">
      <c r="A2776" s="26">
        <v>45077</v>
      </c>
      <c r="B2776" s="27" t="s">
        <v>119</v>
      </c>
      <c r="C2776" s="27" t="s">
        <v>6</v>
      </c>
      <c r="D2776" s="27" t="s">
        <v>7</v>
      </c>
      <c r="E2776" s="28">
        <v>265600</v>
      </c>
      <c r="F2776" s="28">
        <v>180900</v>
      </c>
      <c r="G2776" s="27" t="s">
        <v>11</v>
      </c>
      <c r="H2776" s="27" t="s">
        <v>3505</v>
      </c>
      <c r="I2776" s="27" t="s">
        <v>9</v>
      </c>
    </row>
    <row r="2777" spans="1:9" x14ac:dyDescent="0.3">
      <c r="A2777" s="26">
        <v>45077</v>
      </c>
      <c r="B2777" s="27" t="s">
        <v>119</v>
      </c>
      <c r="C2777" s="27" t="s">
        <v>93</v>
      </c>
      <c r="D2777" s="27" t="s">
        <v>19</v>
      </c>
      <c r="E2777" s="28">
        <v>50100</v>
      </c>
      <c r="F2777" s="28">
        <v>54300</v>
      </c>
      <c r="G2777" s="27" t="s">
        <v>11</v>
      </c>
      <c r="H2777" s="27" t="s">
        <v>3657</v>
      </c>
      <c r="I2777" s="27" t="s">
        <v>9</v>
      </c>
    </row>
    <row r="2778" spans="1:9" x14ac:dyDescent="0.3">
      <c r="A2778" s="26">
        <v>45077</v>
      </c>
      <c r="B2778" s="27" t="s">
        <v>119</v>
      </c>
      <c r="C2778" s="27" t="s">
        <v>6</v>
      </c>
      <c r="D2778" s="27" t="s">
        <v>7</v>
      </c>
      <c r="E2778" s="28">
        <v>93800</v>
      </c>
      <c r="F2778" s="28">
        <v>93000</v>
      </c>
      <c r="G2778" s="27" t="s">
        <v>11</v>
      </c>
      <c r="H2778" s="27" t="s">
        <v>3708</v>
      </c>
      <c r="I2778" s="27" t="s">
        <v>9</v>
      </c>
    </row>
    <row r="2779" spans="1:9" x14ac:dyDescent="0.3">
      <c r="A2779" s="26">
        <v>45077</v>
      </c>
      <c r="B2779" s="27" t="s">
        <v>119</v>
      </c>
      <c r="C2779" s="27" t="s">
        <v>6</v>
      </c>
      <c r="D2779" s="27" t="s">
        <v>16</v>
      </c>
      <c r="E2779" s="28">
        <v>115700</v>
      </c>
      <c r="F2779" s="28">
        <v>89600</v>
      </c>
      <c r="G2779" s="27" t="s">
        <v>11</v>
      </c>
      <c r="H2779" s="27" t="s">
        <v>4226</v>
      </c>
      <c r="I2779" s="27" t="s">
        <v>9</v>
      </c>
    </row>
    <row r="2780" spans="1:9" x14ac:dyDescent="0.3">
      <c r="A2780" s="26">
        <v>45077</v>
      </c>
      <c r="B2780" s="27" t="s">
        <v>119</v>
      </c>
      <c r="C2780" s="27" t="s">
        <v>6</v>
      </c>
      <c r="D2780" s="27" t="s">
        <v>7</v>
      </c>
      <c r="E2780" s="28">
        <v>100300</v>
      </c>
      <c r="F2780" s="28">
        <v>127700</v>
      </c>
      <c r="G2780" s="27" t="s">
        <v>22</v>
      </c>
      <c r="H2780" s="27" t="s">
        <v>4285</v>
      </c>
      <c r="I2780" s="27" t="s">
        <v>9</v>
      </c>
    </row>
    <row r="2781" spans="1:9" x14ac:dyDescent="0.3">
      <c r="A2781" s="26">
        <v>45077</v>
      </c>
      <c r="B2781" s="27" t="s">
        <v>119</v>
      </c>
      <c r="C2781" s="27" t="s">
        <v>6</v>
      </c>
      <c r="D2781" s="27" t="s">
        <v>16</v>
      </c>
      <c r="E2781" s="28">
        <v>134700</v>
      </c>
      <c r="F2781" s="28">
        <v>147000</v>
      </c>
      <c r="G2781" s="27" t="s">
        <v>17</v>
      </c>
      <c r="H2781" s="27" t="s">
        <v>4302</v>
      </c>
      <c r="I2781" s="27" t="s">
        <v>9</v>
      </c>
    </row>
    <row r="2782" spans="1:9" x14ac:dyDescent="0.3">
      <c r="A2782" s="26">
        <v>45077</v>
      </c>
      <c r="B2782" s="27" t="s">
        <v>119</v>
      </c>
      <c r="C2782" s="27" t="s">
        <v>6</v>
      </c>
      <c r="D2782" s="27" t="s">
        <v>19</v>
      </c>
      <c r="E2782" s="28">
        <v>46200</v>
      </c>
      <c r="F2782" s="28">
        <v>58100</v>
      </c>
      <c r="G2782" s="27" t="s">
        <v>22</v>
      </c>
      <c r="H2782" s="27" t="s">
        <v>4332</v>
      </c>
      <c r="I2782" s="27" t="s">
        <v>9</v>
      </c>
    </row>
    <row r="2783" spans="1:9" x14ac:dyDescent="0.3">
      <c r="A2783" s="26">
        <v>45077</v>
      </c>
      <c r="B2783" s="27" t="s">
        <v>119</v>
      </c>
      <c r="C2783" s="27" t="s">
        <v>6</v>
      </c>
      <c r="D2783" s="27" t="s">
        <v>7</v>
      </c>
      <c r="E2783" s="28">
        <v>105900</v>
      </c>
      <c r="F2783" s="28">
        <v>102600</v>
      </c>
      <c r="G2783" s="27" t="s">
        <v>11</v>
      </c>
      <c r="H2783" s="27" t="s">
        <v>4370</v>
      </c>
      <c r="I2783" s="27" t="s">
        <v>9</v>
      </c>
    </row>
    <row r="2784" spans="1:9" x14ac:dyDescent="0.3">
      <c r="A2784" s="26">
        <v>45077</v>
      </c>
      <c r="B2784" s="27" t="s">
        <v>119</v>
      </c>
      <c r="C2784" s="27" t="s">
        <v>93</v>
      </c>
      <c r="D2784" s="27" t="s">
        <v>24</v>
      </c>
      <c r="E2784" s="28">
        <v>123500</v>
      </c>
      <c r="F2784" s="28">
        <v>152700</v>
      </c>
      <c r="G2784" s="27" t="s">
        <v>11</v>
      </c>
      <c r="H2784" s="27" t="s">
        <v>4552</v>
      </c>
      <c r="I2784" s="27" t="s">
        <v>9</v>
      </c>
    </row>
    <row r="2785" spans="1:9" x14ac:dyDescent="0.3">
      <c r="A2785" s="26">
        <v>45077</v>
      </c>
      <c r="B2785" s="27" t="s">
        <v>119</v>
      </c>
      <c r="C2785" s="27" t="s">
        <v>6</v>
      </c>
      <c r="D2785" s="27" t="s">
        <v>16</v>
      </c>
      <c r="E2785" s="28">
        <v>208600</v>
      </c>
      <c r="F2785" s="28">
        <v>198900</v>
      </c>
      <c r="G2785" s="27" t="s">
        <v>11</v>
      </c>
      <c r="H2785" s="27" t="s">
        <v>4595</v>
      </c>
      <c r="I2785" s="27" t="s">
        <v>9</v>
      </c>
    </row>
    <row r="2786" spans="1:9" x14ac:dyDescent="0.3">
      <c r="A2786" s="26">
        <v>45077</v>
      </c>
      <c r="B2786" s="27" t="s">
        <v>119</v>
      </c>
      <c r="C2786" s="27" t="s">
        <v>93</v>
      </c>
      <c r="D2786" s="27" t="s">
        <v>24</v>
      </c>
      <c r="E2786" s="28">
        <v>55700</v>
      </c>
      <c r="F2786" s="28">
        <v>53200</v>
      </c>
      <c r="G2786" s="27" t="s">
        <v>11</v>
      </c>
      <c r="H2786" s="27" t="s">
        <v>4936</v>
      </c>
      <c r="I2786" s="27" t="s">
        <v>9</v>
      </c>
    </row>
    <row r="2787" spans="1:9" x14ac:dyDescent="0.3">
      <c r="A2787" s="26">
        <v>45077</v>
      </c>
      <c r="B2787" s="27" t="s">
        <v>119</v>
      </c>
      <c r="C2787" s="27" t="s">
        <v>6</v>
      </c>
      <c r="D2787" s="27" t="s">
        <v>16</v>
      </c>
      <c r="E2787" s="28">
        <v>105900</v>
      </c>
      <c r="F2787" s="28">
        <v>112800</v>
      </c>
      <c r="G2787" s="27" t="s">
        <v>22</v>
      </c>
      <c r="H2787" s="27" t="s">
        <v>5009</v>
      </c>
      <c r="I2787" s="27" t="s">
        <v>9</v>
      </c>
    </row>
    <row r="2788" spans="1:9" x14ac:dyDescent="0.3">
      <c r="A2788" s="26">
        <v>45077</v>
      </c>
      <c r="B2788" s="27" t="s">
        <v>119</v>
      </c>
      <c r="C2788" s="27" t="s">
        <v>6</v>
      </c>
      <c r="D2788" s="27" t="s">
        <v>21</v>
      </c>
      <c r="E2788" s="28">
        <v>136300</v>
      </c>
      <c r="F2788" s="28">
        <v>101900</v>
      </c>
      <c r="G2788" s="27" t="s">
        <v>11</v>
      </c>
      <c r="H2788" s="27" t="s">
        <v>5350</v>
      </c>
      <c r="I2788" s="27" t="s">
        <v>9</v>
      </c>
    </row>
    <row r="2789" spans="1:9" x14ac:dyDescent="0.3">
      <c r="A2789" s="26">
        <v>45077</v>
      </c>
      <c r="B2789" s="27" t="s">
        <v>119</v>
      </c>
      <c r="C2789" s="27" t="s">
        <v>6</v>
      </c>
      <c r="D2789" s="27" t="s">
        <v>21</v>
      </c>
      <c r="E2789" s="28">
        <v>148800</v>
      </c>
      <c r="F2789" s="28">
        <v>157300</v>
      </c>
      <c r="G2789" s="27" t="s">
        <v>11</v>
      </c>
      <c r="H2789" s="27" t="s">
        <v>5752</v>
      </c>
      <c r="I2789" s="27" t="s">
        <v>9</v>
      </c>
    </row>
    <row r="2790" spans="1:9" x14ac:dyDescent="0.3">
      <c r="A2790" s="26">
        <v>45077</v>
      </c>
      <c r="B2790" s="27" t="s">
        <v>119</v>
      </c>
      <c r="C2790" s="27" t="s">
        <v>93</v>
      </c>
      <c r="D2790" s="27" t="s">
        <v>7</v>
      </c>
      <c r="E2790" s="28">
        <v>139400</v>
      </c>
      <c r="F2790" s="28">
        <v>142700</v>
      </c>
      <c r="G2790" s="27" t="s">
        <v>11</v>
      </c>
      <c r="H2790" s="27" t="s">
        <v>5932</v>
      </c>
      <c r="I2790" s="27" t="s">
        <v>9</v>
      </c>
    </row>
    <row r="2791" spans="1:9" x14ac:dyDescent="0.3">
      <c r="A2791" s="26">
        <v>45077</v>
      </c>
      <c r="B2791" s="27" t="s">
        <v>119</v>
      </c>
      <c r="C2791" s="27" t="s">
        <v>6</v>
      </c>
      <c r="D2791" s="27" t="s">
        <v>16</v>
      </c>
      <c r="E2791" s="28">
        <v>173900</v>
      </c>
      <c r="F2791" s="28">
        <v>146700</v>
      </c>
      <c r="G2791" s="27" t="s">
        <v>22</v>
      </c>
      <c r="H2791" s="27" t="s">
        <v>6376</v>
      </c>
      <c r="I2791" s="27" t="s">
        <v>9</v>
      </c>
    </row>
    <row r="2792" spans="1:9" x14ac:dyDescent="0.3">
      <c r="A2792" s="26">
        <v>45078</v>
      </c>
      <c r="B2792" s="27" t="s">
        <v>122</v>
      </c>
      <c r="C2792" s="27" t="s">
        <v>32</v>
      </c>
      <c r="D2792" s="27" t="s">
        <v>19</v>
      </c>
      <c r="E2792" s="28">
        <v>40971</v>
      </c>
      <c r="F2792" s="28">
        <v>24931</v>
      </c>
      <c r="G2792" s="27" t="s">
        <v>11</v>
      </c>
      <c r="H2792" s="27" t="s">
        <v>1484</v>
      </c>
      <c r="I2792" s="27" t="s">
        <v>13</v>
      </c>
    </row>
    <row r="2793" spans="1:9" x14ac:dyDescent="0.3">
      <c r="A2793" s="26">
        <v>45078</v>
      </c>
      <c r="B2793" s="27" t="s">
        <v>122</v>
      </c>
      <c r="C2793" s="27" t="s">
        <v>14</v>
      </c>
      <c r="D2793" s="27" t="s">
        <v>16</v>
      </c>
      <c r="E2793" s="28">
        <v>88996</v>
      </c>
      <c r="F2793" s="28">
        <v>101863</v>
      </c>
      <c r="G2793" s="27" t="s">
        <v>22</v>
      </c>
      <c r="H2793" s="27" t="s">
        <v>1766</v>
      </c>
      <c r="I2793" s="27" t="s">
        <v>13</v>
      </c>
    </row>
    <row r="2794" spans="1:9" x14ac:dyDescent="0.3">
      <c r="A2794" s="26">
        <v>45078</v>
      </c>
      <c r="B2794" s="27" t="s">
        <v>122</v>
      </c>
      <c r="C2794" s="27" t="s">
        <v>32</v>
      </c>
      <c r="D2794" s="27" t="s">
        <v>19</v>
      </c>
      <c r="E2794" s="28">
        <v>108655</v>
      </c>
      <c r="F2794" s="28">
        <v>48807</v>
      </c>
      <c r="G2794" s="27" t="s">
        <v>8</v>
      </c>
      <c r="H2794" s="27" t="s">
        <v>1887</v>
      </c>
      <c r="I2794" s="27" t="s">
        <v>13</v>
      </c>
    </row>
    <row r="2795" spans="1:9" x14ac:dyDescent="0.3">
      <c r="A2795" s="26">
        <v>45078</v>
      </c>
      <c r="B2795" s="27" t="s">
        <v>122</v>
      </c>
      <c r="C2795" s="27" t="s">
        <v>32</v>
      </c>
      <c r="D2795" s="27" t="s">
        <v>7</v>
      </c>
      <c r="E2795" s="28">
        <v>110167</v>
      </c>
      <c r="F2795" s="28">
        <v>78512</v>
      </c>
      <c r="G2795" s="27" t="s">
        <v>17</v>
      </c>
      <c r="H2795" s="27" t="s">
        <v>2674</v>
      </c>
      <c r="I2795" s="27" t="s">
        <v>13</v>
      </c>
    </row>
    <row r="2796" spans="1:9" x14ac:dyDescent="0.3">
      <c r="A2796" s="26">
        <v>45078</v>
      </c>
      <c r="B2796" s="27" t="s">
        <v>122</v>
      </c>
      <c r="C2796" s="27" t="s">
        <v>20</v>
      </c>
      <c r="D2796" s="27" t="s">
        <v>21</v>
      </c>
      <c r="E2796" s="28">
        <v>134567</v>
      </c>
      <c r="F2796" s="28">
        <v>163819</v>
      </c>
      <c r="G2796" s="27" t="s">
        <v>22</v>
      </c>
      <c r="H2796" s="27" t="s">
        <v>2883</v>
      </c>
      <c r="I2796" s="27" t="s">
        <v>13</v>
      </c>
    </row>
    <row r="2797" spans="1:9" x14ac:dyDescent="0.3">
      <c r="A2797" s="26">
        <v>45078</v>
      </c>
      <c r="B2797" s="27" t="s">
        <v>122</v>
      </c>
      <c r="C2797" s="27" t="s">
        <v>10</v>
      </c>
      <c r="D2797" s="27" t="s">
        <v>21</v>
      </c>
      <c r="E2797" s="28">
        <v>90917</v>
      </c>
      <c r="F2797" s="28">
        <v>134095</v>
      </c>
      <c r="G2797" s="27" t="s">
        <v>11</v>
      </c>
      <c r="H2797" s="27" t="s">
        <v>2906</v>
      </c>
      <c r="I2797" s="27" t="s">
        <v>13</v>
      </c>
    </row>
    <row r="2798" spans="1:9" x14ac:dyDescent="0.3">
      <c r="A2798" s="26">
        <v>45078</v>
      </c>
      <c r="B2798" s="27" t="s">
        <v>122</v>
      </c>
      <c r="C2798" s="27" t="s">
        <v>15</v>
      </c>
      <c r="D2798" s="27" t="s">
        <v>16</v>
      </c>
      <c r="E2798" s="28">
        <v>47094</v>
      </c>
      <c r="F2798" s="28">
        <v>45850</v>
      </c>
      <c r="G2798" s="27" t="s">
        <v>8</v>
      </c>
      <c r="H2798" s="27" t="s">
        <v>3384</v>
      </c>
      <c r="I2798" s="27" t="s">
        <v>13</v>
      </c>
    </row>
    <row r="2799" spans="1:9" x14ac:dyDescent="0.3">
      <c r="A2799" s="26">
        <v>45078</v>
      </c>
      <c r="B2799" s="27" t="s">
        <v>122</v>
      </c>
      <c r="C2799" s="27" t="s">
        <v>93</v>
      </c>
      <c r="D2799" s="27" t="s">
        <v>19</v>
      </c>
      <c r="E2799" s="28">
        <v>108800</v>
      </c>
      <c r="F2799" s="28">
        <v>117200</v>
      </c>
      <c r="G2799" s="27" t="s">
        <v>22</v>
      </c>
      <c r="H2799" s="27" t="s">
        <v>4867</v>
      </c>
      <c r="I2799" s="27" t="s">
        <v>9</v>
      </c>
    </row>
    <row r="2800" spans="1:9" x14ac:dyDescent="0.3">
      <c r="A2800" s="26">
        <v>45078</v>
      </c>
      <c r="B2800" s="27" t="s">
        <v>122</v>
      </c>
      <c r="C2800" s="27" t="s">
        <v>93</v>
      </c>
      <c r="D2800" s="27" t="s">
        <v>16</v>
      </c>
      <c r="E2800" s="28">
        <v>268100</v>
      </c>
      <c r="F2800" s="28">
        <v>241800</v>
      </c>
      <c r="G2800" s="27" t="s">
        <v>22</v>
      </c>
      <c r="H2800" s="27" t="s">
        <v>5149</v>
      </c>
      <c r="I2800" s="27" t="s">
        <v>9</v>
      </c>
    </row>
    <row r="2801" spans="1:9" x14ac:dyDescent="0.3">
      <c r="A2801" s="26">
        <v>45078</v>
      </c>
      <c r="B2801" s="27" t="s">
        <v>122</v>
      </c>
      <c r="C2801" s="27" t="s">
        <v>6</v>
      </c>
      <c r="D2801" s="27" t="s">
        <v>19</v>
      </c>
      <c r="E2801" s="28">
        <v>76000</v>
      </c>
      <c r="F2801" s="28">
        <v>82700</v>
      </c>
      <c r="G2801" s="27" t="s">
        <v>17</v>
      </c>
      <c r="H2801" s="27" t="s">
        <v>5271</v>
      </c>
      <c r="I2801" s="27" t="s">
        <v>9</v>
      </c>
    </row>
    <row r="2802" spans="1:9" x14ac:dyDescent="0.3">
      <c r="A2802" s="26">
        <v>45078</v>
      </c>
      <c r="B2802" s="27" t="s">
        <v>122</v>
      </c>
      <c r="C2802" s="27" t="s">
        <v>93</v>
      </c>
      <c r="D2802" s="27" t="s">
        <v>7</v>
      </c>
      <c r="E2802" s="28">
        <v>70900</v>
      </c>
      <c r="F2802" s="28">
        <v>91800</v>
      </c>
      <c r="G2802" s="27" t="s">
        <v>22</v>
      </c>
      <c r="H2802" s="27" t="s">
        <v>6059</v>
      </c>
      <c r="I2802" s="27" t="s">
        <v>9</v>
      </c>
    </row>
    <row r="2803" spans="1:9" x14ac:dyDescent="0.3">
      <c r="A2803" s="26">
        <v>45078</v>
      </c>
      <c r="B2803" s="27" t="s">
        <v>122</v>
      </c>
      <c r="C2803" s="27" t="s">
        <v>93</v>
      </c>
      <c r="D2803" s="27" t="s">
        <v>21</v>
      </c>
      <c r="E2803" s="28">
        <v>97500</v>
      </c>
      <c r="F2803" s="28">
        <v>113200</v>
      </c>
      <c r="G2803" s="27" t="s">
        <v>11</v>
      </c>
      <c r="H2803" s="27" t="s">
        <v>6268</v>
      </c>
      <c r="I2803" s="27" t="s">
        <v>9</v>
      </c>
    </row>
    <row r="2804" spans="1:9" x14ac:dyDescent="0.3">
      <c r="A2804" s="26">
        <v>45078</v>
      </c>
      <c r="B2804" s="27" t="s">
        <v>122</v>
      </c>
      <c r="C2804" s="27" t="s">
        <v>93</v>
      </c>
      <c r="D2804" s="27" t="s">
        <v>21</v>
      </c>
      <c r="E2804" s="28">
        <v>136300</v>
      </c>
      <c r="F2804" s="28">
        <v>148200</v>
      </c>
      <c r="G2804" s="27" t="s">
        <v>11</v>
      </c>
      <c r="H2804" s="27" t="s">
        <v>6291</v>
      </c>
      <c r="I2804" s="27" t="s">
        <v>9</v>
      </c>
    </row>
    <row r="2805" spans="1:9" x14ac:dyDescent="0.3">
      <c r="A2805" s="26">
        <v>45078</v>
      </c>
      <c r="B2805" s="27" t="s">
        <v>122</v>
      </c>
      <c r="C2805" s="27" t="s">
        <v>93</v>
      </c>
      <c r="D2805" s="27" t="s">
        <v>16</v>
      </c>
      <c r="E2805" s="28">
        <v>105800</v>
      </c>
      <c r="F2805" s="28">
        <v>120900</v>
      </c>
      <c r="G2805" s="27" t="s">
        <v>11</v>
      </c>
      <c r="H2805" s="27" t="s">
        <v>6769</v>
      </c>
      <c r="I2805" s="27" t="s">
        <v>9</v>
      </c>
    </row>
    <row r="2806" spans="1:9" x14ac:dyDescent="0.3">
      <c r="A2806" s="26">
        <v>45079</v>
      </c>
      <c r="B2806" s="27" t="s">
        <v>122</v>
      </c>
      <c r="C2806" s="27" t="s">
        <v>32</v>
      </c>
      <c r="D2806" s="27" t="s">
        <v>24</v>
      </c>
      <c r="E2806" s="28">
        <v>98233</v>
      </c>
      <c r="F2806" s="28">
        <v>8608</v>
      </c>
      <c r="G2806" s="27" t="s">
        <v>22</v>
      </c>
      <c r="H2806" s="27" t="s">
        <v>262</v>
      </c>
      <c r="I2806" s="27" t="s">
        <v>13</v>
      </c>
    </row>
    <row r="2807" spans="1:9" x14ac:dyDescent="0.3">
      <c r="A2807" s="26">
        <v>45079</v>
      </c>
      <c r="B2807" s="27" t="s">
        <v>122</v>
      </c>
      <c r="C2807" s="27" t="s">
        <v>32</v>
      </c>
      <c r="D2807" s="27" t="s">
        <v>21</v>
      </c>
      <c r="E2807" s="28">
        <v>24163</v>
      </c>
      <c r="F2807" s="28">
        <v>28581</v>
      </c>
      <c r="G2807" s="27" t="s">
        <v>11</v>
      </c>
      <c r="H2807" s="27" t="s">
        <v>309</v>
      </c>
      <c r="I2807" s="27" t="s">
        <v>13</v>
      </c>
    </row>
    <row r="2808" spans="1:9" x14ac:dyDescent="0.3">
      <c r="A2808" s="26">
        <v>45079</v>
      </c>
      <c r="B2808" s="27" t="s">
        <v>122</v>
      </c>
      <c r="C2808" s="27" t="s">
        <v>18</v>
      </c>
      <c r="D2808" s="27" t="s">
        <v>24</v>
      </c>
      <c r="E2808" s="28">
        <v>57460</v>
      </c>
      <c r="F2808" s="28">
        <v>47128</v>
      </c>
      <c r="G2808" s="27" t="s">
        <v>8</v>
      </c>
      <c r="H2808" s="27" t="s">
        <v>455</v>
      </c>
      <c r="I2808" s="27" t="s">
        <v>13</v>
      </c>
    </row>
    <row r="2809" spans="1:9" x14ac:dyDescent="0.3">
      <c r="A2809" s="26">
        <v>45079</v>
      </c>
      <c r="B2809" s="27" t="s">
        <v>122</v>
      </c>
      <c r="C2809" s="27" t="s">
        <v>20</v>
      </c>
      <c r="D2809" s="27" t="s">
        <v>19</v>
      </c>
      <c r="E2809" s="28">
        <v>61013</v>
      </c>
      <c r="F2809" s="28">
        <v>73747</v>
      </c>
      <c r="G2809" s="27" t="s">
        <v>22</v>
      </c>
      <c r="H2809" s="27" t="s">
        <v>723</v>
      </c>
      <c r="I2809" s="27" t="s">
        <v>13</v>
      </c>
    </row>
    <row r="2810" spans="1:9" x14ac:dyDescent="0.3">
      <c r="A2810" s="26">
        <v>45079</v>
      </c>
      <c r="B2810" s="27" t="s">
        <v>122</v>
      </c>
      <c r="C2810" s="27" t="s">
        <v>18</v>
      </c>
      <c r="D2810" s="27" t="s">
        <v>7</v>
      </c>
      <c r="E2810" s="28">
        <v>132159</v>
      </c>
      <c r="F2810" s="28">
        <v>77590</v>
      </c>
      <c r="G2810" s="27" t="s">
        <v>17</v>
      </c>
      <c r="H2810" s="27" t="s">
        <v>979</v>
      </c>
      <c r="I2810" s="27" t="s">
        <v>13</v>
      </c>
    </row>
    <row r="2811" spans="1:9" x14ac:dyDescent="0.3">
      <c r="A2811" s="26">
        <v>45079</v>
      </c>
      <c r="B2811" s="27" t="s">
        <v>122</v>
      </c>
      <c r="C2811" s="27" t="s">
        <v>18</v>
      </c>
      <c r="D2811" s="27" t="s">
        <v>21</v>
      </c>
      <c r="E2811" s="28">
        <v>83367</v>
      </c>
      <c r="F2811" s="28">
        <v>42483</v>
      </c>
      <c r="G2811" s="27" t="s">
        <v>17</v>
      </c>
      <c r="H2811" s="27" t="s">
        <v>1081</v>
      </c>
      <c r="I2811" s="27" t="s">
        <v>13</v>
      </c>
    </row>
    <row r="2812" spans="1:9" x14ac:dyDescent="0.3">
      <c r="A2812" s="26">
        <v>45079</v>
      </c>
      <c r="B2812" s="27" t="s">
        <v>122</v>
      </c>
      <c r="C2812" s="27" t="s">
        <v>32</v>
      </c>
      <c r="D2812" s="27" t="s">
        <v>7</v>
      </c>
      <c r="E2812" s="28">
        <v>99086</v>
      </c>
      <c r="F2812" s="28">
        <v>145725</v>
      </c>
      <c r="G2812" s="27" t="s">
        <v>22</v>
      </c>
      <c r="H2812" s="27" t="s">
        <v>1143</v>
      </c>
      <c r="I2812" s="27" t="s">
        <v>13</v>
      </c>
    </row>
    <row r="2813" spans="1:9" x14ac:dyDescent="0.3">
      <c r="A2813" s="26">
        <v>45079</v>
      </c>
      <c r="B2813" s="27" t="s">
        <v>122</v>
      </c>
      <c r="C2813" s="27" t="s">
        <v>20</v>
      </c>
      <c r="D2813" s="27" t="s">
        <v>16</v>
      </c>
      <c r="E2813" s="28">
        <v>113722</v>
      </c>
      <c r="F2813" s="28">
        <v>125786</v>
      </c>
      <c r="G2813" s="27" t="s">
        <v>22</v>
      </c>
      <c r="H2813" s="27" t="s">
        <v>1402</v>
      </c>
      <c r="I2813" s="27" t="s">
        <v>13</v>
      </c>
    </row>
    <row r="2814" spans="1:9" x14ac:dyDescent="0.3">
      <c r="A2814" s="26">
        <v>45079</v>
      </c>
      <c r="B2814" s="27" t="s">
        <v>122</v>
      </c>
      <c r="C2814" s="27" t="s">
        <v>32</v>
      </c>
      <c r="D2814" s="27" t="s">
        <v>16</v>
      </c>
      <c r="E2814" s="28">
        <v>58030</v>
      </c>
      <c r="F2814" s="28">
        <v>124199</v>
      </c>
      <c r="G2814" s="27" t="s">
        <v>8</v>
      </c>
      <c r="H2814" s="27" t="s">
        <v>1854</v>
      </c>
      <c r="I2814" s="27" t="s">
        <v>13</v>
      </c>
    </row>
    <row r="2815" spans="1:9" x14ac:dyDescent="0.3">
      <c r="A2815" s="26">
        <v>45079</v>
      </c>
      <c r="B2815" s="27" t="s">
        <v>122</v>
      </c>
      <c r="C2815" s="27" t="s">
        <v>10</v>
      </c>
      <c r="D2815" s="27" t="s">
        <v>7</v>
      </c>
      <c r="E2815" s="28">
        <v>141287</v>
      </c>
      <c r="F2815" s="28">
        <v>26909</v>
      </c>
      <c r="G2815" s="27" t="s">
        <v>8</v>
      </c>
      <c r="H2815" s="27" t="s">
        <v>2263</v>
      </c>
      <c r="I2815" s="27" t="s">
        <v>13</v>
      </c>
    </row>
    <row r="2816" spans="1:9" x14ac:dyDescent="0.3">
      <c r="A2816" s="26">
        <v>45079</v>
      </c>
      <c r="B2816" s="27" t="s">
        <v>122</v>
      </c>
      <c r="C2816" s="27" t="s">
        <v>6</v>
      </c>
      <c r="D2816" s="27" t="s">
        <v>24</v>
      </c>
      <c r="E2816" s="28">
        <v>117400</v>
      </c>
      <c r="F2816" s="28">
        <v>100000</v>
      </c>
      <c r="G2816" s="27" t="s">
        <v>11</v>
      </c>
      <c r="H2816" s="27" t="s">
        <v>3643</v>
      </c>
      <c r="I2816" s="27" t="s">
        <v>9</v>
      </c>
    </row>
    <row r="2817" spans="1:9" x14ac:dyDescent="0.3">
      <c r="A2817" s="26">
        <v>45079</v>
      </c>
      <c r="B2817" s="27" t="s">
        <v>122</v>
      </c>
      <c r="C2817" s="27" t="s">
        <v>93</v>
      </c>
      <c r="D2817" s="27" t="s">
        <v>21</v>
      </c>
      <c r="E2817" s="28">
        <v>140600</v>
      </c>
      <c r="F2817" s="28">
        <v>143700</v>
      </c>
      <c r="G2817" s="27" t="s">
        <v>22</v>
      </c>
      <c r="H2817" s="27" t="s">
        <v>3690</v>
      </c>
      <c r="I2817" s="27" t="s">
        <v>9</v>
      </c>
    </row>
    <row r="2818" spans="1:9" x14ac:dyDescent="0.3">
      <c r="A2818" s="26">
        <v>45079</v>
      </c>
      <c r="B2818" s="27" t="s">
        <v>122</v>
      </c>
      <c r="C2818" s="27" t="s">
        <v>6</v>
      </c>
      <c r="D2818" s="27" t="s">
        <v>24</v>
      </c>
      <c r="E2818" s="28">
        <v>154800</v>
      </c>
      <c r="F2818" s="28">
        <v>142900</v>
      </c>
      <c r="G2818" s="27" t="s">
        <v>17</v>
      </c>
      <c r="H2818" s="27" t="s">
        <v>3836</v>
      </c>
      <c r="I2818" s="27" t="s">
        <v>9</v>
      </c>
    </row>
    <row r="2819" spans="1:9" x14ac:dyDescent="0.3">
      <c r="A2819" s="26">
        <v>45079</v>
      </c>
      <c r="B2819" s="27" t="s">
        <v>122</v>
      </c>
      <c r="C2819" s="27" t="s">
        <v>93</v>
      </c>
      <c r="D2819" s="27" t="s">
        <v>19</v>
      </c>
      <c r="E2819" s="28">
        <v>139500</v>
      </c>
      <c r="F2819" s="28">
        <v>115700</v>
      </c>
      <c r="G2819" s="27" t="s">
        <v>17</v>
      </c>
      <c r="H2819" s="27" t="s">
        <v>4104</v>
      </c>
      <c r="I2819" s="27" t="s">
        <v>9</v>
      </c>
    </row>
    <row r="2820" spans="1:9" x14ac:dyDescent="0.3">
      <c r="A2820" s="26">
        <v>45079</v>
      </c>
      <c r="B2820" s="27" t="s">
        <v>122</v>
      </c>
      <c r="C2820" s="27" t="s">
        <v>93</v>
      </c>
      <c r="D2820" s="27" t="s">
        <v>7</v>
      </c>
      <c r="E2820" s="28">
        <v>236700</v>
      </c>
      <c r="F2820" s="28">
        <v>291200</v>
      </c>
      <c r="G2820" s="27" t="s">
        <v>22</v>
      </c>
      <c r="H2820" s="27" t="s">
        <v>4360</v>
      </c>
      <c r="I2820" s="27" t="s">
        <v>9</v>
      </c>
    </row>
    <row r="2821" spans="1:9" x14ac:dyDescent="0.3">
      <c r="A2821" s="26">
        <v>45079</v>
      </c>
      <c r="B2821" s="27" t="s">
        <v>122</v>
      </c>
      <c r="C2821" s="27" t="s">
        <v>93</v>
      </c>
      <c r="D2821" s="27" t="s">
        <v>21</v>
      </c>
      <c r="E2821" s="28">
        <v>98000</v>
      </c>
      <c r="F2821" s="28">
        <v>118900</v>
      </c>
      <c r="G2821" s="27" t="s">
        <v>11</v>
      </c>
      <c r="H2821" s="27" t="s">
        <v>4463</v>
      </c>
      <c r="I2821" s="27" t="s">
        <v>9</v>
      </c>
    </row>
    <row r="2822" spans="1:9" x14ac:dyDescent="0.3">
      <c r="A2822" s="26">
        <v>45079</v>
      </c>
      <c r="B2822" s="27" t="s">
        <v>122</v>
      </c>
      <c r="C2822" s="27" t="s">
        <v>93</v>
      </c>
      <c r="D2822" s="27" t="s">
        <v>7</v>
      </c>
      <c r="E2822" s="28">
        <v>171300</v>
      </c>
      <c r="F2822" s="28">
        <v>143600</v>
      </c>
      <c r="G2822" s="27" t="s">
        <v>11</v>
      </c>
      <c r="H2822" s="27" t="s">
        <v>4526</v>
      </c>
      <c r="I2822" s="27" t="s">
        <v>9</v>
      </c>
    </row>
    <row r="2823" spans="1:9" x14ac:dyDescent="0.3">
      <c r="A2823" s="26">
        <v>45079</v>
      </c>
      <c r="B2823" s="27" t="s">
        <v>122</v>
      </c>
      <c r="C2823" s="27" t="s">
        <v>6</v>
      </c>
      <c r="D2823" s="27" t="s">
        <v>16</v>
      </c>
      <c r="E2823" s="28">
        <v>97400</v>
      </c>
      <c r="F2823" s="28">
        <v>79400</v>
      </c>
      <c r="G2823" s="27" t="s">
        <v>22</v>
      </c>
      <c r="H2823" s="27" t="s">
        <v>4785</v>
      </c>
      <c r="I2823" s="27" t="s">
        <v>9</v>
      </c>
    </row>
    <row r="2824" spans="1:9" x14ac:dyDescent="0.3">
      <c r="A2824" s="26">
        <v>45079</v>
      </c>
      <c r="B2824" s="27" t="s">
        <v>122</v>
      </c>
      <c r="C2824" s="27" t="s">
        <v>6</v>
      </c>
      <c r="D2824" s="27" t="s">
        <v>16</v>
      </c>
      <c r="E2824" s="28">
        <v>120400</v>
      </c>
      <c r="F2824" s="28">
        <v>99100</v>
      </c>
      <c r="G2824" s="27" t="s">
        <v>22</v>
      </c>
      <c r="H2824" s="27" t="s">
        <v>5237</v>
      </c>
      <c r="I2824" s="27" t="s">
        <v>9</v>
      </c>
    </row>
    <row r="2825" spans="1:9" x14ac:dyDescent="0.3">
      <c r="A2825" s="26">
        <v>45079</v>
      </c>
      <c r="B2825" s="27" t="s">
        <v>122</v>
      </c>
      <c r="C2825" s="27" t="s">
        <v>6</v>
      </c>
      <c r="D2825" s="27" t="s">
        <v>7</v>
      </c>
      <c r="E2825" s="28">
        <v>67900</v>
      </c>
      <c r="F2825" s="28">
        <v>84300</v>
      </c>
      <c r="G2825" s="27" t="s">
        <v>22</v>
      </c>
      <c r="H2825" s="27" t="s">
        <v>5648</v>
      </c>
      <c r="I2825" s="27" t="s">
        <v>9</v>
      </c>
    </row>
    <row r="2826" spans="1:9" x14ac:dyDescent="0.3">
      <c r="A2826" s="26">
        <v>45080</v>
      </c>
      <c r="B2826" s="27" t="s">
        <v>122</v>
      </c>
      <c r="C2826" s="27" t="s">
        <v>10</v>
      </c>
      <c r="D2826" s="27" t="s">
        <v>19</v>
      </c>
      <c r="E2826" s="28">
        <v>50544</v>
      </c>
      <c r="F2826" s="28">
        <v>48955</v>
      </c>
      <c r="G2826" s="27" t="s">
        <v>11</v>
      </c>
      <c r="H2826" s="27" t="s">
        <v>96</v>
      </c>
      <c r="I2826" s="27" t="s">
        <v>13</v>
      </c>
    </row>
    <row r="2827" spans="1:9" x14ac:dyDescent="0.3">
      <c r="A2827" s="26">
        <v>45080</v>
      </c>
      <c r="B2827" s="27" t="s">
        <v>122</v>
      </c>
      <c r="C2827" s="27" t="s">
        <v>32</v>
      </c>
      <c r="D2827" s="27" t="s">
        <v>21</v>
      </c>
      <c r="E2827" s="28">
        <v>146497</v>
      </c>
      <c r="F2827" s="28">
        <v>118424</v>
      </c>
      <c r="G2827" s="27" t="s">
        <v>22</v>
      </c>
      <c r="H2827" s="27" t="s">
        <v>170</v>
      </c>
      <c r="I2827" s="27" t="s">
        <v>13</v>
      </c>
    </row>
    <row r="2828" spans="1:9" x14ac:dyDescent="0.3">
      <c r="A2828" s="26">
        <v>45080</v>
      </c>
      <c r="B2828" s="27" t="s">
        <v>122</v>
      </c>
      <c r="C2828" s="27" t="s">
        <v>14</v>
      </c>
      <c r="D2828" s="27" t="s">
        <v>7</v>
      </c>
      <c r="E2828" s="28">
        <v>137602</v>
      </c>
      <c r="F2828" s="28">
        <v>131124</v>
      </c>
      <c r="G2828" s="27" t="s">
        <v>22</v>
      </c>
      <c r="H2828" s="27" t="s">
        <v>531</v>
      </c>
      <c r="I2828" s="27" t="s">
        <v>13</v>
      </c>
    </row>
    <row r="2829" spans="1:9" x14ac:dyDescent="0.3">
      <c r="A2829" s="26">
        <v>45080</v>
      </c>
      <c r="B2829" s="27" t="s">
        <v>122</v>
      </c>
      <c r="C2829" s="27" t="s">
        <v>20</v>
      </c>
      <c r="D2829" s="27" t="s">
        <v>24</v>
      </c>
      <c r="E2829" s="28">
        <v>79574</v>
      </c>
      <c r="F2829" s="28">
        <v>109818</v>
      </c>
      <c r="G2829" s="27" t="s">
        <v>17</v>
      </c>
      <c r="H2829" s="27" t="s">
        <v>840</v>
      </c>
      <c r="I2829" s="27" t="s">
        <v>13</v>
      </c>
    </row>
    <row r="2830" spans="1:9" x14ac:dyDescent="0.3">
      <c r="A2830" s="26">
        <v>45080</v>
      </c>
      <c r="B2830" s="27" t="s">
        <v>122</v>
      </c>
      <c r="C2830" s="27" t="s">
        <v>32</v>
      </c>
      <c r="D2830" s="27" t="s">
        <v>7</v>
      </c>
      <c r="E2830" s="28">
        <v>116265</v>
      </c>
      <c r="F2830" s="28">
        <v>97232</v>
      </c>
      <c r="G2830" s="27" t="s">
        <v>22</v>
      </c>
      <c r="H2830" s="27" t="s">
        <v>1055</v>
      </c>
      <c r="I2830" s="27" t="s">
        <v>13</v>
      </c>
    </row>
    <row r="2831" spans="1:9" x14ac:dyDescent="0.3">
      <c r="A2831" s="26">
        <v>45080</v>
      </c>
      <c r="B2831" s="27" t="s">
        <v>122</v>
      </c>
      <c r="C2831" s="27" t="s">
        <v>32</v>
      </c>
      <c r="D2831" s="27" t="s">
        <v>16</v>
      </c>
      <c r="E2831" s="28">
        <v>79208</v>
      </c>
      <c r="F2831" s="28">
        <v>159294</v>
      </c>
      <c r="G2831" s="27" t="s">
        <v>8</v>
      </c>
      <c r="H2831" s="27" t="s">
        <v>1431</v>
      </c>
      <c r="I2831" s="27" t="s">
        <v>13</v>
      </c>
    </row>
    <row r="2832" spans="1:9" x14ac:dyDescent="0.3">
      <c r="A2832" s="26">
        <v>45080</v>
      </c>
      <c r="B2832" s="27" t="s">
        <v>122</v>
      </c>
      <c r="C2832" s="27" t="s">
        <v>32</v>
      </c>
      <c r="D2832" s="27" t="s">
        <v>7</v>
      </c>
      <c r="E2832" s="28">
        <v>141682</v>
      </c>
      <c r="F2832" s="28">
        <v>143163</v>
      </c>
      <c r="G2832" s="27" t="s">
        <v>17</v>
      </c>
      <c r="H2832" s="27" t="s">
        <v>1503</v>
      </c>
      <c r="I2832" s="27" t="s">
        <v>13</v>
      </c>
    </row>
    <row r="2833" spans="1:9" x14ac:dyDescent="0.3">
      <c r="A2833" s="26">
        <v>45080</v>
      </c>
      <c r="B2833" s="27" t="s">
        <v>122</v>
      </c>
      <c r="C2833" s="27" t="s">
        <v>14</v>
      </c>
      <c r="D2833" s="27" t="s">
        <v>19</v>
      </c>
      <c r="E2833" s="28">
        <v>72164</v>
      </c>
      <c r="F2833" s="28">
        <v>142765</v>
      </c>
      <c r="G2833" s="27" t="s">
        <v>11</v>
      </c>
      <c r="H2833" s="27" t="s">
        <v>2213</v>
      </c>
      <c r="I2833" s="27" t="s">
        <v>13</v>
      </c>
    </row>
    <row r="2834" spans="1:9" x14ac:dyDescent="0.3">
      <c r="A2834" s="26">
        <v>45080</v>
      </c>
      <c r="B2834" s="27" t="s">
        <v>122</v>
      </c>
      <c r="C2834" s="27" t="s">
        <v>32</v>
      </c>
      <c r="D2834" s="27" t="s">
        <v>21</v>
      </c>
      <c r="E2834" s="28">
        <v>70303</v>
      </c>
      <c r="F2834" s="28">
        <v>130250</v>
      </c>
      <c r="G2834" s="27" t="s">
        <v>17</v>
      </c>
      <c r="H2834" s="27" t="s">
        <v>2841</v>
      </c>
      <c r="I2834" s="27" t="s">
        <v>13</v>
      </c>
    </row>
    <row r="2835" spans="1:9" x14ac:dyDescent="0.3">
      <c r="A2835" s="26">
        <v>45080</v>
      </c>
      <c r="B2835" s="27" t="s">
        <v>122</v>
      </c>
      <c r="C2835" s="27" t="s">
        <v>32</v>
      </c>
      <c r="D2835" s="27" t="s">
        <v>16</v>
      </c>
      <c r="E2835" s="28">
        <v>147955</v>
      </c>
      <c r="F2835" s="28">
        <v>92843</v>
      </c>
      <c r="G2835" s="27" t="s">
        <v>8</v>
      </c>
      <c r="H2835" s="27" t="s">
        <v>3250</v>
      </c>
      <c r="I2835" s="27" t="s">
        <v>13</v>
      </c>
    </row>
    <row r="2836" spans="1:9" x14ac:dyDescent="0.3">
      <c r="A2836" s="26">
        <v>45080</v>
      </c>
      <c r="B2836" s="27" t="s">
        <v>122</v>
      </c>
      <c r="C2836" s="27" t="s">
        <v>6</v>
      </c>
      <c r="D2836" s="27" t="s">
        <v>19</v>
      </c>
      <c r="E2836" s="28">
        <v>102900</v>
      </c>
      <c r="F2836" s="28">
        <v>106300</v>
      </c>
      <c r="G2836" s="27" t="s">
        <v>22</v>
      </c>
      <c r="H2836" s="27" t="s">
        <v>3496</v>
      </c>
      <c r="I2836" s="27" t="s">
        <v>9</v>
      </c>
    </row>
    <row r="2837" spans="1:9" x14ac:dyDescent="0.3">
      <c r="A2837" s="26">
        <v>45080</v>
      </c>
      <c r="B2837" s="27" t="s">
        <v>122</v>
      </c>
      <c r="C2837" s="27" t="s">
        <v>6</v>
      </c>
      <c r="D2837" s="27" t="s">
        <v>21</v>
      </c>
      <c r="E2837" s="28">
        <v>217400</v>
      </c>
      <c r="F2837" s="28">
        <v>211700</v>
      </c>
      <c r="G2837" s="27" t="s">
        <v>22</v>
      </c>
      <c r="H2837" s="27" t="s">
        <v>3551</v>
      </c>
      <c r="I2837" s="27" t="s">
        <v>9</v>
      </c>
    </row>
    <row r="2838" spans="1:9" x14ac:dyDescent="0.3">
      <c r="A2838" s="26">
        <v>45080</v>
      </c>
      <c r="B2838" s="27" t="s">
        <v>122</v>
      </c>
      <c r="C2838" s="27" t="s">
        <v>6</v>
      </c>
      <c r="D2838" s="27" t="s">
        <v>7</v>
      </c>
      <c r="E2838" s="28">
        <v>177900</v>
      </c>
      <c r="F2838" s="28">
        <v>176800</v>
      </c>
      <c r="G2838" s="27" t="s">
        <v>11</v>
      </c>
      <c r="H2838" s="27" t="s">
        <v>3912</v>
      </c>
      <c r="I2838" s="27" t="s">
        <v>9</v>
      </c>
    </row>
    <row r="2839" spans="1:9" x14ac:dyDescent="0.3">
      <c r="A2839" s="26">
        <v>45080</v>
      </c>
      <c r="B2839" s="27" t="s">
        <v>122</v>
      </c>
      <c r="C2839" s="27" t="s">
        <v>6</v>
      </c>
      <c r="D2839" s="27" t="s">
        <v>24</v>
      </c>
      <c r="E2839" s="28">
        <v>68400</v>
      </c>
      <c r="F2839" s="28">
        <v>76200</v>
      </c>
      <c r="G2839" s="27" t="s">
        <v>11</v>
      </c>
      <c r="H2839" s="27" t="s">
        <v>4221</v>
      </c>
      <c r="I2839" s="27" t="s">
        <v>9</v>
      </c>
    </row>
    <row r="2840" spans="1:9" x14ac:dyDescent="0.3">
      <c r="A2840" s="26">
        <v>45080</v>
      </c>
      <c r="B2840" s="27" t="s">
        <v>122</v>
      </c>
      <c r="C2840" s="27" t="s">
        <v>93</v>
      </c>
      <c r="D2840" s="27" t="s">
        <v>7</v>
      </c>
      <c r="E2840" s="28">
        <v>107200</v>
      </c>
      <c r="F2840" s="28">
        <v>120200</v>
      </c>
      <c r="G2840" s="27" t="s">
        <v>11</v>
      </c>
      <c r="H2840" s="27" t="s">
        <v>4437</v>
      </c>
      <c r="I2840" s="27" t="s">
        <v>9</v>
      </c>
    </row>
    <row r="2841" spans="1:9" x14ac:dyDescent="0.3">
      <c r="A2841" s="26">
        <v>45080</v>
      </c>
      <c r="B2841" s="27" t="s">
        <v>122</v>
      </c>
      <c r="C2841" s="27" t="s">
        <v>6</v>
      </c>
      <c r="D2841" s="27" t="s">
        <v>16</v>
      </c>
      <c r="E2841" s="28">
        <v>80400</v>
      </c>
      <c r="F2841" s="28">
        <v>71200</v>
      </c>
      <c r="G2841" s="27" t="s">
        <v>11</v>
      </c>
      <c r="H2841" s="27" t="s">
        <v>4814</v>
      </c>
      <c r="I2841" s="27" t="s">
        <v>9</v>
      </c>
    </row>
    <row r="2842" spans="1:9" x14ac:dyDescent="0.3">
      <c r="A2842" s="26">
        <v>45080</v>
      </c>
      <c r="B2842" s="27" t="s">
        <v>122</v>
      </c>
      <c r="C2842" s="27" t="s">
        <v>6</v>
      </c>
      <c r="D2842" s="27" t="s">
        <v>7</v>
      </c>
      <c r="E2842" s="28">
        <v>120700</v>
      </c>
      <c r="F2842" s="28">
        <v>151700</v>
      </c>
      <c r="G2842" s="27" t="s">
        <v>22</v>
      </c>
      <c r="H2842" s="27" t="s">
        <v>4886</v>
      </c>
      <c r="I2842" s="27" t="s">
        <v>9</v>
      </c>
    </row>
    <row r="2843" spans="1:9" x14ac:dyDescent="0.3">
      <c r="A2843" s="26">
        <v>45080</v>
      </c>
      <c r="B2843" s="27" t="s">
        <v>122</v>
      </c>
      <c r="C2843" s="27" t="s">
        <v>6</v>
      </c>
      <c r="D2843" s="27" t="s">
        <v>19</v>
      </c>
      <c r="E2843" s="28">
        <v>121500</v>
      </c>
      <c r="F2843" s="28">
        <v>150500</v>
      </c>
      <c r="G2843" s="27" t="s">
        <v>11</v>
      </c>
      <c r="H2843" s="27" t="s">
        <v>5598</v>
      </c>
      <c r="I2843" s="27" t="s">
        <v>9</v>
      </c>
    </row>
    <row r="2844" spans="1:9" x14ac:dyDescent="0.3">
      <c r="A2844" s="26">
        <v>45080</v>
      </c>
      <c r="B2844" s="27" t="s">
        <v>122</v>
      </c>
      <c r="C2844" s="27" t="s">
        <v>6</v>
      </c>
      <c r="D2844" s="27" t="s">
        <v>21</v>
      </c>
      <c r="E2844" s="28">
        <v>121500</v>
      </c>
      <c r="F2844" s="28">
        <v>118700</v>
      </c>
      <c r="G2844" s="27" t="s">
        <v>11</v>
      </c>
      <c r="H2844" s="27" t="s">
        <v>6226</v>
      </c>
      <c r="I2844" s="27" t="s">
        <v>9</v>
      </c>
    </row>
    <row r="2845" spans="1:9" x14ac:dyDescent="0.3">
      <c r="A2845" s="26">
        <v>45080</v>
      </c>
      <c r="B2845" s="27" t="s">
        <v>122</v>
      </c>
      <c r="C2845" s="27" t="s">
        <v>6</v>
      </c>
      <c r="D2845" s="27" t="s">
        <v>16</v>
      </c>
      <c r="E2845" s="28">
        <v>133100</v>
      </c>
      <c r="F2845" s="28">
        <v>137600</v>
      </c>
      <c r="G2845" s="27" t="s">
        <v>17</v>
      </c>
      <c r="H2845" s="27" t="s">
        <v>6635</v>
      </c>
      <c r="I2845" s="27" t="s">
        <v>9</v>
      </c>
    </row>
    <row r="2846" spans="1:9" x14ac:dyDescent="0.3">
      <c r="A2846" s="26">
        <v>45081</v>
      </c>
      <c r="B2846" s="27" t="s">
        <v>122</v>
      </c>
      <c r="C2846" s="27" t="s">
        <v>32</v>
      </c>
      <c r="D2846" s="27" t="s">
        <v>24</v>
      </c>
      <c r="E2846" s="28">
        <v>122911</v>
      </c>
      <c r="F2846" s="28">
        <v>161528</v>
      </c>
      <c r="G2846" s="27" t="s">
        <v>11</v>
      </c>
      <c r="H2846" s="27" t="s">
        <v>218</v>
      </c>
      <c r="I2846" s="27" t="s">
        <v>13</v>
      </c>
    </row>
    <row r="2847" spans="1:9" x14ac:dyDescent="0.3">
      <c r="A2847" s="26">
        <v>45081</v>
      </c>
      <c r="B2847" s="27" t="s">
        <v>122</v>
      </c>
      <c r="C2847" s="27" t="s">
        <v>10</v>
      </c>
      <c r="D2847" s="27" t="s">
        <v>7</v>
      </c>
      <c r="E2847" s="28">
        <v>96924</v>
      </c>
      <c r="F2847" s="28">
        <v>122188</v>
      </c>
      <c r="G2847" s="27" t="s">
        <v>22</v>
      </c>
      <c r="H2847" s="27" t="s">
        <v>483</v>
      </c>
      <c r="I2847" s="27" t="s">
        <v>13</v>
      </c>
    </row>
    <row r="2848" spans="1:9" x14ac:dyDescent="0.3">
      <c r="A2848" s="26">
        <v>45081</v>
      </c>
      <c r="B2848" s="27" t="s">
        <v>122</v>
      </c>
      <c r="C2848" s="27" t="s">
        <v>15</v>
      </c>
      <c r="D2848" s="27" t="s">
        <v>19</v>
      </c>
      <c r="E2848" s="28">
        <v>104191</v>
      </c>
      <c r="F2848" s="28">
        <v>22264</v>
      </c>
      <c r="G2848" s="27" t="s">
        <v>8</v>
      </c>
      <c r="H2848" s="27" t="s">
        <v>1334</v>
      </c>
      <c r="I2848" s="27" t="s">
        <v>13</v>
      </c>
    </row>
    <row r="2849" spans="1:9" x14ac:dyDescent="0.3">
      <c r="A2849" s="26">
        <v>45081</v>
      </c>
      <c r="B2849" s="27" t="s">
        <v>122</v>
      </c>
      <c r="C2849" s="27" t="s">
        <v>14</v>
      </c>
      <c r="D2849" s="27" t="s">
        <v>21</v>
      </c>
      <c r="E2849" s="28">
        <v>50071</v>
      </c>
      <c r="F2849" s="28">
        <v>107605</v>
      </c>
      <c r="G2849" s="27" t="s">
        <v>17</v>
      </c>
      <c r="H2849" s="27" t="s">
        <v>2791</v>
      </c>
      <c r="I2849" s="27" t="s">
        <v>13</v>
      </c>
    </row>
    <row r="2850" spans="1:9" x14ac:dyDescent="0.3">
      <c r="A2850" s="26">
        <v>45081</v>
      </c>
      <c r="B2850" s="27" t="s">
        <v>122</v>
      </c>
      <c r="C2850" s="27" t="s">
        <v>6</v>
      </c>
      <c r="D2850" s="27" t="s">
        <v>24</v>
      </c>
      <c r="E2850" s="28">
        <v>241700</v>
      </c>
      <c r="F2850" s="28">
        <v>299300</v>
      </c>
      <c r="G2850" s="27" t="s">
        <v>22</v>
      </c>
      <c r="H2850" s="27" t="s">
        <v>3599</v>
      </c>
      <c r="I2850" s="27" t="s">
        <v>9</v>
      </c>
    </row>
    <row r="2851" spans="1:9" x14ac:dyDescent="0.3">
      <c r="A2851" s="26">
        <v>45081</v>
      </c>
      <c r="B2851" s="27" t="s">
        <v>122</v>
      </c>
      <c r="C2851" s="27" t="s">
        <v>93</v>
      </c>
      <c r="D2851" s="27" t="s">
        <v>7</v>
      </c>
      <c r="E2851" s="28">
        <v>97000</v>
      </c>
      <c r="F2851" s="28">
        <v>90500</v>
      </c>
      <c r="G2851" s="27" t="s">
        <v>22</v>
      </c>
      <c r="H2851" s="27" t="s">
        <v>3864</v>
      </c>
      <c r="I2851" s="27" t="s">
        <v>9</v>
      </c>
    </row>
    <row r="2852" spans="1:9" x14ac:dyDescent="0.3">
      <c r="A2852" s="26">
        <v>45081</v>
      </c>
      <c r="B2852" s="27" t="s">
        <v>122</v>
      </c>
      <c r="C2852" s="27" t="s">
        <v>93</v>
      </c>
      <c r="D2852" s="27" t="s">
        <v>19</v>
      </c>
      <c r="E2852" s="28">
        <v>88800</v>
      </c>
      <c r="F2852" s="28">
        <v>90200</v>
      </c>
      <c r="G2852" s="27" t="s">
        <v>22</v>
      </c>
      <c r="H2852" s="27" t="s">
        <v>4717</v>
      </c>
      <c r="I2852" s="27" t="s">
        <v>9</v>
      </c>
    </row>
    <row r="2853" spans="1:9" x14ac:dyDescent="0.3">
      <c r="A2853" s="26">
        <v>45081</v>
      </c>
      <c r="B2853" s="27" t="s">
        <v>122</v>
      </c>
      <c r="C2853" s="27" t="s">
        <v>6</v>
      </c>
      <c r="D2853" s="27" t="s">
        <v>21</v>
      </c>
      <c r="E2853" s="28">
        <v>107800</v>
      </c>
      <c r="F2853" s="28">
        <v>81900</v>
      </c>
      <c r="G2853" s="27" t="s">
        <v>11</v>
      </c>
      <c r="H2853" s="27" t="s">
        <v>6176</v>
      </c>
      <c r="I2853" s="27" t="s">
        <v>9</v>
      </c>
    </row>
    <row r="2854" spans="1:9" x14ac:dyDescent="0.3">
      <c r="A2854" s="26">
        <v>45082</v>
      </c>
      <c r="B2854" s="27" t="s">
        <v>122</v>
      </c>
      <c r="C2854" s="27" t="s">
        <v>14</v>
      </c>
      <c r="D2854" s="27" t="s">
        <v>7</v>
      </c>
      <c r="E2854" s="28">
        <v>85479</v>
      </c>
      <c r="F2854" s="28">
        <v>50734</v>
      </c>
      <c r="G2854" s="27" t="s">
        <v>8</v>
      </c>
      <c r="H2854" s="27" t="s">
        <v>244</v>
      </c>
      <c r="I2854" s="27" t="s">
        <v>13</v>
      </c>
    </row>
    <row r="2855" spans="1:9" x14ac:dyDescent="0.3">
      <c r="A2855" s="26">
        <v>45082</v>
      </c>
      <c r="B2855" s="27" t="s">
        <v>122</v>
      </c>
      <c r="C2855" s="27" t="s">
        <v>10</v>
      </c>
      <c r="D2855" s="27" t="s">
        <v>24</v>
      </c>
      <c r="E2855" s="28">
        <v>61734</v>
      </c>
      <c r="F2855" s="28">
        <v>117938</v>
      </c>
      <c r="G2855" s="27" t="s">
        <v>8</v>
      </c>
      <c r="H2855" s="27" t="s">
        <v>520</v>
      </c>
      <c r="I2855" s="27" t="s">
        <v>13</v>
      </c>
    </row>
    <row r="2856" spans="1:9" x14ac:dyDescent="0.3">
      <c r="A2856" s="26">
        <v>45082</v>
      </c>
      <c r="B2856" s="27" t="s">
        <v>122</v>
      </c>
      <c r="C2856" s="27" t="s">
        <v>15</v>
      </c>
      <c r="D2856" s="27" t="s">
        <v>21</v>
      </c>
      <c r="E2856" s="28">
        <v>82035</v>
      </c>
      <c r="F2856" s="28">
        <v>35278</v>
      </c>
      <c r="G2856" s="27" t="s">
        <v>8</v>
      </c>
      <c r="H2856" s="27" t="s">
        <v>603</v>
      </c>
      <c r="I2856" s="27" t="s">
        <v>13</v>
      </c>
    </row>
    <row r="2857" spans="1:9" x14ac:dyDescent="0.3">
      <c r="A2857" s="26">
        <v>45082</v>
      </c>
      <c r="B2857" s="27" t="s">
        <v>122</v>
      </c>
      <c r="C2857" s="27" t="s">
        <v>14</v>
      </c>
      <c r="D2857" s="27" t="s">
        <v>16</v>
      </c>
      <c r="E2857" s="28">
        <v>98668</v>
      </c>
      <c r="F2857" s="28">
        <v>109211</v>
      </c>
      <c r="G2857" s="27" t="s">
        <v>11</v>
      </c>
      <c r="H2857" s="27" t="s">
        <v>1080</v>
      </c>
      <c r="I2857" s="27" t="s">
        <v>13</v>
      </c>
    </row>
    <row r="2858" spans="1:9" x14ac:dyDescent="0.3">
      <c r="A2858" s="26">
        <v>45082</v>
      </c>
      <c r="B2858" s="27" t="s">
        <v>122</v>
      </c>
      <c r="C2858" s="27" t="s">
        <v>32</v>
      </c>
      <c r="D2858" s="27" t="s">
        <v>7</v>
      </c>
      <c r="E2858" s="28">
        <v>17109</v>
      </c>
      <c r="F2858" s="28">
        <v>50301</v>
      </c>
      <c r="G2858" s="27" t="s">
        <v>11</v>
      </c>
      <c r="H2858" s="27" t="s">
        <v>1707</v>
      </c>
      <c r="I2858" s="27" t="s">
        <v>13</v>
      </c>
    </row>
    <row r="2859" spans="1:9" x14ac:dyDescent="0.3">
      <c r="A2859" s="26">
        <v>45082</v>
      </c>
      <c r="B2859" s="27" t="s">
        <v>122</v>
      </c>
      <c r="C2859" s="27" t="s">
        <v>32</v>
      </c>
      <c r="D2859" s="27" t="s">
        <v>24</v>
      </c>
      <c r="E2859" s="28">
        <v>53930</v>
      </c>
      <c r="F2859" s="28">
        <v>141156</v>
      </c>
      <c r="G2859" s="27" t="s">
        <v>11</v>
      </c>
      <c r="H2859" s="27" t="s">
        <v>2072</v>
      </c>
      <c r="I2859" s="27" t="s">
        <v>13</v>
      </c>
    </row>
    <row r="2860" spans="1:9" x14ac:dyDescent="0.3">
      <c r="A2860" s="26">
        <v>45082</v>
      </c>
      <c r="B2860" s="27" t="s">
        <v>122</v>
      </c>
      <c r="C2860" s="27" t="s">
        <v>10</v>
      </c>
      <c r="D2860" s="27" t="s">
        <v>16</v>
      </c>
      <c r="E2860" s="28">
        <v>139386</v>
      </c>
      <c r="F2860" s="28">
        <v>143237</v>
      </c>
      <c r="G2860" s="27" t="s">
        <v>8</v>
      </c>
      <c r="H2860" s="27" t="s">
        <v>2138</v>
      </c>
      <c r="I2860" s="27" t="s">
        <v>13</v>
      </c>
    </row>
    <row r="2861" spans="1:9" x14ac:dyDescent="0.3">
      <c r="A2861" s="26">
        <v>45082</v>
      </c>
      <c r="B2861" s="27" t="s">
        <v>122</v>
      </c>
      <c r="C2861" s="27" t="s">
        <v>15</v>
      </c>
      <c r="D2861" s="27" t="s">
        <v>16</v>
      </c>
      <c r="E2861" s="28">
        <v>97931</v>
      </c>
      <c r="F2861" s="28">
        <v>130916</v>
      </c>
      <c r="G2861" s="27" t="s">
        <v>17</v>
      </c>
      <c r="H2861" s="27" t="s">
        <v>2660</v>
      </c>
      <c r="I2861" s="27" t="s">
        <v>13</v>
      </c>
    </row>
    <row r="2862" spans="1:9" x14ac:dyDescent="0.3">
      <c r="A2862" s="26">
        <v>45082</v>
      </c>
      <c r="B2862" s="27" t="s">
        <v>122</v>
      </c>
      <c r="C2862" s="27" t="s">
        <v>15</v>
      </c>
      <c r="D2862" s="27" t="s">
        <v>16</v>
      </c>
      <c r="E2862" s="28">
        <v>20694</v>
      </c>
      <c r="F2862" s="28">
        <v>81339</v>
      </c>
      <c r="G2862" s="27" t="s">
        <v>17</v>
      </c>
      <c r="H2862" s="27" t="s">
        <v>2808</v>
      </c>
      <c r="I2862" s="27" t="s">
        <v>13</v>
      </c>
    </row>
    <row r="2863" spans="1:9" x14ac:dyDescent="0.3">
      <c r="A2863" s="26">
        <v>45082</v>
      </c>
      <c r="B2863" s="27" t="s">
        <v>122</v>
      </c>
      <c r="C2863" s="27" t="s">
        <v>32</v>
      </c>
      <c r="D2863" s="27" t="s">
        <v>21</v>
      </c>
      <c r="E2863" s="28">
        <v>29895</v>
      </c>
      <c r="F2863" s="28">
        <v>76402</v>
      </c>
      <c r="G2863" s="27" t="s">
        <v>17</v>
      </c>
      <c r="H2863" s="27" t="s">
        <v>3003</v>
      </c>
      <c r="I2863" s="27" t="s">
        <v>13</v>
      </c>
    </row>
    <row r="2864" spans="1:9" x14ac:dyDescent="0.3">
      <c r="A2864" s="26">
        <v>45082</v>
      </c>
      <c r="B2864" s="27" t="s">
        <v>122</v>
      </c>
      <c r="C2864" s="27" t="s">
        <v>6</v>
      </c>
      <c r="D2864" s="27" t="s">
        <v>7</v>
      </c>
      <c r="E2864" s="28">
        <v>118200</v>
      </c>
      <c r="F2864" s="28">
        <v>142600</v>
      </c>
      <c r="G2864" s="27" t="s">
        <v>11</v>
      </c>
      <c r="H2864" s="27" t="s">
        <v>3625</v>
      </c>
      <c r="I2864" s="27" t="s">
        <v>9</v>
      </c>
    </row>
    <row r="2865" spans="1:9" x14ac:dyDescent="0.3">
      <c r="A2865" s="26">
        <v>45082</v>
      </c>
      <c r="B2865" s="27" t="s">
        <v>122</v>
      </c>
      <c r="C2865" s="27" t="s">
        <v>93</v>
      </c>
      <c r="D2865" s="27" t="s">
        <v>24</v>
      </c>
      <c r="E2865" s="28">
        <v>126300</v>
      </c>
      <c r="F2865" s="28">
        <v>151600</v>
      </c>
      <c r="G2865" s="27" t="s">
        <v>22</v>
      </c>
      <c r="H2865" s="27" t="s">
        <v>3901</v>
      </c>
      <c r="I2865" s="27" t="s">
        <v>9</v>
      </c>
    </row>
    <row r="2866" spans="1:9" x14ac:dyDescent="0.3">
      <c r="A2866" s="26">
        <v>45082</v>
      </c>
      <c r="B2866" s="27" t="s">
        <v>122</v>
      </c>
      <c r="C2866" s="27" t="s">
        <v>6</v>
      </c>
      <c r="D2866" s="27" t="s">
        <v>21</v>
      </c>
      <c r="E2866" s="28">
        <v>121700</v>
      </c>
      <c r="F2866" s="28">
        <v>100700</v>
      </c>
      <c r="G2866" s="27" t="s">
        <v>22</v>
      </c>
      <c r="H2866" s="27" t="s">
        <v>3984</v>
      </c>
      <c r="I2866" s="27" t="s">
        <v>9</v>
      </c>
    </row>
    <row r="2867" spans="1:9" x14ac:dyDescent="0.3">
      <c r="A2867" s="26">
        <v>45082</v>
      </c>
      <c r="B2867" s="27" t="s">
        <v>122</v>
      </c>
      <c r="C2867" s="27" t="s">
        <v>6</v>
      </c>
      <c r="D2867" s="27" t="s">
        <v>16</v>
      </c>
      <c r="E2867" s="28">
        <v>53000</v>
      </c>
      <c r="F2867" s="28">
        <v>64800</v>
      </c>
      <c r="G2867" s="27" t="s">
        <v>22</v>
      </c>
      <c r="H2867" s="27" t="s">
        <v>4462</v>
      </c>
      <c r="I2867" s="27" t="s">
        <v>9</v>
      </c>
    </row>
    <row r="2868" spans="1:9" x14ac:dyDescent="0.3">
      <c r="A2868" s="26">
        <v>45082</v>
      </c>
      <c r="B2868" s="27" t="s">
        <v>122</v>
      </c>
      <c r="C2868" s="27" t="s">
        <v>6</v>
      </c>
      <c r="D2868" s="27" t="s">
        <v>7</v>
      </c>
      <c r="E2868" s="28">
        <v>129000</v>
      </c>
      <c r="F2868" s="28">
        <v>108400</v>
      </c>
      <c r="G2868" s="27" t="s">
        <v>22</v>
      </c>
      <c r="H2868" s="27" t="s">
        <v>5090</v>
      </c>
      <c r="I2868" s="27" t="s">
        <v>9</v>
      </c>
    </row>
    <row r="2869" spans="1:9" x14ac:dyDescent="0.3">
      <c r="A2869" s="26">
        <v>45082</v>
      </c>
      <c r="B2869" s="27" t="s">
        <v>122</v>
      </c>
      <c r="C2869" s="27" t="s">
        <v>6</v>
      </c>
      <c r="D2869" s="27" t="s">
        <v>24</v>
      </c>
      <c r="E2869" s="28">
        <v>158700</v>
      </c>
      <c r="F2869" s="28">
        <v>96800</v>
      </c>
      <c r="G2869" s="27" t="s">
        <v>17</v>
      </c>
      <c r="H2869" s="27" t="s">
        <v>5456</v>
      </c>
      <c r="I2869" s="27" t="s">
        <v>9</v>
      </c>
    </row>
    <row r="2870" spans="1:9" x14ac:dyDescent="0.3">
      <c r="A2870" s="26">
        <v>45082</v>
      </c>
      <c r="B2870" s="27" t="s">
        <v>122</v>
      </c>
      <c r="C2870" s="27" t="s">
        <v>6</v>
      </c>
      <c r="D2870" s="27" t="s">
        <v>16</v>
      </c>
      <c r="E2870" s="28">
        <v>101500</v>
      </c>
      <c r="F2870" s="28">
        <v>131400</v>
      </c>
      <c r="G2870" s="27" t="s">
        <v>22</v>
      </c>
      <c r="H2870" s="27" t="s">
        <v>5522</v>
      </c>
      <c r="I2870" s="27" t="s">
        <v>9</v>
      </c>
    </row>
    <row r="2871" spans="1:9" x14ac:dyDescent="0.3">
      <c r="A2871" s="26">
        <v>45082</v>
      </c>
      <c r="B2871" s="27" t="s">
        <v>122</v>
      </c>
      <c r="C2871" s="27" t="s">
        <v>93</v>
      </c>
      <c r="D2871" s="27" t="s">
        <v>16</v>
      </c>
      <c r="E2871" s="28">
        <v>63600</v>
      </c>
      <c r="F2871" s="28">
        <v>71500</v>
      </c>
      <c r="G2871" s="27" t="s">
        <v>17</v>
      </c>
      <c r="H2871" s="27" t="s">
        <v>6045</v>
      </c>
      <c r="I2871" s="27" t="s">
        <v>9</v>
      </c>
    </row>
    <row r="2872" spans="1:9" x14ac:dyDescent="0.3">
      <c r="A2872" s="26">
        <v>45082</v>
      </c>
      <c r="B2872" s="27" t="s">
        <v>122</v>
      </c>
      <c r="C2872" s="27" t="s">
        <v>93</v>
      </c>
      <c r="D2872" s="27" t="s">
        <v>16</v>
      </c>
      <c r="E2872" s="28">
        <v>398500</v>
      </c>
      <c r="F2872" s="28">
        <v>375400</v>
      </c>
      <c r="G2872" s="27" t="s">
        <v>17</v>
      </c>
      <c r="H2872" s="27" t="s">
        <v>6193</v>
      </c>
      <c r="I2872" s="27" t="s">
        <v>9</v>
      </c>
    </row>
    <row r="2873" spans="1:9" x14ac:dyDescent="0.3">
      <c r="A2873" s="26">
        <v>45082</v>
      </c>
      <c r="B2873" s="27" t="s">
        <v>122</v>
      </c>
      <c r="C2873" s="27" t="s">
        <v>93</v>
      </c>
      <c r="D2873" s="27" t="s">
        <v>21</v>
      </c>
      <c r="E2873" s="28">
        <v>108400</v>
      </c>
      <c r="F2873" s="28">
        <v>65000</v>
      </c>
      <c r="G2873" s="27" t="s">
        <v>11</v>
      </c>
      <c r="H2873" s="27" t="s">
        <v>6388</v>
      </c>
      <c r="I2873" s="27" t="s">
        <v>9</v>
      </c>
    </row>
    <row r="2874" spans="1:9" x14ac:dyDescent="0.3">
      <c r="A2874" s="26">
        <v>45083</v>
      </c>
      <c r="B2874" s="27" t="s">
        <v>122</v>
      </c>
      <c r="C2874" s="27" t="s">
        <v>32</v>
      </c>
      <c r="D2874" s="27" t="s">
        <v>7</v>
      </c>
      <c r="E2874" s="28">
        <v>93464</v>
      </c>
      <c r="F2874" s="28">
        <v>59855</v>
      </c>
      <c r="G2874" s="27" t="s">
        <v>11</v>
      </c>
      <c r="H2874" s="27" t="s">
        <v>529</v>
      </c>
      <c r="I2874" s="27" t="s">
        <v>13</v>
      </c>
    </row>
    <row r="2875" spans="1:9" x14ac:dyDescent="0.3">
      <c r="A2875" s="26">
        <v>45083</v>
      </c>
      <c r="B2875" s="27" t="s">
        <v>122</v>
      </c>
      <c r="C2875" s="27" t="s">
        <v>32</v>
      </c>
      <c r="D2875" s="27" t="s">
        <v>21</v>
      </c>
      <c r="E2875" s="28">
        <v>82501</v>
      </c>
      <c r="F2875" s="28">
        <v>135982</v>
      </c>
      <c r="G2875" s="27" t="s">
        <v>8</v>
      </c>
      <c r="H2875" s="27" t="s">
        <v>562</v>
      </c>
      <c r="I2875" s="27" t="s">
        <v>13</v>
      </c>
    </row>
    <row r="2876" spans="1:9" x14ac:dyDescent="0.3">
      <c r="A2876" s="26">
        <v>45083</v>
      </c>
      <c r="B2876" s="27" t="s">
        <v>122</v>
      </c>
      <c r="C2876" s="27" t="s">
        <v>32</v>
      </c>
      <c r="D2876" s="27" t="s">
        <v>19</v>
      </c>
      <c r="E2876" s="28">
        <v>138219</v>
      </c>
      <c r="F2876" s="28">
        <v>41038</v>
      </c>
      <c r="G2876" s="27" t="s">
        <v>11</v>
      </c>
      <c r="H2876" s="27" t="s">
        <v>662</v>
      </c>
      <c r="I2876" s="27" t="s">
        <v>13</v>
      </c>
    </row>
    <row r="2877" spans="1:9" x14ac:dyDescent="0.3">
      <c r="A2877" s="26">
        <v>45083</v>
      </c>
      <c r="B2877" s="27" t="s">
        <v>122</v>
      </c>
      <c r="C2877" s="27" t="s">
        <v>20</v>
      </c>
      <c r="D2877" s="27" t="s">
        <v>16</v>
      </c>
      <c r="E2877" s="28">
        <v>147411</v>
      </c>
      <c r="F2877" s="28">
        <v>145075</v>
      </c>
      <c r="G2877" s="27" t="s">
        <v>22</v>
      </c>
      <c r="H2877" s="27" t="s">
        <v>1277</v>
      </c>
      <c r="I2877" s="27" t="s">
        <v>13</v>
      </c>
    </row>
    <row r="2878" spans="1:9" x14ac:dyDescent="0.3">
      <c r="A2878" s="26">
        <v>45083</v>
      </c>
      <c r="B2878" s="27" t="s">
        <v>122</v>
      </c>
      <c r="C2878" s="27" t="s">
        <v>15</v>
      </c>
      <c r="D2878" s="27" t="s">
        <v>7</v>
      </c>
      <c r="E2878" s="28">
        <v>53933</v>
      </c>
      <c r="F2878" s="28">
        <v>74505</v>
      </c>
      <c r="G2878" s="27" t="s">
        <v>17</v>
      </c>
      <c r="H2878" s="27" t="s">
        <v>1385</v>
      </c>
      <c r="I2878" s="27" t="s">
        <v>13</v>
      </c>
    </row>
    <row r="2879" spans="1:9" x14ac:dyDescent="0.3">
      <c r="A2879" s="26">
        <v>45083</v>
      </c>
      <c r="B2879" s="27" t="s">
        <v>122</v>
      </c>
      <c r="C2879" s="27" t="s">
        <v>18</v>
      </c>
      <c r="D2879" s="27" t="s">
        <v>16</v>
      </c>
      <c r="E2879" s="28">
        <v>138167</v>
      </c>
      <c r="F2879" s="28">
        <v>15574</v>
      </c>
      <c r="G2879" s="27" t="s">
        <v>22</v>
      </c>
      <c r="H2879" s="27" t="s">
        <v>1465</v>
      </c>
      <c r="I2879" s="27" t="s">
        <v>13</v>
      </c>
    </row>
    <row r="2880" spans="1:9" x14ac:dyDescent="0.3">
      <c r="A2880" s="26">
        <v>45083</v>
      </c>
      <c r="B2880" s="27" t="s">
        <v>122</v>
      </c>
      <c r="C2880" s="27" t="s">
        <v>15</v>
      </c>
      <c r="D2880" s="27" t="s">
        <v>21</v>
      </c>
      <c r="E2880" s="28">
        <v>29188</v>
      </c>
      <c r="F2880" s="28">
        <v>55999</v>
      </c>
      <c r="G2880" s="27" t="s">
        <v>8</v>
      </c>
      <c r="H2880" s="27" t="s">
        <v>1548</v>
      </c>
      <c r="I2880" s="27" t="s">
        <v>13</v>
      </c>
    </row>
    <row r="2881" spans="1:9" x14ac:dyDescent="0.3">
      <c r="A2881" s="26">
        <v>45083</v>
      </c>
      <c r="B2881" s="27" t="s">
        <v>122</v>
      </c>
      <c r="C2881" s="27" t="s">
        <v>10</v>
      </c>
      <c r="D2881" s="27" t="s">
        <v>21</v>
      </c>
      <c r="E2881" s="28">
        <v>62063</v>
      </c>
      <c r="F2881" s="28">
        <v>107782</v>
      </c>
      <c r="G2881" s="27" t="s">
        <v>11</v>
      </c>
      <c r="H2881" s="27" t="s">
        <v>1661</v>
      </c>
      <c r="I2881" s="27" t="s">
        <v>13</v>
      </c>
    </row>
    <row r="2882" spans="1:9" x14ac:dyDescent="0.3">
      <c r="A2882" s="26">
        <v>45083</v>
      </c>
      <c r="B2882" s="27" t="s">
        <v>122</v>
      </c>
      <c r="C2882" s="27" t="s">
        <v>32</v>
      </c>
      <c r="D2882" s="27" t="s">
        <v>21</v>
      </c>
      <c r="E2882" s="28">
        <v>77136</v>
      </c>
      <c r="F2882" s="28">
        <v>138751</v>
      </c>
      <c r="G2882" s="27" t="s">
        <v>8</v>
      </c>
      <c r="H2882" s="27" t="s">
        <v>2124</v>
      </c>
      <c r="I2882" s="27" t="s">
        <v>13</v>
      </c>
    </row>
    <row r="2883" spans="1:9" x14ac:dyDescent="0.3">
      <c r="A2883" s="26">
        <v>45083</v>
      </c>
      <c r="B2883" s="27" t="s">
        <v>122</v>
      </c>
      <c r="C2883" s="27" t="s">
        <v>10</v>
      </c>
      <c r="D2883" s="27" t="s">
        <v>19</v>
      </c>
      <c r="E2883" s="28">
        <v>99464</v>
      </c>
      <c r="F2883" s="28">
        <v>117121</v>
      </c>
      <c r="G2883" s="27" t="s">
        <v>22</v>
      </c>
      <c r="H2883" s="27" t="s">
        <v>2433</v>
      </c>
      <c r="I2883" s="27" t="s">
        <v>13</v>
      </c>
    </row>
    <row r="2884" spans="1:9" x14ac:dyDescent="0.3">
      <c r="A2884" s="26">
        <v>45083</v>
      </c>
      <c r="B2884" s="27" t="s">
        <v>122</v>
      </c>
      <c r="C2884" s="27" t="s">
        <v>15</v>
      </c>
      <c r="D2884" s="27" t="s">
        <v>24</v>
      </c>
      <c r="E2884" s="28">
        <v>16782</v>
      </c>
      <c r="F2884" s="28">
        <v>25751</v>
      </c>
      <c r="G2884" s="27" t="s">
        <v>22</v>
      </c>
      <c r="H2884" s="27" t="s">
        <v>2575</v>
      </c>
      <c r="I2884" s="27" t="s">
        <v>13</v>
      </c>
    </row>
    <row r="2885" spans="1:9" x14ac:dyDescent="0.3">
      <c r="A2885" s="26">
        <v>45083</v>
      </c>
      <c r="B2885" s="27" t="s">
        <v>122</v>
      </c>
      <c r="C2885" s="27" t="s">
        <v>15</v>
      </c>
      <c r="D2885" s="27" t="s">
        <v>7</v>
      </c>
      <c r="E2885" s="28">
        <v>130622</v>
      </c>
      <c r="F2885" s="28">
        <v>78727</v>
      </c>
      <c r="G2885" s="27" t="s">
        <v>22</v>
      </c>
      <c r="H2885" s="27" t="s">
        <v>2647</v>
      </c>
      <c r="I2885" s="27" t="s">
        <v>13</v>
      </c>
    </row>
    <row r="2886" spans="1:9" x14ac:dyDescent="0.3">
      <c r="A2886" s="26">
        <v>45083</v>
      </c>
      <c r="B2886" s="27" t="s">
        <v>122</v>
      </c>
      <c r="C2886" s="27" t="s">
        <v>6</v>
      </c>
      <c r="D2886" s="27" t="s">
        <v>7</v>
      </c>
      <c r="E2886" s="28">
        <v>132500</v>
      </c>
      <c r="F2886" s="28">
        <v>143300</v>
      </c>
      <c r="G2886" s="27" t="s">
        <v>11</v>
      </c>
      <c r="H2886" s="27" t="s">
        <v>3910</v>
      </c>
      <c r="I2886" s="27" t="s">
        <v>9</v>
      </c>
    </row>
    <row r="2887" spans="1:9" x14ac:dyDescent="0.3">
      <c r="A2887" s="26">
        <v>45083</v>
      </c>
      <c r="B2887" s="27" t="s">
        <v>122</v>
      </c>
      <c r="C2887" s="27" t="s">
        <v>6</v>
      </c>
      <c r="D2887" s="27" t="s">
        <v>21</v>
      </c>
      <c r="E2887" s="28">
        <v>187700</v>
      </c>
      <c r="F2887" s="28">
        <v>209300</v>
      </c>
      <c r="G2887" s="27" t="s">
        <v>11</v>
      </c>
      <c r="H2887" s="27" t="s">
        <v>3943</v>
      </c>
      <c r="I2887" s="27" t="s">
        <v>9</v>
      </c>
    </row>
    <row r="2888" spans="1:9" x14ac:dyDescent="0.3">
      <c r="A2888" s="26">
        <v>45083</v>
      </c>
      <c r="B2888" s="27" t="s">
        <v>122</v>
      </c>
      <c r="C2888" s="27" t="s">
        <v>93</v>
      </c>
      <c r="D2888" s="27" t="s">
        <v>19</v>
      </c>
      <c r="E2888" s="28">
        <v>123900</v>
      </c>
      <c r="F2888" s="28">
        <v>149900</v>
      </c>
      <c r="G2888" s="27" t="s">
        <v>11</v>
      </c>
      <c r="H2888" s="27" t="s">
        <v>4043</v>
      </c>
      <c r="I2888" s="27" t="s">
        <v>9</v>
      </c>
    </row>
    <row r="2889" spans="1:9" x14ac:dyDescent="0.3">
      <c r="A2889" s="26">
        <v>45083</v>
      </c>
      <c r="B2889" s="27" t="s">
        <v>122</v>
      </c>
      <c r="C2889" s="27" t="s">
        <v>6</v>
      </c>
      <c r="D2889" s="27" t="s">
        <v>16</v>
      </c>
      <c r="E2889" s="28">
        <v>95900</v>
      </c>
      <c r="F2889" s="28">
        <v>126400</v>
      </c>
      <c r="G2889" s="27" t="s">
        <v>11</v>
      </c>
      <c r="H2889" s="27" t="s">
        <v>4660</v>
      </c>
      <c r="I2889" s="27" t="s">
        <v>9</v>
      </c>
    </row>
    <row r="2890" spans="1:9" x14ac:dyDescent="0.3">
      <c r="A2890" s="26">
        <v>45083</v>
      </c>
      <c r="B2890" s="27" t="s">
        <v>122</v>
      </c>
      <c r="C2890" s="27" t="s">
        <v>6</v>
      </c>
      <c r="D2890" s="27" t="s">
        <v>7</v>
      </c>
      <c r="E2890" s="28">
        <v>132900</v>
      </c>
      <c r="F2890" s="28">
        <v>152500</v>
      </c>
      <c r="G2890" s="27" t="s">
        <v>17</v>
      </c>
      <c r="H2890" s="27" t="s">
        <v>4768</v>
      </c>
      <c r="I2890" s="27" t="s">
        <v>9</v>
      </c>
    </row>
    <row r="2891" spans="1:9" x14ac:dyDescent="0.3">
      <c r="A2891" s="26">
        <v>45083</v>
      </c>
      <c r="B2891" s="27" t="s">
        <v>122</v>
      </c>
      <c r="C2891" s="27" t="s">
        <v>93</v>
      </c>
      <c r="D2891" s="27" t="s">
        <v>16</v>
      </c>
      <c r="E2891" s="28">
        <v>186300</v>
      </c>
      <c r="F2891" s="28">
        <v>190500</v>
      </c>
      <c r="G2891" s="27" t="s">
        <v>11</v>
      </c>
      <c r="H2891" s="27" t="s">
        <v>4848</v>
      </c>
      <c r="I2891" s="27" t="s">
        <v>9</v>
      </c>
    </row>
    <row r="2892" spans="1:9" x14ac:dyDescent="0.3">
      <c r="A2892" s="26">
        <v>45083</v>
      </c>
      <c r="B2892" s="27" t="s">
        <v>122</v>
      </c>
      <c r="C2892" s="27" t="s">
        <v>93</v>
      </c>
      <c r="D2892" s="27" t="s">
        <v>21</v>
      </c>
      <c r="E2892" s="28">
        <v>194200</v>
      </c>
      <c r="F2892" s="28">
        <v>232000</v>
      </c>
      <c r="G2892" s="27" t="s">
        <v>22</v>
      </c>
      <c r="H2892" s="27" t="s">
        <v>4931</v>
      </c>
      <c r="I2892" s="27" t="s">
        <v>9</v>
      </c>
    </row>
    <row r="2893" spans="1:9" x14ac:dyDescent="0.3">
      <c r="A2893" s="26">
        <v>45083</v>
      </c>
      <c r="B2893" s="27" t="s">
        <v>122</v>
      </c>
      <c r="C2893" s="27" t="s">
        <v>6</v>
      </c>
      <c r="D2893" s="27" t="s">
        <v>21</v>
      </c>
      <c r="E2893" s="28">
        <v>75400</v>
      </c>
      <c r="F2893" s="28">
        <v>77900</v>
      </c>
      <c r="G2893" s="27" t="s">
        <v>11</v>
      </c>
      <c r="H2893" s="27" t="s">
        <v>5044</v>
      </c>
      <c r="I2893" s="27" t="s">
        <v>9</v>
      </c>
    </row>
    <row r="2894" spans="1:9" x14ac:dyDescent="0.3">
      <c r="A2894" s="26">
        <v>45083</v>
      </c>
      <c r="B2894" s="27" t="s">
        <v>122</v>
      </c>
      <c r="C2894" s="27" t="s">
        <v>6</v>
      </c>
      <c r="D2894" s="27" t="s">
        <v>21</v>
      </c>
      <c r="E2894" s="28">
        <v>100300</v>
      </c>
      <c r="F2894" s="28">
        <v>121900</v>
      </c>
      <c r="G2894" s="27" t="s">
        <v>11</v>
      </c>
      <c r="H2894" s="27" t="s">
        <v>5508</v>
      </c>
      <c r="I2894" s="27" t="s">
        <v>9</v>
      </c>
    </row>
    <row r="2895" spans="1:9" x14ac:dyDescent="0.3">
      <c r="A2895" s="26">
        <v>45083</v>
      </c>
      <c r="B2895" s="27" t="s">
        <v>122</v>
      </c>
      <c r="C2895" s="27" t="s">
        <v>93</v>
      </c>
      <c r="D2895" s="27" t="s">
        <v>19</v>
      </c>
      <c r="E2895" s="28">
        <v>44800</v>
      </c>
      <c r="F2895" s="28">
        <v>52900</v>
      </c>
      <c r="G2895" s="27" t="s">
        <v>11</v>
      </c>
      <c r="H2895" s="27" t="s">
        <v>5818</v>
      </c>
      <c r="I2895" s="27" t="s">
        <v>9</v>
      </c>
    </row>
    <row r="2896" spans="1:9" x14ac:dyDescent="0.3">
      <c r="A2896" s="26">
        <v>45083</v>
      </c>
      <c r="B2896" s="27" t="s">
        <v>122</v>
      </c>
      <c r="C2896" s="27" t="s">
        <v>6</v>
      </c>
      <c r="D2896" s="27" t="s">
        <v>24</v>
      </c>
      <c r="E2896" s="28">
        <v>171600</v>
      </c>
      <c r="F2896" s="28">
        <v>192500</v>
      </c>
      <c r="G2896" s="27" t="s">
        <v>11</v>
      </c>
      <c r="H2896" s="27" t="s">
        <v>5960</v>
      </c>
      <c r="I2896" s="27" t="s">
        <v>9</v>
      </c>
    </row>
    <row r="2897" spans="1:9" x14ac:dyDescent="0.3">
      <c r="A2897" s="26">
        <v>45083</v>
      </c>
      <c r="B2897" s="27" t="s">
        <v>122</v>
      </c>
      <c r="C2897" s="27" t="s">
        <v>6</v>
      </c>
      <c r="D2897" s="27" t="s">
        <v>7</v>
      </c>
      <c r="E2897" s="28">
        <v>76800</v>
      </c>
      <c r="F2897" s="28">
        <v>96000</v>
      </c>
      <c r="G2897" s="27" t="s">
        <v>11</v>
      </c>
      <c r="H2897" s="27" t="s">
        <v>6032</v>
      </c>
      <c r="I2897" s="27" t="s">
        <v>9</v>
      </c>
    </row>
    <row r="2898" spans="1:9" x14ac:dyDescent="0.3">
      <c r="A2898" s="26">
        <v>45084</v>
      </c>
      <c r="B2898" s="27" t="s">
        <v>122</v>
      </c>
      <c r="C2898" s="27" t="s">
        <v>14</v>
      </c>
      <c r="D2898" s="27" t="s">
        <v>16</v>
      </c>
      <c r="E2898" s="28">
        <v>67937</v>
      </c>
      <c r="F2898" s="28">
        <v>34965</v>
      </c>
      <c r="G2898" s="27" t="s">
        <v>17</v>
      </c>
      <c r="H2898" s="27" t="s">
        <v>369</v>
      </c>
      <c r="I2898" s="27" t="s">
        <v>13</v>
      </c>
    </row>
    <row r="2899" spans="1:9" x14ac:dyDescent="0.3">
      <c r="A2899" s="26">
        <v>45084</v>
      </c>
      <c r="B2899" s="27" t="s">
        <v>122</v>
      </c>
      <c r="C2899" s="27" t="s">
        <v>14</v>
      </c>
      <c r="D2899" s="27" t="s">
        <v>16</v>
      </c>
      <c r="E2899" s="28">
        <v>90061</v>
      </c>
      <c r="F2899" s="28">
        <v>91189</v>
      </c>
      <c r="G2899" s="27" t="s">
        <v>11</v>
      </c>
      <c r="H2899" s="27" t="s">
        <v>764</v>
      </c>
      <c r="I2899" s="27" t="s">
        <v>13</v>
      </c>
    </row>
    <row r="2900" spans="1:9" x14ac:dyDescent="0.3">
      <c r="A2900" s="26">
        <v>45084</v>
      </c>
      <c r="B2900" s="27" t="s">
        <v>122</v>
      </c>
      <c r="C2900" s="27" t="s">
        <v>20</v>
      </c>
      <c r="D2900" s="27" t="s">
        <v>21</v>
      </c>
      <c r="E2900" s="28">
        <v>55240</v>
      </c>
      <c r="F2900" s="28">
        <v>38071</v>
      </c>
      <c r="G2900" s="27" t="s">
        <v>22</v>
      </c>
      <c r="H2900" s="27" t="s">
        <v>885</v>
      </c>
      <c r="I2900" s="27" t="s">
        <v>13</v>
      </c>
    </row>
    <row r="2901" spans="1:9" x14ac:dyDescent="0.3">
      <c r="A2901" s="26">
        <v>45084</v>
      </c>
      <c r="B2901" s="27" t="s">
        <v>122</v>
      </c>
      <c r="C2901" s="27" t="s">
        <v>32</v>
      </c>
      <c r="D2901" s="27" t="s">
        <v>21</v>
      </c>
      <c r="E2901" s="28">
        <v>134889</v>
      </c>
      <c r="F2901" s="28">
        <v>128661</v>
      </c>
      <c r="G2901" s="27" t="s">
        <v>22</v>
      </c>
      <c r="H2901" s="27" t="s">
        <v>1150</v>
      </c>
      <c r="I2901" s="27" t="s">
        <v>13</v>
      </c>
    </row>
    <row r="2902" spans="1:9" x14ac:dyDescent="0.3">
      <c r="A2902" s="26">
        <v>45084</v>
      </c>
      <c r="B2902" s="27" t="s">
        <v>122</v>
      </c>
      <c r="C2902" s="27" t="s">
        <v>14</v>
      </c>
      <c r="D2902" s="27" t="s">
        <v>7</v>
      </c>
      <c r="E2902" s="28">
        <v>145389</v>
      </c>
      <c r="F2902" s="28">
        <v>134435</v>
      </c>
      <c r="G2902" s="27" t="s">
        <v>22</v>
      </c>
      <c r="H2902" s="27" t="s">
        <v>1304</v>
      </c>
      <c r="I2902" s="27" t="s">
        <v>13</v>
      </c>
    </row>
    <row r="2903" spans="1:9" x14ac:dyDescent="0.3">
      <c r="A2903" s="26">
        <v>45084</v>
      </c>
      <c r="B2903" s="27" t="s">
        <v>122</v>
      </c>
      <c r="C2903" s="27" t="s">
        <v>18</v>
      </c>
      <c r="D2903" s="27" t="s">
        <v>16</v>
      </c>
      <c r="E2903" s="28">
        <v>145734</v>
      </c>
      <c r="F2903" s="28">
        <v>168613</v>
      </c>
      <c r="G2903" s="27" t="s">
        <v>22</v>
      </c>
      <c r="H2903" s="27" t="s">
        <v>2064</v>
      </c>
      <c r="I2903" s="27" t="s">
        <v>13</v>
      </c>
    </row>
    <row r="2904" spans="1:9" x14ac:dyDescent="0.3">
      <c r="A2904" s="26">
        <v>45084</v>
      </c>
      <c r="B2904" s="27" t="s">
        <v>122</v>
      </c>
      <c r="C2904" s="27" t="s">
        <v>32</v>
      </c>
      <c r="D2904" s="27" t="s">
        <v>7</v>
      </c>
      <c r="E2904" s="28">
        <v>56009</v>
      </c>
      <c r="F2904" s="28">
        <v>12323</v>
      </c>
      <c r="G2904" s="27" t="s">
        <v>22</v>
      </c>
      <c r="H2904" s="27" t="s">
        <v>2814</v>
      </c>
      <c r="I2904" s="27" t="s">
        <v>13</v>
      </c>
    </row>
    <row r="2905" spans="1:9" x14ac:dyDescent="0.3">
      <c r="A2905" s="26">
        <v>45084</v>
      </c>
      <c r="B2905" s="27" t="s">
        <v>122</v>
      </c>
      <c r="C2905" s="27" t="s">
        <v>6</v>
      </c>
      <c r="D2905" s="27" t="s">
        <v>16</v>
      </c>
      <c r="E2905" s="28">
        <v>66500</v>
      </c>
      <c r="F2905" s="28">
        <v>64300</v>
      </c>
      <c r="G2905" s="27" t="s">
        <v>11</v>
      </c>
      <c r="H2905" s="27" t="s">
        <v>3750</v>
      </c>
      <c r="I2905" s="27" t="s">
        <v>9</v>
      </c>
    </row>
    <row r="2906" spans="1:9" x14ac:dyDescent="0.3">
      <c r="A2906" s="26">
        <v>45084</v>
      </c>
      <c r="B2906" s="27" t="s">
        <v>122</v>
      </c>
      <c r="C2906" s="27" t="s">
        <v>93</v>
      </c>
      <c r="D2906" s="27" t="s">
        <v>16</v>
      </c>
      <c r="E2906" s="28">
        <v>93900</v>
      </c>
      <c r="F2906" s="28">
        <v>81900</v>
      </c>
      <c r="G2906" s="27" t="s">
        <v>22</v>
      </c>
      <c r="H2906" s="27" t="s">
        <v>4145</v>
      </c>
      <c r="I2906" s="27" t="s">
        <v>9</v>
      </c>
    </row>
    <row r="2907" spans="1:9" x14ac:dyDescent="0.3">
      <c r="A2907" s="26">
        <v>45084</v>
      </c>
      <c r="B2907" s="27" t="s">
        <v>122</v>
      </c>
      <c r="C2907" s="27" t="s">
        <v>6</v>
      </c>
      <c r="D2907" s="27" t="s">
        <v>21</v>
      </c>
      <c r="E2907" s="28">
        <v>45900</v>
      </c>
      <c r="F2907" s="28">
        <v>52700</v>
      </c>
      <c r="G2907" s="27" t="s">
        <v>17</v>
      </c>
      <c r="H2907" s="27" t="s">
        <v>4266</v>
      </c>
      <c r="I2907" s="27" t="s">
        <v>9</v>
      </c>
    </row>
    <row r="2908" spans="1:9" x14ac:dyDescent="0.3">
      <c r="A2908" s="26">
        <v>45084</v>
      </c>
      <c r="B2908" s="27" t="s">
        <v>122</v>
      </c>
      <c r="C2908" s="27" t="s">
        <v>6</v>
      </c>
      <c r="D2908" s="27" t="s">
        <v>21</v>
      </c>
      <c r="E2908" s="28">
        <v>41600</v>
      </c>
      <c r="F2908" s="28">
        <v>40300</v>
      </c>
      <c r="G2908" s="27" t="s">
        <v>22</v>
      </c>
      <c r="H2908" s="27" t="s">
        <v>4533</v>
      </c>
      <c r="I2908" s="27" t="s">
        <v>9</v>
      </c>
    </row>
    <row r="2909" spans="1:9" x14ac:dyDescent="0.3">
      <c r="A2909" s="26">
        <v>45084</v>
      </c>
      <c r="B2909" s="27" t="s">
        <v>122</v>
      </c>
      <c r="C2909" s="27" t="s">
        <v>93</v>
      </c>
      <c r="D2909" s="27" t="s">
        <v>7</v>
      </c>
      <c r="E2909" s="28">
        <v>123600</v>
      </c>
      <c r="F2909" s="28">
        <v>118800</v>
      </c>
      <c r="G2909" s="27" t="s">
        <v>11</v>
      </c>
      <c r="H2909" s="27" t="s">
        <v>4687</v>
      </c>
      <c r="I2909" s="27" t="s">
        <v>9</v>
      </c>
    </row>
    <row r="2910" spans="1:9" x14ac:dyDescent="0.3">
      <c r="A2910" s="26">
        <v>45084</v>
      </c>
      <c r="B2910" s="27" t="s">
        <v>122</v>
      </c>
      <c r="C2910" s="27" t="s">
        <v>93</v>
      </c>
      <c r="D2910" s="27" t="s">
        <v>16</v>
      </c>
      <c r="E2910" s="28">
        <v>26100</v>
      </c>
      <c r="F2910" s="28">
        <v>23800</v>
      </c>
      <c r="G2910" s="27" t="s">
        <v>11</v>
      </c>
      <c r="H2910" s="27" t="s">
        <v>5448</v>
      </c>
      <c r="I2910" s="27" t="s">
        <v>9</v>
      </c>
    </row>
    <row r="2911" spans="1:9" x14ac:dyDescent="0.3">
      <c r="A2911" s="26">
        <v>45084</v>
      </c>
      <c r="B2911" s="27" t="s">
        <v>122</v>
      </c>
      <c r="C2911" s="27" t="s">
        <v>93</v>
      </c>
      <c r="D2911" s="27" t="s">
        <v>7</v>
      </c>
      <c r="E2911" s="28">
        <v>86400</v>
      </c>
      <c r="F2911" s="28">
        <v>108900</v>
      </c>
      <c r="G2911" s="27" t="s">
        <v>17</v>
      </c>
      <c r="H2911" s="27" t="s">
        <v>6199</v>
      </c>
      <c r="I2911" s="27" t="s">
        <v>9</v>
      </c>
    </row>
    <row r="2912" spans="1:9" x14ac:dyDescent="0.3">
      <c r="A2912" s="26">
        <v>45085</v>
      </c>
      <c r="B2912" s="27" t="s">
        <v>122</v>
      </c>
      <c r="C2912" s="27" t="s">
        <v>20</v>
      </c>
      <c r="D2912" s="27" t="s">
        <v>24</v>
      </c>
      <c r="E2912" s="28">
        <v>130766</v>
      </c>
      <c r="F2912" s="28">
        <v>25963</v>
      </c>
      <c r="G2912" s="27" t="s">
        <v>11</v>
      </c>
      <c r="H2912" s="27" t="s">
        <v>555</v>
      </c>
      <c r="I2912" s="27" t="s">
        <v>13</v>
      </c>
    </row>
    <row r="2913" spans="1:9" x14ac:dyDescent="0.3">
      <c r="A2913" s="26">
        <v>45085</v>
      </c>
      <c r="B2913" s="27" t="s">
        <v>122</v>
      </c>
      <c r="C2913" s="27" t="s">
        <v>10</v>
      </c>
      <c r="D2913" s="27" t="s">
        <v>24</v>
      </c>
      <c r="E2913" s="28">
        <v>32167</v>
      </c>
      <c r="F2913" s="28">
        <v>66425</v>
      </c>
      <c r="G2913" s="27" t="s">
        <v>11</v>
      </c>
      <c r="H2913" s="27" t="s">
        <v>1027</v>
      </c>
      <c r="I2913" s="27" t="s">
        <v>13</v>
      </c>
    </row>
    <row r="2914" spans="1:9" x14ac:dyDescent="0.3">
      <c r="A2914" s="26">
        <v>45085</v>
      </c>
      <c r="B2914" s="27" t="s">
        <v>122</v>
      </c>
      <c r="C2914" s="27" t="s">
        <v>10</v>
      </c>
      <c r="D2914" s="27" t="s">
        <v>19</v>
      </c>
      <c r="E2914" s="28">
        <v>18897</v>
      </c>
      <c r="F2914" s="28">
        <v>169899</v>
      </c>
      <c r="G2914" s="27" t="s">
        <v>11</v>
      </c>
      <c r="H2914" s="27" t="s">
        <v>1092</v>
      </c>
      <c r="I2914" s="27" t="s">
        <v>13</v>
      </c>
    </row>
    <row r="2915" spans="1:9" x14ac:dyDescent="0.3">
      <c r="A2915" s="26">
        <v>45085</v>
      </c>
      <c r="B2915" s="27" t="s">
        <v>122</v>
      </c>
      <c r="C2915" s="27" t="s">
        <v>18</v>
      </c>
      <c r="D2915" s="27" t="s">
        <v>7</v>
      </c>
      <c r="E2915" s="28">
        <v>103873</v>
      </c>
      <c r="F2915" s="28">
        <v>150885</v>
      </c>
      <c r="G2915" s="27" t="s">
        <v>8</v>
      </c>
      <c r="H2915" s="27" t="s">
        <v>1138</v>
      </c>
      <c r="I2915" s="27" t="s">
        <v>13</v>
      </c>
    </row>
    <row r="2916" spans="1:9" x14ac:dyDescent="0.3">
      <c r="A2916" s="26">
        <v>45085</v>
      </c>
      <c r="B2916" s="27" t="s">
        <v>122</v>
      </c>
      <c r="C2916" s="27" t="s">
        <v>20</v>
      </c>
      <c r="D2916" s="27" t="s">
        <v>24</v>
      </c>
      <c r="E2916" s="28">
        <v>72594</v>
      </c>
      <c r="F2916" s="28">
        <v>153605</v>
      </c>
      <c r="G2916" s="27" t="s">
        <v>8</v>
      </c>
      <c r="H2916" s="27" t="s">
        <v>1438</v>
      </c>
      <c r="I2916" s="27" t="s">
        <v>13</v>
      </c>
    </row>
    <row r="2917" spans="1:9" x14ac:dyDescent="0.3">
      <c r="A2917" s="26">
        <v>45085</v>
      </c>
      <c r="B2917" s="27" t="s">
        <v>122</v>
      </c>
      <c r="C2917" s="27" t="s">
        <v>15</v>
      </c>
      <c r="D2917" s="27" t="s">
        <v>16</v>
      </c>
      <c r="E2917" s="28">
        <v>102334</v>
      </c>
      <c r="F2917" s="28">
        <v>33755</v>
      </c>
      <c r="G2917" s="27" t="s">
        <v>8</v>
      </c>
      <c r="H2917" s="27" t="s">
        <v>1641</v>
      </c>
      <c r="I2917" s="27" t="s">
        <v>13</v>
      </c>
    </row>
    <row r="2918" spans="1:9" x14ac:dyDescent="0.3">
      <c r="A2918" s="26">
        <v>45085</v>
      </c>
      <c r="B2918" s="27" t="s">
        <v>122</v>
      </c>
      <c r="C2918" s="27" t="s">
        <v>15</v>
      </c>
      <c r="D2918" s="27" t="s">
        <v>24</v>
      </c>
      <c r="E2918" s="28">
        <v>69024</v>
      </c>
      <c r="F2918" s="28">
        <v>165743</v>
      </c>
      <c r="G2918" s="27" t="s">
        <v>22</v>
      </c>
      <c r="H2918" s="27" t="s">
        <v>1739</v>
      </c>
      <c r="I2918" s="27" t="s">
        <v>13</v>
      </c>
    </row>
    <row r="2919" spans="1:9" x14ac:dyDescent="0.3">
      <c r="A2919" s="26">
        <v>45085</v>
      </c>
      <c r="B2919" s="27" t="s">
        <v>122</v>
      </c>
      <c r="C2919" s="27" t="s">
        <v>14</v>
      </c>
      <c r="D2919" s="27" t="s">
        <v>19</v>
      </c>
      <c r="E2919" s="28">
        <v>78259</v>
      </c>
      <c r="F2919" s="28">
        <v>58906</v>
      </c>
      <c r="G2919" s="27" t="s">
        <v>11</v>
      </c>
      <c r="H2919" s="27" t="s">
        <v>1805</v>
      </c>
      <c r="I2919" s="27" t="s">
        <v>13</v>
      </c>
    </row>
    <row r="2920" spans="1:9" x14ac:dyDescent="0.3">
      <c r="A2920" s="26">
        <v>45085</v>
      </c>
      <c r="B2920" s="27" t="s">
        <v>122</v>
      </c>
      <c r="C2920" s="27" t="s">
        <v>20</v>
      </c>
      <c r="D2920" s="27" t="s">
        <v>16</v>
      </c>
      <c r="E2920" s="28">
        <v>89820</v>
      </c>
      <c r="F2920" s="28">
        <v>97618</v>
      </c>
      <c r="G2920" s="27" t="s">
        <v>17</v>
      </c>
      <c r="H2920" s="27" t="s">
        <v>1848</v>
      </c>
      <c r="I2920" s="27" t="s">
        <v>13</v>
      </c>
    </row>
    <row r="2921" spans="1:9" x14ac:dyDescent="0.3">
      <c r="A2921" s="26">
        <v>45085</v>
      </c>
      <c r="B2921" s="27" t="s">
        <v>122</v>
      </c>
      <c r="C2921" s="27" t="s">
        <v>18</v>
      </c>
      <c r="D2921" s="27" t="s">
        <v>21</v>
      </c>
      <c r="E2921" s="28">
        <v>66064</v>
      </c>
      <c r="F2921" s="28">
        <v>19149</v>
      </c>
      <c r="G2921" s="27" t="s">
        <v>22</v>
      </c>
      <c r="H2921" s="27" t="s">
        <v>2821</v>
      </c>
      <c r="I2921" s="27" t="s">
        <v>13</v>
      </c>
    </row>
    <row r="2922" spans="1:9" x14ac:dyDescent="0.3">
      <c r="A2922" s="26">
        <v>45085</v>
      </c>
      <c r="B2922" s="27" t="s">
        <v>122</v>
      </c>
      <c r="C2922" s="27" t="s">
        <v>32</v>
      </c>
      <c r="D2922" s="27" t="s">
        <v>19</v>
      </c>
      <c r="E2922" s="28">
        <v>62095</v>
      </c>
      <c r="F2922" s="28">
        <v>104672</v>
      </c>
      <c r="G2922" s="27" t="s">
        <v>11</v>
      </c>
      <c r="H2922" s="27" t="s">
        <v>2979</v>
      </c>
      <c r="I2922" s="27" t="s">
        <v>13</v>
      </c>
    </row>
    <row r="2923" spans="1:9" x14ac:dyDescent="0.3">
      <c r="A2923" s="26">
        <v>45085</v>
      </c>
      <c r="B2923" s="27" t="s">
        <v>122</v>
      </c>
      <c r="C2923" s="27" t="s">
        <v>15</v>
      </c>
      <c r="D2923" s="27" t="s">
        <v>24</v>
      </c>
      <c r="E2923" s="28">
        <v>149786</v>
      </c>
      <c r="F2923" s="28">
        <v>78378</v>
      </c>
      <c r="G2923" s="27" t="s">
        <v>8</v>
      </c>
      <c r="H2923" s="27" t="s">
        <v>3193</v>
      </c>
      <c r="I2923" s="27" t="s">
        <v>13</v>
      </c>
    </row>
    <row r="2924" spans="1:9" x14ac:dyDescent="0.3">
      <c r="A2924" s="26">
        <v>45085</v>
      </c>
      <c r="B2924" s="27" t="s">
        <v>122</v>
      </c>
      <c r="C2924" s="27" t="s">
        <v>14</v>
      </c>
      <c r="D2924" s="27" t="s">
        <v>16</v>
      </c>
      <c r="E2924" s="28">
        <v>86394</v>
      </c>
      <c r="F2924" s="28">
        <v>31336</v>
      </c>
      <c r="G2924" s="27" t="s">
        <v>22</v>
      </c>
      <c r="H2924" s="27" t="s">
        <v>3204</v>
      </c>
      <c r="I2924" s="27" t="s">
        <v>13</v>
      </c>
    </row>
    <row r="2925" spans="1:9" x14ac:dyDescent="0.3">
      <c r="A2925" s="26">
        <v>45085</v>
      </c>
      <c r="B2925" s="27" t="s">
        <v>122</v>
      </c>
      <c r="C2925" s="27" t="s">
        <v>93</v>
      </c>
      <c r="D2925" s="27" t="s">
        <v>24</v>
      </c>
      <c r="E2925" s="28">
        <v>108500</v>
      </c>
      <c r="F2925" s="28">
        <v>109100</v>
      </c>
      <c r="G2925" s="27" t="s">
        <v>17</v>
      </c>
      <c r="H2925" s="27" t="s">
        <v>3936</v>
      </c>
      <c r="I2925" s="27" t="s">
        <v>9</v>
      </c>
    </row>
    <row r="2926" spans="1:9" x14ac:dyDescent="0.3">
      <c r="A2926" s="26">
        <v>45085</v>
      </c>
      <c r="B2926" s="27" t="s">
        <v>122</v>
      </c>
      <c r="C2926" s="27" t="s">
        <v>6</v>
      </c>
      <c r="D2926" s="27" t="s">
        <v>24</v>
      </c>
      <c r="E2926" s="28">
        <v>202300</v>
      </c>
      <c r="F2926" s="28">
        <v>201700</v>
      </c>
      <c r="G2926" s="27" t="s">
        <v>22</v>
      </c>
      <c r="H2926" s="27" t="s">
        <v>4409</v>
      </c>
      <c r="I2926" s="27" t="s">
        <v>9</v>
      </c>
    </row>
    <row r="2927" spans="1:9" x14ac:dyDescent="0.3">
      <c r="A2927" s="26">
        <v>45085</v>
      </c>
      <c r="B2927" s="27" t="s">
        <v>122</v>
      </c>
      <c r="C2927" s="27" t="s">
        <v>93</v>
      </c>
      <c r="D2927" s="27" t="s">
        <v>19</v>
      </c>
      <c r="E2927" s="28">
        <v>81400</v>
      </c>
      <c r="F2927" s="28">
        <v>91800</v>
      </c>
      <c r="G2927" s="27" t="s">
        <v>22</v>
      </c>
      <c r="H2927" s="27" t="s">
        <v>4474</v>
      </c>
      <c r="I2927" s="27" t="s">
        <v>9</v>
      </c>
    </row>
    <row r="2928" spans="1:9" x14ac:dyDescent="0.3">
      <c r="A2928" s="26">
        <v>45085</v>
      </c>
      <c r="B2928" s="27" t="s">
        <v>122</v>
      </c>
      <c r="C2928" s="27" t="s">
        <v>93</v>
      </c>
      <c r="D2928" s="27" t="s">
        <v>7</v>
      </c>
      <c r="E2928" s="28">
        <v>127600</v>
      </c>
      <c r="F2928" s="28">
        <v>139100</v>
      </c>
      <c r="G2928" s="27" t="s">
        <v>22</v>
      </c>
      <c r="H2928" s="27" t="s">
        <v>4521</v>
      </c>
      <c r="I2928" s="27" t="s">
        <v>9</v>
      </c>
    </row>
    <row r="2929" spans="1:9" x14ac:dyDescent="0.3">
      <c r="A2929" s="26">
        <v>45085</v>
      </c>
      <c r="B2929" s="27" t="s">
        <v>122</v>
      </c>
      <c r="C2929" s="27" t="s">
        <v>6</v>
      </c>
      <c r="D2929" s="27" t="s">
        <v>24</v>
      </c>
      <c r="E2929" s="28">
        <v>122000</v>
      </c>
      <c r="F2929" s="28">
        <v>111400</v>
      </c>
      <c r="G2929" s="27" t="s">
        <v>11</v>
      </c>
      <c r="H2929" s="27" t="s">
        <v>4821</v>
      </c>
      <c r="I2929" s="27" t="s">
        <v>9</v>
      </c>
    </row>
    <row r="2930" spans="1:9" x14ac:dyDescent="0.3">
      <c r="A2930" s="26">
        <v>45085</v>
      </c>
      <c r="B2930" s="27" t="s">
        <v>122</v>
      </c>
      <c r="C2930" s="27" t="s">
        <v>93</v>
      </c>
      <c r="D2930" s="27" t="s">
        <v>16</v>
      </c>
      <c r="E2930" s="28">
        <v>90900</v>
      </c>
      <c r="F2930" s="28">
        <v>100500</v>
      </c>
      <c r="G2930" s="27" t="s">
        <v>22</v>
      </c>
      <c r="H2930" s="27" t="s">
        <v>5024</v>
      </c>
      <c r="I2930" s="27" t="s">
        <v>9</v>
      </c>
    </row>
    <row r="2931" spans="1:9" x14ac:dyDescent="0.3">
      <c r="A2931" s="26">
        <v>45085</v>
      </c>
      <c r="B2931" s="27" t="s">
        <v>122</v>
      </c>
      <c r="C2931" s="27" t="s">
        <v>6</v>
      </c>
      <c r="D2931" s="27" t="s">
        <v>24</v>
      </c>
      <c r="E2931" s="28">
        <v>222000</v>
      </c>
      <c r="F2931" s="28">
        <v>263000</v>
      </c>
      <c r="G2931" s="27" t="s">
        <v>11</v>
      </c>
      <c r="H2931" s="27" t="s">
        <v>5122</v>
      </c>
      <c r="I2931" s="27" t="s">
        <v>9</v>
      </c>
    </row>
    <row r="2932" spans="1:9" x14ac:dyDescent="0.3">
      <c r="A2932" s="26">
        <v>45085</v>
      </c>
      <c r="B2932" s="27" t="s">
        <v>122</v>
      </c>
      <c r="C2932" s="27" t="s">
        <v>6</v>
      </c>
      <c r="D2932" s="27" t="s">
        <v>19</v>
      </c>
      <c r="E2932" s="28">
        <v>244700</v>
      </c>
      <c r="F2932" s="28">
        <v>264700</v>
      </c>
      <c r="G2932" s="27" t="s">
        <v>22</v>
      </c>
      <c r="H2932" s="27" t="s">
        <v>5188</v>
      </c>
      <c r="I2932" s="27" t="s">
        <v>9</v>
      </c>
    </row>
    <row r="2933" spans="1:9" x14ac:dyDescent="0.3">
      <c r="A2933" s="26">
        <v>45085</v>
      </c>
      <c r="B2933" s="27" t="s">
        <v>122</v>
      </c>
      <c r="C2933" s="27" t="s">
        <v>6</v>
      </c>
      <c r="D2933" s="27" t="s">
        <v>16</v>
      </c>
      <c r="E2933" s="28">
        <v>94100</v>
      </c>
      <c r="F2933" s="28">
        <v>105100</v>
      </c>
      <c r="G2933" s="27" t="s">
        <v>11</v>
      </c>
      <c r="H2933" s="27" t="s">
        <v>5231</v>
      </c>
      <c r="I2933" s="27" t="s">
        <v>9</v>
      </c>
    </row>
    <row r="2934" spans="1:9" x14ac:dyDescent="0.3">
      <c r="A2934" s="26">
        <v>45085</v>
      </c>
      <c r="B2934" s="27" t="s">
        <v>122</v>
      </c>
      <c r="C2934" s="27" t="s">
        <v>93</v>
      </c>
      <c r="D2934" s="27" t="s">
        <v>21</v>
      </c>
      <c r="E2934" s="28">
        <v>135900</v>
      </c>
      <c r="F2934" s="28">
        <v>140500</v>
      </c>
      <c r="G2934" s="27" t="s">
        <v>11</v>
      </c>
      <c r="H2934" s="27" t="s">
        <v>6206</v>
      </c>
      <c r="I2934" s="27" t="s">
        <v>9</v>
      </c>
    </row>
    <row r="2935" spans="1:9" x14ac:dyDescent="0.3">
      <c r="A2935" s="26">
        <v>45085</v>
      </c>
      <c r="B2935" s="27" t="s">
        <v>122</v>
      </c>
      <c r="C2935" s="27" t="s">
        <v>6</v>
      </c>
      <c r="D2935" s="27" t="s">
        <v>19</v>
      </c>
      <c r="E2935" s="28">
        <v>49300</v>
      </c>
      <c r="F2935" s="28">
        <v>29600</v>
      </c>
      <c r="G2935" s="27" t="s">
        <v>11</v>
      </c>
      <c r="H2935" s="27" t="s">
        <v>6364</v>
      </c>
      <c r="I2935" s="27" t="s">
        <v>9</v>
      </c>
    </row>
    <row r="2936" spans="1:9" x14ac:dyDescent="0.3">
      <c r="A2936" s="26">
        <v>45085</v>
      </c>
      <c r="B2936" s="27" t="s">
        <v>122</v>
      </c>
      <c r="C2936" s="27" t="s">
        <v>6</v>
      </c>
      <c r="D2936" s="27" t="s">
        <v>24</v>
      </c>
      <c r="E2936" s="28">
        <v>82100</v>
      </c>
      <c r="F2936" s="28">
        <v>80000</v>
      </c>
      <c r="G2936" s="27" t="s">
        <v>11</v>
      </c>
      <c r="H2936" s="27" t="s">
        <v>6578</v>
      </c>
      <c r="I2936" s="27" t="s">
        <v>9</v>
      </c>
    </row>
    <row r="2937" spans="1:9" x14ac:dyDescent="0.3">
      <c r="A2937" s="26">
        <v>45085</v>
      </c>
      <c r="B2937" s="27" t="s">
        <v>122</v>
      </c>
      <c r="C2937" s="27" t="s">
        <v>6</v>
      </c>
      <c r="D2937" s="27" t="s">
        <v>16</v>
      </c>
      <c r="E2937" s="28">
        <v>268900</v>
      </c>
      <c r="F2937" s="28">
        <v>230900</v>
      </c>
      <c r="G2937" s="27" t="s">
        <v>22</v>
      </c>
      <c r="H2937" s="27" t="s">
        <v>6589</v>
      </c>
      <c r="I2937" s="27" t="s">
        <v>9</v>
      </c>
    </row>
    <row r="2938" spans="1:9" x14ac:dyDescent="0.3">
      <c r="A2938" s="26">
        <v>45086</v>
      </c>
      <c r="B2938" s="27" t="s">
        <v>122</v>
      </c>
      <c r="C2938" s="27" t="s">
        <v>20</v>
      </c>
      <c r="D2938" s="27" t="s">
        <v>19</v>
      </c>
      <c r="E2938" s="28">
        <v>10047</v>
      </c>
      <c r="F2938" s="28">
        <v>135482</v>
      </c>
      <c r="G2938" s="27" t="s">
        <v>22</v>
      </c>
      <c r="H2938" s="27" t="s">
        <v>1439</v>
      </c>
      <c r="I2938" s="27" t="s">
        <v>13</v>
      </c>
    </row>
    <row r="2939" spans="1:9" x14ac:dyDescent="0.3">
      <c r="A2939" s="26">
        <v>45086</v>
      </c>
      <c r="B2939" s="27" t="s">
        <v>122</v>
      </c>
      <c r="C2939" s="27" t="s">
        <v>10</v>
      </c>
      <c r="D2939" s="27" t="s">
        <v>19</v>
      </c>
      <c r="E2939" s="28">
        <v>125269</v>
      </c>
      <c r="F2939" s="28">
        <v>50248</v>
      </c>
      <c r="G2939" s="27" t="s">
        <v>22</v>
      </c>
      <c r="H2939" s="27" t="s">
        <v>1630</v>
      </c>
      <c r="I2939" s="27" t="s">
        <v>13</v>
      </c>
    </row>
    <row r="2940" spans="1:9" x14ac:dyDescent="0.3">
      <c r="A2940" s="26">
        <v>45086</v>
      </c>
      <c r="B2940" s="27" t="s">
        <v>122</v>
      </c>
      <c r="C2940" s="27" t="s">
        <v>32</v>
      </c>
      <c r="D2940" s="27" t="s">
        <v>24</v>
      </c>
      <c r="E2940" s="28">
        <v>42794</v>
      </c>
      <c r="F2940" s="28">
        <v>168732</v>
      </c>
      <c r="G2940" s="27" t="s">
        <v>8</v>
      </c>
      <c r="H2940" s="27" t="s">
        <v>2381</v>
      </c>
      <c r="I2940" s="27" t="s">
        <v>13</v>
      </c>
    </row>
    <row r="2941" spans="1:9" x14ac:dyDescent="0.3">
      <c r="A2941" s="26">
        <v>45086</v>
      </c>
      <c r="B2941" s="27" t="s">
        <v>122</v>
      </c>
      <c r="C2941" s="27" t="s">
        <v>20</v>
      </c>
      <c r="D2941" s="27" t="s">
        <v>7</v>
      </c>
      <c r="E2941" s="28">
        <v>27725</v>
      </c>
      <c r="F2941" s="28">
        <v>118945</v>
      </c>
      <c r="G2941" s="27" t="s">
        <v>17</v>
      </c>
      <c r="H2941" s="27" t="s">
        <v>2401</v>
      </c>
      <c r="I2941" s="27" t="s">
        <v>13</v>
      </c>
    </row>
    <row r="2942" spans="1:9" x14ac:dyDescent="0.3">
      <c r="A2942" s="26">
        <v>45086</v>
      </c>
      <c r="B2942" s="27" t="s">
        <v>122</v>
      </c>
      <c r="C2942" s="27" t="s">
        <v>14</v>
      </c>
      <c r="D2942" s="27" t="s">
        <v>24</v>
      </c>
      <c r="E2942" s="28">
        <v>130652</v>
      </c>
      <c r="F2942" s="28">
        <v>150813</v>
      </c>
      <c r="G2942" s="27" t="s">
        <v>17</v>
      </c>
      <c r="H2942" s="27" t="s">
        <v>2510</v>
      </c>
      <c r="I2942" s="27" t="s">
        <v>13</v>
      </c>
    </row>
    <row r="2943" spans="1:9" x14ac:dyDescent="0.3">
      <c r="A2943" s="26">
        <v>45086</v>
      </c>
      <c r="B2943" s="27" t="s">
        <v>122</v>
      </c>
      <c r="C2943" s="27" t="s">
        <v>10</v>
      </c>
      <c r="D2943" s="27" t="s">
        <v>21</v>
      </c>
      <c r="E2943" s="28">
        <v>32434</v>
      </c>
      <c r="F2943" s="28">
        <v>127901</v>
      </c>
      <c r="G2943" s="27" t="s">
        <v>11</v>
      </c>
      <c r="H2943" s="27" t="s">
        <v>2733</v>
      </c>
      <c r="I2943" s="27" t="s">
        <v>13</v>
      </c>
    </row>
    <row r="2944" spans="1:9" x14ac:dyDescent="0.3">
      <c r="A2944" s="26">
        <v>45086</v>
      </c>
      <c r="B2944" s="27" t="s">
        <v>122</v>
      </c>
      <c r="C2944" s="27" t="s">
        <v>32</v>
      </c>
      <c r="D2944" s="27" t="s">
        <v>16</v>
      </c>
      <c r="E2944" s="28">
        <v>121115</v>
      </c>
      <c r="F2944" s="28">
        <v>60793</v>
      </c>
      <c r="G2944" s="27" t="s">
        <v>11</v>
      </c>
      <c r="H2944" s="27" t="s">
        <v>2879</v>
      </c>
      <c r="I2944" s="27" t="s">
        <v>13</v>
      </c>
    </row>
    <row r="2945" spans="1:9" x14ac:dyDescent="0.3">
      <c r="A2945" s="26">
        <v>45086</v>
      </c>
      <c r="B2945" s="27" t="s">
        <v>122</v>
      </c>
      <c r="C2945" s="27" t="s">
        <v>15</v>
      </c>
      <c r="D2945" s="27" t="s">
        <v>16</v>
      </c>
      <c r="E2945" s="28">
        <v>116171</v>
      </c>
      <c r="F2945" s="28">
        <v>77939</v>
      </c>
      <c r="G2945" s="27" t="s">
        <v>22</v>
      </c>
      <c r="H2945" s="27" t="s">
        <v>3025</v>
      </c>
      <c r="I2945" s="27" t="s">
        <v>13</v>
      </c>
    </row>
    <row r="2946" spans="1:9" x14ac:dyDescent="0.3">
      <c r="A2946" s="26">
        <v>45086</v>
      </c>
      <c r="B2946" s="27" t="s">
        <v>122</v>
      </c>
      <c r="C2946" s="27" t="s">
        <v>93</v>
      </c>
      <c r="D2946" s="27" t="s">
        <v>19</v>
      </c>
      <c r="E2946" s="28">
        <v>87700</v>
      </c>
      <c r="F2946" s="28">
        <v>111800</v>
      </c>
      <c r="G2946" s="27" t="s">
        <v>11</v>
      </c>
      <c r="H2946" s="27" t="s">
        <v>4822</v>
      </c>
      <c r="I2946" s="27" t="s">
        <v>9</v>
      </c>
    </row>
    <row r="2947" spans="1:9" x14ac:dyDescent="0.3">
      <c r="A2947" s="26">
        <v>45086</v>
      </c>
      <c r="B2947" s="27" t="s">
        <v>122</v>
      </c>
      <c r="C2947" s="27" t="s">
        <v>6</v>
      </c>
      <c r="D2947" s="27" t="s">
        <v>19</v>
      </c>
      <c r="E2947" s="28">
        <v>137100</v>
      </c>
      <c r="F2947" s="28">
        <v>141000</v>
      </c>
      <c r="G2947" s="27" t="s">
        <v>11</v>
      </c>
      <c r="H2947" s="27" t="s">
        <v>5013</v>
      </c>
      <c r="I2947" s="27" t="s">
        <v>9</v>
      </c>
    </row>
    <row r="2948" spans="1:9" x14ac:dyDescent="0.3">
      <c r="A2948" s="26">
        <v>45086</v>
      </c>
      <c r="B2948" s="27" t="s">
        <v>122</v>
      </c>
      <c r="C2948" s="27" t="s">
        <v>6</v>
      </c>
      <c r="D2948" s="27" t="s">
        <v>24</v>
      </c>
      <c r="E2948" s="28">
        <v>179100</v>
      </c>
      <c r="F2948" s="28">
        <v>203900</v>
      </c>
      <c r="G2948" s="27" t="s">
        <v>11</v>
      </c>
      <c r="H2948" s="27" t="s">
        <v>5766</v>
      </c>
      <c r="I2948" s="27" t="s">
        <v>9</v>
      </c>
    </row>
    <row r="2949" spans="1:9" x14ac:dyDescent="0.3">
      <c r="A2949" s="26">
        <v>45086</v>
      </c>
      <c r="B2949" s="27" t="s">
        <v>122</v>
      </c>
      <c r="C2949" s="27" t="s">
        <v>93</v>
      </c>
      <c r="D2949" s="27" t="s">
        <v>7</v>
      </c>
      <c r="E2949" s="28">
        <v>57000</v>
      </c>
      <c r="F2949" s="28">
        <v>46000</v>
      </c>
      <c r="G2949" s="27" t="s">
        <v>11</v>
      </c>
      <c r="H2949" s="27" t="s">
        <v>5786</v>
      </c>
      <c r="I2949" s="27" t="s">
        <v>9</v>
      </c>
    </row>
    <row r="2950" spans="1:9" x14ac:dyDescent="0.3">
      <c r="A2950" s="26">
        <v>45086</v>
      </c>
      <c r="B2950" s="27" t="s">
        <v>122</v>
      </c>
      <c r="C2950" s="27" t="s">
        <v>93</v>
      </c>
      <c r="D2950" s="27" t="s">
        <v>24</v>
      </c>
      <c r="E2950" s="28">
        <v>87000</v>
      </c>
      <c r="F2950" s="28">
        <v>87500</v>
      </c>
      <c r="G2950" s="27" t="s">
        <v>11</v>
      </c>
      <c r="H2950" s="27" t="s">
        <v>5895</v>
      </c>
      <c r="I2950" s="27" t="s">
        <v>9</v>
      </c>
    </row>
    <row r="2951" spans="1:9" x14ac:dyDescent="0.3">
      <c r="A2951" s="26">
        <v>45086</v>
      </c>
      <c r="B2951" s="27" t="s">
        <v>122</v>
      </c>
      <c r="C2951" s="27" t="s">
        <v>6</v>
      </c>
      <c r="D2951" s="27" t="s">
        <v>21</v>
      </c>
      <c r="E2951" s="28">
        <v>74500</v>
      </c>
      <c r="F2951" s="28">
        <v>70200</v>
      </c>
      <c r="G2951" s="27" t="s">
        <v>11</v>
      </c>
      <c r="H2951" s="27" t="s">
        <v>6118</v>
      </c>
      <c r="I2951" s="27" t="s">
        <v>9</v>
      </c>
    </row>
    <row r="2952" spans="1:9" x14ac:dyDescent="0.3">
      <c r="A2952" s="26">
        <v>45086</v>
      </c>
      <c r="B2952" s="27" t="s">
        <v>122</v>
      </c>
      <c r="C2952" s="27" t="s">
        <v>93</v>
      </c>
      <c r="D2952" s="27" t="s">
        <v>16</v>
      </c>
      <c r="E2952" s="28">
        <v>76200</v>
      </c>
      <c r="F2952" s="28">
        <v>77500</v>
      </c>
      <c r="G2952" s="27" t="s">
        <v>22</v>
      </c>
      <c r="H2952" s="27" t="s">
        <v>6264</v>
      </c>
      <c r="I2952" s="27" t="s">
        <v>9</v>
      </c>
    </row>
    <row r="2953" spans="1:9" x14ac:dyDescent="0.3">
      <c r="A2953" s="26">
        <v>45086</v>
      </c>
      <c r="B2953" s="27" t="s">
        <v>122</v>
      </c>
      <c r="C2953" s="27" t="s">
        <v>93</v>
      </c>
      <c r="D2953" s="27" t="s">
        <v>16</v>
      </c>
      <c r="E2953" s="28">
        <v>201500</v>
      </c>
      <c r="F2953" s="28">
        <v>226200</v>
      </c>
      <c r="G2953" s="27" t="s">
        <v>17</v>
      </c>
      <c r="H2953" s="27" t="s">
        <v>6410</v>
      </c>
      <c r="I2953" s="27" t="s">
        <v>9</v>
      </c>
    </row>
    <row r="2954" spans="1:9" x14ac:dyDescent="0.3">
      <c r="A2954" s="26">
        <v>45087</v>
      </c>
      <c r="B2954" s="27" t="s">
        <v>122</v>
      </c>
      <c r="C2954" s="27" t="s">
        <v>15</v>
      </c>
      <c r="D2954" s="27" t="s">
        <v>16</v>
      </c>
      <c r="E2954" s="28">
        <v>133110</v>
      </c>
      <c r="F2954" s="28">
        <v>47537</v>
      </c>
      <c r="G2954" s="27" t="s">
        <v>11</v>
      </c>
      <c r="H2954" s="27" t="s">
        <v>222</v>
      </c>
      <c r="I2954" s="27" t="s">
        <v>13</v>
      </c>
    </row>
    <row r="2955" spans="1:9" x14ac:dyDescent="0.3">
      <c r="A2955" s="26">
        <v>45087</v>
      </c>
      <c r="B2955" s="27" t="s">
        <v>122</v>
      </c>
      <c r="C2955" s="27" t="s">
        <v>20</v>
      </c>
      <c r="D2955" s="27" t="s">
        <v>24</v>
      </c>
      <c r="E2955" s="28">
        <v>74899</v>
      </c>
      <c r="F2955" s="28">
        <v>42508</v>
      </c>
      <c r="G2955" s="27" t="s">
        <v>8</v>
      </c>
      <c r="H2955" s="27" t="s">
        <v>597</v>
      </c>
      <c r="I2955" s="27" t="s">
        <v>13</v>
      </c>
    </row>
    <row r="2956" spans="1:9" x14ac:dyDescent="0.3">
      <c r="A2956" s="26">
        <v>45087</v>
      </c>
      <c r="B2956" s="27" t="s">
        <v>122</v>
      </c>
      <c r="C2956" s="27" t="s">
        <v>10</v>
      </c>
      <c r="D2956" s="27" t="s">
        <v>7</v>
      </c>
      <c r="E2956" s="28">
        <v>108104</v>
      </c>
      <c r="F2956" s="28">
        <v>136939</v>
      </c>
      <c r="G2956" s="27" t="s">
        <v>8</v>
      </c>
      <c r="H2956" s="27" t="s">
        <v>648</v>
      </c>
      <c r="I2956" s="27" t="s">
        <v>13</v>
      </c>
    </row>
    <row r="2957" spans="1:9" x14ac:dyDescent="0.3">
      <c r="A2957" s="26">
        <v>45087</v>
      </c>
      <c r="B2957" s="27" t="s">
        <v>122</v>
      </c>
      <c r="C2957" s="27" t="s">
        <v>18</v>
      </c>
      <c r="D2957" s="27" t="s">
        <v>7</v>
      </c>
      <c r="E2957" s="28">
        <v>73192</v>
      </c>
      <c r="F2957" s="28">
        <v>92122</v>
      </c>
      <c r="G2957" s="27" t="s">
        <v>22</v>
      </c>
      <c r="H2957" s="27" t="s">
        <v>661</v>
      </c>
      <c r="I2957" s="27" t="s">
        <v>13</v>
      </c>
    </row>
    <row r="2958" spans="1:9" x14ac:dyDescent="0.3">
      <c r="A2958" s="26">
        <v>45087</v>
      </c>
      <c r="B2958" s="27" t="s">
        <v>122</v>
      </c>
      <c r="C2958" s="27" t="s">
        <v>32</v>
      </c>
      <c r="D2958" s="27" t="s">
        <v>16</v>
      </c>
      <c r="E2958" s="28">
        <v>90483</v>
      </c>
      <c r="F2958" s="28">
        <v>113777</v>
      </c>
      <c r="G2958" s="27" t="s">
        <v>11</v>
      </c>
      <c r="H2958" s="27" t="s">
        <v>1141</v>
      </c>
      <c r="I2958" s="27" t="s">
        <v>13</v>
      </c>
    </row>
    <row r="2959" spans="1:9" x14ac:dyDescent="0.3">
      <c r="A2959" s="26">
        <v>45087</v>
      </c>
      <c r="B2959" s="27" t="s">
        <v>122</v>
      </c>
      <c r="C2959" s="27" t="s">
        <v>15</v>
      </c>
      <c r="D2959" s="27" t="s">
        <v>19</v>
      </c>
      <c r="E2959" s="28">
        <v>140634</v>
      </c>
      <c r="F2959" s="28">
        <v>67826</v>
      </c>
      <c r="G2959" s="27" t="s">
        <v>8</v>
      </c>
      <c r="H2959" s="27" t="s">
        <v>1167</v>
      </c>
      <c r="I2959" s="27" t="s">
        <v>13</v>
      </c>
    </row>
    <row r="2960" spans="1:9" x14ac:dyDescent="0.3">
      <c r="A2960" s="26">
        <v>45087</v>
      </c>
      <c r="B2960" s="27" t="s">
        <v>122</v>
      </c>
      <c r="C2960" s="27" t="s">
        <v>14</v>
      </c>
      <c r="D2960" s="27" t="s">
        <v>16</v>
      </c>
      <c r="E2960" s="28">
        <v>102221</v>
      </c>
      <c r="F2960" s="28">
        <v>103331</v>
      </c>
      <c r="G2960" s="27" t="s">
        <v>11</v>
      </c>
      <c r="H2960" s="27" t="s">
        <v>1448</v>
      </c>
      <c r="I2960" s="27" t="s">
        <v>13</v>
      </c>
    </row>
    <row r="2961" spans="1:9" x14ac:dyDescent="0.3">
      <c r="A2961" s="26">
        <v>45087</v>
      </c>
      <c r="B2961" s="27" t="s">
        <v>122</v>
      </c>
      <c r="C2961" s="27" t="s">
        <v>18</v>
      </c>
      <c r="D2961" s="27" t="s">
        <v>7</v>
      </c>
      <c r="E2961" s="28">
        <v>69435</v>
      </c>
      <c r="F2961" s="28">
        <v>142821</v>
      </c>
      <c r="G2961" s="27" t="s">
        <v>22</v>
      </c>
      <c r="H2961" s="27" t="s">
        <v>1625</v>
      </c>
      <c r="I2961" s="27" t="s">
        <v>13</v>
      </c>
    </row>
    <row r="2962" spans="1:9" x14ac:dyDescent="0.3">
      <c r="A2962" s="26">
        <v>45087</v>
      </c>
      <c r="B2962" s="27" t="s">
        <v>122</v>
      </c>
      <c r="C2962" s="27" t="s">
        <v>18</v>
      </c>
      <c r="D2962" s="27" t="s">
        <v>7</v>
      </c>
      <c r="E2962" s="28">
        <v>108548</v>
      </c>
      <c r="F2962" s="28">
        <v>28435</v>
      </c>
      <c r="G2962" s="27" t="s">
        <v>22</v>
      </c>
      <c r="H2962" s="27" t="s">
        <v>1663</v>
      </c>
      <c r="I2962" s="27" t="s">
        <v>13</v>
      </c>
    </row>
    <row r="2963" spans="1:9" x14ac:dyDescent="0.3">
      <c r="A2963" s="26">
        <v>45087</v>
      </c>
      <c r="B2963" s="27" t="s">
        <v>122</v>
      </c>
      <c r="C2963" s="27" t="s">
        <v>18</v>
      </c>
      <c r="D2963" s="27" t="s">
        <v>21</v>
      </c>
      <c r="E2963" s="28">
        <v>13728</v>
      </c>
      <c r="F2963" s="28">
        <v>152297</v>
      </c>
      <c r="G2963" s="27" t="s">
        <v>22</v>
      </c>
      <c r="H2963" s="27" t="s">
        <v>1900</v>
      </c>
      <c r="I2963" s="27" t="s">
        <v>13</v>
      </c>
    </row>
    <row r="2964" spans="1:9" x14ac:dyDescent="0.3">
      <c r="A2964" s="26">
        <v>45087</v>
      </c>
      <c r="B2964" s="27" t="s">
        <v>122</v>
      </c>
      <c r="C2964" s="27" t="s">
        <v>14</v>
      </c>
      <c r="D2964" s="27" t="s">
        <v>19</v>
      </c>
      <c r="E2964" s="28">
        <v>11215</v>
      </c>
      <c r="F2964" s="28">
        <v>25121</v>
      </c>
      <c r="G2964" s="27" t="s">
        <v>22</v>
      </c>
      <c r="H2964" s="27" t="s">
        <v>2737</v>
      </c>
      <c r="I2964" s="27" t="s">
        <v>13</v>
      </c>
    </row>
    <row r="2965" spans="1:9" x14ac:dyDescent="0.3">
      <c r="A2965" s="26">
        <v>45087</v>
      </c>
      <c r="B2965" s="27" t="s">
        <v>122</v>
      </c>
      <c r="C2965" s="27" t="s">
        <v>32</v>
      </c>
      <c r="D2965" s="27" t="s">
        <v>7</v>
      </c>
      <c r="E2965" s="28">
        <v>16520</v>
      </c>
      <c r="F2965" s="28">
        <v>80023</v>
      </c>
      <c r="G2965" s="27" t="s">
        <v>11</v>
      </c>
      <c r="H2965" s="27" t="s">
        <v>2946</v>
      </c>
      <c r="I2965" s="27" t="s">
        <v>13</v>
      </c>
    </row>
    <row r="2966" spans="1:9" x14ac:dyDescent="0.3">
      <c r="A2966" s="26">
        <v>45087</v>
      </c>
      <c r="B2966" s="27" t="s">
        <v>122</v>
      </c>
      <c r="C2966" s="27" t="s">
        <v>14</v>
      </c>
      <c r="D2966" s="27" t="s">
        <v>19</v>
      </c>
      <c r="E2966" s="28">
        <v>121611</v>
      </c>
      <c r="F2966" s="28">
        <v>86738</v>
      </c>
      <c r="G2966" s="27" t="s">
        <v>11</v>
      </c>
      <c r="H2966" s="27" t="s">
        <v>3005</v>
      </c>
      <c r="I2966" s="27" t="s">
        <v>13</v>
      </c>
    </row>
    <row r="2967" spans="1:9" x14ac:dyDescent="0.3">
      <c r="A2967" s="26">
        <v>45087</v>
      </c>
      <c r="B2967" s="27" t="s">
        <v>122</v>
      </c>
      <c r="C2967" s="27" t="s">
        <v>6</v>
      </c>
      <c r="D2967" s="27" t="s">
        <v>16</v>
      </c>
      <c r="E2967" s="28">
        <v>116400</v>
      </c>
      <c r="F2967" s="28">
        <v>103600</v>
      </c>
      <c r="G2967" s="27" t="s">
        <v>11</v>
      </c>
      <c r="H2967" s="27" t="s">
        <v>3603</v>
      </c>
      <c r="I2967" s="27" t="s">
        <v>9</v>
      </c>
    </row>
    <row r="2968" spans="1:9" x14ac:dyDescent="0.3">
      <c r="A2968" s="26">
        <v>45087</v>
      </c>
      <c r="B2968" s="27" t="s">
        <v>122</v>
      </c>
      <c r="C2968" s="27" t="s">
        <v>93</v>
      </c>
      <c r="D2968" s="27" t="s">
        <v>24</v>
      </c>
      <c r="E2968" s="28">
        <v>145900</v>
      </c>
      <c r="F2968" s="28">
        <v>184400</v>
      </c>
      <c r="G2968" s="27" t="s">
        <v>22</v>
      </c>
      <c r="H2968" s="27" t="s">
        <v>3978</v>
      </c>
      <c r="I2968" s="27" t="s">
        <v>9</v>
      </c>
    </row>
    <row r="2969" spans="1:9" x14ac:dyDescent="0.3">
      <c r="A2969" s="26">
        <v>45087</v>
      </c>
      <c r="B2969" s="27" t="s">
        <v>122</v>
      </c>
      <c r="C2969" s="27" t="s">
        <v>93</v>
      </c>
      <c r="D2969" s="27" t="s">
        <v>7</v>
      </c>
      <c r="E2969" s="28">
        <v>75200</v>
      </c>
      <c r="F2969" s="28">
        <v>67700</v>
      </c>
      <c r="G2969" s="27" t="s">
        <v>11</v>
      </c>
      <c r="H2969" s="27" t="s">
        <v>4029</v>
      </c>
      <c r="I2969" s="27" t="s">
        <v>9</v>
      </c>
    </row>
    <row r="2970" spans="1:9" x14ac:dyDescent="0.3">
      <c r="A2970" s="26">
        <v>45087</v>
      </c>
      <c r="B2970" s="27" t="s">
        <v>122</v>
      </c>
      <c r="C2970" s="27" t="s">
        <v>93</v>
      </c>
      <c r="D2970" s="27" t="s">
        <v>7</v>
      </c>
      <c r="E2970" s="28">
        <v>71600</v>
      </c>
      <c r="F2970" s="28">
        <v>81000</v>
      </c>
      <c r="G2970" s="27" t="s">
        <v>11</v>
      </c>
      <c r="H2970" s="27" t="s">
        <v>4042</v>
      </c>
      <c r="I2970" s="27" t="s">
        <v>9</v>
      </c>
    </row>
    <row r="2971" spans="1:9" x14ac:dyDescent="0.3">
      <c r="A2971" s="26">
        <v>45087</v>
      </c>
      <c r="B2971" s="27" t="s">
        <v>122</v>
      </c>
      <c r="C2971" s="27" t="s">
        <v>93</v>
      </c>
      <c r="D2971" s="27" t="s">
        <v>16</v>
      </c>
      <c r="E2971" s="28">
        <v>157000</v>
      </c>
      <c r="F2971" s="28">
        <v>181300</v>
      </c>
      <c r="G2971" s="27" t="s">
        <v>17</v>
      </c>
      <c r="H2971" s="27" t="s">
        <v>4524</v>
      </c>
      <c r="I2971" s="27" t="s">
        <v>9</v>
      </c>
    </row>
    <row r="2972" spans="1:9" x14ac:dyDescent="0.3">
      <c r="A2972" s="26">
        <v>45087</v>
      </c>
      <c r="B2972" s="27" t="s">
        <v>122</v>
      </c>
      <c r="C2972" s="27" t="s">
        <v>6</v>
      </c>
      <c r="D2972" s="27" t="s">
        <v>19</v>
      </c>
      <c r="E2972" s="28">
        <v>64000</v>
      </c>
      <c r="F2972" s="28">
        <v>65000</v>
      </c>
      <c r="G2972" s="27" t="s">
        <v>11</v>
      </c>
      <c r="H2972" s="27" t="s">
        <v>4550</v>
      </c>
      <c r="I2972" s="27" t="s">
        <v>9</v>
      </c>
    </row>
    <row r="2973" spans="1:9" x14ac:dyDescent="0.3">
      <c r="A2973" s="26">
        <v>45087</v>
      </c>
      <c r="B2973" s="27" t="s">
        <v>122</v>
      </c>
      <c r="C2973" s="27" t="s">
        <v>6</v>
      </c>
      <c r="D2973" s="27" t="s">
        <v>16</v>
      </c>
      <c r="E2973" s="28">
        <v>132300</v>
      </c>
      <c r="F2973" s="28">
        <v>157600</v>
      </c>
      <c r="G2973" s="27" t="s">
        <v>11</v>
      </c>
      <c r="H2973" s="27" t="s">
        <v>4831</v>
      </c>
      <c r="I2973" s="27" t="s">
        <v>9</v>
      </c>
    </row>
    <row r="2974" spans="1:9" x14ac:dyDescent="0.3">
      <c r="A2974" s="26">
        <v>45087</v>
      </c>
      <c r="B2974" s="27" t="s">
        <v>122</v>
      </c>
      <c r="C2974" s="27" t="s">
        <v>6</v>
      </c>
      <c r="D2974" s="27" t="s">
        <v>7</v>
      </c>
      <c r="E2974" s="28">
        <v>107500</v>
      </c>
      <c r="F2974" s="28">
        <v>121100</v>
      </c>
      <c r="G2974" s="27" t="s">
        <v>11</v>
      </c>
      <c r="H2974" s="27" t="s">
        <v>5008</v>
      </c>
      <c r="I2974" s="27" t="s">
        <v>9</v>
      </c>
    </row>
    <row r="2975" spans="1:9" x14ac:dyDescent="0.3">
      <c r="A2975" s="26">
        <v>45087</v>
      </c>
      <c r="B2975" s="27" t="s">
        <v>122</v>
      </c>
      <c r="C2975" s="27" t="s">
        <v>6</v>
      </c>
      <c r="D2975" s="27" t="s">
        <v>7</v>
      </c>
      <c r="E2975" s="28">
        <v>136500</v>
      </c>
      <c r="F2975" s="28">
        <v>126600</v>
      </c>
      <c r="G2975" s="27" t="s">
        <v>11</v>
      </c>
      <c r="H2975" s="27" t="s">
        <v>5046</v>
      </c>
      <c r="I2975" s="27" t="s">
        <v>9</v>
      </c>
    </row>
    <row r="2976" spans="1:9" x14ac:dyDescent="0.3">
      <c r="A2976" s="26">
        <v>45087</v>
      </c>
      <c r="B2976" s="27" t="s">
        <v>122</v>
      </c>
      <c r="C2976" s="27" t="s">
        <v>93</v>
      </c>
      <c r="D2976" s="27" t="s">
        <v>21</v>
      </c>
      <c r="E2976" s="28">
        <v>142200</v>
      </c>
      <c r="F2976" s="28">
        <v>171600</v>
      </c>
      <c r="G2976" s="27" t="s">
        <v>22</v>
      </c>
      <c r="H2976" s="27" t="s">
        <v>5284</v>
      </c>
      <c r="I2976" s="27" t="s">
        <v>9</v>
      </c>
    </row>
    <row r="2977" spans="1:9" x14ac:dyDescent="0.3">
      <c r="A2977" s="26">
        <v>45087</v>
      </c>
      <c r="B2977" s="27" t="s">
        <v>122</v>
      </c>
      <c r="C2977" s="27" t="s">
        <v>6</v>
      </c>
      <c r="D2977" s="27" t="s">
        <v>19</v>
      </c>
      <c r="E2977" s="28">
        <v>125100</v>
      </c>
      <c r="F2977" s="28">
        <v>124500</v>
      </c>
      <c r="G2977" s="27" t="s">
        <v>22</v>
      </c>
      <c r="H2977" s="27" t="s">
        <v>6122</v>
      </c>
      <c r="I2977" s="27" t="s">
        <v>9</v>
      </c>
    </row>
    <row r="2978" spans="1:9" x14ac:dyDescent="0.3">
      <c r="A2978" s="26">
        <v>45087</v>
      </c>
      <c r="B2978" s="27" t="s">
        <v>122</v>
      </c>
      <c r="C2978" s="27" t="s">
        <v>93</v>
      </c>
      <c r="D2978" s="27" t="s">
        <v>7</v>
      </c>
      <c r="E2978" s="28">
        <v>49200</v>
      </c>
      <c r="F2978" s="28">
        <v>62100</v>
      </c>
      <c r="G2978" s="27" t="s">
        <v>22</v>
      </c>
      <c r="H2978" s="27" t="s">
        <v>6331</v>
      </c>
      <c r="I2978" s="27" t="s">
        <v>9</v>
      </c>
    </row>
    <row r="2979" spans="1:9" x14ac:dyDescent="0.3">
      <c r="A2979" s="26">
        <v>45087</v>
      </c>
      <c r="B2979" s="27" t="s">
        <v>122</v>
      </c>
      <c r="C2979" s="27" t="s">
        <v>93</v>
      </c>
      <c r="D2979" s="27" t="s">
        <v>19</v>
      </c>
      <c r="E2979" s="28">
        <v>38200</v>
      </c>
      <c r="F2979" s="28">
        <v>41600</v>
      </c>
      <c r="G2979" s="27" t="s">
        <v>22</v>
      </c>
      <c r="H2979" s="27" t="s">
        <v>6390</v>
      </c>
      <c r="I2979" s="27" t="s">
        <v>9</v>
      </c>
    </row>
    <row r="2980" spans="1:9" x14ac:dyDescent="0.3">
      <c r="A2980" s="26">
        <v>45088</v>
      </c>
      <c r="B2980" s="27" t="s">
        <v>122</v>
      </c>
      <c r="C2980" s="27" t="s">
        <v>20</v>
      </c>
      <c r="D2980" s="27" t="s">
        <v>7</v>
      </c>
      <c r="E2980" s="28">
        <v>68827</v>
      </c>
      <c r="F2980" s="28">
        <v>135046</v>
      </c>
      <c r="G2980" s="27" t="s">
        <v>17</v>
      </c>
      <c r="H2980" s="27" t="s">
        <v>48</v>
      </c>
      <c r="I2980" s="27" t="s">
        <v>13</v>
      </c>
    </row>
    <row r="2981" spans="1:9" x14ac:dyDescent="0.3">
      <c r="A2981" s="26">
        <v>45088</v>
      </c>
      <c r="B2981" s="27" t="s">
        <v>122</v>
      </c>
      <c r="C2981" s="27" t="s">
        <v>14</v>
      </c>
      <c r="D2981" s="27" t="s">
        <v>24</v>
      </c>
      <c r="E2981" s="28">
        <v>10819</v>
      </c>
      <c r="F2981" s="28">
        <v>70338</v>
      </c>
      <c r="G2981" s="27" t="s">
        <v>22</v>
      </c>
      <c r="H2981" s="27" t="s">
        <v>617</v>
      </c>
      <c r="I2981" s="27" t="s">
        <v>13</v>
      </c>
    </row>
    <row r="2982" spans="1:9" x14ac:dyDescent="0.3">
      <c r="A2982" s="26">
        <v>45088</v>
      </c>
      <c r="B2982" s="27" t="s">
        <v>122</v>
      </c>
      <c r="C2982" s="27" t="s">
        <v>10</v>
      </c>
      <c r="D2982" s="27" t="s">
        <v>19</v>
      </c>
      <c r="E2982" s="28">
        <v>46902</v>
      </c>
      <c r="F2982" s="28">
        <v>84585</v>
      </c>
      <c r="G2982" s="27" t="s">
        <v>8</v>
      </c>
      <c r="H2982" s="27" t="s">
        <v>758</v>
      </c>
      <c r="I2982" s="27" t="s">
        <v>13</v>
      </c>
    </row>
    <row r="2983" spans="1:9" x14ac:dyDescent="0.3">
      <c r="A2983" s="26">
        <v>45088</v>
      </c>
      <c r="B2983" s="27" t="s">
        <v>122</v>
      </c>
      <c r="C2983" s="27" t="s">
        <v>18</v>
      </c>
      <c r="D2983" s="27" t="s">
        <v>7</v>
      </c>
      <c r="E2983" s="28">
        <v>20461</v>
      </c>
      <c r="F2983" s="28">
        <v>13825</v>
      </c>
      <c r="G2983" s="27" t="s">
        <v>8</v>
      </c>
      <c r="H2983" s="27" t="s">
        <v>922</v>
      </c>
      <c r="I2983" s="27" t="s">
        <v>13</v>
      </c>
    </row>
    <row r="2984" spans="1:9" x14ac:dyDescent="0.3">
      <c r="A2984" s="26">
        <v>45088</v>
      </c>
      <c r="B2984" s="27" t="s">
        <v>122</v>
      </c>
      <c r="C2984" s="27" t="s">
        <v>15</v>
      </c>
      <c r="D2984" s="27" t="s">
        <v>21</v>
      </c>
      <c r="E2984" s="28">
        <v>72251</v>
      </c>
      <c r="F2984" s="28">
        <v>12651</v>
      </c>
      <c r="G2984" s="27" t="s">
        <v>8</v>
      </c>
      <c r="H2984" s="27" t="s">
        <v>1042</v>
      </c>
      <c r="I2984" s="27" t="s">
        <v>13</v>
      </c>
    </row>
    <row r="2985" spans="1:9" x14ac:dyDescent="0.3">
      <c r="A2985" s="26">
        <v>45088</v>
      </c>
      <c r="B2985" s="27" t="s">
        <v>122</v>
      </c>
      <c r="C2985" s="27" t="s">
        <v>14</v>
      </c>
      <c r="D2985" s="27" t="s">
        <v>24</v>
      </c>
      <c r="E2985" s="28">
        <v>96090</v>
      </c>
      <c r="F2985" s="28">
        <v>169258</v>
      </c>
      <c r="G2985" s="27" t="s">
        <v>22</v>
      </c>
      <c r="H2985" s="27" t="s">
        <v>1520</v>
      </c>
      <c r="I2985" s="27" t="s">
        <v>13</v>
      </c>
    </row>
    <row r="2986" spans="1:9" x14ac:dyDescent="0.3">
      <c r="A2986" s="26">
        <v>45088</v>
      </c>
      <c r="B2986" s="27" t="s">
        <v>122</v>
      </c>
      <c r="C2986" s="27" t="s">
        <v>18</v>
      </c>
      <c r="D2986" s="27" t="s">
        <v>21</v>
      </c>
      <c r="E2986" s="28">
        <v>91132</v>
      </c>
      <c r="F2986" s="28">
        <v>54195</v>
      </c>
      <c r="G2986" s="27" t="s">
        <v>11</v>
      </c>
      <c r="H2986" s="27" t="s">
        <v>1729</v>
      </c>
      <c r="I2986" s="27" t="s">
        <v>13</v>
      </c>
    </row>
    <row r="2987" spans="1:9" x14ac:dyDescent="0.3">
      <c r="A2987" s="26">
        <v>45088</v>
      </c>
      <c r="B2987" s="27" t="s">
        <v>122</v>
      </c>
      <c r="C2987" s="27" t="s">
        <v>32</v>
      </c>
      <c r="D2987" s="27" t="s">
        <v>21</v>
      </c>
      <c r="E2987" s="28">
        <v>45953</v>
      </c>
      <c r="F2987" s="28">
        <v>17633</v>
      </c>
      <c r="G2987" s="27" t="s">
        <v>17</v>
      </c>
      <c r="H2987" s="27" t="s">
        <v>1994</v>
      </c>
      <c r="I2987" s="27" t="s">
        <v>13</v>
      </c>
    </row>
    <row r="2988" spans="1:9" x14ac:dyDescent="0.3">
      <c r="A2988" s="26">
        <v>45088</v>
      </c>
      <c r="B2988" s="27" t="s">
        <v>122</v>
      </c>
      <c r="C2988" s="27" t="s">
        <v>14</v>
      </c>
      <c r="D2988" s="27" t="s">
        <v>7</v>
      </c>
      <c r="E2988" s="28">
        <v>130784</v>
      </c>
      <c r="F2988" s="28">
        <v>52635</v>
      </c>
      <c r="G2988" s="27" t="s">
        <v>22</v>
      </c>
      <c r="H2988" s="27" t="s">
        <v>2142</v>
      </c>
      <c r="I2988" s="27" t="s">
        <v>13</v>
      </c>
    </row>
    <row r="2989" spans="1:9" x14ac:dyDescent="0.3">
      <c r="A2989" s="26">
        <v>45088</v>
      </c>
      <c r="B2989" s="27" t="s">
        <v>122</v>
      </c>
      <c r="C2989" s="27" t="s">
        <v>32</v>
      </c>
      <c r="D2989" s="27" t="s">
        <v>24</v>
      </c>
      <c r="E2989" s="28">
        <v>61107</v>
      </c>
      <c r="F2989" s="28">
        <v>115843</v>
      </c>
      <c r="G2989" s="27" t="s">
        <v>17</v>
      </c>
      <c r="H2989" s="27" t="s">
        <v>2431</v>
      </c>
      <c r="I2989" s="27" t="s">
        <v>13</v>
      </c>
    </row>
    <row r="2990" spans="1:9" x14ac:dyDescent="0.3">
      <c r="A2990" s="26">
        <v>45088</v>
      </c>
      <c r="B2990" s="27" t="s">
        <v>122</v>
      </c>
      <c r="C2990" s="27" t="s">
        <v>20</v>
      </c>
      <c r="D2990" s="27" t="s">
        <v>7</v>
      </c>
      <c r="E2990" s="28">
        <v>10816</v>
      </c>
      <c r="F2990" s="28">
        <v>138639</v>
      </c>
      <c r="G2990" s="27" t="s">
        <v>22</v>
      </c>
      <c r="H2990" s="27" t="s">
        <v>2771</v>
      </c>
      <c r="I2990" s="27" t="s">
        <v>13</v>
      </c>
    </row>
    <row r="2991" spans="1:9" x14ac:dyDescent="0.3">
      <c r="A2991" s="26">
        <v>45088</v>
      </c>
      <c r="B2991" s="27" t="s">
        <v>122</v>
      </c>
      <c r="C2991" s="27" t="s">
        <v>15</v>
      </c>
      <c r="D2991" s="27" t="s">
        <v>24</v>
      </c>
      <c r="E2991" s="28">
        <v>60296</v>
      </c>
      <c r="F2991" s="28">
        <v>96519</v>
      </c>
      <c r="G2991" s="27" t="s">
        <v>8</v>
      </c>
      <c r="H2991" s="27" t="s">
        <v>2996</v>
      </c>
      <c r="I2991" s="27" t="s">
        <v>13</v>
      </c>
    </row>
    <row r="2992" spans="1:9" x14ac:dyDescent="0.3">
      <c r="A2992" s="26">
        <v>45088</v>
      </c>
      <c r="B2992" s="27" t="s">
        <v>122</v>
      </c>
      <c r="C2992" s="27" t="s">
        <v>18</v>
      </c>
      <c r="D2992" s="27" t="s">
        <v>7</v>
      </c>
      <c r="E2992" s="28">
        <v>59135</v>
      </c>
      <c r="F2992" s="28">
        <v>71491</v>
      </c>
      <c r="G2992" s="27" t="s">
        <v>11</v>
      </c>
      <c r="H2992" s="27" t="s">
        <v>3000</v>
      </c>
      <c r="I2992" s="27" t="s">
        <v>13</v>
      </c>
    </row>
    <row r="2993" spans="1:9" x14ac:dyDescent="0.3">
      <c r="A2993" s="26">
        <v>45088</v>
      </c>
      <c r="B2993" s="27" t="s">
        <v>122</v>
      </c>
      <c r="C2993" s="27" t="s">
        <v>10</v>
      </c>
      <c r="D2993" s="27" t="s">
        <v>21</v>
      </c>
      <c r="E2993" s="28">
        <v>116093</v>
      </c>
      <c r="F2993" s="28">
        <v>147188</v>
      </c>
      <c r="G2993" s="27" t="s">
        <v>17</v>
      </c>
      <c r="H2993" s="27" t="s">
        <v>3222</v>
      </c>
      <c r="I2993" s="27" t="s">
        <v>13</v>
      </c>
    </row>
    <row r="2994" spans="1:9" x14ac:dyDescent="0.3">
      <c r="A2994" s="26">
        <v>45088</v>
      </c>
      <c r="B2994" s="27" t="s">
        <v>122</v>
      </c>
      <c r="C2994" s="27" t="s">
        <v>32</v>
      </c>
      <c r="D2994" s="27" t="s">
        <v>16</v>
      </c>
      <c r="E2994" s="28">
        <v>47903</v>
      </c>
      <c r="F2994" s="28">
        <v>14210</v>
      </c>
      <c r="G2994" s="27" t="s">
        <v>11</v>
      </c>
      <c r="H2994" s="27" t="s">
        <v>3278</v>
      </c>
      <c r="I2994" s="27" t="s">
        <v>13</v>
      </c>
    </row>
    <row r="2995" spans="1:9" x14ac:dyDescent="0.3">
      <c r="A2995" s="26">
        <v>45088</v>
      </c>
      <c r="B2995" s="27" t="s">
        <v>122</v>
      </c>
      <c r="C2995" s="27" t="s">
        <v>93</v>
      </c>
      <c r="D2995" s="27" t="s">
        <v>7</v>
      </c>
      <c r="E2995" s="28">
        <v>162200</v>
      </c>
      <c r="F2995" s="28">
        <v>142600</v>
      </c>
      <c r="G2995" s="27" t="s">
        <v>22</v>
      </c>
      <c r="H2995" s="27" t="s">
        <v>3481</v>
      </c>
      <c r="I2995" s="27" t="s">
        <v>9</v>
      </c>
    </row>
    <row r="2996" spans="1:9" x14ac:dyDescent="0.3">
      <c r="A2996" s="26">
        <v>45088</v>
      </c>
      <c r="B2996" s="27" t="s">
        <v>122</v>
      </c>
      <c r="C2996" s="27" t="s">
        <v>6</v>
      </c>
      <c r="D2996" s="27" t="s">
        <v>24</v>
      </c>
      <c r="E2996" s="28">
        <v>123400</v>
      </c>
      <c r="F2996" s="28">
        <v>109500</v>
      </c>
      <c r="G2996" s="27" t="s">
        <v>22</v>
      </c>
      <c r="H2996" s="27" t="s">
        <v>3998</v>
      </c>
      <c r="I2996" s="27" t="s">
        <v>9</v>
      </c>
    </row>
    <row r="2997" spans="1:9" x14ac:dyDescent="0.3">
      <c r="A2997" s="26">
        <v>45088</v>
      </c>
      <c r="B2997" s="27" t="s">
        <v>122</v>
      </c>
      <c r="C2997" s="27" t="s">
        <v>6</v>
      </c>
      <c r="D2997" s="27" t="s">
        <v>19</v>
      </c>
      <c r="E2997" s="28">
        <v>84600</v>
      </c>
      <c r="F2997" s="28">
        <v>94700</v>
      </c>
      <c r="G2997" s="27" t="s">
        <v>22</v>
      </c>
      <c r="H2997" s="27" t="s">
        <v>4139</v>
      </c>
      <c r="I2997" s="27" t="s">
        <v>9</v>
      </c>
    </row>
    <row r="2998" spans="1:9" x14ac:dyDescent="0.3">
      <c r="A2998" s="26">
        <v>45088</v>
      </c>
      <c r="B2998" s="27" t="s">
        <v>122</v>
      </c>
      <c r="C2998" s="27" t="s">
        <v>6</v>
      </c>
      <c r="D2998" s="27" t="s">
        <v>7</v>
      </c>
      <c r="E2998" s="28">
        <v>88200</v>
      </c>
      <c r="F2998" s="28">
        <v>94200</v>
      </c>
      <c r="G2998" s="27" t="s">
        <v>11</v>
      </c>
      <c r="H2998" s="27" t="s">
        <v>4303</v>
      </c>
      <c r="I2998" s="27" t="s">
        <v>9</v>
      </c>
    </row>
    <row r="2999" spans="1:9" x14ac:dyDescent="0.3">
      <c r="A2999" s="26">
        <v>45088</v>
      </c>
      <c r="B2999" s="27" t="s">
        <v>122</v>
      </c>
      <c r="C2999" s="27" t="s">
        <v>93</v>
      </c>
      <c r="D2999" s="27" t="s">
        <v>21</v>
      </c>
      <c r="E2999" s="28">
        <v>96400</v>
      </c>
      <c r="F2999" s="28">
        <v>97700</v>
      </c>
      <c r="G2999" s="27" t="s">
        <v>22</v>
      </c>
      <c r="H2999" s="27" t="s">
        <v>4424</v>
      </c>
      <c r="I2999" s="27" t="s">
        <v>9</v>
      </c>
    </row>
    <row r="3000" spans="1:9" x14ac:dyDescent="0.3">
      <c r="A3000" s="26">
        <v>45088</v>
      </c>
      <c r="B3000" s="27" t="s">
        <v>122</v>
      </c>
      <c r="C3000" s="27" t="s">
        <v>93</v>
      </c>
      <c r="D3000" s="27" t="s">
        <v>24</v>
      </c>
      <c r="E3000" s="28">
        <v>64400</v>
      </c>
      <c r="F3000" s="28">
        <v>54000</v>
      </c>
      <c r="G3000" s="27" t="s">
        <v>22</v>
      </c>
      <c r="H3000" s="27" t="s">
        <v>4903</v>
      </c>
      <c r="I3000" s="27" t="s">
        <v>9</v>
      </c>
    </row>
    <row r="3001" spans="1:9" x14ac:dyDescent="0.3">
      <c r="A3001" s="26">
        <v>45088</v>
      </c>
      <c r="B3001" s="27" t="s">
        <v>122</v>
      </c>
      <c r="C3001" s="27" t="s">
        <v>6</v>
      </c>
      <c r="D3001" s="27" t="s">
        <v>21</v>
      </c>
      <c r="E3001" s="28">
        <v>105100</v>
      </c>
      <c r="F3001" s="28">
        <v>103600</v>
      </c>
      <c r="G3001" s="27" t="s">
        <v>11</v>
      </c>
      <c r="H3001" s="27" t="s">
        <v>5112</v>
      </c>
      <c r="I3001" s="27" t="s">
        <v>9</v>
      </c>
    </row>
    <row r="3002" spans="1:9" x14ac:dyDescent="0.3">
      <c r="A3002" s="26">
        <v>45088</v>
      </c>
      <c r="B3002" s="27" t="s">
        <v>122</v>
      </c>
      <c r="C3002" s="27" t="s">
        <v>6</v>
      </c>
      <c r="D3002" s="27" t="s">
        <v>21</v>
      </c>
      <c r="E3002" s="28">
        <v>287500</v>
      </c>
      <c r="F3002" s="28">
        <v>217000</v>
      </c>
      <c r="G3002" s="27" t="s">
        <v>11</v>
      </c>
      <c r="H3002" s="27" t="s">
        <v>5378</v>
      </c>
      <c r="I3002" s="27" t="s">
        <v>9</v>
      </c>
    </row>
    <row r="3003" spans="1:9" x14ac:dyDescent="0.3">
      <c r="A3003" s="26">
        <v>45088</v>
      </c>
      <c r="B3003" s="27" t="s">
        <v>122</v>
      </c>
      <c r="C3003" s="27" t="s">
        <v>93</v>
      </c>
      <c r="D3003" s="27" t="s">
        <v>7</v>
      </c>
      <c r="E3003" s="28">
        <v>187700</v>
      </c>
      <c r="F3003" s="28">
        <v>180300</v>
      </c>
      <c r="G3003" s="27" t="s">
        <v>22</v>
      </c>
      <c r="H3003" s="27" t="s">
        <v>5527</v>
      </c>
      <c r="I3003" s="27" t="s">
        <v>9</v>
      </c>
    </row>
    <row r="3004" spans="1:9" x14ac:dyDescent="0.3">
      <c r="A3004" s="26">
        <v>45088</v>
      </c>
      <c r="B3004" s="27" t="s">
        <v>122</v>
      </c>
      <c r="C3004" s="27" t="s">
        <v>93</v>
      </c>
      <c r="D3004" s="27" t="s">
        <v>24</v>
      </c>
      <c r="E3004" s="28">
        <v>197200</v>
      </c>
      <c r="F3004" s="28">
        <v>184200</v>
      </c>
      <c r="G3004" s="27" t="s">
        <v>22</v>
      </c>
      <c r="H3004" s="27" t="s">
        <v>5816</v>
      </c>
      <c r="I3004" s="27" t="s">
        <v>9</v>
      </c>
    </row>
    <row r="3005" spans="1:9" x14ac:dyDescent="0.3">
      <c r="A3005" s="26">
        <v>45088</v>
      </c>
      <c r="B3005" s="27" t="s">
        <v>122</v>
      </c>
      <c r="C3005" s="27" t="s">
        <v>93</v>
      </c>
      <c r="D3005" s="27" t="s">
        <v>7</v>
      </c>
      <c r="E3005" s="28">
        <v>232600</v>
      </c>
      <c r="F3005" s="28">
        <v>326800</v>
      </c>
      <c r="G3005" s="27" t="s">
        <v>22</v>
      </c>
      <c r="H3005" s="27" t="s">
        <v>6156</v>
      </c>
      <c r="I3005" s="27" t="s">
        <v>9</v>
      </c>
    </row>
    <row r="3006" spans="1:9" x14ac:dyDescent="0.3">
      <c r="A3006" s="26">
        <v>45088</v>
      </c>
      <c r="B3006" s="27" t="s">
        <v>122</v>
      </c>
      <c r="C3006" s="27" t="s">
        <v>93</v>
      </c>
      <c r="D3006" s="27" t="s">
        <v>24</v>
      </c>
      <c r="E3006" s="28">
        <v>147900</v>
      </c>
      <c r="F3006" s="28">
        <v>173800</v>
      </c>
      <c r="G3006" s="27" t="s">
        <v>17</v>
      </c>
      <c r="H3006" s="27" t="s">
        <v>6381</v>
      </c>
      <c r="I3006" s="27" t="s">
        <v>9</v>
      </c>
    </row>
    <row r="3007" spans="1:9" x14ac:dyDescent="0.3">
      <c r="A3007" s="26">
        <v>45088</v>
      </c>
      <c r="B3007" s="27" t="s">
        <v>122</v>
      </c>
      <c r="C3007" s="27" t="s">
        <v>6</v>
      </c>
      <c r="D3007" s="27" t="s">
        <v>7</v>
      </c>
      <c r="E3007" s="28">
        <v>96600</v>
      </c>
      <c r="F3007" s="28">
        <v>98600</v>
      </c>
      <c r="G3007" s="27" t="s">
        <v>11</v>
      </c>
      <c r="H3007" s="27" t="s">
        <v>6385</v>
      </c>
      <c r="I3007" s="27" t="s">
        <v>9</v>
      </c>
    </row>
    <row r="3008" spans="1:9" x14ac:dyDescent="0.3">
      <c r="A3008" s="26">
        <v>45088</v>
      </c>
      <c r="B3008" s="27" t="s">
        <v>122</v>
      </c>
      <c r="C3008" s="27" t="s">
        <v>6</v>
      </c>
      <c r="D3008" s="27" t="s">
        <v>21</v>
      </c>
      <c r="E3008" s="28">
        <v>71000</v>
      </c>
      <c r="F3008" s="28">
        <v>74400</v>
      </c>
      <c r="G3008" s="27" t="s">
        <v>11</v>
      </c>
      <c r="H3008" s="27" t="s">
        <v>6607</v>
      </c>
      <c r="I3008" s="27" t="s">
        <v>9</v>
      </c>
    </row>
    <row r="3009" spans="1:9" x14ac:dyDescent="0.3">
      <c r="A3009" s="26">
        <v>45088</v>
      </c>
      <c r="B3009" s="27" t="s">
        <v>122</v>
      </c>
      <c r="C3009" s="27" t="s">
        <v>6</v>
      </c>
      <c r="D3009" s="27" t="s">
        <v>16</v>
      </c>
      <c r="E3009" s="28">
        <v>95200</v>
      </c>
      <c r="F3009" s="28">
        <v>75600</v>
      </c>
      <c r="G3009" s="27" t="s">
        <v>11</v>
      </c>
      <c r="H3009" s="27" t="s">
        <v>6663</v>
      </c>
      <c r="I3009" s="27" t="s">
        <v>9</v>
      </c>
    </row>
    <row r="3010" spans="1:9" x14ac:dyDescent="0.3">
      <c r="A3010" s="26">
        <v>45089</v>
      </c>
      <c r="B3010" s="27" t="s">
        <v>122</v>
      </c>
      <c r="C3010" s="27" t="s">
        <v>14</v>
      </c>
      <c r="D3010" s="27" t="s">
        <v>7</v>
      </c>
      <c r="E3010" s="28">
        <v>94855</v>
      </c>
      <c r="F3010" s="28">
        <v>112271</v>
      </c>
      <c r="G3010" s="27" t="s">
        <v>22</v>
      </c>
      <c r="H3010" s="27" t="s">
        <v>491</v>
      </c>
      <c r="I3010" s="27" t="s">
        <v>13</v>
      </c>
    </row>
    <row r="3011" spans="1:9" x14ac:dyDescent="0.3">
      <c r="A3011" s="26">
        <v>45089</v>
      </c>
      <c r="B3011" s="27" t="s">
        <v>122</v>
      </c>
      <c r="C3011" s="27" t="s">
        <v>18</v>
      </c>
      <c r="D3011" s="27" t="s">
        <v>16</v>
      </c>
      <c r="E3011" s="28">
        <v>77078</v>
      </c>
      <c r="F3011" s="28">
        <v>84093</v>
      </c>
      <c r="G3011" s="27" t="s">
        <v>11</v>
      </c>
      <c r="H3011" s="27" t="s">
        <v>877</v>
      </c>
      <c r="I3011" s="27" t="s">
        <v>13</v>
      </c>
    </row>
    <row r="3012" spans="1:9" x14ac:dyDescent="0.3">
      <c r="A3012" s="26">
        <v>45089</v>
      </c>
      <c r="B3012" s="27" t="s">
        <v>122</v>
      </c>
      <c r="C3012" s="27" t="s">
        <v>10</v>
      </c>
      <c r="D3012" s="27" t="s">
        <v>7</v>
      </c>
      <c r="E3012" s="28">
        <v>73475</v>
      </c>
      <c r="F3012" s="28">
        <v>36658</v>
      </c>
      <c r="G3012" s="27" t="s">
        <v>22</v>
      </c>
      <c r="H3012" s="27" t="s">
        <v>1281</v>
      </c>
      <c r="I3012" s="27" t="s">
        <v>13</v>
      </c>
    </row>
    <row r="3013" spans="1:9" x14ac:dyDescent="0.3">
      <c r="A3013" s="26">
        <v>45089</v>
      </c>
      <c r="B3013" s="27" t="s">
        <v>122</v>
      </c>
      <c r="C3013" s="27" t="s">
        <v>32</v>
      </c>
      <c r="D3013" s="27" t="s">
        <v>21</v>
      </c>
      <c r="E3013" s="28">
        <v>129157</v>
      </c>
      <c r="F3013" s="28">
        <v>153019</v>
      </c>
      <c r="G3013" s="27" t="s">
        <v>22</v>
      </c>
      <c r="H3013" s="27" t="s">
        <v>1284</v>
      </c>
      <c r="I3013" s="27" t="s">
        <v>13</v>
      </c>
    </row>
    <row r="3014" spans="1:9" x14ac:dyDescent="0.3">
      <c r="A3014" s="26">
        <v>45089</v>
      </c>
      <c r="B3014" s="27" t="s">
        <v>122</v>
      </c>
      <c r="C3014" s="27" t="s">
        <v>14</v>
      </c>
      <c r="D3014" s="27" t="s">
        <v>19</v>
      </c>
      <c r="E3014" s="28">
        <v>42381</v>
      </c>
      <c r="F3014" s="28">
        <v>124854</v>
      </c>
      <c r="G3014" s="27" t="s">
        <v>22</v>
      </c>
      <c r="H3014" s="27" t="s">
        <v>1450</v>
      </c>
      <c r="I3014" s="27" t="s">
        <v>13</v>
      </c>
    </row>
    <row r="3015" spans="1:9" x14ac:dyDescent="0.3">
      <c r="A3015" s="26">
        <v>45089</v>
      </c>
      <c r="B3015" s="27" t="s">
        <v>122</v>
      </c>
      <c r="C3015" s="27" t="s">
        <v>10</v>
      </c>
      <c r="D3015" s="27" t="s">
        <v>24</v>
      </c>
      <c r="E3015" s="28">
        <v>146459</v>
      </c>
      <c r="F3015" s="28">
        <v>96109</v>
      </c>
      <c r="G3015" s="27" t="s">
        <v>22</v>
      </c>
      <c r="H3015" s="27" t="s">
        <v>1679</v>
      </c>
      <c r="I3015" s="27" t="s">
        <v>13</v>
      </c>
    </row>
    <row r="3016" spans="1:9" x14ac:dyDescent="0.3">
      <c r="A3016" s="26">
        <v>45089</v>
      </c>
      <c r="B3016" s="27" t="s">
        <v>122</v>
      </c>
      <c r="C3016" s="27" t="s">
        <v>32</v>
      </c>
      <c r="D3016" s="27" t="s">
        <v>24</v>
      </c>
      <c r="E3016" s="28">
        <v>63386</v>
      </c>
      <c r="F3016" s="28">
        <v>34874</v>
      </c>
      <c r="G3016" s="27" t="s">
        <v>8</v>
      </c>
      <c r="H3016" s="27" t="s">
        <v>1849</v>
      </c>
      <c r="I3016" s="27" t="s">
        <v>13</v>
      </c>
    </row>
    <row r="3017" spans="1:9" x14ac:dyDescent="0.3">
      <c r="A3017" s="26">
        <v>45089</v>
      </c>
      <c r="B3017" s="27" t="s">
        <v>122</v>
      </c>
      <c r="C3017" s="27" t="s">
        <v>18</v>
      </c>
      <c r="D3017" s="27" t="s">
        <v>7</v>
      </c>
      <c r="E3017" s="28">
        <v>112754</v>
      </c>
      <c r="F3017" s="28">
        <v>106665</v>
      </c>
      <c r="G3017" s="27" t="s">
        <v>11</v>
      </c>
      <c r="H3017" s="27" t="s">
        <v>2004</v>
      </c>
      <c r="I3017" s="27" t="s">
        <v>13</v>
      </c>
    </row>
    <row r="3018" spans="1:9" x14ac:dyDescent="0.3">
      <c r="A3018" s="26">
        <v>45089</v>
      </c>
      <c r="B3018" s="27" t="s">
        <v>122</v>
      </c>
      <c r="C3018" s="27" t="s">
        <v>10</v>
      </c>
      <c r="D3018" s="27" t="s">
        <v>21</v>
      </c>
      <c r="E3018" s="28">
        <v>64797</v>
      </c>
      <c r="F3018" s="28">
        <v>122594</v>
      </c>
      <c r="G3018" s="27" t="s">
        <v>17</v>
      </c>
      <c r="H3018" s="27" t="s">
        <v>2487</v>
      </c>
      <c r="I3018" s="27" t="s">
        <v>13</v>
      </c>
    </row>
    <row r="3019" spans="1:9" x14ac:dyDescent="0.3">
      <c r="A3019" s="26">
        <v>45089</v>
      </c>
      <c r="B3019" s="27" t="s">
        <v>122</v>
      </c>
      <c r="C3019" s="27" t="s">
        <v>14</v>
      </c>
      <c r="D3019" s="27" t="s">
        <v>16</v>
      </c>
      <c r="E3019" s="28">
        <v>59008</v>
      </c>
      <c r="F3019" s="28">
        <v>22803</v>
      </c>
      <c r="G3019" s="27" t="s">
        <v>22</v>
      </c>
      <c r="H3019" s="27" t="s">
        <v>2549</v>
      </c>
      <c r="I3019" s="27" t="s">
        <v>13</v>
      </c>
    </row>
    <row r="3020" spans="1:9" x14ac:dyDescent="0.3">
      <c r="A3020" s="26">
        <v>45089</v>
      </c>
      <c r="B3020" s="27" t="s">
        <v>122</v>
      </c>
      <c r="C3020" s="27" t="s">
        <v>14</v>
      </c>
      <c r="D3020" s="27" t="s">
        <v>21</v>
      </c>
      <c r="E3020" s="28">
        <v>134932</v>
      </c>
      <c r="F3020" s="28">
        <v>154101</v>
      </c>
      <c r="G3020" s="27" t="s">
        <v>11</v>
      </c>
      <c r="H3020" s="27" t="s">
        <v>2762</v>
      </c>
      <c r="I3020" s="27" t="s">
        <v>13</v>
      </c>
    </row>
    <row r="3021" spans="1:9" x14ac:dyDescent="0.3">
      <c r="A3021" s="26">
        <v>45089</v>
      </c>
      <c r="B3021" s="27" t="s">
        <v>122</v>
      </c>
      <c r="C3021" s="27" t="s">
        <v>14</v>
      </c>
      <c r="D3021" s="27" t="s">
        <v>16</v>
      </c>
      <c r="E3021" s="28">
        <v>68131</v>
      </c>
      <c r="F3021" s="28">
        <v>33471</v>
      </c>
      <c r="G3021" s="27" t="s">
        <v>11</v>
      </c>
      <c r="H3021" s="27" t="s">
        <v>2792</v>
      </c>
      <c r="I3021" s="27" t="s">
        <v>13</v>
      </c>
    </row>
    <row r="3022" spans="1:9" x14ac:dyDescent="0.3">
      <c r="A3022" s="26">
        <v>45089</v>
      </c>
      <c r="B3022" s="27" t="s">
        <v>122</v>
      </c>
      <c r="C3022" s="27" t="s">
        <v>93</v>
      </c>
      <c r="D3022" s="27" t="s">
        <v>7</v>
      </c>
      <c r="E3022" s="28">
        <v>186400</v>
      </c>
      <c r="F3022" s="28">
        <v>228500</v>
      </c>
      <c r="G3022" s="27" t="s">
        <v>11</v>
      </c>
      <c r="H3022" s="27" t="s">
        <v>3872</v>
      </c>
      <c r="I3022" s="27" t="s">
        <v>9</v>
      </c>
    </row>
    <row r="3023" spans="1:9" x14ac:dyDescent="0.3">
      <c r="A3023" s="26">
        <v>45089</v>
      </c>
      <c r="B3023" s="27" t="s">
        <v>122</v>
      </c>
      <c r="C3023" s="27" t="s">
        <v>6</v>
      </c>
      <c r="D3023" s="27" t="s">
        <v>16</v>
      </c>
      <c r="E3023" s="28">
        <v>100100</v>
      </c>
      <c r="F3023" s="28">
        <v>86700</v>
      </c>
      <c r="G3023" s="27" t="s">
        <v>17</v>
      </c>
      <c r="H3023" s="27" t="s">
        <v>4258</v>
      </c>
      <c r="I3023" s="27" t="s">
        <v>9</v>
      </c>
    </row>
    <row r="3024" spans="1:9" x14ac:dyDescent="0.3">
      <c r="A3024" s="26">
        <v>45089</v>
      </c>
      <c r="B3024" s="27" t="s">
        <v>122</v>
      </c>
      <c r="C3024" s="27" t="s">
        <v>93</v>
      </c>
      <c r="D3024" s="27" t="s">
        <v>7</v>
      </c>
      <c r="E3024" s="28">
        <v>145000</v>
      </c>
      <c r="F3024" s="28">
        <v>178500</v>
      </c>
      <c r="G3024" s="27" t="s">
        <v>22</v>
      </c>
      <c r="H3024" s="27" t="s">
        <v>4664</v>
      </c>
      <c r="I3024" s="27" t="s">
        <v>9</v>
      </c>
    </row>
    <row r="3025" spans="1:9" x14ac:dyDescent="0.3">
      <c r="A3025" s="26">
        <v>45089</v>
      </c>
      <c r="B3025" s="27" t="s">
        <v>122</v>
      </c>
      <c r="C3025" s="27" t="s">
        <v>93</v>
      </c>
      <c r="D3025" s="27" t="s">
        <v>21</v>
      </c>
      <c r="E3025" s="28">
        <v>66300</v>
      </c>
      <c r="F3025" s="28">
        <v>91600</v>
      </c>
      <c r="G3025" s="27" t="s">
        <v>11</v>
      </c>
      <c r="H3025" s="27" t="s">
        <v>4667</v>
      </c>
      <c r="I3025" s="27" t="s">
        <v>9</v>
      </c>
    </row>
    <row r="3026" spans="1:9" x14ac:dyDescent="0.3">
      <c r="A3026" s="26">
        <v>45089</v>
      </c>
      <c r="B3026" s="27" t="s">
        <v>122</v>
      </c>
      <c r="C3026" s="27" t="s">
        <v>93</v>
      </c>
      <c r="D3026" s="27" t="s">
        <v>19</v>
      </c>
      <c r="E3026" s="28">
        <v>191600</v>
      </c>
      <c r="F3026" s="28">
        <v>202600</v>
      </c>
      <c r="G3026" s="27" t="s">
        <v>11</v>
      </c>
      <c r="H3026" s="27" t="s">
        <v>4833</v>
      </c>
      <c r="I3026" s="27" t="s">
        <v>9</v>
      </c>
    </row>
    <row r="3027" spans="1:9" x14ac:dyDescent="0.3">
      <c r="A3027" s="26">
        <v>45089</v>
      </c>
      <c r="B3027" s="27" t="s">
        <v>122</v>
      </c>
      <c r="C3027" s="27" t="s">
        <v>6</v>
      </c>
      <c r="D3027" s="27" t="s">
        <v>24</v>
      </c>
      <c r="E3027" s="28">
        <v>110400</v>
      </c>
      <c r="F3027" s="28">
        <v>115400</v>
      </c>
      <c r="G3027" s="27" t="s">
        <v>22</v>
      </c>
      <c r="H3027" s="27" t="s">
        <v>5062</v>
      </c>
      <c r="I3027" s="27" t="s">
        <v>9</v>
      </c>
    </row>
    <row r="3028" spans="1:9" x14ac:dyDescent="0.3">
      <c r="A3028" s="26">
        <v>45089</v>
      </c>
      <c r="B3028" s="27" t="s">
        <v>122</v>
      </c>
      <c r="C3028" s="27" t="s">
        <v>93</v>
      </c>
      <c r="D3028" s="27" t="s">
        <v>24</v>
      </c>
      <c r="E3028" s="28">
        <v>187100</v>
      </c>
      <c r="F3028" s="28">
        <v>167700</v>
      </c>
      <c r="G3028" s="27" t="s">
        <v>22</v>
      </c>
      <c r="H3028" s="27" t="s">
        <v>5232</v>
      </c>
      <c r="I3028" s="27" t="s">
        <v>9</v>
      </c>
    </row>
    <row r="3029" spans="1:9" x14ac:dyDescent="0.3">
      <c r="A3029" s="26">
        <v>45089</v>
      </c>
      <c r="B3029" s="27" t="s">
        <v>122</v>
      </c>
      <c r="C3029" s="27" t="s">
        <v>93</v>
      </c>
      <c r="D3029" s="27" t="s">
        <v>7</v>
      </c>
      <c r="E3029" s="28">
        <v>168900</v>
      </c>
      <c r="F3029" s="28">
        <v>174500</v>
      </c>
      <c r="G3029" s="27" t="s">
        <v>11</v>
      </c>
      <c r="H3029" s="27" t="s">
        <v>5388</v>
      </c>
      <c r="I3029" s="27" t="s">
        <v>9</v>
      </c>
    </row>
    <row r="3030" spans="1:9" x14ac:dyDescent="0.3">
      <c r="A3030" s="26">
        <v>45089</v>
      </c>
      <c r="B3030" s="27" t="s">
        <v>122</v>
      </c>
      <c r="C3030" s="27" t="s">
        <v>6</v>
      </c>
      <c r="D3030" s="27" t="s">
        <v>21</v>
      </c>
      <c r="E3030" s="28">
        <v>193000</v>
      </c>
      <c r="F3030" s="28">
        <v>192700</v>
      </c>
      <c r="G3030" s="27" t="s">
        <v>22</v>
      </c>
      <c r="H3030" s="27" t="s">
        <v>5872</v>
      </c>
      <c r="I3030" s="27" t="s">
        <v>9</v>
      </c>
    </row>
    <row r="3031" spans="1:9" x14ac:dyDescent="0.3">
      <c r="A3031" s="26">
        <v>45089</v>
      </c>
      <c r="B3031" s="27" t="s">
        <v>122</v>
      </c>
      <c r="C3031" s="27" t="s">
        <v>6</v>
      </c>
      <c r="D3031" s="27" t="s">
        <v>16</v>
      </c>
      <c r="E3031" s="28">
        <v>122900</v>
      </c>
      <c r="F3031" s="28">
        <v>114000</v>
      </c>
      <c r="G3031" s="27" t="s">
        <v>11</v>
      </c>
      <c r="H3031" s="27" t="s">
        <v>5934</v>
      </c>
      <c r="I3031" s="27" t="s">
        <v>9</v>
      </c>
    </row>
    <row r="3032" spans="1:9" x14ac:dyDescent="0.3">
      <c r="A3032" s="26">
        <v>45089</v>
      </c>
      <c r="B3032" s="27" t="s">
        <v>122</v>
      </c>
      <c r="C3032" s="27" t="s">
        <v>6</v>
      </c>
      <c r="D3032" s="27" t="s">
        <v>21</v>
      </c>
      <c r="E3032" s="28">
        <v>92000</v>
      </c>
      <c r="F3032" s="28">
        <v>83000</v>
      </c>
      <c r="G3032" s="27" t="s">
        <v>22</v>
      </c>
      <c r="H3032" s="27" t="s">
        <v>6147</v>
      </c>
      <c r="I3032" s="27" t="s">
        <v>9</v>
      </c>
    </row>
    <row r="3033" spans="1:9" x14ac:dyDescent="0.3">
      <c r="A3033" s="26">
        <v>45089</v>
      </c>
      <c r="B3033" s="27" t="s">
        <v>122</v>
      </c>
      <c r="C3033" s="27" t="s">
        <v>93</v>
      </c>
      <c r="D3033" s="27" t="s">
        <v>16</v>
      </c>
      <c r="E3033" s="28">
        <v>83300</v>
      </c>
      <c r="F3033" s="28">
        <v>100700</v>
      </c>
      <c r="G3033" s="27" t="s">
        <v>22</v>
      </c>
      <c r="H3033" s="27" t="s">
        <v>6177</v>
      </c>
      <c r="I3033" s="27" t="s">
        <v>9</v>
      </c>
    </row>
    <row r="3034" spans="1:9" x14ac:dyDescent="0.3">
      <c r="A3034" s="26">
        <v>45090</v>
      </c>
      <c r="B3034" s="27" t="s">
        <v>122</v>
      </c>
      <c r="C3034" s="27" t="s">
        <v>18</v>
      </c>
      <c r="D3034" s="27" t="s">
        <v>7</v>
      </c>
      <c r="E3034" s="28">
        <v>110011</v>
      </c>
      <c r="F3034" s="28">
        <v>41754</v>
      </c>
      <c r="G3034" s="27" t="s">
        <v>17</v>
      </c>
      <c r="H3034" s="27" t="s">
        <v>467</v>
      </c>
      <c r="I3034" s="27" t="s">
        <v>13</v>
      </c>
    </row>
    <row r="3035" spans="1:9" x14ac:dyDescent="0.3">
      <c r="A3035" s="26">
        <v>45090</v>
      </c>
      <c r="B3035" s="27" t="s">
        <v>122</v>
      </c>
      <c r="C3035" s="27" t="s">
        <v>20</v>
      </c>
      <c r="D3035" s="27" t="s">
        <v>16</v>
      </c>
      <c r="E3035" s="28">
        <v>99832</v>
      </c>
      <c r="F3035" s="28">
        <v>30456</v>
      </c>
      <c r="G3035" s="27" t="s">
        <v>22</v>
      </c>
      <c r="H3035" s="27" t="s">
        <v>1509</v>
      </c>
      <c r="I3035" s="27" t="s">
        <v>13</v>
      </c>
    </row>
    <row r="3036" spans="1:9" x14ac:dyDescent="0.3">
      <c r="A3036" s="26">
        <v>45090</v>
      </c>
      <c r="B3036" s="27" t="s">
        <v>122</v>
      </c>
      <c r="C3036" s="27" t="s">
        <v>14</v>
      </c>
      <c r="D3036" s="27" t="s">
        <v>24</v>
      </c>
      <c r="E3036" s="28">
        <v>30843</v>
      </c>
      <c r="F3036" s="28">
        <v>81023</v>
      </c>
      <c r="G3036" s="27" t="s">
        <v>11</v>
      </c>
      <c r="H3036" s="27" t="s">
        <v>1711</v>
      </c>
      <c r="I3036" s="27" t="s">
        <v>13</v>
      </c>
    </row>
    <row r="3037" spans="1:9" x14ac:dyDescent="0.3">
      <c r="A3037" s="26">
        <v>45090</v>
      </c>
      <c r="B3037" s="27" t="s">
        <v>122</v>
      </c>
      <c r="C3037" s="27" t="s">
        <v>32</v>
      </c>
      <c r="D3037" s="27" t="s">
        <v>21</v>
      </c>
      <c r="E3037" s="28">
        <v>98718</v>
      </c>
      <c r="F3037" s="28">
        <v>84969</v>
      </c>
      <c r="G3037" s="27" t="s">
        <v>22</v>
      </c>
      <c r="H3037" s="27" t="s">
        <v>1720</v>
      </c>
      <c r="I3037" s="27" t="s">
        <v>13</v>
      </c>
    </row>
    <row r="3038" spans="1:9" x14ac:dyDescent="0.3">
      <c r="A3038" s="26">
        <v>45090</v>
      </c>
      <c r="B3038" s="27" t="s">
        <v>122</v>
      </c>
      <c r="C3038" s="27" t="s">
        <v>18</v>
      </c>
      <c r="D3038" s="27" t="s">
        <v>21</v>
      </c>
      <c r="E3038" s="28">
        <v>65573</v>
      </c>
      <c r="F3038" s="28">
        <v>87664</v>
      </c>
      <c r="G3038" s="27" t="s">
        <v>17</v>
      </c>
      <c r="H3038" s="27" t="s">
        <v>1832</v>
      </c>
      <c r="I3038" s="27" t="s">
        <v>13</v>
      </c>
    </row>
    <row r="3039" spans="1:9" x14ac:dyDescent="0.3">
      <c r="A3039" s="26">
        <v>45090</v>
      </c>
      <c r="B3039" s="27" t="s">
        <v>122</v>
      </c>
      <c r="C3039" s="27" t="s">
        <v>14</v>
      </c>
      <c r="D3039" s="27" t="s">
        <v>21</v>
      </c>
      <c r="E3039" s="28">
        <v>16082</v>
      </c>
      <c r="F3039" s="28">
        <v>73029</v>
      </c>
      <c r="G3039" s="27" t="s">
        <v>17</v>
      </c>
      <c r="H3039" s="27" t="s">
        <v>2044</v>
      </c>
      <c r="I3039" s="27" t="s">
        <v>13</v>
      </c>
    </row>
    <row r="3040" spans="1:9" x14ac:dyDescent="0.3">
      <c r="A3040" s="26">
        <v>45090</v>
      </c>
      <c r="B3040" s="27" t="s">
        <v>122</v>
      </c>
      <c r="C3040" s="27" t="s">
        <v>15</v>
      </c>
      <c r="D3040" s="27" t="s">
        <v>7</v>
      </c>
      <c r="E3040" s="28">
        <v>56029</v>
      </c>
      <c r="F3040" s="28">
        <v>15042</v>
      </c>
      <c r="G3040" s="27" t="s">
        <v>17</v>
      </c>
      <c r="H3040" s="27" t="s">
        <v>2321</v>
      </c>
      <c r="I3040" s="27" t="s">
        <v>13</v>
      </c>
    </row>
    <row r="3041" spans="1:9" x14ac:dyDescent="0.3">
      <c r="A3041" s="26">
        <v>45090</v>
      </c>
      <c r="B3041" s="27" t="s">
        <v>122</v>
      </c>
      <c r="C3041" s="27" t="s">
        <v>10</v>
      </c>
      <c r="D3041" s="27" t="s">
        <v>24</v>
      </c>
      <c r="E3041" s="28">
        <v>44693</v>
      </c>
      <c r="F3041" s="28">
        <v>138257</v>
      </c>
      <c r="G3041" s="27" t="s">
        <v>11</v>
      </c>
      <c r="H3041" s="27" t="s">
        <v>2371</v>
      </c>
      <c r="I3041" s="27" t="s">
        <v>13</v>
      </c>
    </row>
    <row r="3042" spans="1:9" x14ac:dyDescent="0.3">
      <c r="A3042" s="26">
        <v>45090</v>
      </c>
      <c r="B3042" s="27" t="s">
        <v>122</v>
      </c>
      <c r="C3042" s="27" t="s">
        <v>93</v>
      </c>
      <c r="D3042" s="27" t="s">
        <v>7</v>
      </c>
      <c r="E3042" s="28">
        <v>141200</v>
      </c>
      <c r="F3042" s="28">
        <v>137700</v>
      </c>
      <c r="G3042" s="27" t="s">
        <v>17</v>
      </c>
      <c r="H3042" s="27" t="s">
        <v>3848</v>
      </c>
      <c r="I3042" s="27" t="s">
        <v>9</v>
      </c>
    </row>
    <row r="3043" spans="1:9" x14ac:dyDescent="0.3">
      <c r="A3043" s="26">
        <v>45090</v>
      </c>
      <c r="B3043" s="27" t="s">
        <v>122</v>
      </c>
      <c r="C3043" s="27" t="s">
        <v>93</v>
      </c>
      <c r="D3043" s="27" t="s">
        <v>16</v>
      </c>
      <c r="E3043" s="28">
        <v>77000</v>
      </c>
      <c r="F3043" s="28">
        <v>72700</v>
      </c>
      <c r="G3043" s="27" t="s">
        <v>11</v>
      </c>
      <c r="H3043" s="27" t="s">
        <v>4892</v>
      </c>
      <c r="I3043" s="27" t="s">
        <v>9</v>
      </c>
    </row>
    <row r="3044" spans="1:9" x14ac:dyDescent="0.3">
      <c r="A3044" s="26">
        <v>45090</v>
      </c>
      <c r="B3044" s="27" t="s">
        <v>122</v>
      </c>
      <c r="C3044" s="27" t="s">
        <v>6</v>
      </c>
      <c r="D3044" s="27" t="s">
        <v>24</v>
      </c>
      <c r="E3044" s="28">
        <v>121500</v>
      </c>
      <c r="F3044" s="28">
        <v>135900</v>
      </c>
      <c r="G3044" s="27" t="s">
        <v>22</v>
      </c>
      <c r="H3044" s="27" t="s">
        <v>5094</v>
      </c>
      <c r="I3044" s="27" t="s">
        <v>9</v>
      </c>
    </row>
    <row r="3045" spans="1:9" x14ac:dyDescent="0.3">
      <c r="A3045" s="26">
        <v>45090</v>
      </c>
      <c r="B3045" s="27" t="s">
        <v>122</v>
      </c>
      <c r="C3045" s="27" t="s">
        <v>93</v>
      </c>
      <c r="D3045" s="27" t="s">
        <v>21</v>
      </c>
      <c r="E3045" s="28">
        <v>365600</v>
      </c>
      <c r="F3045" s="28">
        <v>318000</v>
      </c>
      <c r="G3045" s="27" t="s">
        <v>11</v>
      </c>
      <c r="H3045" s="27" t="s">
        <v>5103</v>
      </c>
      <c r="I3045" s="27" t="s">
        <v>9</v>
      </c>
    </row>
    <row r="3046" spans="1:9" x14ac:dyDescent="0.3">
      <c r="A3046" s="26">
        <v>45090</v>
      </c>
      <c r="B3046" s="27" t="s">
        <v>122</v>
      </c>
      <c r="C3046" s="27" t="s">
        <v>93</v>
      </c>
      <c r="D3046" s="27" t="s">
        <v>21</v>
      </c>
      <c r="E3046" s="28">
        <v>105200</v>
      </c>
      <c r="F3046" s="28">
        <v>98600</v>
      </c>
      <c r="G3046" s="27" t="s">
        <v>11</v>
      </c>
      <c r="H3046" s="27" t="s">
        <v>5215</v>
      </c>
      <c r="I3046" s="27" t="s">
        <v>9</v>
      </c>
    </row>
    <row r="3047" spans="1:9" x14ac:dyDescent="0.3">
      <c r="A3047" s="26">
        <v>45090</v>
      </c>
      <c r="B3047" s="27" t="s">
        <v>122</v>
      </c>
      <c r="C3047" s="27" t="s">
        <v>6</v>
      </c>
      <c r="D3047" s="27" t="s">
        <v>21</v>
      </c>
      <c r="E3047" s="28">
        <v>144300</v>
      </c>
      <c r="F3047" s="28">
        <v>143300</v>
      </c>
      <c r="G3047" s="27" t="s">
        <v>17</v>
      </c>
      <c r="H3047" s="27" t="s">
        <v>5428</v>
      </c>
      <c r="I3047" s="27" t="s">
        <v>9</v>
      </c>
    </row>
    <row r="3048" spans="1:9" x14ac:dyDescent="0.3">
      <c r="A3048" s="26">
        <v>45090</v>
      </c>
      <c r="B3048" s="27" t="s">
        <v>122</v>
      </c>
      <c r="C3048" s="27" t="s">
        <v>6</v>
      </c>
      <c r="D3048" s="27" t="s">
        <v>7</v>
      </c>
      <c r="E3048" s="28">
        <v>74500</v>
      </c>
      <c r="F3048" s="28">
        <v>75100</v>
      </c>
      <c r="G3048" s="27" t="s">
        <v>11</v>
      </c>
      <c r="H3048" s="27" t="s">
        <v>5706</v>
      </c>
      <c r="I3048" s="27" t="s">
        <v>9</v>
      </c>
    </row>
    <row r="3049" spans="1:9" x14ac:dyDescent="0.3">
      <c r="A3049" s="26">
        <v>45090</v>
      </c>
      <c r="B3049" s="27" t="s">
        <v>122</v>
      </c>
      <c r="C3049" s="27" t="s">
        <v>93</v>
      </c>
      <c r="D3049" s="27" t="s">
        <v>24</v>
      </c>
      <c r="E3049" s="28">
        <v>153700</v>
      </c>
      <c r="F3049" s="28">
        <v>142600</v>
      </c>
      <c r="G3049" s="27" t="s">
        <v>17</v>
      </c>
      <c r="H3049" s="27" t="s">
        <v>5756</v>
      </c>
      <c r="I3049" s="27" t="s">
        <v>9</v>
      </c>
    </row>
    <row r="3050" spans="1:9" x14ac:dyDescent="0.3">
      <c r="A3050" s="26">
        <v>45091</v>
      </c>
      <c r="B3050" s="27" t="s">
        <v>122</v>
      </c>
      <c r="C3050" s="27" t="s">
        <v>14</v>
      </c>
      <c r="D3050" s="27" t="s">
        <v>24</v>
      </c>
      <c r="E3050" s="28">
        <v>77913</v>
      </c>
      <c r="F3050" s="28">
        <v>54994</v>
      </c>
      <c r="G3050" s="27" t="s">
        <v>11</v>
      </c>
      <c r="H3050" s="27" t="s">
        <v>238</v>
      </c>
      <c r="I3050" s="27" t="s">
        <v>13</v>
      </c>
    </row>
    <row r="3051" spans="1:9" x14ac:dyDescent="0.3">
      <c r="A3051" s="26">
        <v>45091</v>
      </c>
      <c r="B3051" s="27" t="s">
        <v>122</v>
      </c>
      <c r="C3051" s="27" t="s">
        <v>18</v>
      </c>
      <c r="D3051" s="27" t="s">
        <v>24</v>
      </c>
      <c r="E3051" s="28">
        <v>21412</v>
      </c>
      <c r="F3051" s="28">
        <v>59879</v>
      </c>
      <c r="G3051" s="27" t="s">
        <v>22</v>
      </c>
      <c r="H3051" s="27" t="s">
        <v>565</v>
      </c>
      <c r="I3051" s="27" t="s">
        <v>13</v>
      </c>
    </row>
    <row r="3052" spans="1:9" x14ac:dyDescent="0.3">
      <c r="A3052" s="26">
        <v>45091</v>
      </c>
      <c r="B3052" s="27" t="s">
        <v>122</v>
      </c>
      <c r="C3052" s="27" t="s">
        <v>18</v>
      </c>
      <c r="D3052" s="27" t="s">
        <v>21</v>
      </c>
      <c r="E3052" s="28">
        <v>89368</v>
      </c>
      <c r="F3052" s="28">
        <v>76342</v>
      </c>
      <c r="G3052" s="27" t="s">
        <v>17</v>
      </c>
      <c r="H3052" s="27" t="s">
        <v>828</v>
      </c>
      <c r="I3052" s="27" t="s">
        <v>13</v>
      </c>
    </row>
    <row r="3053" spans="1:9" x14ac:dyDescent="0.3">
      <c r="A3053" s="26">
        <v>45091</v>
      </c>
      <c r="B3053" s="27" t="s">
        <v>122</v>
      </c>
      <c r="C3053" s="27" t="s">
        <v>20</v>
      </c>
      <c r="D3053" s="27" t="s">
        <v>21</v>
      </c>
      <c r="E3053" s="28">
        <v>86742</v>
      </c>
      <c r="F3053" s="28">
        <v>62601</v>
      </c>
      <c r="G3053" s="27" t="s">
        <v>8</v>
      </c>
      <c r="H3053" s="27" t="s">
        <v>1127</v>
      </c>
      <c r="I3053" s="27" t="s">
        <v>13</v>
      </c>
    </row>
    <row r="3054" spans="1:9" x14ac:dyDescent="0.3">
      <c r="A3054" s="26">
        <v>45091</v>
      </c>
      <c r="B3054" s="27" t="s">
        <v>122</v>
      </c>
      <c r="C3054" s="27" t="s">
        <v>14</v>
      </c>
      <c r="D3054" s="27" t="s">
        <v>16</v>
      </c>
      <c r="E3054" s="28">
        <v>12879</v>
      </c>
      <c r="F3054" s="28">
        <v>41314</v>
      </c>
      <c r="G3054" s="27" t="s">
        <v>17</v>
      </c>
      <c r="H3054" s="27" t="s">
        <v>1218</v>
      </c>
      <c r="I3054" s="27" t="s">
        <v>13</v>
      </c>
    </row>
    <row r="3055" spans="1:9" x14ac:dyDescent="0.3">
      <c r="A3055" s="26">
        <v>45091</v>
      </c>
      <c r="B3055" s="27" t="s">
        <v>122</v>
      </c>
      <c r="C3055" s="27" t="s">
        <v>10</v>
      </c>
      <c r="D3055" s="27" t="s">
        <v>21</v>
      </c>
      <c r="E3055" s="28">
        <v>86918</v>
      </c>
      <c r="F3055" s="28">
        <v>100964</v>
      </c>
      <c r="G3055" s="27" t="s">
        <v>22</v>
      </c>
      <c r="H3055" s="27" t="s">
        <v>1256</v>
      </c>
      <c r="I3055" s="27" t="s">
        <v>13</v>
      </c>
    </row>
    <row r="3056" spans="1:9" x14ac:dyDescent="0.3">
      <c r="A3056" s="26">
        <v>45091</v>
      </c>
      <c r="B3056" s="27" t="s">
        <v>122</v>
      </c>
      <c r="C3056" s="27" t="s">
        <v>18</v>
      </c>
      <c r="D3056" s="27" t="s">
        <v>21</v>
      </c>
      <c r="E3056" s="28">
        <v>101673</v>
      </c>
      <c r="F3056" s="28">
        <v>35943</v>
      </c>
      <c r="G3056" s="27" t="s">
        <v>22</v>
      </c>
      <c r="H3056" s="27" t="s">
        <v>1754</v>
      </c>
      <c r="I3056" s="27" t="s">
        <v>13</v>
      </c>
    </row>
    <row r="3057" spans="1:9" x14ac:dyDescent="0.3">
      <c r="A3057" s="26">
        <v>45091</v>
      </c>
      <c r="B3057" s="27" t="s">
        <v>122</v>
      </c>
      <c r="C3057" s="27" t="s">
        <v>20</v>
      </c>
      <c r="D3057" s="27" t="s">
        <v>16</v>
      </c>
      <c r="E3057" s="28">
        <v>125288</v>
      </c>
      <c r="F3057" s="28">
        <v>88544</v>
      </c>
      <c r="G3057" s="27" t="s">
        <v>22</v>
      </c>
      <c r="H3057" s="27" t="s">
        <v>1862</v>
      </c>
      <c r="I3057" s="27" t="s">
        <v>13</v>
      </c>
    </row>
    <row r="3058" spans="1:9" x14ac:dyDescent="0.3">
      <c r="A3058" s="26">
        <v>45091</v>
      </c>
      <c r="B3058" s="27" t="s">
        <v>122</v>
      </c>
      <c r="C3058" s="27" t="s">
        <v>93</v>
      </c>
      <c r="D3058" s="27" t="s">
        <v>24</v>
      </c>
      <c r="E3058" s="28">
        <v>62400</v>
      </c>
      <c r="F3058" s="28">
        <v>62500</v>
      </c>
      <c r="G3058" s="27" t="s">
        <v>17</v>
      </c>
      <c r="H3058" s="27" t="s">
        <v>3619</v>
      </c>
      <c r="I3058" s="27" t="s">
        <v>9</v>
      </c>
    </row>
    <row r="3059" spans="1:9" x14ac:dyDescent="0.3">
      <c r="A3059" s="26">
        <v>45091</v>
      </c>
      <c r="B3059" s="27" t="s">
        <v>122</v>
      </c>
      <c r="C3059" s="27" t="s">
        <v>93</v>
      </c>
      <c r="D3059" s="27" t="s">
        <v>24</v>
      </c>
      <c r="E3059" s="28">
        <v>109600</v>
      </c>
      <c r="F3059" s="28">
        <v>108600</v>
      </c>
      <c r="G3059" s="27" t="s">
        <v>11</v>
      </c>
      <c r="H3059" s="27" t="s">
        <v>3946</v>
      </c>
      <c r="I3059" s="27" t="s">
        <v>9</v>
      </c>
    </row>
    <row r="3060" spans="1:9" x14ac:dyDescent="0.3">
      <c r="A3060" s="26">
        <v>45091</v>
      </c>
      <c r="B3060" s="27" t="s">
        <v>122</v>
      </c>
      <c r="C3060" s="27" t="s">
        <v>6</v>
      </c>
      <c r="D3060" s="27" t="s">
        <v>21</v>
      </c>
      <c r="E3060" s="28">
        <v>65300</v>
      </c>
      <c r="F3060" s="28">
        <v>71200</v>
      </c>
      <c r="G3060" s="27" t="s">
        <v>22</v>
      </c>
      <c r="H3060" s="27" t="s">
        <v>4209</v>
      </c>
      <c r="I3060" s="27" t="s">
        <v>9</v>
      </c>
    </row>
    <row r="3061" spans="1:9" x14ac:dyDescent="0.3">
      <c r="A3061" s="26">
        <v>45091</v>
      </c>
      <c r="B3061" s="27" t="s">
        <v>122</v>
      </c>
      <c r="C3061" s="27" t="s">
        <v>93</v>
      </c>
      <c r="D3061" s="27" t="s">
        <v>21</v>
      </c>
      <c r="E3061" s="28">
        <v>83900</v>
      </c>
      <c r="F3061" s="28">
        <v>73900</v>
      </c>
      <c r="G3061" s="27" t="s">
        <v>17</v>
      </c>
      <c r="H3061" s="27" t="s">
        <v>4510</v>
      </c>
      <c r="I3061" s="27" t="s">
        <v>9</v>
      </c>
    </row>
    <row r="3062" spans="1:9" x14ac:dyDescent="0.3">
      <c r="A3062" s="26">
        <v>45091</v>
      </c>
      <c r="B3062" s="27" t="s">
        <v>122</v>
      </c>
      <c r="C3062" s="27" t="s">
        <v>93</v>
      </c>
      <c r="D3062" s="27" t="s">
        <v>16</v>
      </c>
      <c r="E3062" s="28">
        <v>192700</v>
      </c>
      <c r="F3062" s="28">
        <v>267600</v>
      </c>
      <c r="G3062" s="27" t="s">
        <v>11</v>
      </c>
      <c r="H3062" s="27" t="s">
        <v>4601</v>
      </c>
      <c r="I3062" s="27" t="s">
        <v>9</v>
      </c>
    </row>
    <row r="3063" spans="1:9" x14ac:dyDescent="0.3">
      <c r="A3063" s="26">
        <v>45091</v>
      </c>
      <c r="B3063" s="27" t="s">
        <v>122</v>
      </c>
      <c r="C3063" s="27" t="s">
        <v>6</v>
      </c>
      <c r="D3063" s="27" t="s">
        <v>21</v>
      </c>
      <c r="E3063" s="28">
        <v>120700</v>
      </c>
      <c r="F3063" s="28">
        <v>124000</v>
      </c>
      <c r="G3063" s="27" t="s">
        <v>11</v>
      </c>
      <c r="H3063" s="27" t="s">
        <v>4639</v>
      </c>
      <c r="I3063" s="27" t="s">
        <v>9</v>
      </c>
    </row>
    <row r="3064" spans="1:9" x14ac:dyDescent="0.3">
      <c r="A3064" s="26">
        <v>45091</v>
      </c>
      <c r="B3064" s="27" t="s">
        <v>122</v>
      </c>
      <c r="C3064" s="27" t="s">
        <v>93</v>
      </c>
      <c r="D3064" s="27" t="s">
        <v>21</v>
      </c>
      <c r="E3064" s="28">
        <v>63500</v>
      </c>
      <c r="F3064" s="28">
        <v>58300</v>
      </c>
      <c r="G3064" s="27" t="s">
        <v>17</v>
      </c>
      <c r="H3064" s="27" t="s">
        <v>5137</v>
      </c>
      <c r="I3064" s="27" t="s">
        <v>9</v>
      </c>
    </row>
    <row r="3065" spans="1:9" x14ac:dyDescent="0.3">
      <c r="A3065" s="26">
        <v>45091</v>
      </c>
      <c r="B3065" s="27" t="s">
        <v>122</v>
      </c>
      <c r="C3065" s="27" t="s">
        <v>6</v>
      </c>
      <c r="D3065" s="27" t="s">
        <v>16</v>
      </c>
      <c r="E3065" s="28">
        <v>101200</v>
      </c>
      <c r="F3065" s="28">
        <v>99900</v>
      </c>
      <c r="G3065" s="27" t="s">
        <v>11</v>
      </c>
      <c r="H3065" s="27" t="s">
        <v>5246</v>
      </c>
      <c r="I3065" s="27" t="s">
        <v>9</v>
      </c>
    </row>
    <row r="3066" spans="1:9" x14ac:dyDescent="0.3">
      <c r="A3066" s="26">
        <v>45092</v>
      </c>
      <c r="B3066" s="27" t="s">
        <v>122</v>
      </c>
      <c r="C3066" s="27" t="s">
        <v>15</v>
      </c>
      <c r="D3066" s="27" t="s">
        <v>21</v>
      </c>
      <c r="E3066" s="28">
        <v>33255</v>
      </c>
      <c r="F3066" s="28">
        <v>105914</v>
      </c>
      <c r="G3066" s="27" t="s">
        <v>17</v>
      </c>
      <c r="H3066" s="27" t="s">
        <v>197</v>
      </c>
      <c r="I3066" s="27" t="s">
        <v>13</v>
      </c>
    </row>
    <row r="3067" spans="1:9" x14ac:dyDescent="0.3">
      <c r="A3067" s="26">
        <v>45092</v>
      </c>
      <c r="B3067" s="27" t="s">
        <v>122</v>
      </c>
      <c r="C3067" s="27" t="s">
        <v>20</v>
      </c>
      <c r="D3067" s="27" t="s">
        <v>21</v>
      </c>
      <c r="E3067" s="28">
        <v>26867</v>
      </c>
      <c r="F3067" s="28">
        <v>128471</v>
      </c>
      <c r="G3067" s="27" t="s">
        <v>22</v>
      </c>
      <c r="H3067" s="27" t="s">
        <v>825</v>
      </c>
      <c r="I3067" s="27" t="s">
        <v>13</v>
      </c>
    </row>
    <row r="3068" spans="1:9" x14ac:dyDescent="0.3">
      <c r="A3068" s="26">
        <v>45092</v>
      </c>
      <c r="B3068" s="27" t="s">
        <v>122</v>
      </c>
      <c r="C3068" s="27" t="s">
        <v>14</v>
      </c>
      <c r="D3068" s="27" t="s">
        <v>24</v>
      </c>
      <c r="E3068" s="28">
        <v>38364</v>
      </c>
      <c r="F3068" s="28">
        <v>78539</v>
      </c>
      <c r="G3068" s="27" t="s">
        <v>17</v>
      </c>
      <c r="H3068" s="27" t="s">
        <v>873</v>
      </c>
      <c r="I3068" s="27" t="s">
        <v>13</v>
      </c>
    </row>
    <row r="3069" spans="1:9" x14ac:dyDescent="0.3">
      <c r="A3069" s="26">
        <v>45092</v>
      </c>
      <c r="B3069" s="27" t="s">
        <v>122</v>
      </c>
      <c r="C3069" s="27" t="s">
        <v>10</v>
      </c>
      <c r="D3069" s="27" t="s">
        <v>24</v>
      </c>
      <c r="E3069" s="28">
        <v>86051</v>
      </c>
      <c r="F3069" s="28">
        <v>58971</v>
      </c>
      <c r="G3069" s="27" t="s">
        <v>17</v>
      </c>
      <c r="H3069" s="27" t="s">
        <v>2712</v>
      </c>
      <c r="I3069" s="27" t="s">
        <v>13</v>
      </c>
    </row>
    <row r="3070" spans="1:9" x14ac:dyDescent="0.3">
      <c r="A3070" s="26">
        <v>45092</v>
      </c>
      <c r="B3070" s="27" t="s">
        <v>122</v>
      </c>
      <c r="C3070" s="27" t="s">
        <v>14</v>
      </c>
      <c r="D3070" s="27" t="s">
        <v>16</v>
      </c>
      <c r="E3070" s="28">
        <v>77750</v>
      </c>
      <c r="F3070" s="28">
        <v>151369</v>
      </c>
      <c r="G3070" s="27" t="s">
        <v>11</v>
      </c>
      <c r="H3070" s="27" t="s">
        <v>3229</v>
      </c>
      <c r="I3070" s="27" t="s">
        <v>13</v>
      </c>
    </row>
    <row r="3071" spans="1:9" x14ac:dyDescent="0.3">
      <c r="A3071" s="26">
        <v>45092</v>
      </c>
      <c r="B3071" s="27" t="s">
        <v>122</v>
      </c>
      <c r="C3071" s="27" t="s">
        <v>32</v>
      </c>
      <c r="D3071" s="27" t="s">
        <v>24</v>
      </c>
      <c r="E3071" s="28">
        <v>12656</v>
      </c>
      <c r="F3071" s="28">
        <v>20027</v>
      </c>
      <c r="G3071" s="27" t="s">
        <v>11</v>
      </c>
      <c r="H3071" s="27" t="s">
        <v>3260</v>
      </c>
      <c r="I3071" s="27" t="s">
        <v>13</v>
      </c>
    </row>
    <row r="3072" spans="1:9" x14ac:dyDescent="0.3">
      <c r="A3072" s="26">
        <v>45092</v>
      </c>
      <c r="B3072" s="27" t="s">
        <v>122</v>
      </c>
      <c r="C3072" s="27" t="s">
        <v>15</v>
      </c>
      <c r="D3072" s="27" t="s">
        <v>7</v>
      </c>
      <c r="E3072" s="28">
        <v>21028</v>
      </c>
      <c r="F3072" s="28">
        <v>129229</v>
      </c>
      <c r="G3072" s="27" t="s">
        <v>22</v>
      </c>
      <c r="H3072" s="27" t="s">
        <v>3368</v>
      </c>
      <c r="I3072" s="27" t="s">
        <v>13</v>
      </c>
    </row>
    <row r="3073" spans="1:9" x14ac:dyDescent="0.3">
      <c r="A3073" s="26">
        <v>45092</v>
      </c>
      <c r="B3073" s="27" t="s">
        <v>122</v>
      </c>
      <c r="C3073" s="27" t="s">
        <v>6</v>
      </c>
      <c r="D3073" s="27" t="s">
        <v>21</v>
      </c>
      <c r="E3073" s="28">
        <v>151800</v>
      </c>
      <c r="F3073" s="28">
        <v>167700</v>
      </c>
      <c r="G3073" s="27" t="s">
        <v>22</v>
      </c>
      <c r="H3073" s="27" t="s">
        <v>3578</v>
      </c>
      <c r="I3073" s="27" t="s">
        <v>9</v>
      </c>
    </row>
    <row r="3074" spans="1:9" x14ac:dyDescent="0.3">
      <c r="A3074" s="26">
        <v>45092</v>
      </c>
      <c r="B3074" s="27" t="s">
        <v>122</v>
      </c>
      <c r="C3074" s="27" t="s">
        <v>6</v>
      </c>
      <c r="D3074" s="27" t="s">
        <v>21</v>
      </c>
      <c r="E3074" s="28">
        <v>84800</v>
      </c>
      <c r="F3074" s="28">
        <v>69700</v>
      </c>
      <c r="G3074" s="27" t="s">
        <v>11</v>
      </c>
      <c r="H3074" s="27" t="s">
        <v>4206</v>
      </c>
      <c r="I3074" s="27" t="s">
        <v>9</v>
      </c>
    </row>
    <row r="3075" spans="1:9" x14ac:dyDescent="0.3">
      <c r="A3075" s="26">
        <v>45092</v>
      </c>
      <c r="B3075" s="27" t="s">
        <v>122</v>
      </c>
      <c r="C3075" s="27" t="s">
        <v>93</v>
      </c>
      <c r="D3075" s="27" t="s">
        <v>24</v>
      </c>
      <c r="E3075" s="28">
        <v>125100</v>
      </c>
      <c r="F3075" s="28">
        <v>118300</v>
      </c>
      <c r="G3075" s="27" t="s">
        <v>11</v>
      </c>
      <c r="H3075" s="27" t="s">
        <v>4254</v>
      </c>
      <c r="I3075" s="27" t="s">
        <v>9</v>
      </c>
    </row>
    <row r="3076" spans="1:9" x14ac:dyDescent="0.3">
      <c r="A3076" s="26">
        <v>45092</v>
      </c>
      <c r="B3076" s="27" t="s">
        <v>122</v>
      </c>
      <c r="C3076" s="27" t="s">
        <v>6</v>
      </c>
      <c r="D3076" s="27" t="s">
        <v>24</v>
      </c>
      <c r="E3076" s="28">
        <v>49000</v>
      </c>
      <c r="F3076" s="28">
        <v>55200</v>
      </c>
      <c r="G3076" s="27" t="s">
        <v>11</v>
      </c>
      <c r="H3076" s="27" t="s">
        <v>6097</v>
      </c>
      <c r="I3076" s="27" t="s">
        <v>9</v>
      </c>
    </row>
    <row r="3077" spans="1:9" x14ac:dyDescent="0.3">
      <c r="A3077" s="26">
        <v>45092</v>
      </c>
      <c r="B3077" s="27" t="s">
        <v>122</v>
      </c>
      <c r="C3077" s="27" t="s">
        <v>6</v>
      </c>
      <c r="D3077" s="27" t="s">
        <v>16</v>
      </c>
      <c r="E3077" s="28">
        <v>87500</v>
      </c>
      <c r="F3077" s="28">
        <v>94600</v>
      </c>
      <c r="G3077" s="27" t="s">
        <v>22</v>
      </c>
      <c r="H3077" s="27" t="s">
        <v>6614</v>
      </c>
      <c r="I3077" s="27" t="s">
        <v>9</v>
      </c>
    </row>
    <row r="3078" spans="1:9" x14ac:dyDescent="0.3">
      <c r="A3078" s="26">
        <v>45092</v>
      </c>
      <c r="B3078" s="27" t="s">
        <v>122</v>
      </c>
      <c r="C3078" s="27" t="s">
        <v>6</v>
      </c>
      <c r="D3078" s="27" t="s">
        <v>24</v>
      </c>
      <c r="E3078" s="28">
        <v>145500</v>
      </c>
      <c r="F3078" s="28">
        <v>141600</v>
      </c>
      <c r="G3078" s="27" t="s">
        <v>22</v>
      </c>
      <c r="H3078" s="27" t="s">
        <v>6645</v>
      </c>
      <c r="I3078" s="27" t="s">
        <v>9</v>
      </c>
    </row>
    <row r="3079" spans="1:9" x14ac:dyDescent="0.3">
      <c r="A3079" s="26">
        <v>45092</v>
      </c>
      <c r="B3079" s="27" t="s">
        <v>122</v>
      </c>
      <c r="C3079" s="27" t="s">
        <v>6</v>
      </c>
      <c r="D3079" s="27" t="s">
        <v>7</v>
      </c>
      <c r="E3079" s="28">
        <v>77500</v>
      </c>
      <c r="F3079" s="28">
        <v>87600</v>
      </c>
      <c r="G3079" s="27" t="s">
        <v>11</v>
      </c>
      <c r="H3079" s="27" t="s">
        <v>6753</v>
      </c>
      <c r="I3079" s="27" t="s">
        <v>9</v>
      </c>
    </row>
    <row r="3080" spans="1:9" x14ac:dyDescent="0.3">
      <c r="A3080" s="26">
        <v>45093</v>
      </c>
      <c r="B3080" s="27" t="s">
        <v>122</v>
      </c>
      <c r="C3080" s="27" t="s">
        <v>32</v>
      </c>
      <c r="D3080" s="27" t="s">
        <v>21</v>
      </c>
      <c r="E3080" s="28">
        <v>79459</v>
      </c>
      <c r="F3080" s="28">
        <v>77850</v>
      </c>
      <c r="G3080" s="27" t="s">
        <v>8</v>
      </c>
      <c r="H3080" s="27" t="s">
        <v>106</v>
      </c>
      <c r="I3080" s="27" t="s">
        <v>13</v>
      </c>
    </row>
    <row r="3081" spans="1:9" x14ac:dyDescent="0.3">
      <c r="A3081" s="26">
        <v>45093</v>
      </c>
      <c r="B3081" s="27" t="s">
        <v>122</v>
      </c>
      <c r="C3081" s="27" t="s">
        <v>14</v>
      </c>
      <c r="D3081" s="27" t="s">
        <v>21</v>
      </c>
      <c r="E3081" s="28">
        <v>98777</v>
      </c>
      <c r="F3081" s="28">
        <v>10020</v>
      </c>
      <c r="G3081" s="27" t="s">
        <v>11</v>
      </c>
      <c r="H3081" s="27" t="s">
        <v>181</v>
      </c>
      <c r="I3081" s="27" t="s">
        <v>13</v>
      </c>
    </row>
    <row r="3082" spans="1:9" x14ac:dyDescent="0.3">
      <c r="A3082" s="26">
        <v>45093</v>
      </c>
      <c r="B3082" s="27" t="s">
        <v>122</v>
      </c>
      <c r="C3082" s="27" t="s">
        <v>15</v>
      </c>
      <c r="D3082" s="27" t="s">
        <v>24</v>
      </c>
      <c r="E3082" s="28">
        <v>40657</v>
      </c>
      <c r="F3082" s="28">
        <v>64909</v>
      </c>
      <c r="G3082" s="27" t="s">
        <v>8</v>
      </c>
      <c r="H3082" s="27" t="s">
        <v>1415</v>
      </c>
      <c r="I3082" s="27" t="s">
        <v>13</v>
      </c>
    </row>
    <row r="3083" spans="1:9" x14ac:dyDescent="0.3">
      <c r="A3083" s="26">
        <v>45093</v>
      </c>
      <c r="B3083" s="27" t="s">
        <v>122</v>
      </c>
      <c r="C3083" s="27" t="s">
        <v>14</v>
      </c>
      <c r="D3083" s="27" t="s">
        <v>19</v>
      </c>
      <c r="E3083" s="28">
        <v>10418</v>
      </c>
      <c r="F3083" s="28">
        <v>78859</v>
      </c>
      <c r="G3083" s="27" t="s">
        <v>17</v>
      </c>
      <c r="H3083" s="27" t="s">
        <v>1453</v>
      </c>
      <c r="I3083" s="27" t="s">
        <v>13</v>
      </c>
    </row>
    <row r="3084" spans="1:9" x14ac:dyDescent="0.3">
      <c r="A3084" s="26">
        <v>45093</v>
      </c>
      <c r="B3084" s="27" t="s">
        <v>122</v>
      </c>
      <c r="C3084" s="27" t="s">
        <v>14</v>
      </c>
      <c r="D3084" s="27" t="s">
        <v>7</v>
      </c>
      <c r="E3084" s="28">
        <v>115273</v>
      </c>
      <c r="F3084" s="28">
        <v>30681</v>
      </c>
      <c r="G3084" s="27" t="s">
        <v>22</v>
      </c>
      <c r="H3084" s="27" t="s">
        <v>1774</v>
      </c>
      <c r="I3084" s="27" t="s">
        <v>13</v>
      </c>
    </row>
    <row r="3085" spans="1:9" x14ac:dyDescent="0.3">
      <c r="A3085" s="26">
        <v>45093</v>
      </c>
      <c r="B3085" s="27" t="s">
        <v>122</v>
      </c>
      <c r="C3085" s="27" t="s">
        <v>10</v>
      </c>
      <c r="D3085" s="27" t="s">
        <v>16</v>
      </c>
      <c r="E3085" s="28">
        <v>135466</v>
      </c>
      <c r="F3085" s="28">
        <v>130383</v>
      </c>
      <c r="G3085" s="27" t="s">
        <v>17</v>
      </c>
      <c r="H3085" s="27" t="s">
        <v>1777</v>
      </c>
      <c r="I3085" s="27" t="s">
        <v>13</v>
      </c>
    </row>
    <row r="3086" spans="1:9" x14ac:dyDescent="0.3">
      <c r="A3086" s="26">
        <v>45093</v>
      </c>
      <c r="B3086" s="27" t="s">
        <v>122</v>
      </c>
      <c r="C3086" s="27" t="s">
        <v>32</v>
      </c>
      <c r="D3086" s="27" t="s">
        <v>16</v>
      </c>
      <c r="E3086" s="28">
        <v>14436</v>
      </c>
      <c r="F3086" s="28">
        <v>87131</v>
      </c>
      <c r="G3086" s="27" t="s">
        <v>8</v>
      </c>
      <c r="H3086" s="27" t="s">
        <v>1971</v>
      </c>
      <c r="I3086" s="27" t="s">
        <v>13</v>
      </c>
    </row>
    <row r="3087" spans="1:9" x14ac:dyDescent="0.3">
      <c r="A3087" s="26">
        <v>45093</v>
      </c>
      <c r="B3087" s="27" t="s">
        <v>122</v>
      </c>
      <c r="C3087" s="27" t="s">
        <v>14</v>
      </c>
      <c r="D3087" s="27" t="s">
        <v>21</v>
      </c>
      <c r="E3087" s="28">
        <v>110991</v>
      </c>
      <c r="F3087" s="28">
        <v>68099</v>
      </c>
      <c r="G3087" s="27" t="s">
        <v>11</v>
      </c>
      <c r="H3087" s="27" t="s">
        <v>2050</v>
      </c>
      <c r="I3087" s="27" t="s">
        <v>13</v>
      </c>
    </row>
    <row r="3088" spans="1:9" x14ac:dyDescent="0.3">
      <c r="A3088" s="26">
        <v>45093</v>
      </c>
      <c r="B3088" s="27" t="s">
        <v>122</v>
      </c>
      <c r="C3088" s="27" t="s">
        <v>18</v>
      </c>
      <c r="D3088" s="27" t="s">
        <v>19</v>
      </c>
      <c r="E3088" s="28">
        <v>60400</v>
      </c>
      <c r="F3088" s="28">
        <v>59164</v>
      </c>
      <c r="G3088" s="27" t="s">
        <v>11</v>
      </c>
      <c r="H3088" s="27" t="s">
        <v>2474</v>
      </c>
      <c r="I3088" s="27" t="s">
        <v>13</v>
      </c>
    </row>
    <row r="3089" spans="1:9" x14ac:dyDescent="0.3">
      <c r="A3089" s="26">
        <v>45093</v>
      </c>
      <c r="B3089" s="27" t="s">
        <v>122</v>
      </c>
      <c r="C3089" s="27" t="s">
        <v>15</v>
      </c>
      <c r="D3089" s="27" t="s">
        <v>16</v>
      </c>
      <c r="E3089" s="28">
        <v>148253</v>
      </c>
      <c r="F3089" s="28">
        <v>159960</v>
      </c>
      <c r="G3089" s="27" t="s">
        <v>8</v>
      </c>
      <c r="H3089" s="27" t="s">
        <v>2752</v>
      </c>
      <c r="I3089" s="27" t="s">
        <v>13</v>
      </c>
    </row>
    <row r="3090" spans="1:9" x14ac:dyDescent="0.3">
      <c r="A3090" s="26">
        <v>45093</v>
      </c>
      <c r="B3090" s="27" t="s">
        <v>122</v>
      </c>
      <c r="C3090" s="27" t="s">
        <v>6</v>
      </c>
      <c r="D3090" s="27" t="s">
        <v>21</v>
      </c>
      <c r="E3090" s="28">
        <v>87800</v>
      </c>
      <c r="F3090" s="28">
        <v>96800</v>
      </c>
      <c r="G3090" s="27" t="s">
        <v>17</v>
      </c>
      <c r="H3090" s="27" t="s">
        <v>3506</v>
      </c>
      <c r="I3090" s="27" t="s">
        <v>9</v>
      </c>
    </row>
    <row r="3091" spans="1:9" x14ac:dyDescent="0.3">
      <c r="A3091" s="26">
        <v>45093</v>
      </c>
      <c r="B3091" s="27" t="s">
        <v>122</v>
      </c>
      <c r="C3091" s="27" t="s">
        <v>6</v>
      </c>
      <c r="D3091" s="27" t="s">
        <v>21</v>
      </c>
      <c r="E3091" s="28">
        <v>110200</v>
      </c>
      <c r="F3091" s="28">
        <v>121400</v>
      </c>
      <c r="G3091" s="27" t="s">
        <v>11</v>
      </c>
      <c r="H3091" s="27" t="s">
        <v>3562</v>
      </c>
      <c r="I3091" s="27" t="s">
        <v>9</v>
      </c>
    </row>
    <row r="3092" spans="1:9" x14ac:dyDescent="0.3">
      <c r="A3092" s="26">
        <v>45093</v>
      </c>
      <c r="B3092" s="27" t="s">
        <v>122</v>
      </c>
      <c r="C3092" s="27" t="s">
        <v>6</v>
      </c>
      <c r="D3092" s="27" t="s">
        <v>24</v>
      </c>
      <c r="E3092" s="28">
        <v>149500</v>
      </c>
      <c r="F3092" s="28">
        <v>170400</v>
      </c>
      <c r="G3092" s="27" t="s">
        <v>22</v>
      </c>
      <c r="H3092" s="27" t="s">
        <v>4798</v>
      </c>
      <c r="I3092" s="27" t="s">
        <v>9</v>
      </c>
    </row>
    <row r="3093" spans="1:9" x14ac:dyDescent="0.3">
      <c r="A3093" s="26">
        <v>45093</v>
      </c>
      <c r="B3093" s="27" t="s">
        <v>122</v>
      </c>
      <c r="C3093" s="27" t="s">
        <v>93</v>
      </c>
      <c r="D3093" s="27" t="s">
        <v>19</v>
      </c>
      <c r="E3093" s="28">
        <v>52600</v>
      </c>
      <c r="F3093" s="28">
        <v>47100</v>
      </c>
      <c r="G3093" s="27" t="s">
        <v>11</v>
      </c>
      <c r="H3093" s="27" t="s">
        <v>4836</v>
      </c>
      <c r="I3093" s="27" t="s">
        <v>9</v>
      </c>
    </row>
    <row r="3094" spans="1:9" x14ac:dyDescent="0.3">
      <c r="A3094" s="26">
        <v>45093</v>
      </c>
      <c r="B3094" s="27" t="s">
        <v>122</v>
      </c>
      <c r="C3094" s="27" t="s">
        <v>93</v>
      </c>
      <c r="D3094" s="27" t="s">
        <v>7</v>
      </c>
      <c r="E3094" s="28">
        <v>104900</v>
      </c>
      <c r="F3094" s="28">
        <v>116900</v>
      </c>
      <c r="G3094" s="27" t="s">
        <v>11</v>
      </c>
      <c r="H3094" s="27" t="s">
        <v>5157</v>
      </c>
      <c r="I3094" s="27" t="s">
        <v>9</v>
      </c>
    </row>
    <row r="3095" spans="1:9" x14ac:dyDescent="0.3">
      <c r="A3095" s="26">
        <v>45093</v>
      </c>
      <c r="B3095" s="27" t="s">
        <v>122</v>
      </c>
      <c r="C3095" s="27" t="s">
        <v>6</v>
      </c>
      <c r="D3095" s="27" t="s">
        <v>16</v>
      </c>
      <c r="E3095" s="28">
        <v>165300</v>
      </c>
      <c r="F3095" s="28">
        <v>221700</v>
      </c>
      <c r="G3095" s="27" t="s">
        <v>11</v>
      </c>
      <c r="H3095" s="27" t="s">
        <v>5160</v>
      </c>
      <c r="I3095" s="27" t="s">
        <v>9</v>
      </c>
    </row>
    <row r="3096" spans="1:9" x14ac:dyDescent="0.3">
      <c r="A3096" s="26">
        <v>45093</v>
      </c>
      <c r="B3096" s="27" t="s">
        <v>122</v>
      </c>
      <c r="C3096" s="27" t="s">
        <v>93</v>
      </c>
      <c r="D3096" s="27" t="s">
        <v>16</v>
      </c>
      <c r="E3096" s="28">
        <v>220600</v>
      </c>
      <c r="F3096" s="28">
        <v>155400</v>
      </c>
      <c r="G3096" s="27" t="s">
        <v>22</v>
      </c>
      <c r="H3096" s="27" t="s">
        <v>5355</v>
      </c>
      <c r="I3096" s="27" t="s">
        <v>9</v>
      </c>
    </row>
    <row r="3097" spans="1:9" x14ac:dyDescent="0.3">
      <c r="A3097" s="26">
        <v>45093</v>
      </c>
      <c r="B3097" s="27" t="s">
        <v>122</v>
      </c>
      <c r="C3097" s="27" t="s">
        <v>93</v>
      </c>
      <c r="D3097" s="27" t="s">
        <v>21</v>
      </c>
      <c r="E3097" s="28">
        <v>112200</v>
      </c>
      <c r="F3097" s="28">
        <v>95900</v>
      </c>
      <c r="G3097" s="27" t="s">
        <v>11</v>
      </c>
      <c r="H3097" s="27" t="s">
        <v>5434</v>
      </c>
      <c r="I3097" s="27" t="s">
        <v>9</v>
      </c>
    </row>
    <row r="3098" spans="1:9" x14ac:dyDescent="0.3">
      <c r="A3098" s="26">
        <v>45093</v>
      </c>
      <c r="B3098" s="27" t="s">
        <v>122</v>
      </c>
      <c r="C3098" s="27" t="s">
        <v>6</v>
      </c>
      <c r="D3098" s="27" t="s">
        <v>19</v>
      </c>
      <c r="E3098" s="28">
        <v>135800</v>
      </c>
      <c r="F3098" s="28">
        <v>133100</v>
      </c>
      <c r="G3098" s="27" t="s">
        <v>11</v>
      </c>
      <c r="H3098" s="27" t="s">
        <v>5859</v>
      </c>
      <c r="I3098" s="27" t="s">
        <v>9</v>
      </c>
    </row>
    <row r="3099" spans="1:9" x14ac:dyDescent="0.3">
      <c r="A3099" s="26">
        <v>45093</v>
      </c>
      <c r="B3099" s="27" t="s">
        <v>122</v>
      </c>
      <c r="C3099" s="27" t="s">
        <v>6</v>
      </c>
      <c r="D3099" s="27" t="s">
        <v>16</v>
      </c>
      <c r="E3099" s="28">
        <v>108900</v>
      </c>
      <c r="F3099" s="28">
        <v>102600</v>
      </c>
      <c r="G3099" s="27" t="s">
        <v>11</v>
      </c>
      <c r="H3099" s="27" t="s">
        <v>6137</v>
      </c>
      <c r="I3099" s="27" t="s">
        <v>9</v>
      </c>
    </row>
    <row r="3100" spans="1:9" x14ac:dyDescent="0.3">
      <c r="A3100" s="26">
        <v>45094</v>
      </c>
      <c r="B3100" s="27" t="s">
        <v>122</v>
      </c>
      <c r="C3100" s="27" t="s">
        <v>14</v>
      </c>
      <c r="D3100" s="27" t="s">
        <v>21</v>
      </c>
      <c r="E3100" s="28">
        <v>117167</v>
      </c>
      <c r="F3100" s="28">
        <v>15153</v>
      </c>
      <c r="G3100" s="27" t="s">
        <v>11</v>
      </c>
      <c r="H3100" s="27" t="s">
        <v>49</v>
      </c>
      <c r="I3100" s="27" t="s">
        <v>13</v>
      </c>
    </row>
    <row r="3101" spans="1:9" x14ac:dyDescent="0.3">
      <c r="A3101" s="26">
        <v>45094</v>
      </c>
      <c r="B3101" s="27" t="s">
        <v>122</v>
      </c>
      <c r="C3101" s="27" t="s">
        <v>15</v>
      </c>
      <c r="D3101" s="27" t="s">
        <v>19</v>
      </c>
      <c r="E3101" s="28">
        <v>92163</v>
      </c>
      <c r="F3101" s="28">
        <v>146954</v>
      </c>
      <c r="G3101" s="27" t="s">
        <v>11</v>
      </c>
      <c r="H3101" s="27" t="s">
        <v>334</v>
      </c>
      <c r="I3101" s="27" t="s">
        <v>13</v>
      </c>
    </row>
    <row r="3102" spans="1:9" x14ac:dyDescent="0.3">
      <c r="A3102" s="26">
        <v>45094</v>
      </c>
      <c r="B3102" s="27" t="s">
        <v>122</v>
      </c>
      <c r="C3102" s="27" t="s">
        <v>10</v>
      </c>
      <c r="D3102" s="27" t="s">
        <v>7</v>
      </c>
      <c r="E3102" s="28">
        <v>107544</v>
      </c>
      <c r="F3102" s="28">
        <v>74195</v>
      </c>
      <c r="G3102" s="27" t="s">
        <v>22</v>
      </c>
      <c r="H3102" s="27" t="s">
        <v>1045</v>
      </c>
      <c r="I3102" s="27" t="s">
        <v>13</v>
      </c>
    </row>
    <row r="3103" spans="1:9" x14ac:dyDescent="0.3">
      <c r="A3103" s="26">
        <v>45094</v>
      </c>
      <c r="B3103" s="27" t="s">
        <v>122</v>
      </c>
      <c r="C3103" s="27" t="s">
        <v>10</v>
      </c>
      <c r="D3103" s="27" t="s">
        <v>7</v>
      </c>
      <c r="E3103" s="28">
        <v>54592</v>
      </c>
      <c r="F3103" s="28">
        <v>48671</v>
      </c>
      <c r="G3103" s="27" t="s">
        <v>17</v>
      </c>
      <c r="H3103" s="27" t="s">
        <v>1251</v>
      </c>
      <c r="I3103" s="27" t="s">
        <v>13</v>
      </c>
    </row>
    <row r="3104" spans="1:9" x14ac:dyDescent="0.3">
      <c r="A3104" s="26">
        <v>45094</v>
      </c>
      <c r="B3104" s="27" t="s">
        <v>122</v>
      </c>
      <c r="C3104" s="27" t="s">
        <v>18</v>
      </c>
      <c r="D3104" s="27" t="s">
        <v>21</v>
      </c>
      <c r="E3104" s="28">
        <v>99927</v>
      </c>
      <c r="F3104" s="28">
        <v>36125</v>
      </c>
      <c r="G3104" s="27" t="s">
        <v>8</v>
      </c>
      <c r="H3104" s="27" t="s">
        <v>1901</v>
      </c>
      <c r="I3104" s="27" t="s">
        <v>13</v>
      </c>
    </row>
    <row r="3105" spans="1:9" x14ac:dyDescent="0.3">
      <c r="A3105" s="26">
        <v>45094</v>
      </c>
      <c r="B3105" s="27" t="s">
        <v>122</v>
      </c>
      <c r="C3105" s="27" t="s">
        <v>32</v>
      </c>
      <c r="D3105" s="27" t="s">
        <v>19</v>
      </c>
      <c r="E3105" s="28">
        <v>73897</v>
      </c>
      <c r="F3105" s="28">
        <v>46933</v>
      </c>
      <c r="G3105" s="27" t="s">
        <v>22</v>
      </c>
      <c r="H3105" s="27" t="s">
        <v>1946</v>
      </c>
      <c r="I3105" s="27" t="s">
        <v>13</v>
      </c>
    </row>
    <row r="3106" spans="1:9" x14ac:dyDescent="0.3">
      <c r="A3106" s="26">
        <v>45094</v>
      </c>
      <c r="B3106" s="27" t="s">
        <v>122</v>
      </c>
      <c r="C3106" s="27" t="s">
        <v>32</v>
      </c>
      <c r="D3106" s="27" t="s">
        <v>19</v>
      </c>
      <c r="E3106" s="28">
        <v>120423</v>
      </c>
      <c r="F3106" s="28">
        <v>16962</v>
      </c>
      <c r="G3106" s="27" t="s">
        <v>17</v>
      </c>
      <c r="H3106" s="27" t="s">
        <v>2162</v>
      </c>
      <c r="I3106" s="27" t="s">
        <v>13</v>
      </c>
    </row>
    <row r="3107" spans="1:9" x14ac:dyDescent="0.3">
      <c r="A3107" s="26">
        <v>45094</v>
      </c>
      <c r="B3107" s="27" t="s">
        <v>122</v>
      </c>
      <c r="C3107" s="27" t="s">
        <v>20</v>
      </c>
      <c r="D3107" s="27" t="s">
        <v>7</v>
      </c>
      <c r="E3107" s="28">
        <v>33933</v>
      </c>
      <c r="F3107" s="28">
        <v>9298</v>
      </c>
      <c r="G3107" s="27" t="s">
        <v>11</v>
      </c>
      <c r="H3107" s="27" t="s">
        <v>2763</v>
      </c>
      <c r="I3107" s="27" t="s">
        <v>13</v>
      </c>
    </row>
    <row r="3108" spans="1:9" x14ac:dyDescent="0.3">
      <c r="A3108" s="26">
        <v>45094</v>
      </c>
      <c r="B3108" s="27" t="s">
        <v>122</v>
      </c>
      <c r="C3108" s="27" t="s">
        <v>14</v>
      </c>
      <c r="D3108" s="27" t="s">
        <v>19</v>
      </c>
      <c r="E3108" s="28">
        <v>146870</v>
      </c>
      <c r="F3108" s="28">
        <v>83242</v>
      </c>
      <c r="G3108" s="27" t="s">
        <v>8</v>
      </c>
      <c r="H3108" s="27" t="s">
        <v>2835</v>
      </c>
      <c r="I3108" s="27" t="s">
        <v>13</v>
      </c>
    </row>
    <row r="3109" spans="1:9" x14ac:dyDescent="0.3">
      <c r="A3109" s="26">
        <v>45094</v>
      </c>
      <c r="B3109" s="27" t="s">
        <v>122</v>
      </c>
      <c r="C3109" s="27" t="s">
        <v>10</v>
      </c>
      <c r="D3109" s="27" t="s">
        <v>24</v>
      </c>
      <c r="E3109" s="28">
        <v>28941</v>
      </c>
      <c r="F3109" s="28">
        <v>18727</v>
      </c>
      <c r="G3109" s="27" t="s">
        <v>22</v>
      </c>
      <c r="H3109" s="27" t="s">
        <v>2868</v>
      </c>
      <c r="I3109" s="27" t="s">
        <v>13</v>
      </c>
    </row>
    <row r="3110" spans="1:9" x14ac:dyDescent="0.3">
      <c r="A3110" s="26">
        <v>45094</v>
      </c>
      <c r="B3110" s="27" t="s">
        <v>122</v>
      </c>
      <c r="C3110" s="27" t="s">
        <v>18</v>
      </c>
      <c r="D3110" s="27" t="s">
        <v>7</v>
      </c>
      <c r="E3110" s="28">
        <v>132336</v>
      </c>
      <c r="F3110" s="28">
        <v>80422</v>
      </c>
      <c r="G3110" s="27" t="s">
        <v>11</v>
      </c>
      <c r="H3110" s="27" t="s">
        <v>2875</v>
      </c>
      <c r="I3110" s="27" t="s">
        <v>13</v>
      </c>
    </row>
    <row r="3111" spans="1:9" x14ac:dyDescent="0.3">
      <c r="A3111" s="26">
        <v>45094</v>
      </c>
      <c r="B3111" s="27" t="s">
        <v>122</v>
      </c>
      <c r="C3111" s="27" t="s">
        <v>15</v>
      </c>
      <c r="D3111" s="27" t="s">
        <v>21</v>
      </c>
      <c r="E3111" s="28">
        <v>70252</v>
      </c>
      <c r="F3111" s="28">
        <v>47392</v>
      </c>
      <c r="G3111" s="27" t="s">
        <v>11</v>
      </c>
      <c r="H3111" s="27" t="s">
        <v>3184</v>
      </c>
      <c r="I3111" s="27" t="s">
        <v>13</v>
      </c>
    </row>
    <row r="3112" spans="1:9" x14ac:dyDescent="0.3">
      <c r="A3112" s="26">
        <v>45094</v>
      </c>
      <c r="B3112" s="27" t="s">
        <v>122</v>
      </c>
      <c r="C3112" s="27" t="s">
        <v>18</v>
      </c>
      <c r="D3112" s="27" t="s">
        <v>24</v>
      </c>
      <c r="E3112" s="28">
        <v>20104</v>
      </c>
      <c r="F3112" s="28">
        <v>70230</v>
      </c>
      <c r="G3112" s="27" t="s">
        <v>22</v>
      </c>
      <c r="H3112" s="27" t="s">
        <v>3252</v>
      </c>
      <c r="I3112" s="27" t="s">
        <v>13</v>
      </c>
    </row>
    <row r="3113" spans="1:9" x14ac:dyDescent="0.3">
      <c r="A3113" s="26">
        <v>45094</v>
      </c>
      <c r="B3113" s="27" t="s">
        <v>122</v>
      </c>
      <c r="C3113" s="27" t="s">
        <v>18</v>
      </c>
      <c r="D3113" s="27" t="s">
        <v>21</v>
      </c>
      <c r="E3113" s="28">
        <v>23232</v>
      </c>
      <c r="F3113" s="28">
        <v>24034</v>
      </c>
      <c r="G3113" s="27" t="s">
        <v>22</v>
      </c>
      <c r="H3113" s="27" t="s">
        <v>3414</v>
      </c>
      <c r="I3113" s="27" t="s">
        <v>13</v>
      </c>
    </row>
    <row r="3114" spans="1:9" x14ac:dyDescent="0.3">
      <c r="A3114" s="26">
        <v>45094</v>
      </c>
      <c r="B3114" s="27" t="s">
        <v>122</v>
      </c>
      <c r="C3114" s="27" t="s">
        <v>6</v>
      </c>
      <c r="D3114" s="27" t="s">
        <v>21</v>
      </c>
      <c r="E3114" s="28">
        <v>135600</v>
      </c>
      <c r="F3114" s="28">
        <v>136200</v>
      </c>
      <c r="G3114" s="27" t="s">
        <v>22</v>
      </c>
      <c r="H3114" s="27" t="s">
        <v>3454</v>
      </c>
      <c r="I3114" s="27" t="s">
        <v>9</v>
      </c>
    </row>
    <row r="3115" spans="1:9" x14ac:dyDescent="0.3">
      <c r="A3115" s="26">
        <v>45094</v>
      </c>
      <c r="B3115" s="27" t="s">
        <v>122</v>
      </c>
      <c r="C3115" s="27" t="s">
        <v>6</v>
      </c>
      <c r="D3115" s="27" t="s">
        <v>19</v>
      </c>
      <c r="E3115" s="28">
        <v>104600</v>
      </c>
      <c r="F3115" s="28">
        <v>99400</v>
      </c>
      <c r="G3115" s="27" t="s">
        <v>22</v>
      </c>
      <c r="H3115" s="27" t="s">
        <v>3715</v>
      </c>
      <c r="I3115" s="27" t="s">
        <v>9</v>
      </c>
    </row>
    <row r="3116" spans="1:9" x14ac:dyDescent="0.3">
      <c r="A3116" s="26">
        <v>45094</v>
      </c>
      <c r="B3116" s="27" t="s">
        <v>122</v>
      </c>
      <c r="C3116" s="27" t="s">
        <v>6</v>
      </c>
      <c r="D3116" s="27" t="s">
        <v>7</v>
      </c>
      <c r="E3116" s="28">
        <v>114300</v>
      </c>
      <c r="F3116" s="28">
        <v>100000</v>
      </c>
      <c r="G3116" s="27" t="s">
        <v>22</v>
      </c>
      <c r="H3116" s="27" t="s">
        <v>4427</v>
      </c>
      <c r="I3116" s="27" t="s">
        <v>9</v>
      </c>
    </row>
    <row r="3117" spans="1:9" x14ac:dyDescent="0.3">
      <c r="A3117" s="26">
        <v>45094</v>
      </c>
      <c r="B3117" s="27" t="s">
        <v>122</v>
      </c>
      <c r="C3117" s="27" t="s">
        <v>6</v>
      </c>
      <c r="D3117" s="27" t="s">
        <v>7</v>
      </c>
      <c r="E3117" s="28">
        <v>64500</v>
      </c>
      <c r="F3117" s="28">
        <v>60500</v>
      </c>
      <c r="G3117" s="27" t="s">
        <v>11</v>
      </c>
      <c r="H3117" s="27" t="s">
        <v>4634</v>
      </c>
      <c r="I3117" s="27" t="s">
        <v>9</v>
      </c>
    </row>
    <row r="3118" spans="1:9" x14ac:dyDescent="0.3">
      <c r="A3118" s="26">
        <v>45094</v>
      </c>
      <c r="B3118" s="27" t="s">
        <v>122</v>
      </c>
      <c r="C3118" s="27" t="s">
        <v>6</v>
      </c>
      <c r="D3118" s="27" t="s">
        <v>21</v>
      </c>
      <c r="E3118" s="28">
        <v>102300</v>
      </c>
      <c r="F3118" s="28">
        <v>92500</v>
      </c>
      <c r="G3118" s="27" t="s">
        <v>22</v>
      </c>
      <c r="H3118" s="27" t="s">
        <v>5285</v>
      </c>
      <c r="I3118" s="27" t="s">
        <v>9</v>
      </c>
    </row>
    <row r="3119" spans="1:9" x14ac:dyDescent="0.3">
      <c r="A3119" s="26">
        <v>45094</v>
      </c>
      <c r="B3119" s="27" t="s">
        <v>122</v>
      </c>
      <c r="C3119" s="27" t="s">
        <v>93</v>
      </c>
      <c r="D3119" s="27" t="s">
        <v>19</v>
      </c>
      <c r="E3119" s="28">
        <v>161300</v>
      </c>
      <c r="F3119" s="28">
        <v>145200</v>
      </c>
      <c r="G3119" s="27" t="s">
        <v>22</v>
      </c>
      <c r="H3119" s="27" t="s">
        <v>5330</v>
      </c>
      <c r="I3119" s="27" t="s">
        <v>9</v>
      </c>
    </row>
    <row r="3120" spans="1:9" x14ac:dyDescent="0.3">
      <c r="A3120" s="26">
        <v>45094</v>
      </c>
      <c r="B3120" s="27" t="s">
        <v>122</v>
      </c>
      <c r="C3120" s="27" t="s">
        <v>6</v>
      </c>
      <c r="D3120" s="27" t="s">
        <v>19</v>
      </c>
      <c r="E3120" s="28">
        <v>89900</v>
      </c>
      <c r="F3120" s="28">
        <v>93500</v>
      </c>
      <c r="G3120" s="27" t="s">
        <v>22</v>
      </c>
      <c r="H3120" s="27" t="s">
        <v>5547</v>
      </c>
      <c r="I3120" s="27" t="s">
        <v>9</v>
      </c>
    </row>
    <row r="3121" spans="1:9" x14ac:dyDescent="0.3">
      <c r="A3121" s="26">
        <v>45094</v>
      </c>
      <c r="B3121" s="27" t="s">
        <v>122</v>
      </c>
      <c r="C3121" s="27" t="s">
        <v>93</v>
      </c>
      <c r="D3121" s="27" t="s">
        <v>7</v>
      </c>
      <c r="E3121" s="28">
        <v>90500</v>
      </c>
      <c r="F3121" s="28">
        <v>117200</v>
      </c>
      <c r="G3121" s="27" t="s">
        <v>11</v>
      </c>
      <c r="H3121" s="27" t="s">
        <v>6148</v>
      </c>
      <c r="I3121" s="27" t="s">
        <v>9</v>
      </c>
    </row>
    <row r="3122" spans="1:9" x14ac:dyDescent="0.3">
      <c r="A3122" s="26">
        <v>45094</v>
      </c>
      <c r="B3122" s="27" t="s">
        <v>122</v>
      </c>
      <c r="C3122" s="27" t="s">
        <v>6</v>
      </c>
      <c r="D3122" s="27" t="s">
        <v>19</v>
      </c>
      <c r="E3122" s="28">
        <v>111800</v>
      </c>
      <c r="F3122" s="28">
        <v>115800</v>
      </c>
      <c r="G3122" s="27" t="s">
        <v>11</v>
      </c>
      <c r="H3122" s="27" t="s">
        <v>6220</v>
      </c>
      <c r="I3122" s="27" t="s">
        <v>9</v>
      </c>
    </row>
    <row r="3123" spans="1:9" x14ac:dyDescent="0.3">
      <c r="A3123" s="26">
        <v>45094</v>
      </c>
      <c r="B3123" s="27" t="s">
        <v>122</v>
      </c>
      <c r="C3123" s="27" t="s">
        <v>6</v>
      </c>
      <c r="D3123" s="27" t="s">
        <v>24</v>
      </c>
      <c r="E3123" s="28">
        <v>104500</v>
      </c>
      <c r="F3123" s="28">
        <v>102900</v>
      </c>
      <c r="G3123" s="27" t="s">
        <v>11</v>
      </c>
      <c r="H3123" s="27" t="s">
        <v>6253</v>
      </c>
      <c r="I3123" s="27" t="s">
        <v>9</v>
      </c>
    </row>
    <row r="3124" spans="1:9" x14ac:dyDescent="0.3">
      <c r="A3124" s="26">
        <v>45094</v>
      </c>
      <c r="B3124" s="27" t="s">
        <v>122</v>
      </c>
      <c r="C3124" s="27" t="s">
        <v>93</v>
      </c>
      <c r="D3124" s="27" t="s">
        <v>7</v>
      </c>
      <c r="E3124" s="28">
        <v>66700</v>
      </c>
      <c r="F3124" s="28">
        <v>62100</v>
      </c>
      <c r="G3124" s="27" t="s">
        <v>11</v>
      </c>
      <c r="H3124" s="27" t="s">
        <v>6260</v>
      </c>
      <c r="I3124" s="27" t="s">
        <v>9</v>
      </c>
    </row>
    <row r="3125" spans="1:9" x14ac:dyDescent="0.3">
      <c r="A3125" s="26">
        <v>45094</v>
      </c>
      <c r="B3125" s="27" t="s">
        <v>122</v>
      </c>
      <c r="C3125" s="27" t="s">
        <v>6</v>
      </c>
      <c r="D3125" s="27" t="s">
        <v>21</v>
      </c>
      <c r="E3125" s="28">
        <v>93400</v>
      </c>
      <c r="F3125" s="28">
        <v>98900</v>
      </c>
      <c r="G3125" s="27" t="s">
        <v>11</v>
      </c>
      <c r="H3125" s="27" t="s">
        <v>6569</v>
      </c>
      <c r="I3125" s="27" t="s">
        <v>9</v>
      </c>
    </row>
    <row r="3126" spans="1:9" x14ac:dyDescent="0.3">
      <c r="A3126" s="26">
        <v>45094</v>
      </c>
      <c r="B3126" s="27" t="s">
        <v>122</v>
      </c>
      <c r="C3126" s="27" t="s">
        <v>6</v>
      </c>
      <c r="D3126" s="27" t="s">
        <v>24</v>
      </c>
      <c r="E3126" s="28">
        <v>97900</v>
      </c>
      <c r="F3126" s="28">
        <v>90500</v>
      </c>
      <c r="G3126" s="27" t="s">
        <v>11</v>
      </c>
      <c r="H3126" s="27" t="s">
        <v>6637</v>
      </c>
      <c r="I3126" s="27" t="s">
        <v>9</v>
      </c>
    </row>
    <row r="3127" spans="1:9" x14ac:dyDescent="0.3">
      <c r="A3127" s="26">
        <v>45094</v>
      </c>
      <c r="B3127" s="27" t="s">
        <v>122</v>
      </c>
      <c r="C3127" s="27" t="s">
        <v>6</v>
      </c>
      <c r="D3127" s="27" t="s">
        <v>21</v>
      </c>
      <c r="E3127" s="28">
        <v>99700</v>
      </c>
      <c r="F3127" s="28">
        <v>99400</v>
      </c>
      <c r="G3127" s="27" t="s">
        <v>11</v>
      </c>
      <c r="H3127" s="27" t="s">
        <v>6799</v>
      </c>
      <c r="I3127" s="27" t="s">
        <v>9</v>
      </c>
    </row>
    <row r="3128" spans="1:9" x14ac:dyDescent="0.3">
      <c r="A3128" s="26">
        <v>45095</v>
      </c>
      <c r="B3128" s="27" t="s">
        <v>122</v>
      </c>
      <c r="C3128" s="27" t="s">
        <v>20</v>
      </c>
      <c r="D3128" s="27" t="s">
        <v>19</v>
      </c>
      <c r="E3128" s="28">
        <v>19968</v>
      </c>
      <c r="F3128" s="28">
        <v>84620</v>
      </c>
      <c r="G3128" s="27" t="s">
        <v>11</v>
      </c>
      <c r="H3128" s="27" t="s">
        <v>324</v>
      </c>
      <c r="I3128" s="27" t="s">
        <v>13</v>
      </c>
    </row>
    <row r="3129" spans="1:9" x14ac:dyDescent="0.3">
      <c r="A3129" s="26">
        <v>45095</v>
      </c>
      <c r="B3129" s="27" t="s">
        <v>122</v>
      </c>
      <c r="C3129" s="27" t="s">
        <v>18</v>
      </c>
      <c r="D3129" s="27" t="s">
        <v>21</v>
      </c>
      <c r="E3129" s="28">
        <v>139457</v>
      </c>
      <c r="F3129" s="28">
        <v>136619</v>
      </c>
      <c r="G3129" s="27" t="s">
        <v>8</v>
      </c>
      <c r="H3129" s="27" t="s">
        <v>546</v>
      </c>
      <c r="I3129" s="27" t="s">
        <v>13</v>
      </c>
    </row>
    <row r="3130" spans="1:9" x14ac:dyDescent="0.3">
      <c r="A3130" s="26">
        <v>45095</v>
      </c>
      <c r="B3130" s="27" t="s">
        <v>122</v>
      </c>
      <c r="C3130" s="27" t="s">
        <v>14</v>
      </c>
      <c r="D3130" s="27" t="s">
        <v>7</v>
      </c>
      <c r="E3130" s="28">
        <v>71125</v>
      </c>
      <c r="F3130" s="28">
        <v>91268</v>
      </c>
      <c r="G3130" s="27" t="s">
        <v>17</v>
      </c>
      <c r="H3130" s="27" t="s">
        <v>709</v>
      </c>
      <c r="I3130" s="27" t="s">
        <v>13</v>
      </c>
    </row>
    <row r="3131" spans="1:9" x14ac:dyDescent="0.3">
      <c r="A3131" s="26">
        <v>45095</v>
      </c>
      <c r="B3131" s="27" t="s">
        <v>122</v>
      </c>
      <c r="C3131" s="27" t="s">
        <v>14</v>
      </c>
      <c r="D3131" s="27" t="s">
        <v>16</v>
      </c>
      <c r="E3131" s="28">
        <v>115446</v>
      </c>
      <c r="F3131" s="28">
        <v>95623</v>
      </c>
      <c r="G3131" s="27" t="s">
        <v>22</v>
      </c>
      <c r="H3131" s="27" t="s">
        <v>889</v>
      </c>
      <c r="I3131" s="27" t="s">
        <v>13</v>
      </c>
    </row>
    <row r="3132" spans="1:9" x14ac:dyDescent="0.3">
      <c r="A3132" s="26">
        <v>45095</v>
      </c>
      <c r="B3132" s="27" t="s">
        <v>122</v>
      </c>
      <c r="C3132" s="27" t="s">
        <v>10</v>
      </c>
      <c r="D3132" s="27" t="s">
        <v>7</v>
      </c>
      <c r="E3132" s="28">
        <v>30287</v>
      </c>
      <c r="F3132" s="28">
        <v>118520</v>
      </c>
      <c r="G3132" s="27" t="s">
        <v>22</v>
      </c>
      <c r="H3132" s="27" t="s">
        <v>965</v>
      </c>
      <c r="I3132" s="27" t="s">
        <v>13</v>
      </c>
    </row>
    <row r="3133" spans="1:9" x14ac:dyDescent="0.3">
      <c r="A3133" s="26">
        <v>45095</v>
      </c>
      <c r="B3133" s="27" t="s">
        <v>122</v>
      </c>
      <c r="C3133" s="27" t="s">
        <v>15</v>
      </c>
      <c r="D3133" s="27" t="s">
        <v>19</v>
      </c>
      <c r="E3133" s="28">
        <v>23472</v>
      </c>
      <c r="F3133" s="28">
        <v>41055</v>
      </c>
      <c r="G3133" s="27" t="s">
        <v>8</v>
      </c>
      <c r="H3133" s="27" t="s">
        <v>1242</v>
      </c>
      <c r="I3133" s="27" t="s">
        <v>13</v>
      </c>
    </row>
    <row r="3134" spans="1:9" x14ac:dyDescent="0.3">
      <c r="A3134" s="26">
        <v>45095</v>
      </c>
      <c r="B3134" s="27" t="s">
        <v>122</v>
      </c>
      <c r="C3134" s="27" t="s">
        <v>15</v>
      </c>
      <c r="D3134" s="27" t="s">
        <v>24</v>
      </c>
      <c r="E3134" s="28">
        <v>49358</v>
      </c>
      <c r="F3134" s="28">
        <v>126670</v>
      </c>
      <c r="G3134" s="27" t="s">
        <v>17</v>
      </c>
      <c r="H3134" s="27" t="s">
        <v>1259</v>
      </c>
      <c r="I3134" s="27" t="s">
        <v>13</v>
      </c>
    </row>
    <row r="3135" spans="1:9" x14ac:dyDescent="0.3">
      <c r="A3135" s="26">
        <v>45095</v>
      </c>
      <c r="B3135" s="27" t="s">
        <v>122</v>
      </c>
      <c r="C3135" s="27" t="s">
        <v>20</v>
      </c>
      <c r="D3135" s="27" t="s">
        <v>7</v>
      </c>
      <c r="E3135" s="28">
        <v>129752</v>
      </c>
      <c r="F3135" s="28">
        <v>71242</v>
      </c>
      <c r="G3135" s="27" t="s">
        <v>17</v>
      </c>
      <c r="H3135" s="27" t="s">
        <v>1721</v>
      </c>
      <c r="I3135" s="27" t="s">
        <v>13</v>
      </c>
    </row>
    <row r="3136" spans="1:9" x14ac:dyDescent="0.3">
      <c r="A3136" s="26">
        <v>45095</v>
      </c>
      <c r="B3136" s="27" t="s">
        <v>122</v>
      </c>
      <c r="C3136" s="27" t="s">
        <v>32</v>
      </c>
      <c r="D3136" s="27" t="s">
        <v>24</v>
      </c>
      <c r="E3136" s="28">
        <v>17353</v>
      </c>
      <c r="F3136" s="28">
        <v>122467</v>
      </c>
      <c r="G3136" s="27" t="s">
        <v>8</v>
      </c>
      <c r="H3136" s="27" t="s">
        <v>1838</v>
      </c>
      <c r="I3136" s="27" t="s">
        <v>13</v>
      </c>
    </row>
    <row r="3137" spans="1:9" x14ac:dyDescent="0.3">
      <c r="A3137" s="26">
        <v>45095</v>
      </c>
      <c r="B3137" s="27" t="s">
        <v>122</v>
      </c>
      <c r="C3137" s="27" t="s">
        <v>14</v>
      </c>
      <c r="D3137" s="27" t="s">
        <v>21</v>
      </c>
      <c r="E3137" s="28">
        <v>79901</v>
      </c>
      <c r="F3137" s="28">
        <v>38968</v>
      </c>
      <c r="G3137" s="27" t="s">
        <v>11</v>
      </c>
      <c r="H3137" s="27" t="s">
        <v>2191</v>
      </c>
      <c r="I3137" s="27" t="s">
        <v>13</v>
      </c>
    </row>
    <row r="3138" spans="1:9" x14ac:dyDescent="0.3">
      <c r="A3138" s="26">
        <v>45095</v>
      </c>
      <c r="B3138" s="27" t="s">
        <v>122</v>
      </c>
      <c r="C3138" s="27" t="s">
        <v>18</v>
      </c>
      <c r="D3138" s="27" t="s">
        <v>24</v>
      </c>
      <c r="E3138" s="28">
        <v>81898</v>
      </c>
      <c r="F3138" s="28">
        <v>17964</v>
      </c>
      <c r="G3138" s="27" t="s">
        <v>17</v>
      </c>
      <c r="H3138" s="27" t="s">
        <v>2643</v>
      </c>
      <c r="I3138" s="27" t="s">
        <v>13</v>
      </c>
    </row>
    <row r="3139" spans="1:9" x14ac:dyDescent="0.3">
      <c r="A3139" s="26">
        <v>45095</v>
      </c>
      <c r="B3139" s="27" t="s">
        <v>122</v>
      </c>
      <c r="C3139" s="27" t="s">
        <v>32</v>
      </c>
      <c r="D3139" s="27" t="s">
        <v>7</v>
      </c>
      <c r="E3139" s="28">
        <v>27448</v>
      </c>
      <c r="F3139" s="28">
        <v>77246</v>
      </c>
      <c r="G3139" s="27" t="s">
        <v>11</v>
      </c>
      <c r="H3139" s="27" t="s">
        <v>2659</v>
      </c>
      <c r="I3139" s="27" t="s">
        <v>13</v>
      </c>
    </row>
    <row r="3140" spans="1:9" x14ac:dyDescent="0.3">
      <c r="A3140" s="26">
        <v>45095</v>
      </c>
      <c r="B3140" s="27" t="s">
        <v>122</v>
      </c>
      <c r="C3140" s="27" t="s">
        <v>15</v>
      </c>
      <c r="D3140" s="27" t="s">
        <v>7</v>
      </c>
      <c r="E3140" s="28">
        <v>122203</v>
      </c>
      <c r="F3140" s="28">
        <v>119803</v>
      </c>
      <c r="G3140" s="27" t="s">
        <v>17</v>
      </c>
      <c r="H3140" s="27" t="s">
        <v>2940</v>
      </c>
      <c r="I3140" s="27" t="s">
        <v>13</v>
      </c>
    </row>
    <row r="3141" spans="1:9" x14ac:dyDescent="0.3">
      <c r="A3141" s="26">
        <v>45095</v>
      </c>
      <c r="B3141" s="27" t="s">
        <v>122</v>
      </c>
      <c r="C3141" s="27" t="s">
        <v>10</v>
      </c>
      <c r="D3141" s="27" t="s">
        <v>16</v>
      </c>
      <c r="E3141" s="28">
        <v>55731</v>
      </c>
      <c r="F3141" s="28">
        <v>76285</v>
      </c>
      <c r="G3141" s="27" t="s">
        <v>22</v>
      </c>
      <c r="H3141" s="27" t="s">
        <v>3023</v>
      </c>
      <c r="I3141" s="27" t="s">
        <v>13</v>
      </c>
    </row>
    <row r="3142" spans="1:9" x14ac:dyDescent="0.3">
      <c r="A3142" s="26">
        <v>45095</v>
      </c>
      <c r="B3142" s="27" t="s">
        <v>122</v>
      </c>
      <c r="C3142" s="27" t="s">
        <v>10</v>
      </c>
      <c r="D3142" s="27" t="s">
        <v>7</v>
      </c>
      <c r="E3142" s="28">
        <v>16043</v>
      </c>
      <c r="F3142" s="28">
        <v>28345</v>
      </c>
      <c r="G3142" s="27" t="s">
        <v>11</v>
      </c>
      <c r="H3142" s="27" t="s">
        <v>3340</v>
      </c>
      <c r="I3142" s="27" t="s">
        <v>13</v>
      </c>
    </row>
    <row r="3143" spans="1:9" x14ac:dyDescent="0.3">
      <c r="A3143" s="26">
        <v>45095</v>
      </c>
      <c r="B3143" s="27" t="s">
        <v>122</v>
      </c>
      <c r="C3143" s="27" t="s">
        <v>6</v>
      </c>
      <c r="D3143" s="27" t="s">
        <v>19</v>
      </c>
      <c r="E3143" s="28">
        <v>69100</v>
      </c>
      <c r="F3143" s="28">
        <v>70900</v>
      </c>
      <c r="G3143" s="27" t="s">
        <v>11</v>
      </c>
      <c r="H3143" s="27" t="s">
        <v>3705</v>
      </c>
      <c r="I3143" s="27" t="s">
        <v>9</v>
      </c>
    </row>
    <row r="3144" spans="1:9" x14ac:dyDescent="0.3">
      <c r="A3144" s="26">
        <v>45095</v>
      </c>
      <c r="B3144" s="27" t="s">
        <v>122</v>
      </c>
      <c r="C3144" s="27" t="s">
        <v>6</v>
      </c>
      <c r="D3144" s="27" t="s">
        <v>21</v>
      </c>
      <c r="E3144" s="28">
        <v>66400</v>
      </c>
      <c r="F3144" s="28">
        <v>58400</v>
      </c>
      <c r="G3144" s="27" t="s">
        <v>22</v>
      </c>
      <c r="H3144" s="27" t="s">
        <v>3927</v>
      </c>
      <c r="I3144" s="27" t="s">
        <v>9</v>
      </c>
    </row>
    <row r="3145" spans="1:9" x14ac:dyDescent="0.3">
      <c r="A3145" s="26">
        <v>45095</v>
      </c>
      <c r="B3145" s="27" t="s">
        <v>122</v>
      </c>
      <c r="C3145" s="27" t="s">
        <v>93</v>
      </c>
      <c r="D3145" s="27" t="s">
        <v>7</v>
      </c>
      <c r="E3145" s="28">
        <v>74300</v>
      </c>
      <c r="F3145" s="28">
        <v>69500</v>
      </c>
      <c r="G3145" s="27" t="s">
        <v>11</v>
      </c>
      <c r="H3145" s="27" t="s">
        <v>4090</v>
      </c>
      <c r="I3145" s="27" t="s">
        <v>9</v>
      </c>
    </row>
    <row r="3146" spans="1:9" x14ac:dyDescent="0.3">
      <c r="A3146" s="26">
        <v>45095</v>
      </c>
      <c r="B3146" s="27" t="s">
        <v>122</v>
      </c>
      <c r="C3146" s="27" t="s">
        <v>6</v>
      </c>
      <c r="D3146" s="27" t="s">
        <v>16</v>
      </c>
      <c r="E3146" s="28">
        <v>188300</v>
      </c>
      <c r="F3146" s="28">
        <v>169300</v>
      </c>
      <c r="G3146" s="27" t="s">
        <v>17</v>
      </c>
      <c r="H3146" s="27" t="s">
        <v>4270</v>
      </c>
      <c r="I3146" s="27" t="s">
        <v>9</v>
      </c>
    </row>
    <row r="3147" spans="1:9" x14ac:dyDescent="0.3">
      <c r="A3147" s="26">
        <v>45095</v>
      </c>
      <c r="B3147" s="27" t="s">
        <v>122</v>
      </c>
      <c r="C3147" s="27" t="s">
        <v>6</v>
      </c>
      <c r="D3147" s="27" t="s">
        <v>7</v>
      </c>
      <c r="E3147" s="28">
        <v>108700</v>
      </c>
      <c r="F3147" s="28">
        <v>112500</v>
      </c>
      <c r="G3147" s="27" t="s">
        <v>22</v>
      </c>
      <c r="H3147" s="27" t="s">
        <v>4346</v>
      </c>
      <c r="I3147" s="27" t="s">
        <v>9</v>
      </c>
    </row>
    <row r="3148" spans="1:9" x14ac:dyDescent="0.3">
      <c r="A3148" s="26">
        <v>45095</v>
      </c>
      <c r="B3148" s="27" t="s">
        <v>122</v>
      </c>
      <c r="C3148" s="27" t="s">
        <v>6</v>
      </c>
      <c r="D3148" s="27" t="s">
        <v>19</v>
      </c>
      <c r="E3148" s="28">
        <v>188100</v>
      </c>
      <c r="F3148" s="28">
        <v>204600</v>
      </c>
      <c r="G3148" s="27" t="s">
        <v>22</v>
      </c>
      <c r="H3148" s="27" t="s">
        <v>4625</v>
      </c>
      <c r="I3148" s="27" t="s">
        <v>9</v>
      </c>
    </row>
    <row r="3149" spans="1:9" x14ac:dyDescent="0.3">
      <c r="A3149" s="26">
        <v>45095</v>
      </c>
      <c r="B3149" s="27" t="s">
        <v>122</v>
      </c>
      <c r="C3149" s="27" t="s">
        <v>93</v>
      </c>
      <c r="D3149" s="27" t="s">
        <v>24</v>
      </c>
      <c r="E3149" s="28">
        <v>77700</v>
      </c>
      <c r="F3149" s="28">
        <v>81600</v>
      </c>
      <c r="G3149" s="27" t="s">
        <v>11</v>
      </c>
      <c r="H3149" s="27" t="s">
        <v>4642</v>
      </c>
      <c r="I3149" s="27" t="s">
        <v>9</v>
      </c>
    </row>
    <row r="3150" spans="1:9" x14ac:dyDescent="0.3">
      <c r="A3150" s="26">
        <v>45095</v>
      </c>
      <c r="B3150" s="27" t="s">
        <v>122</v>
      </c>
      <c r="C3150" s="27" t="s">
        <v>93</v>
      </c>
      <c r="D3150" s="27" t="s">
        <v>7</v>
      </c>
      <c r="E3150" s="28">
        <v>148800</v>
      </c>
      <c r="F3150" s="28">
        <v>136600</v>
      </c>
      <c r="G3150" s="27" t="s">
        <v>17</v>
      </c>
      <c r="H3150" s="27" t="s">
        <v>5104</v>
      </c>
      <c r="I3150" s="27" t="s">
        <v>9</v>
      </c>
    </row>
    <row r="3151" spans="1:9" x14ac:dyDescent="0.3">
      <c r="A3151" s="26">
        <v>45095</v>
      </c>
      <c r="B3151" s="27" t="s">
        <v>122</v>
      </c>
      <c r="C3151" s="27" t="s">
        <v>6</v>
      </c>
      <c r="D3151" s="27" t="s">
        <v>24</v>
      </c>
      <c r="E3151" s="28">
        <v>98900</v>
      </c>
      <c r="F3151" s="28">
        <v>103200</v>
      </c>
      <c r="G3151" s="27" t="s">
        <v>17</v>
      </c>
      <c r="H3151" s="27" t="s">
        <v>5221</v>
      </c>
      <c r="I3151" s="27" t="s">
        <v>9</v>
      </c>
    </row>
    <row r="3152" spans="1:9" x14ac:dyDescent="0.3">
      <c r="A3152" s="26">
        <v>45095</v>
      </c>
      <c r="B3152" s="27" t="s">
        <v>122</v>
      </c>
      <c r="C3152" s="27" t="s">
        <v>93</v>
      </c>
      <c r="D3152" s="27" t="s">
        <v>21</v>
      </c>
      <c r="E3152" s="28">
        <v>46800</v>
      </c>
      <c r="F3152" s="28">
        <v>44700</v>
      </c>
      <c r="G3152" s="27" t="s">
        <v>17</v>
      </c>
      <c r="H3152" s="27" t="s">
        <v>5576</v>
      </c>
      <c r="I3152" s="27" t="s">
        <v>9</v>
      </c>
    </row>
    <row r="3153" spans="1:9" x14ac:dyDescent="0.3">
      <c r="A3153" s="26">
        <v>45095</v>
      </c>
      <c r="B3153" s="27" t="s">
        <v>122</v>
      </c>
      <c r="C3153" s="27" t="s">
        <v>6</v>
      </c>
      <c r="D3153" s="27" t="s">
        <v>24</v>
      </c>
      <c r="E3153" s="28">
        <v>229000</v>
      </c>
      <c r="F3153" s="28">
        <v>323500</v>
      </c>
      <c r="G3153" s="27" t="s">
        <v>11</v>
      </c>
      <c r="H3153" s="27" t="s">
        <v>6028</v>
      </c>
      <c r="I3153" s="27" t="s">
        <v>9</v>
      </c>
    </row>
    <row r="3154" spans="1:9" x14ac:dyDescent="0.3">
      <c r="A3154" s="26">
        <v>45095</v>
      </c>
      <c r="B3154" s="27" t="s">
        <v>122</v>
      </c>
      <c r="C3154" s="27" t="s">
        <v>6</v>
      </c>
      <c r="D3154" s="27" t="s">
        <v>7</v>
      </c>
      <c r="E3154" s="28">
        <v>190500</v>
      </c>
      <c r="F3154" s="28">
        <v>153300</v>
      </c>
      <c r="G3154" s="27" t="s">
        <v>17</v>
      </c>
      <c r="H3154" s="27" t="s">
        <v>6044</v>
      </c>
      <c r="I3154" s="27" t="s">
        <v>9</v>
      </c>
    </row>
    <row r="3155" spans="1:9" x14ac:dyDescent="0.3">
      <c r="A3155" s="26">
        <v>45095</v>
      </c>
      <c r="B3155" s="27" t="s">
        <v>122</v>
      </c>
      <c r="C3155" s="27" t="s">
        <v>6</v>
      </c>
      <c r="D3155" s="27" t="s">
        <v>7</v>
      </c>
      <c r="E3155" s="28">
        <v>56700</v>
      </c>
      <c r="F3155" s="28">
        <v>49800</v>
      </c>
      <c r="G3155" s="27" t="s">
        <v>11</v>
      </c>
      <c r="H3155" s="27" t="s">
        <v>6325</v>
      </c>
      <c r="I3155" s="27" t="s">
        <v>9</v>
      </c>
    </row>
    <row r="3156" spans="1:9" x14ac:dyDescent="0.3">
      <c r="A3156" s="26">
        <v>45095</v>
      </c>
      <c r="B3156" s="27" t="s">
        <v>122</v>
      </c>
      <c r="C3156" s="27" t="s">
        <v>6</v>
      </c>
      <c r="D3156" s="27" t="s">
        <v>16</v>
      </c>
      <c r="E3156" s="28">
        <v>219700</v>
      </c>
      <c r="F3156" s="28">
        <v>200800</v>
      </c>
      <c r="G3156" s="27" t="s">
        <v>22</v>
      </c>
      <c r="H3156" s="27" t="s">
        <v>6408</v>
      </c>
      <c r="I3156" s="27" t="s">
        <v>9</v>
      </c>
    </row>
    <row r="3157" spans="1:9" x14ac:dyDescent="0.3">
      <c r="A3157" s="26">
        <v>45095</v>
      </c>
      <c r="B3157" s="27" t="s">
        <v>122</v>
      </c>
      <c r="C3157" s="27" t="s">
        <v>93</v>
      </c>
      <c r="D3157" s="27" t="s">
        <v>7</v>
      </c>
      <c r="E3157" s="28">
        <v>148500</v>
      </c>
      <c r="F3157" s="28">
        <v>126200</v>
      </c>
      <c r="G3157" s="27" t="s">
        <v>22</v>
      </c>
      <c r="H3157" s="27" t="s">
        <v>6725</v>
      </c>
      <c r="I3157" s="27" t="s">
        <v>9</v>
      </c>
    </row>
    <row r="3158" spans="1:9" x14ac:dyDescent="0.3">
      <c r="A3158" s="26">
        <v>45096</v>
      </c>
      <c r="B3158" s="27" t="s">
        <v>122</v>
      </c>
      <c r="C3158" s="27" t="s">
        <v>20</v>
      </c>
      <c r="D3158" s="27" t="s">
        <v>19</v>
      </c>
      <c r="E3158" s="28">
        <v>116775</v>
      </c>
      <c r="F3158" s="28">
        <v>55467</v>
      </c>
      <c r="G3158" s="27" t="s">
        <v>8</v>
      </c>
      <c r="H3158" s="27" t="s">
        <v>293</v>
      </c>
      <c r="I3158" s="27" t="s">
        <v>13</v>
      </c>
    </row>
    <row r="3159" spans="1:9" x14ac:dyDescent="0.3">
      <c r="A3159" s="26">
        <v>45096</v>
      </c>
      <c r="B3159" s="27" t="s">
        <v>122</v>
      </c>
      <c r="C3159" s="27" t="s">
        <v>20</v>
      </c>
      <c r="D3159" s="27" t="s">
        <v>19</v>
      </c>
      <c r="E3159" s="28">
        <v>17589</v>
      </c>
      <c r="F3159" s="28">
        <v>82216</v>
      </c>
      <c r="G3159" s="27" t="s">
        <v>11</v>
      </c>
      <c r="H3159" s="27" t="s">
        <v>298</v>
      </c>
      <c r="I3159" s="27" t="s">
        <v>13</v>
      </c>
    </row>
    <row r="3160" spans="1:9" x14ac:dyDescent="0.3">
      <c r="A3160" s="26">
        <v>45096</v>
      </c>
      <c r="B3160" s="27" t="s">
        <v>122</v>
      </c>
      <c r="C3160" s="27" t="s">
        <v>15</v>
      </c>
      <c r="D3160" s="27" t="s">
        <v>16</v>
      </c>
      <c r="E3160" s="28">
        <v>12600</v>
      </c>
      <c r="F3160" s="28">
        <v>162399</v>
      </c>
      <c r="G3160" s="27" t="s">
        <v>17</v>
      </c>
      <c r="H3160" s="27" t="s">
        <v>299</v>
      </c>
      <c r="I3160" s="27" t="s">
        <v>13</v>
      </c>
    </row>
    <row r="3161" spans="1:9" x14ac:dyDescent="0.3">
      <c r="A3161" s="26">
        <v>45096</v>
      </c>
      <c r="B3161" s="27" t="s">
        <v>122</v>
      </c>
      <c r="C3161" s="27" t="s">
        <v>32</v>
      </c>
      <c r="D3161" s="27" t="s">
        <v>16</v>
      </c>
      <c r="E3161" s="28">
        <v>40135</v>
      </c>
      <c r="F3161" s="28">
        <v>40938</v>
      </c>
      <c r="G3161" s="27" t="s">
        <v>22</v>
      </c>
      <c r="H3161" s="27" t="s">
        <v>564</v>
      </c>
      <c r="I3161" s="27" t="s">
        <v>13</v>
      </c>
    </row>
    <row r="3162" spans="1:9" x14ac:dyDescent="0.3">
      <c r="A3162" s="26">
        <v>45096</v>
      </c>
      <c r="B3162" s="27" t="s">
        <v>122</v>
      </c>
      <c r="C3162" s="27" t="s">
        <v>14</v>
      </c>
      <c r="D3162" s="27" t="s">
        <v>21</v>
      </c>
      <c r="E3162" s="28">
        <v>130501</v>
      </c>
      <c r="F3162" s="28">
        <v>52722</v>
      </c>
      <c r="G3162" s="27" t="s">
        <v>22</v>
      </c>
      <c r="H3162" s="27" t="s">
        <v>793</v>
      </c>
      <c r="I3162" s="27" t="s">
        <v>13</v>
      </c>
    </row>
    <row r="3163" spans="1:9" x14ac:dyDescent="0.3">
      <c r="A3163" s="26">
        <v>45096</v>
      </c>
      <c r="B3163" s="27" t="s">
        <v>122</v>
      </c>
      <c r="C3163" s="27" t="s">
        <v>15</v>
      </c>
      <c r="D3163" s="27" t="s">
        <v>7</v>
      </c>
      <c r="E3163" s="28">
        <v>76875</v>
      </c>
      <c r="F3163" s="28">
        <v>78519</v>
      </c>
      <c r="G3163" s="27" t="s">
        <v>11</v>
      </c>
      <c r="H3163" s="27" t="s">
        <v>1418</v>
      </c>
      <c r="I3163" s="27" t="s">
        <v>13</v>
      </c>
    </row>
    <row r="3164" spans="1:9" x14ac:dyDescent="0.3">
      <c r="A3164" s="26">
        <v>45096</v>
      </c>
      <c r="B3164" s="27" t="s">
        <v>122</v>
      </c>
      <c r="C3164" s="27" t="s">
        <v>14</v>
      </c>
      <c r="D3164" s="27" t="s">
        <v>16</v>
      </c>
      <c r="E3164" s="28">
        <v>73446</v>
      </c>
      <c r="F3164" s="28">
        <v>61285</v>
      </c>
      <c r="G3164" s="27" t="s">
        <v>11</v>
      </c>
      <c r="H3164" s="27" t="s">
        <v>1914</v>
      </c>
      <c r="I3164" s="27" t="s">
        <v>13</v>
      </c>
    </row>
    <row r="3165" spans="1:9" x14ac:dyDescent="0.3">
      <c r="A3165" s="26">
        <v>45096</v>
      </c>
      <c r="B3165" s="27" t="s">
        <v>122</v>
      </c>
      <c r="C3165" s="27" t="s">
        <v>14</v>
      </c>
      <c r="D3165" s="27" t="s">
        <v>21</v>
      </c>
      <c r="E3165" s="28">
        <v>87599</v>
      </c>
      <c r="F3165" s="28">
        <v>93874</v>
      </c>
      <c r="G3165" s="27" t="s">
        <v>11</v>
      </c>
      <c r="H3165" s="27" t="s">
        <v>2342</v>
      </c>
      <c r="I3165" s="27" t="s">
        <v>13</v>
      </c>
    </row>
    <row r="3166" spans="1:9" x14ac:dyDescent="0.3">
      <c r="A3166" s="26">
        <v>45096</v>
      </c>
      <c r="B3166" s="27" t="s">
        <v>122</v>
      </c>
      <c r="C3166" s="27" t="s">
        <v>15</v>
      </c>
      <c r="D3166" s="27" t="s">
        <v>16</v>
      </c>
      <c r="E3166" s="28">
        <v>79187</v>
      </c>
      <c r="F3166" s="28">
        <v>34993</v>
      </c>
      <c r="G3166" s="27" t="s">
        <v>11</v>
      </c>
      <c r="H3166" s="27" t="s">
        <v>2498</v>
      </c>
      <c r="I3166" s="27" t="s">
        <v>13</v>
      </c>
    </row>
    <row r="3167" spans="1:9" x14ac:dyDescent="0.3">
      <c r="A3167" s="26">
        <v>45096</v>
      </c>
      <c r="B3167" s="27" t="s">
        <v>122</v>
      </c>
      <c r="C3167" s="27" t="s">
        <v>32</v>
      </c>
      <c r="D3167" s="27" t="s">
        <v>24</v>
      </c>
      <c r="E3167" s="28">
        <v>68552</v>
      </c>
      <c r="F3167" s="28">
        <v>156534</v>
      </c>
      <c r="G3167" s="27" t="s">
        <v>17</v>
      </c>
      <c r="H3167" s="27" t="s">
        <v>2825</v>
      </c>
      <c r="I3167" s="27" t="s">
        <v>13</v>
      </c>
    </row>
    <row r="3168" spans="1:9" x14ac:dyDescent="0.3">
      <c r="A3168" s="26">
        <v>45096</v>
      </c>
      <c r="B3168" s="27" t="s">
        <v>122</v>
      </c>
      <c r="C3168" s="27" t="s">
        <v>14</v>
      </c>
      <c r="D3168" s="27" t="s">
        <v>19</v>
      </c>
      <c r="E3168" s="28">
        <v>102963</v>
      </c>
      <c r="F3168" s="28">
        <v>116794</v>
      </c>
      <c r="G3168" s="27" t="s">
        <v>17</v>
      </c>
      <c r="H3168" s="27" t="s">
        <v>2872</v>
      </c>
      <c r="I3168" s="27" t="s">
        <v>13</v>
      </c>
    </row>
    <row r="3169" spans="1:9" x14ac:dyDescent="0.3">
      <c r="A3169" s="26">
        <v>45096</v>
      </c>
      <c r="B3169" s="27" t="s">
        <v>122</v>
      </c>
      <c r="C3169" s="27" t="s">
        <v>14</v>
      </c>
      <c r="D3169" s="27" t="s">
        <v>19</v>
      </c>
      <c r="E3169" s="28">
        <v>134409</v>
      </c>
      <c r="F3169" s="28">
        <v>62189</v>
      </c>
      <c r="G3169" s="27" t="s">
        <v>11</v>
      </c>
      <c r="H3169" s="27" t="s">
        <v>3057</v>
      </c>
      <c r="I3169" s="27" t="s">
        <v>13</v>
      </c>
    </row>
    <row r="3170" spans="1:9" x14ac:dyDescent="0.3">
      <c r="A3170" s="26">
        <v>45096</v>
      </c>
      <c r="B3170" s="27" t="s">
        <v>122</v>
      </c>
      <c r="C3170" s="27" t="s">
        <v>14</v>
      </c>
      <c r="D3170" s="27" t="s">
        <v>19</v>
      </c>
      <c r="E3170" s="28">
        <v>37436</v>
      </c>
      <c r="F3170" s="28">
        <v>57159</v>
      </c>
      <c r="G3170" s="27" t="s">
        <v>8</v>
      </c>
      <c r="H3170" s="27" t="s">
        <v>3137</v>
      </c>
      <c r="I3170" s="27" t="s">
        <v>13</v>
      </c>
    </row>
    <row r="3171" spans="1:9" x14ac:dyDescent="0.3">
      <c r="A3171" s="26">
        <v>45096</v>
      </c>
      <c r="B3171" s="27" t="s">
        <v>122</v>
      </c>
      <c r="C3171" s="27" t="s">
        <v>93</v>
      </c>
      <c r="D3171" s="27" t="s">
        <v>19</v>
      </c>
      <c r="E3171" s="28">
        <v>112200</v>
      </c>
      <c r="F3171" s="28">
        <v>117600</v>
      </c>
      <c r="G3171" s="27" t="s">
        <v>22</v>
      </c>
      <c r="H3171" s="27" t="s">
        <v>3674</v>
      </c>
      <c r="I3171" s="27" t="s">
        <v>9</v>
      </c>
    </row>
    <row r="3172" spans="1:9" x14ac:dyDescent="0.3">
      <c r="A3172" s="26">
        <v>45096</v>
      </c>
      <c r="B3172" s="27" t="s">
        <v>122</v>
      </c>
      <c r="C3172" s="27" t="s">
        <v>93</v>
      </c>
      <c r="D3172" s="27" t="s">
        <v>19</v>
      </c>
      <c r="E3172" s="28">
        <v>31800</v>
      </c>
      <c r="F3172" s="28">
        <v>33900</v>
      </c>
      <c r="G3172" s="27" t="s">
        <v>11</v>
      </c>
      <c r="H3172" s="27" t="s">
        <v>3679</v>
      </c>
      <c r="I3172" s="27" t="s">
        <v>9</v>
      </c>
    </row>
    <row r="3173" spans="1:9" x14ac:dyDescent="0.3">
      <c r="A3173" s="26">
        <v>45096</v>
      </c>
      <c r="B3173" s="27" t="s">
        <v>122</v>
      </c>
      <c r="C3173" s="27" t="s">
        <v>93</v>
      </c>
      <c r="D3173" s="27" t="s">
        <v>16</v>
      </c>
      <c r="E3173" s="28">
        <v>196200</v>
      </c>
      <c r="F3173" s="28">
        <v>241000</v>
      </c>
      <c r="G3173" s="27" t="s">
        <v>17</v>
      </c>
      <c r="H3173" s="27" t="s">
        <v>3680</v>
      </c>
      <c r="I3173" s="27" t="s">
        <v>9</v>
      </c>
    </row>
    <row r="3174" spans="1:9" x14ac:dyDescent="0.3">
      <c r="A3174" s="26">
        <v>45096</v>
      </c>
      <c r="B3174" s="27" t="s">
        <v>122</v>
      </c>
      <c r="C3174" s="27" t="s">
        <v>6</v>
      </c>
      <c r="D3174" s="27" t="s">
        <v>16</v>
      </c>
      <c r="E3174" s="28">
        <v>61400</v>
      </c>
      <c r="F3174" s="28">
        <v>57300</v>
      </c>
      <c r="G3174" s="27" t="s">
        <v>11</v>
      </c>
      <c r="H3174" s="27" t="s">
        <v>3945</v>
      </c>
      <c r="I3174" s="27" t="s">
        <v>9</v>
      </c>
    </row>
    <row r="3175" spans="1:9" x14ac:dyDescent="0.3">
      <c r="A3175" s="26">
        <v>45096</v>
      </c>
      <c r="B3175" s="27" t="s">
        <v>122</v>
      </c>
      <c r="C3175" s="27" t="s">
        <v>93</v>
      </c>
      <c r="D3175" s="27" t="s">
        <v>21</v>
      </c>
      <c r="E3175" s="28">
        <v>117600</v>
      </c>
      <c r="F3175" s="28">
        <v>70600</v>
      </c>
      <c r="G3175" s="27" t="s">
        <v>11</v>
      </c>
      <c r="H3175" s="27" t="s">
        <v>4174</v>
      </c>
      <c r="I3175" s="27" t="s">
        <v>9</v>
      </c>
    </row>
    <row r="3176" spans="1:9" x14ac:dyDescent="0.3">
      <c r="A3176" s="26">
        <v>45096</v>
      </c>
      <c r="B3176" s="27" t="s">
        <v>122</v>
      </c>
      <c r="C3176" s="27" t="s">
        <v>93</v>
      </c>
      <c r="D3176" s="27" t="s">
        <v>7</v>
      </c>
      <c r="E3176" s="28">
        <v>118700</v>
      </c>
      <c r="F3176" s="28">
        <v>99700</v>
      </c>
      <c r="G3176" s="27" t="s">
        <v>11</v>
      </c>
      <c r="H3176" s="27" t="s">
        <v>4801</v>
      </c>
      <c r="I3176" s="27" t="s">
        <v>9</v>
      </c>
    </row>
    <row r="3177" spans="1:9" x14ac:dyDescent="0.3">
      <c r="A3177" s="26">
        <v>45096</v>
      </c>
      <c r="B3177" s="27" t="s">
        <v>122</v>
      </c>
      <c r="C3177" s="27" t="s">
        <v>6</v>
      </c>
      <c r="D3177" s="27" t="s">
        <v>16</v>
      </c>
      <c r="E3177" s="28">
        <v>70400</v>
      </c>
      <c r="F3177" s="28">
        <v>73000</v>
      </c>
      <c r="G3177" s="27" t="s">
        <v>22</v>
      </c>
      <c r="H3177" s="27" t="s">
        <v>5298</v>
      </c>
      <c r="I3177" s="27" t="s">
        <v>9</v>
      </c>
    </row>
    <row r="3178" spans="1:9" x14ac:dyDescent="0.3">
      <c r="A3178" s="26">
        <v>45096</v>
      </c>
      <c r="B3178" s="27" t="s">
        <v>122</v>
      </c>
      <c r="C3178" s="27" t="s">
        <v>6</v>
      </c>
      <c r="D3178" s="27" t="s">
        <v>21</v>
      </c>
      <c r="E3178" s="28">
        <v>167100</v>
      </c>
      <c r="F3178" s="28">
        <v>116500</v>
      </c>
      <c r="G3178" s="27" t="s">
        <v>22</v>
      </c>
      <c r="H3178" s="27" t="s">
        <v>5727</v>
      </c>
      <c r="I3178" s="27" t="s">
        <v>9</v>
      </c>
    </row>
    <row r="3179" spans="1:9" x14ac:dyDescent="0.3">
      <c r="A3179" s="26">
        <v>45096</v>
      </c>
      <c r="B3179" s="27" t="s">
        <v>122</v>
      </c>
      <c r="C3179" s="27" t="s">
        <v>6</v>
      </c>
      <c r="D3179" s="27" t="s">
        <v>16</v>
      </c>
      <c r="E3179" s="28">
        <v>77500</v>
      </c>
      <c r="F3179" s="28">
        <v>62700</v>
      </c>
      <c r="G3179" s="27" t="s">
        <v>11</v>
      </c>
      <c r="H3179" s="27" t="s">
        <v>5883</v>
      </c>
      <c r="I3179" s="27" t="s">
        <v>9</v>
      </c>
    </row>
    <row r="3180" spans="1:9" x14ac:dyDescent="0.3">
      <c r="A3180" s="26">
        <v>45096</v>
      </c>
      <c r="B3180" s="27" t="s">
        <v>122</v>
      </c>
      <c r="C3180" s="27" t="s">
        <v>93</v>
      </c>
      <c r="D3180" s="27" t="s">
        <v>24</v>
      </c>
      <c r="E3180" s="28">
        <v>127800</v>
      </c>
      <c r="F3180" s="28">
        <v>176700</v>
      </c>
      <c r="G3180" s="27" t="s">
        <v>22</v>
      </c>
      <c r="H3180" s="27" t="s">
        <v>6210</v>
      </c>
      <c r="I3180" s="27" t="s">
        <v>9</v>
      </c>
    </row>
    <row r="3181" spans="1:9" x14ac:dyDescent="0.3">
      <c r="A3181" s="26">
        <v>45096</v>
      </c>
      <c r="B3181" s="27" t="s">
        <v>122</v>
      </c>
      <c r="C3181" s="27" t="s">
        <v>6</v>
      </c>
      <c r="D3181" s="27" t="s">
        <v>19</v>
      </c>
      <c r="E3181" s="28">
        <v>83600</v>
      </c>
      <c r="F3181" s="28">
        <v>91900</v>
      </c>
      <c r="G3181" s="27" t="s">
        <v>11</v>
      </c>
      <c r="H3181" s="27" t="s">
        <v>6257</v>
      </c>
      <c r="I3181" s="27" t="s">
        <v>9</v>
      </c>
    </row>
    <row r="3182" spans="1:9" x14ac:dyDescent="0.3">
      <c r="A3182" s="26">
        <v>45096</v>
      </c>
      <c r="B3182" s="27" t="s">
        <v>122</v>
      </c>
      <c r="C3182" s="27" t="s">
        <v>93</v>
      </c>
      <c r="D3182" s="27" t="s">
        <v>19</v>
      </c>
      <c r="E3182" s="28">
        <v>152000</v>
      </c>
      <c r="F3182" s="28">
        <v>170600</v>
      </c>
      <c r="G3182" s="27" t="s">
        <v>11</v>
      </c>
      <c r="H3182" s="27" t="s">
        <v>6442</v>
      </c>
      <c r="I3182" s="27" t="s">
        <v>9</v>
      </c>
    </row>
    <row r="3183" spans="1:9" x14ac:dyDescent="0.3">
      <c r="A3183" s="26">
        <v>45096</v>
      </c>
      <c r="B3183" s="27" t="s">
        <v>122</v>
      </c>
      <c r="C3183" s="27" t="s">
        <v>93</v>
      </c>
      <c r="D3183" s="27" t="s">
        <v>19</v>
      </c>
      <c r="E3183" s="28">
        <v>178200</v>
      </c>
      <c r="F3183" s="28">
        <v>189200</v>
      </c>
      <c r="G3183" s="27" t="s">
        <v>22</v>
      </c>
      <c r="H3183" s="27" t="s">
        <v>6522</v>
      </c>
      <c r="I3183" s="27" t="s">
        <v>9</v>
      </c>
    </row>
    <row r="3184" spans="1:9" x14ac:dyDescent="0.3">
      <c r="A3184" s="26">
        <v>45097</v>
      </c>
      <c r="B3184" s="27" t="s">
        <v>122</v>
      </c>
      <c r="C3184" s="27" t="s">
        <v>32</v>
      </c>
      <c r="D3184" s="27" t="s">
        <v>16</v>
      </c>
      <c r="E3184" s="28">
        <v>129771</v>
      </c>
      <c r="F3184" s="28">
        <v>36950</v>
      </c>
      <c r="G3184" s="27" t="s">
        <v>22</v>
      </c>
      <c r="H3184" s="27" t="s">
        <v>732</v>
      </c>
      <c r="I3184" s="27" t="s">
        <v>13</v>
      </c>
    </row>
    <row r="3185" spans="1:9" x14ac:dyDescent="0.3">
      <c r="A3185" s="26">
        <v>45097</v>
      </c>
      <c r="B3185" s="27" t="s">
        <v>122</v>
      </c>
      <c r="C3185" s="27" t="s">
        <v>15</v>
      </c>
      <c r="D3185" s="27" t="s">
        <v>7</v>
      </c>
      <c r="E3185" s="28">
        <v>101936</v>
      </c>
      <c r="F3185" s="28">
        <v>113086</v>
      </c>
      <c r="G3185" s="27" t="s">
        <v>17</v>
      </c>
      <c r="H3185" s="27" t="s">
        <v>1300</v>
      </c>
      <c r="I3185" s="27" t="s">
        <v>13</v>
      </c>
    </row>
    <row r="3186" spans="1:9" x14ac:dyDescent="0.3">
      <c r="A3186" s="26">
        <v>45097</v>
      </c>
      <c r="B3186" s="27" t="s">
        <v>122</v>
      </c>
      <c r="C3186" s="27" t="s">
        <v>15</v>
      </c>
      <c r="D3186" s="27" t="s">
        <v>21</v>
      </c>
      <c r="E3186" s="28">
        <v>13160</v>
      </c>
      <c r="F3186" s="28">
        <v>63111</v>
      </c>
      <c r="G3186" s="27" t="s">
        <v>17</v>
      </c>
      <c r="H3186" s="27" t="s">
        <v>2983</v>
      </c>
      <c r="I3186" s="27" t="s">
        <v>13</v>
      </c>
    </row>
    <row r="3187" spans="1:9" x14ac:dyDescent="0.3">
      <c r="A3187" s="26">
        <v>45097</v>
      </c>
      <c r="B3187" s="27" t="s">
        <v>122</v>
      </c>
      <c r="C3187" s="27" t="s">
        <v>18</v>
      </c>
      <c r="D3187" s="27" t="s">
        <v>21</v>
      </c>
      <c r="E3187" s="28">
        <v>10067</v>
      </c>
      <c r="F3187" s="28">
        <v>36228</v>
      </c>
      <c r="G3187" s="27" t="s">
        <v>22</v>
      </c>
      <c r="H3187" s="27" t="s">
        <v>3412</v>
      </c>
      <c r="I3187" s="27" t="s">
        <v>13</v>
      </c>
    </row>
    <row r="3188" spans="1:9" x14ac:dyDescent="0.3">
      <c r="A3188" s="26">
        <v>45097</v>
      </c>
      <c r="B3188" s="27" t="s">
        <v>122</v>
      </c>
      <c r="C3188" s="27" t="s">
        <v>6</v>
      </c>
      <c r="D3188" s="27" t="s">
        <v>16</v>
      </c>
      <c r="E3188" s="28">
        <v>194300</v>
      </c>
      <c r="F3188" s="28">
        <v>179800</v>
      </c>
      <c r="G3188" s="27" t="s">
        <v>11</v>
      </c>
      <c r="H3188" s="27" t="s">
        <v>4113</v>
      </c>
      <c r="I3188" s="27" t="s">
        <v>9</v>
      </c>
    </row>
    <row r="3189" spans="1:9" x14ac:dyDescent="0.3">
      <c r="A3189" s="26">
        <v>45097</v>
      </c>
      <c r="B3189" s="27" t="s">
        <v>122</v>
      </c>
      <c r="C3189" s="27" t="s">
        <v>6</v>
      </c>
      <c r="D3189" s="27" t="s">
        <v>7</v>
      </c>
      <c r="E3189" s="28">
        <v>279900</v>
      </c>
      <c r="F3189" s="28">
        <v>276300</v>
      </c>
      <c r="G3189" s="27" t="s">
        <v>22</v>
      </c>
      <c r="H3189" s="27" t="s">
        <v>4683</v>
      </c>
      <c r="I3189" s="27" t="s">
        <v>9</v>
      </c>
    </row>
    <row r="3190" spans="1:9" x14ac:dyDescent="0.3">
      <c r="A3190" s="26">
        <v>45097</v>
      </c>
      <c r="B3190" s="27" t="s">
        <v>122</v>
      </c>
      <c r="C3190" s="27" t="s">
        <v>93</v>
      </c>
      <c r="D3190" s="27" t="s">
        <v>21</v>
      </c>
      <c r="E3190" s="28">
        <v>150700</v>
      </c>
      <c r="F3190" s="28">
        <v>144800</v>
      </c>
      <c r="G3190" s="27" t="s">
        <v>17</v>
      </c>
      <c r="H3190" s="27" t="s">
        <v>6368</v>
      </c>
      <c r="I3190" s="27" t="s">
        <v>9</v>
      </c>
    </row>
    <row r="3191" spans="1:9" x14ac:dyDescent="0.3">
      <c r="A3191" s="26">
        <v>45097</v>
      </c>
      <c r="B3191" s="27" t="s">
        <v>122</v>
      </c>
      <c r="C3191" s="27" t="s">
        <v>93</v>
      </c>
      <c r="D3191" s="27" t="s">
        <v>21</v>
      </c>
      <c r="E3191" s="28">
        <v>143200</v>
      </c>
      <c r="F3191" s="28">
        <v>115200</v>
      </c>
      <c r="G3191" s="27" t="s">
        <v>11</v>
      </c>
      <c r="H3191" s="27" t="s">
        <v>6797</v>
      </c>
      <c r="I3191" s="27" t="s">
        <v>9</v>
      </c>
    </row>
    <row r="3192" spans="1:9" x14ac:dyDescent="0.3">
      <c r="A3192" s="26">
        <v>45098</v>
      </c>
      <c r="B3192" s="27" t="s">
        <v>122</v>
      </c>
      <c r="C3192" s="27" t="s">
        <v>10</v>
      </c>
      <c r="D3192" s="27" t="s">
        <v>21</v>
      </c>
      <c r="E3192" s="28">
        <v>66121</v>
      </c>
      <c r="F3192" s="28">
        <v>156679</v>
      </c>
      <c r="G3192" s="27" t="s">
        <v>17</v>
      </c>
      <c r="H3192" s="27" t="s">
        <v>333</v>
      </c>
      <c r="I3192" s="27" t="s">
        <v>13</v>
      </c>
    </row>
    <row r="3193" spans="1:9" x14ac:dyDescent="0.3">
      <c r="A3193" s="26">
        <v>45098</v>
      </c>
      <c r="B3193" s="27" t="s">
        <v>122</v>
      </c>
      <c r="C3193" s="27" t="s">
        <v>15</v>
      </c>
      <c r="D3193" s="27" t="s">
        <v>21</v>
      </c>
      <c r="E3193" s="28">
        <v>115277</v>
      </c>
      <c r="F3193" s="28">
        <v>13000</v>
      </c>
      <c r="G3193" s="27" t="s">
        <v>22</v>
      </c>
      <c r="H3193" s="27" t="s">
        <v>710</v>
      </c>
      <c r="I3193" s="27" t="s">
        <v>13</v>
      </c>
    </row>
    <row r="3194" spans="1:9" x14ac:dyDescent="0.3">
      <c r="A3194" s="26">
        <v>45098</v>
      </c>
      <c r="B3194" s="27" t="s">
        <v>122</v>
      </c>
      <c r="C3194" s="27" t="s">
        <v>10</v>
      </c>
      <c r="D3194" s="27" t="s">
        <v>19</v>
      </c>
      <c r="E3194" s="28">
        <v>15478</v>
      </c>
      <c r="F3194" s="28">
        <v>32466</v>
      </c>
      <c r="G3194" s="27" t="s">
        <v>11</v>
      </c>
      <c r="H3194" s="27" t="s">
        <v>1137</v>
      </c>
      <c r="I3194" s="27" t="s">
        <v>13</v>
      </c>
    </row>
    <row r="3195" spans="1:9" x14ac:dyDescent="0.3">
      <c r="A3195" s="26">
        <v>45098</v>
      </c>
      <c r="B3195" s="27" t="s">
        <v>122</v>
      </c>
      <c r="C3195" s="27" t="s">
        <v>18</v>
      </c>
      <c r="D3195" s="27" t="s">
        <v>21</v>
      </c>
      <c r="E3195" s="28">
        <v>137401</v>
      </c>
      <c r="F3195" s="28">
        <v>51675</v>
      </c>
      <c r="G3195" s="27" t="s">
        <v>22</v>
      </c>
      <c r="H3195" s="27" t="s">
        <v>1147</v>
      </c>
      <c r="I3195" s="27" t="s">
        <v>13</v>
      </c>
    </row>
    <row r="3196" spans="1:9" x14ac:dyDescent="0.3">
      <c r="A3196" s="26">
        <v>45098</v>
      </c>
      <c r="B3196" s="27" t="s">
        <v>122</v>
      </c>
      <c r="C3196" s="27" t="s">
        <v>10</v>
      </c>
      <c r="D3196" s="27" t="s">
        <v>7</v>
      </c>
      <c r="E3196" s="28">
        <v>146116</v>
      </c>
      <c r="F3196" s="28">
        <v>60379</v>
      </c>
      <c r="G3196" s="27" t="s">
        <v>8</v>
      </c>
      <c r="H3196" s="27" t="s">
        <v>1283</v>
      </c>
      <c r="I3196" s="27" t="s">
        <v>13</v>
      </c>
    </row>
    <row r="3197" spans="1:9" x14ac:dyDescent="0.3">
      <c r="A3197" s="26">
        <v>45098</v>
      </c>
      <c r="B3197" s="27" t="s">
        <v>122</v>
      </c>
      <c r="C3197" s="27" t="s">
        <v>14</v>
      </c>
      <c r="D3197" s="27" t="s">
        <v>24</v>
      </c>
      <c r="E3197" s="28">
        <v>114618</v>
      </c>
      <c r="F3197" s="28">
        <v>74706</v>
      </c>
      <c r="G3197" s="27" t="s">
        <v>22</v>
      </c>
      <c r="H3197" s="27" t="s">
        <v>1595</v>
      </c>
      <c r="I3197" s="27" t="s">
        <v>13</v>
      </c>
    </row>
    <row r="3198" spans="1:9" x14ac:dyDescent="0.3">
      <c r="A3198" s="26">
        <v>45098</v>
      </c>
      <c r="B3198" s="27" t="s">
        <v>122</v>
      </c>
      <c r="C3198" s="27" t="s">
        <v>10</v>
      </c>
      <c r="D3198" s="27" t="s">
        <v>16</v>
      </c>
      <c r="E3198" s="28">
        <v>54604</v>
      </c>
      <c r="F3198" s="28">
        <v>152569</v>
      </c>
      <c r="G3198" s="27" t="s">
        <v>11</v>
      </c>
      <c r="H3198" s="27" t="s">
        <v>1676</v>
      </c>
      <c r="I3198" s="27" t="s">
        <v>13</v>
      </c>
    </row>
    <row r="3199" spans="1:9" x14ac:dyDescent="0.3">
      <c r="A3199" s="26">
        <v>45098</v>
      </c>
      <c r="B3199" s="27" t="s">
        <v>122</v>
      </c>
      <c r="C3199" s="27" t="s">
        <v>32</v>
      </c>
      <c r="D3199" s="27" t="s">
        <v>7</v>
      </c>
      <c r="E3199" s="28">
        <v>122012</v>
      </c>
      <c r="F3199" s="28">
        <v>151536</v>
      </c>
      <c r="G3199" s="27" t="s">
        <v>8</v>
      </c>
      <c r="H3199" s="27" t="s">
        <v>1790</v>
      </c>
      <c r="I3199" s="27" t="s">
        <v>13</v>
      </c>
    </row>
    <row r="3200" spans="1:9" x14ac:dyDescent="0.3">
      <c r="A3200" s="26">
        <v>45098</v>
      </c>
      <c r="B3200" s="27" t="s">
        <v>122</v>
      </c>
      <c r="C3200" s="27" t="s">
        <v>15</v>
      </c>
      <c r="D3200" s="27" t="s">
        <v>16</v>
      </c>
      <c r="E3200" s="28">
        <v>30907</v>
      </c>
      <c r="F3200" s="28">
        <v>54585</v>
      </c>
      <c r="G3200" s="27" t="s">
        <v>17</v>
      </c>
      <c r="H3200" s="27" t="s">
        <v>2684</v>
      </c>
      <c r="I3200" s="27" t="s">
        <v>13</v>
      </c>
    </row>
    <row r="3201" spans="1:9" x14ac:dyDescent="0.3">
      <c r="A3201" s="26">
        <v>45098</v>
      </c>
      <c r="B3201" s="27" t="s">
        <v>122</v>
      </c>
      <c r="C3201" s="27" t="s">
        <v>32</v>
      </c>
      <c r="D3201" s="27" t="s">
        <v>7</v>
      </c>
      <c r="E3201" s="28">
        <v>149234</v>
      </c>
      <c r="F3201" s="28">
        <v>151024</v>
      </c>
      <c r="G3201" s="27" t="s">
        <v>17</v>
      </c>
      <c r="H3201" s="27" t="s">
        <v>2890</v>
      </c>
      <c r="I3201" s="27" t="s">
        <v>13</v>
      </c>
    </row>
    <row r="3202" spans="1:9" x14ac:dyDescent="0.3">
      <c r="A3202" s="26">
        <v>45098</v>
      </c>
      <c r="B3202" s="27" t="s">
        <v>122</v>
      </c>
      <c r="C3202" s="27" t="s">
        <v>32</v>
      </c>
      <c r="D3202" s="27" t="s">
        <v>21</v>
      </c>
      <c r="E3202" s="28">
        <v>28468</v>
      </c>
      <c r="F3202" s="28">
        <v>75266</v>
      </c>
      <c r="G3202" s="27" t="s">
        <v>17</v>
      </c>
      <c r="H3202" s="27" t="s">
        <v>2909</v>
      </c>
      <c r="I3202" s="27" t="s">
        <v>13</v>
      </c>
    </row>
    <row r="3203" spans="1:9" x14ac:dyDescent="0.3">
      <c r="A3203" s="26">
        <v>45098</v>
      </c>
      <c r="B3203" s="27" t="s">
        <v>122</v>
      </c>
      <c r="C3203" s="27" t="s">
        <v>14</v>
      </c>
      <c r="D3203" s="27" t="s">
        <v>24</v>
      </c>
      <c r="E3203" s="28">
        <v>34648</v>
      </c>
      <c r="F3203" s="28">
        <v>10075</v>
      </c>
      <c r="G3203" s="27" t="s">
        <v>8</v>
      </c>
      <c r="H3203" s="27" t="s">
        <v>2931</v>
      </c>
      <c r="I3203" s="27" t="s">
        <v>13</v>
      </c>
    </row>
    <row r="3204" spans="1:9" x14ac:dyDescent="0.3">
      <c r="A3204" s="26">
        <v>45098</v>
      </c>
      <c r="B3204" s="27" t="s">
        <v>122</v>
      </c>
      <c r="C3204" s="27" t="s">
        <v>14</v>
      </c>
      <c r="D3204" s="27" t="s">
        <v>24</v>
      </c>
      <c r="E3204" s="28">
        <v>40671</v>
      </c>
      <c r="F3204" s="28">
        <v>76834</v>
      </c>
      <c r="G3204" s="27" t="s">
        <v>11</v>
      </c>
      <c r="H3204" s="27" t="s">
        <v>3004</v>
      </c>
      <c r="I3204" s="27" t="s">
        <v>13</v>
      </c>
    </row>
    <row r="3205" spans="1:9" x14ac:dyDescent="0.3">
      <c r="A3205" s="26">
        <v>45098</v>
      </c>
      <c r="B3205" s="27" t="s">
        <v>122</v>
      </c>
      <c r="C3205" s="27" t="s">
        <v>10</v>
      </c>
      <c r="D3205" s="27" t="s">
        <v>7</v>
      </c>
      <c r="E3205" s="28">
        <v>25848</v>
      </c>
      <c r="F3205" s="28">
        <v>55927</v>
      </c>
      <c r="G3205" s="27" t="s">
        <v>8</v>
      </c>
      <c r="H3205" s="27" t="s">
        <v>3067</v>
      </c>
      <c r="I3205" s="27" t="s">
        <v>13</v>
      </c>
    </row>
    <row r="3206" spans="1:9" x14ac:dyDescent="0.3">
      <c r="A3206" s="26">
        <v>45098</v>
      </c>
      <c r="B3206" s="27" t="s">
        <v>122</v>
      </c>
      <c r="C3206" s="27" t="s">
        <v>6</v>
      </c>
      <c r="D3206" s="27" t="s">
        <v>21</v>
      </c>
      <c r="E3206" s="28">
        <v>98100</v>
      </c>
      <c r="F3206" s="28">
        <v>94700</v>
      </c>
      <c r="G3206" s="27" t="s">
        <v>22</v>
      </c>
      <c r="H3206" s="27" t="s">
        <v>3714</v>
      </c>
      <c r="I3206" s="27" t="s">
        <v>9</v>
      </c>
    </row>
    <row r="3207" spans="1:9" x14ac:dyDescent="0.3">
      <c r="A3207" s="26">
        <v>45098</v>
      </c>
      <c r="B3207" s="27" t="s">
        <v>122</v>
      </c>
      <c r="C3207" s="27" t="s">
        <v>93</v>
      </c>
      <c r="D3207" s="27" t="s">
        <v>21</v>
      </c>
      <c r="E3207" s="28">
        <v>118600</v>
      </c>
      <c r="F3207" s="28">
        <v>124000</v>
      </c>
      <c r="G3207" s="27" t="s">
        <v>11</v>
      </c>
      <c r="H3207" s="27" t="s">
        <v>4091</v>
      </c>
      <c r="I3207" s="27" t="s">
        <v>9</v>
      </c>
    </row>
    <row r="3208" spans="1:9" x14ac:dyDescent="0.3">
      <c r="A3208" s="26">
        <v>45098</v>
      </c>
      <c r="B3208" s="27" t="s">
        <v>122</v>
      </c>
      <c r="C3208" s="27" t="s">
        <v>93</v>
      </c>
      <c r="D3208" s="27" t="s">
        <v>19</v>
      </c>
      <c r="E3208" s="28">
        <v>82600</v>
      </c>
      <c r="F3208" s="28">
        <v>87900</v>
      </c>
      <c r="G3208" s="27" t="s">
        <v>11</v>
      </c>
      <c r="H3208" s="27" t="s">
        <v>4520</v>
      </c>
      <c r="I3208" s="27" t="s">
        <v>9</v>
      </c>
    </row>
    <row r="3209" spans="1:9" x14ac:dyDescent="0.3">
      <c r="A3209" s="26">
        <v>45098</v>
      </c>
      <c r="B3209" s="27" t="s">
        <v>122</v>
      </c>
      <c r="C3209" s="27" t="s">
        <v>93</v>
      </c>
      <c r="D3209" s="27" t="s">
        <v>21</v>
      </c>
      <c r="E3209" s="28">
        <v>151300</v>
      </c>
      <c r="F3209" s="28">
        <v>139000</v>
      </c>
      <c r="G3209" s="27" t="s">
        <v>22</v>
      </c>
      <c r="H3209" s="27" t="s">
        <v>4530</v>
      </c>
      <c r="I3209" s="27" t="s">
        <v>9</v>
      </c>
    </row>
    <row r="3210" spans="1:9" x14ac:dyDescent="0.3">
      <c r="A3210" s="26">
        <v>45098</v>
      </c>
      <c r="B3210" s="27" t="s">
        <v>122</v>
      </c>
      <c r="C3210" s="27" t="s">
        <v>6</v>
      </c>
      <c r="D3210" s="27" t="s">
        <v>7</v>
      </c>
      <c r="E3210" s="28">
        <v>69800</v>
      </c>
      <c r="F3210" s="28">
        <v>50300</v>
      </c>
      <c r="G3210" s="27" t="s">
        <v>17</v>
      </c>
      <c r="H3210" s="27" t="s">
        <v>4666</v>
      </c>
      <c r="I3210" s="27" t="s">
        <v>9</v>
      </c>
    </row>
    <row r="3211" spans="1:9" x14ac:dyDescent="0.3">
      <c r="A3211" s="26">
        <v>45098</v>
      </c>
      <c r="B3211" s="27" t="s">
        <v>122</v>
      </c>
      <c r="C3211" s="27" t="s">
        <v>6</v>
      </c>
      <c r="D3211" s="27" t="s">
        <v>24</v>
      </c>
      <c r="E3211" s="28">
        <v>103800</v>
      </c>
      <c r="F3211" s="28">
        <v>138700</v>
      </c>
      <c r="G3211" s="27" t="s">
        <v>22</v>
      </c>
      <c r="H3211" s="27" t="s">
        <v>4978</v>
      </c>
      <c r="I3211" s="27" t="s">
        <v>9</v>
      </c>
    </row>
    <row r="3212" spans="1:9" x14ac:dyDescent="0.3">
      <c r="A3212" s="26">
        <v>45098</v>
      </c>
      <c r="B3212" s="27" t="s">
        <v>122</v>
      </c>
      <c r="C3212" s="27" t="s">
        <v>6</v>
      </c>
      <c r="D3212" s="27" t="s">
        <v>16</v>
      </c>
      <c r="E3212" s="28">
        <v>86700</v>
      </c>
      <c r="F3212" s="28">
        <v>104900</v>
      </c>
      <c r="G3212" s="27" t="s">
        <v>11</v>
      </c>
      <c r="H3212" s="27" t="s">
        <v>5059</v>
      </c>
      <c r="I3212" s="27" t="s">
        <v>9</v>
      </c>
    </row>
    <row r="3213" spans="1:9" x14ac:dyDescent="0.3">
      <c r="A3213" s="26">
        <v>45098</v>
      </c>
      <c r="B3213" s="27" t="s">
        <v>122</v>
      </c>
      <c r="C3213" s="27" t="s">
        <v>93</v>
      </c>
      <c r="D3213" s="27" t="s">
        <v>7</v>
      </c>
      <c r="E3213" s="28">
        <v>68700</v>
      </c>
      <c r="F3213" s="28">
        <v>64600</v>
      </c>
      <c r="G3213" s="27" t="s">
        <v>17</v>
      </c>
      <c r="H3213" s="27" t="s">
        <v>5173</v>
      </c>
      <c r="I3213" s="27" t="s">
        <v>9</v>
      </c>
    </row>
    <row r="3214" spans="1:9" x14ac:dyDescent="0.3">
      <c r="A3214" s="26">
        <v>45098</v>
      </c>
      <c r="B3214" s="27" t="s">
        <v>122</v>
      </c>
      <c r="C3214" s="27" t="s">
        <v>6</v>
      </c>
      <c r="D3214" s="27" t="s">
        <v>16</v>
      </c>
      <c r="E3214" s="28">
        <v>107300</v>
      </c>
      <c r="F3214" s="28">
        <v>120500</v>
      </c>
      <c r="G3214" s="27" t="s">
        <v>17</v>
      </c>
      <c r="H3214" s="27" t="s">
        <v>6069</v>
      </c>
      <c r="I3214" s="27" t="s">
        <v>9</v>
      </c>
    </row>
    <row r="3215" spans="1:9" x14ac:dyDescent="0.3">
      <c r="A3215" s="26">
        <v>45098</v>
      </c>
      <c r="B3215" s="27" t="s">
        <v>122</v>
      </c>
      <c r="C3215" s="27" t="s">
        <v>93</v>
      </c>
      <c r="D3215" s="27" t="s">
        <v>7</v>
      </c>
      <c r="E3215" s="28">
        <v>199100</v>
      </c>
      <c r="F3215" s="28">
        <v>182200</v>
      </c>
      <c r="G3215" s="27" t="s">
        <v>17</v>
      </c>
      <c r="H3215" s="27" t="s">
        <v>6275</v>
      </c>
      <c r="I3215" s="27" t="s">
        <v>9</v>
      </c>
    </row>
    <row r="3216" spans="1:9" x14ac:dyDescent="0.3">
      <c r="A3216" s="26">
        <v>45098</v>
      </c>
      <c r="B3216" s="27" t="s">
        <v>122</v>
      </c>
      <c r="C3216" s="27" t="s">
        <v>93</v>
      </c>
      <c r="D3216" s="27" t="s">
        <v>21</v>
      </c>
      <c r="E3216" s="28">
        <v>238900</v>
      </c>
      <c r="F3216" s="28">
        <v>286800</v>
      </c>
      <c r="G3216" s="27" t="s">
        <v>11</v>
      </c>
      <c r="H3216" s="27" t="s">
        <v>6294</v>
      </c>
      <c r="I3216" s="27" t="s">
        <v>9</v>
      </c>
    </row>
    <row r="3217" spans="1:9" x14ac:dyDescent="0.3">
      <c r="A3217" s="26">
        <v>45098</v>
      </c>
      <c r="B3217" s="27" t="s">
        <v>122</v>
      </c>
      <c r="C3217" s="27" t="s">
        <v>6</v>
      </c>
      <c r="D3217" s="27" t="s">
        <v>24</v>
      </c>
      <c r="E3217" s="28">
        <v>143700</v>
      </c>
      <c r="F3217" s="28">
        <v>155000</v>
      </c>
      <c r="G3217" s="27" t="s">
        <v>17</v>
      </c>
      <c r="H3217" s="27" t="s">
        <v>6316</v>
      </c>
      <c r="I3217" s="27" t="s">
        <v>9</v>
      </c>
    </row>
    <row r="3218" spans="1:9" x14ac:dyDescent="0.3">
      <c r="A3218" s="26">
        <v>45098</v>
      </c>
      <c r="B3218" s="27" t="s">
        <v>122</v>
      </c>
      <c r="C3218" s="27" t="s">
        <v>6</v>
      </c>
      <c r="D3218" s="27" t="s">
        <v>24</v>
      </c>
      <c r="E3218" s="28">
        <v>96600</v>
      </c>
      <c r="F3218" s="28">
        <v>117900</v>
      </c>
      <c r="G3218" s="27" t="s">
        <v>11</v>
      </c>
      <c r="H3218" s="27" t="s">
        <v>6389</v>
      </c>
      <c r="I3218" s="27" t="s">
        <v>9</v>
      </c>
    </row>
    <row r="3219" spans="1:9" x14ac:dyDescent="0.3">
      <c r="A3219" s="26">
        <v>45098</v>
      </c>
      <c r="B3219" s="27" t="s">
        <v>122</v>
      </c>
      <c r="C3219" s="27" t="s">
        <v>93</v>
      </c>
      <c r="D3219" s="27" t="s">
        <v>7</v>
      </c>
      <c r="E3219" s="28">
        <v>125700</v>
      </c>
      <c r="F3219" s="28">
        <v>112100</v>
      </c>
      <c r="G3219" s="27" t="s">
        <v>11</v>
      </c>
      <c r="H3219" s="27" t="s">
        <v>6452</v>
      </c>
      <c r="I3219" s="27" t="s">
        <v>9</v>
      </c>
    </row>
    <row r="3220" spans="1:9" x14ac:dyDescent="0.3">
      <c r="A3220" s="26">
        <v>45099</v>
      </c>
      <c r="B3220" s="27" t="s">
        <v>122</v>
      </c>
      <c r="C3220" s="27" t="s">
        <v>20</v>
      </c>
      <c r="D3220" s="27" t="s">
        <v>21</v>
      </c>
      <c r="E3220" s="28">
        <v>87892</v>
      </c>
      <c r="F3220" s="28">
        <v>68393</v>
      </c>
      <c r="G3220" s="27" t="s">
        <v>22</v>
      </c>
      <c r="H3220" s="27" t="s">
        <v>157</v>
      </c>
      <c r="I3220" s="27" t="s">
        <v>13</v>
      </c>
    </row>
    <row r="3221" spans="1:9" x14ac:dyDescent="0.3">
      <c r="A3221" s="26">
        <v>45099</v>
      </c>
      <c r="B3221" s="27" t="s">
        <v>122</v>
      </c>
      <c r="C3221" s="27" t="s">
        <v>18</v>
      </c>
      <c r="D3221" s="27" t="s">
        <v>19</v>
      </c>
      <c r="E3221" s="28">
        <v>70757</v>
      </c>
      <c r="F3221" s="28">
        <v>115001</v>
      </c>
      <c r="G3221" s="27" t="s">
        <v>8</v>
      </c>
      <c r="H3221" s="27" t="s">
        <v>579</v>
      </c>
      <c r="I3221" s="27" t="s">
        <v>13</v>
      </c>
    </row>
    <row r="3222" spans="1:9" x14ac:dyDescent="0.3">
      <c r="A3222" s="26">
        <v>45099</v>
      </c>
      <c r="B3222" s="27" t="s">
        <v>122</v>
      </c>
      <c r="C3222" s="27" t="s">
        <v>20</v>
      </c>
      <c r="D3222" s="27" t="s">
        <v>19</v>
      </c>
      <c r="E3222" s="28">
        <v>17030</v>
      </c>
      <c r="F3222" s="28">
        <v>18285</v>
      </c>
      <c r="G3222" s="27" t="s">
        <v>8</v>
      </c>
      <c r="H3222" s="27" t="s">
        <v>819</v>
      </c>
      <c r="I3222" s="27" t="s">
        <v>13</v>
      </c>
    </row>
    <row r="3223" spans="1:9" x14ac:dyDescent="0.3">
      <c r="A3223" s="26">
        <v>45099</v>
      </c>
      <c r="B3223" s="27" t="s">
        <v>122</v>
      </c>
      <c r="C3223" s="27" t="s">
        <v>14</v>
      </c>
      <c r="D3223" s="27" t="s">
        <v>21</v>
      </c>
      <c r="E3223" s="28">
        <v>85179</v>
      </c>
      <c r="F3223" s="28">
        <v>156259</v>
      </c>
      <c r="G3223" s="27" t="s">
        <v>11</v>
      </c>
      <c r="H3223" s="27" t="s">
        <v>986</v>
      </c>
      <c r="I3223" s="27" t="s">
        <v>13</v>
      </c>
    </row>
    <row r="3224" spans="1:9" x14ac:dyDescent="0.3">
      <c r="A3224" s="26">
        <v>45099</v>
      </c>
      <c r="B3224" s="27" t="s">
        <v>122</v>
      </c>
      <c r="C3224" s="27" t="s">
        <v>20</v>
      </c>
      <c r="D3224" s="27" t="s">
        <v>16</v>
      </c>
      <c r="E3224" s="28">
        <v>131625</v>
      </c>
      <c r="F3224" s="28">
        <v>9304</v>
      </c>
      <c r="G3224" s="27" t="s">
        <v>17</v>
      </c>
      <c r="H3224" s="27" t="s">
        <v>1274</v>
      </c>
      <c r="I3224" s="27" t="s">
        <v>13</v>
      </c>
    </row>
    <row r="3225" spans="1:9" x14ac:dyDescent="0.3">
      <c r="A3225" s="26">
        <v>45099</v>
      </c>
      <c r="B3225" s="27" t="s">
        <v>122</v>
      </c>
      <c r="C3225" s="27" t="s">
        <v>20</v>
      </c>
      <c r="D3225" s="27" t="s">
        <v>19</v>
      </c>
      <c r="E3225" s="28">
        <v>55241</v>
      </c>
      <c r="F3225" s="28">
        <v>82455</v>
      </c>
      <c r="G3225" s="27" t="s">
        <v>22</v>
      </c>
      <c r="H3225" s="27" t="s">
        <v>1464</v>
      </c>
      <c r="I3225" s="27" t="s">
        <v>13</v>
      </c>
    </row>
    <row r="3226" spans="1:9" x14ac:dyDescent="0.3">
      <c r="A3226" s="26">
        <v>45099</v>
      </c>
      <c r="B3226" s="27" t="s">
        <v>122</v>
      </c>
      <c r="C3226" s="27" t="s">
        <v>10</v>
      </c>
      <c r="D3226" s="27" t="s">
        <v>21</v>
      </c>
      <c r="E3226" s="28">
        <v>46533</v>
      </c>
      <c r="F3226" s="28">
        <v>133956</v>
      </c>
      <c r="G3226" s="27" t="s">
        <v>17</v>
      </c>
      <c r="H3226" s="27" t="s">
        <v>1508</v>
      </c>
      <c r="I3226" s="27" t="s">
        <v>13</v>
      </c>
    </row>
    <row r="3227" spans="1:9" x14ac:dyDescent="0.3">
      <c r="A3227" s="26">
        <v>45099</v>
      </c>
      <c r="B3227" s="27" t="s">
        <v>122</v>
      </c>
      <c r="C3227" s="27" t="s">
        <v>32</v>
      </c>
      <c r="D3227" s="27" t="s">
        <v>21</v>
      </c>
      <c r="E3227" s="28">
        <v>73091</v>
      </c>
      <c r="F3227" s="28">
        <v>144246</v>
      </c>
      <c r="G3227" s="27" t="s">
        <v>11</v>
      </c>
      <c r="H3227" s="27" t="s">
        <v>2913</v>
      </c>
      <c r="I3227" s="27" t="s">
        <v>13</v>
      </c>
    </row>
    <row r="3228" spans="1:9" x14ac:dyDescent="0.3">
      <c r="A3228" s="26">
        <v>45099</v>
      </c>
      <c r="B3228" s="27" t="s">
        <v>122</v>
      </c>
      <c r="C3228" s="27" t="s">
        <v>93</v>
      </c>
      <c r="D3228" s="27" t="s">
        <v>21</v>
      </c>
      <c r="E3228" s="28">
        <v>99500</v>
      </c>
      <c r="F3228" s="28">
        <v>104200</v>
      </c>
      <c r="G3228" s="27" t="s">
        <v>11</v>
      </c>
      <c r="H3228" s="27" t="s">
        <v>3538</v>
      </c>
      <c r="I3228" s="27" t="s">
        <v>9</v>
      </c>
    </row>
    <row r="3229" spans="1:9" x14ac:dyDescent="0.3">
      <c r="A3229" s="26">
        <v>45099</v>
      </c>
      <c r="B3229" s="27" t="s">
        <v>122</v>
      </c>
      <c r="C3229" s="27" t="s">
        <v>6</v>
      </c>
      <c r="D3229" s="27" t="s">
        <v>19</v>
      </c>
      <c r="E3229" s="28">
        <v>91700</v>
      </c>
      <c r="F3229" s="28">
        <v>99300</v>
      </c>
      <c r="G3229" s="27" t="s">
        <v>22</v>
      </c>
      <c r="H3229" s="27" t="s">
        <v>3960</v>
      </c>
      <c r="I3229" s="27" t="s">
        <v>9</v>
      </c>
    </row>
    <row r="3230" spans="1:9" x14ac:dyDescent="0.3">
      <c r="A3230" s="26">
        <v>45099</v>
      </c>
      <c r="B3230" s="27" t="s">
        <v>122</v>
      </c>
      <c r="C3230" s="27" t="s">
        <v>6</v>
      </c>
      <c r="D3230" s="27" t="s">
        <v>19</v>
      </c>
      <c r="E3230" s="28">
        <v>151000</v>
      </c>
      <c r="F3230" s="28">
        <v>182600</v>
      </c>
      <c r="G3230" s="27" t="s">
        <v>11</v>
      </c>
      <c r="H3230" s="27" t="s">
        <v>4200</v>
      </c>
      <c r="I3230" s="27" t="s">
        <v>9</v>
      </c>
    </row>
    <row r="3231" spans="1:9" x14ac:dyDescent="0.3">
      <c r="A3231" s="26">
        <v>45099</v>
      </c>
      <c r="B3231" s="27" t="s">
        <v>122</v>
      </c>
      <c r="C3231" s="27" t="s">
        <v>6</v>
      </c>
      <c r="D3231" s="27" t="s">
        <v>21</v>
      </c>
      <c r="E3231" s="28">
        <v>425800</v>
      </c>
      <c r="F3231" s="28">
        <v>561700</v>
      </c>
      <c r="G3231" s="27" t="s">
        <v>22</v>
      </c>
      <c r="H3231" s="27" t="s">
        <v>4367</v>
      </c>
      <c r="I3231" s="27" t="s">
        <v>9</v>
      </c>
    </row>
    <row r="3232" spans="1:9" x14ac:dyDescent="0.3">
      <c r="A3232" s="26">
        <v>45099</v>
      </c>
      <c r="B3232" s="27" t="s">
        <v>122</v>
      </c>
      <c r="C3232" s="27" t="s">
        <v>93</v>
      </c>
      <c r="D3232" s="27" t="s">
        <v>16</v>
      </c>
      <c r="E3232" s="28">
        <v>152600</v>
      </c>
      <c r="F3232" s="28">
        <v>132400</v>
      </c>
      <c r="G3232" s="27" t="s">
        <v>22</v>
      </c>
      <c r="H3232" s="27" t="s">
        <v>4657</v>
      </c>
      <c r="I3232" s="27" t="s">
        <v>9</v>
      </c>
    </row>
    <row r="3233" spans="1:9" x14ac:dyDescent="0.3">
      <c r="A3233" s="26">
        <v>45099</v>
      </c>
      <c r="B3233" s="27" t="s">
        <v>122</v>
      </c>
      <c r="C3233" s="27" t="s">
        <v>93</v>
      </c>
      <c r="D3233" s="27" t="s">
        <v>19</v>
      </c>
      <c r="E3233" s="28">
        <v>147200</v>
      </c>
      <c r="F3233" s="28">
        <v>163200</v>
      </c>
      <c r="G3233" s="27" t="s">
        <v>11</v>
      </c>
      <c r="H3233" s="27" t="s">
        <v>4847</v>
      </c>
      <c r="I3233" s="27" t="s">
        <v>9</v>
      </c>
    </row>
    <row r="3234" spans="1:9" x14ac:dyDescent="0.3">
      <c r="A3234" s="26">
        <v>45099</v>
      </c>
      <c r="B3234" s="27" t="s">
        <v>122</v>
      </c>
      <c r="C3234" s="27" t="s">
        <v>93</v>
      </c>
      <c r="D3234" s="27" t="s">
        <v>21</v>
      </c>
      <c r="E3234" s="28">
        <v>96900</v>
      </c>
      <c r="F3234" s="28">
        <v>69400</v>
      </c>
      <c r="G3234" s="27" t="s">
        <v>11</v>
      </c>
      <c r="H3234" s="27" t="s">
        <v>4891</v>
      </c>
      <c r="I3234" s="27" t="s">
        <v>9</v>
      </c>
    </row>
    <row r="3235" spans="1:9" x14ac:dyDescent="0.3">
      <c r="A3235" s="26">
        <v>45099</v>
      </c>
      <c r="B3235" s="27" t="s">
        <v>122</v>
      </c>
      <c r="C3235" s="27" t="s">
        <v>6</v>
      </c>
      <c r="D3235" s="27" t="s">
        <v>21</v>
      </c>
      <c r="E3235" s="28">
        <v>63700</v>
      </c>
      <c r="F3235" s="28">
        <v>78600</v>
      </c>
      <c r="G3235" s="27" t="s">
        <v>11</v>
      </c>
      <c r="H3235" s="27" t="s">
        <v>6298</v>
      </c>
      <c r="I3235" s="27" t="s">
        <v>9</v>
      </c>
    </row>
    <row r="3236" spans="1:9" x14ac:dyDescent="0.3">
      <c r="A3236" s="26">
        <v>45100</v>
      </c>
      <c r="B3236" s="27" t="s">
        <v>122</v>
      </c>
      <c r="C3236" s="27" t="s">
        <v>20</v>
      </c>
      <c r="D3236" s="27" t="s">
        <v>7</v>
      </c>
      <c r="E3236" s="28">
        <v>24332</v>
      </c>
      <c r="F3236" s="28">
        <v>117833</v>
      </c>
      <c r="G3236" s="27" t="s">
        <v>8</v>
      </c>
      <c r="H3236" s="27" t="s">
        <v>1005</v>
      </c>
      <c r="I3236" s="27" t="s">
        <v>13</v>
      </c>
    </row>
    <row r="3237" spans="1:9" x14ac:dyDescent="0.3">
      <c r="A3237" s="26">
        <v>45100</v>
      </c>
      <c r="B3237" s="27" t="s">
        <v>122</v>
      </c>
      <c r="C3237" s="27" t="s">
        <v>18</v>
      </c>
      <c r="D3237" s="27" t="s">
        <v>7</v>
      </c>
      <c r="E3237" s="28">
        <v>84657</v>
      </c>
      <c r="F3237" s="28">
        <v>86854</v>
      </c>
      <c r="G3237" s="27" t="s">
        <v>11</v>
      </c>
      <c r="H3237" s="27" t="s">
        <v>1344</v>
      </c>
      <c r="I3237" s="27" t="s">
        <v>13</v>
      </c>
    </row>
    <row r="3238" spans="1:9" x14ac:dyDescent="0.3">
      <c r="A3238" s="26">
        <v>45100</v>
      </c>
      <c r="B3238" s="27" t="s">
        <v>122</v>
      </c>
      <c r="C3238" s="27" t="s">
        <v>15</v>
      </c>
      <c r="D3238" s="27" t="s">
        <v>16</v>
      </c>
      <c r="E3238" s="28">
        <v>26091</v>
      </c>
      <c r="F3238" s="28">
        <v>113264</v>
      </c>
      <c r="G3238" s="27" t="s">
        <v>8</v>
      </c>
      <c r="H3238" s="27" t="s">
        <v>1400</v>
      </c>
      <c r="I3238" s="27" t="s">
        <v>13</v>
      </c>
    </row>
    <row r="3239" spans="1:9" x14ac:dyDescent="0.3">
      <c r="A3239" s="26">
        <v>45100</v>
      </c>
      <c r="B3239" s="27" t="s">
        <v>122</v>
      </c>
      <c r="C3239" s="27" t="s">
        <v>15</v>
      </c>
      <c r="D3239" s="27" t="s">
        <v>16</v>
      </c>
      <c r="E3239" s="28">
        <v>147610</v>
      </c>
      <c r="F3239" s="28">
        <v>25532</v>
      </c>
      <c r="G3239" s="27" t="s">
        <v>17</v>
      </c>
      <c r="H3239" s="27" t="s">
        <v>1635</v>
      </c>
      <c r="I3239" s="27" t="s">
        <v>13</v>
      </c>
    </row>
    <row r="3240" spans="1:9" x14ac:dyDescent="0.3">
      <c r="A3240" s="26">
        <v>45100</v>
      </c>
      <c r="B3240" s="27" t="s">
        <v>122</v>
      </c>
      <c r="C3240" s="27" t="s">
        <v>20</v>
      </c>
      <c r="D3240" s="27" t="s">
        <v>19</v>
      </c>
      <c r="E3240" s="28">
        <v>135642</v>
      </c>
      <c r="F3240" s="28">
        <v>102134</v>
      </c>
      <c r="G3240" s="27" t="s">
        <v>22</v>
      </c>
      <c r="H3240" s="27" t="s">
        <v>1651</v>
      </c>
      <c r="I3240" s="27" t="s">
        <v>13</v>
      </c>
    </row>
    <row r="3241" spans="1:9" x14ac:dyDescent="0.3">
      <c r="A3241" s="26">
        <v>45100</v>
      </c>
      <c r="B3241" s="27" t="s">
        <v>122</v>
      </c>
      <c r="C3241" s="27" t="s">
        <v>93</v>
      </c>
      <c r="D3241" s="27" t="s">
        <v>7</v>
      </c>
      <c r="E3241" s="28">
        <v>123100</v>
      </c>
      <c r="F3241" s="28">
        <v>134300</v>
      </c>
      <c r="G3241" s="27" t="s">
        <v>11</v>
      </c>
      <c r="H3241" s="27" t="s">
        <v>4386</v>
      </c>
      <c r="I3241" s="27" t="s">
        <v>9</v>
      </c>
    </row>
    <row r="3242" spans="1:9" x14ac:dyDescent="0.3">
      <c r="A3242" s="26">
        <v>45100</v>
      </c>
      <c r="B3242" s="27" t="s">
        <v>122</v>
      </c>
      <c r="C3242" s="27" t="s">
        <v>6</v>
      </c>
      <c r="D3242" s="27" t="s">
        <v>7</v>
      </c>
      <c r="E3242" s="28">
        <v>66000</v>
      </c>
      <c r="F3242" s="28">
        <v>66500</v>
      </c>
      <c r="G3242" s="27" t="s">
        <v>17</v>
      </c>
      <c r="H3242" s="27" t="s">
        <v>4727</v>
      </c>
      <c r="I3242" s="27" t="s">
        <v>9</v>
      </c>
    </row>
    <row r="3243" spans="1:9" x14ac:dyDescent="0.3">
      <c r="A3243" s="26">
        <v>45100</v>
      </c>
      <c r="B3243" s="27" t="s">
        <v>122</v>
      </c>
      <c r="C3243" s="27" t="s">
        <v>93</v>
      </c>
      <c r="D3243" s="27" t="s">
        <v>16</v>
      </c>
      <c r="E3243" s="28">
        <v>113900</v>
      </c>
      <c r="F3243" s="28">
        <v>101900</v>
      </c>
      <c r="G3243" s="27" t="s">
        <v>22</v>
      </c>
      <c r="H3243" s="27" t="s">
        <v>4783</v>
      </c>
      <c r="I3243" s="27" t="s">
        <v>9</v>
      </c>
    </row>
    <row r="3244" spans="1:9" x14ac:dyDescent="0.3">
      <c r="A3244" s="26">
        <v>45100</v>
      </c>
      <c r="B3244" s="27" t="s">
        <v>122</v>
      </c>
      <c r="C3244" s="27" t="s">
        <v>93</v>
      </c>
      <c r="D3244" s="27" t="s">
        <v>16</v>
      </c>
      <c r="E3244" s="28">
        <v>73400</v>
      </c>
      <c r="F3244" s="28">
        <v>78400</v>
      </c>
      <c r="G3244" s="27" t="s">
        <v>17</v>
      </c>
      <c r="H3244" s="27" t="s">
        <v>5018</v>
      </c>
      <c r="I3244" s="27" t="s">
        <v>9</v>
      </c>
    </row>
    <row r="3245" spans="1:9" x14ac:dyDescent="0.3">
      <c r="A3245" s="26">
        <v>45100</v>
      </c>
      <c r="B3245" s="27" t="s">
        <v>122</v>
      </c>
      <c r="C3245" s="27" t="s">
        <v>93</v>
      </c>
      <c r="D3245" s="27" t="s">
        <v>19</v>
      </c>
      <c r="E3245" s="28">
        <v>81500</v>
      </c>
      <c r="F3245" s="28">
        <v>97900</v>
      </c>
      <c r="G3245" s="27" t="s">
        <v>22</v>
      </c>
      <c r="H3245" s="27" t="s">
        <v>5034</v>
      </c>
      <c r="I3245" s="27" t="s">
        <v>9</v>
      </c>
    </row>
    <row r="3246" spans="1:9" x14ac:dyDescent="0.3">
      <c r="A3246" s="26">
        <v>45101</v>
      </c>
      <c r="B3246" s="27" t="s">
        <v>122</v>
      </c>
      <c r="C3246" s="27" t="s">
        <v>18</v>
      </c>
      <c r="D3246" s="27" t="s">
        <v>24</v>
      </c>
      <c r="E3246" s="28">
        <v>132656</v>
      </c>
      <c r="F3246" s="28">
        <v>37421</v>
      </c>
      <c r="G3246" s="27" t="s">
        <v>8</v>
      </c>
      <c r="H3246" s="27" t="s">
        <v>420</v>
      </c>
      <c r="I3246" s="27" t="s">
        <v>13</v>
      </c>
    </row>
    <row r="3247" spans="1:9" x14ac:dyDescent="0.3">
      <c r="A3247" s="26">
        <v>45101</v>
      </c>
      <c r="B3247" s="27" t="s">
        <v>122</v>
      </c>
      <c r="C3247" s="27" t="s">
        <v>15</v>
      </c>
      <c r="D3247" s="27" t="s">
        <v>7</v>
      </c>
      <c r="E3247" s="28">
        <v>59725</v>
      </c>
      <c r="F3247" s="28">
        <v>133279</v>
      </c>
      <c r="G3247" s="27" t="s">
        <v>17</v>
      </c>
      <c r="H3247" s="27" t="s">
        <v>850</v>
      </c>
      <c r="I3247" s="27" t="s">
        <v>13</v>
      </c>
    </row>
    <row r="3248" spans="1:9" x14ac:dyDescent="0.3">
      <c r="A3248" s="26">
        <v>45101</v>
      </c>
      <c r="B3248" s="27" t="s">
        <v>122</v>
      </c>
      <c r="C3248" s="27" t="s">
        <v>32</v>
      </c>
      <c r="D3248" s="27" t="s">
        <v>7</v>
      </c>
      <c r="E3248" s="28">
        <v>145914</v>
      </c>
      <c r="F3248" s="28">
        <v>39178</v>
      </c>
      <c r="G3248" s="27" t="s">
        <v>8</v>
      </c>
      <c r="H3248" s="27" t="s">
        <v>1253</v>
      </c>
      <c r="I3248" s="27" t="s">
        <v>13</v>
      </c>
    </row>
    <row r="3249" spans="1:9" x14ac:dyDescent="0.3">
      <c r="A3249" s="26">
        <v>45101</v>
      </c>
      <c r="B3249" s="27" t="s">
        <v>122</v>
      </c>
      <c r="C3249" s="27" t="s">
        <v>15</v>
      </c>
      <c r="D3249" s="27" t="s">
        <v>24</v>
      </c>
      <c r="E3249" s="28">
        <v>149030</v>
      </c>
      <c r="F3249" s="28">
        <v>153894</v>
      </c>
      <c r="G3249" s="27" t="s">
        <v>11</v>
      </c>
      <c r="H3249" s="27" t="s">
        <v>1621</v>
      </c>
      <c r="I3249" s="27" t="s">
        <v>13</v>
      </c>
    </row>
    <row r="3250" spans="1:9" x14ac:dyDescent="0.3">
      <c r="A3250" s="26">
        <v>45101</v>
      </c>
      <c r="B3250" s="27" t="s">
        <v>122</v>
      </c>
      <c r="C3250" s="27" t="s">
        <v>15</v>
      </c>
      <c r="D3250" s="27" t="s">
        <v>21</v>
      </c>
      <c r="E3250" s="28">
        <v>79600</v>
      </c>
      <c r="F3250" s="28">
        <v>92058</v>
      </c>
      <c r="G3250" s="27" t="s">
        <v>8</v>
      </c>
      <c r="H3250" s="27" t="s">
        <v>1725</v>
      </c>
      <c r="I3250" s="27" t="s">
        <v>13</v>
      </c>
    </row>
    <row r="3251" spans="1:9" x14ac:dyDescent="0.3">
      <c r="A3251" s="26">
        <v>45101</v>
      </c>
      <c r="B3251" s="27" t="s">
        <v>122</v>
      </c>
      <c r="C3251" s="27" t="s">
        <v>20</v>
      </c>
      <c r="D3251" s="27" t="s">
        <v>7</v>
      </c>
      <c r="E3251" s="28">
        <v>129142</v>
      </c>
      <c r="F3251" s="28">
        <v>152119</v>
      </c>
      <c r="G3251" s="27" t="s">
        <v>11</v>
      </c>
      <c r="H3251" s="27" t="s">
        <v>1874</v>
      </c>
      <c r="I3251" s="27" t="s">
        <v>13</v>
      </c>
    </row>
    <row r="3252" spans="1:9" x14ac:dyDescent="0.3">
      <c r="A3252" s="26">
        <v>45101</v>
      </c>
      <c r="B3252" s="27" t="s">
        <v>122</v>
      </c>
      <c r="C3252" s="27" t="s">
        <v>18</v>
      </c>
      <c r="D3252" s="27" t="s">
        <v>24</v>
      </c>
      <c r="E3252" s="28">
        <v>37077</v>
      </c>
      <c r="F3252" s="28">
        <v>77568</v>
      </c>
      <c r="G3252" s="27" t="s">
        <v>8</v>
      </c>
      <c r="H3252" s="27" t="s">
        <v>2130</v>
      </c>
      <c r="I3252" s="27" t="s">
        <v>13</v>
      </c>
    </row>
    <row r="3253" spans="1:9" x14ac:dyDescent="0.3">
      <c r="A3253" s="26">
        <v>45101</v>
      </c>
      <c r="B3253" s="27" t="s">
        <v>122</v>
      </c>
      <c r="C3253" s="27" t="s">
        <v>15</v>
      </c>
      <c r="D3253" s="27" t="s">
        <v>19</v>
      </c>
      <c r="E3253" s="28">
        <v>131124</v>
      </c>
      <c r="F3253" s="28">
        <v>69409</v>
      </c>
      <c r="G3253" s="27" t="s">
        <v>11</v>
      </c>
      <c r="H3253" s="27" t="s">
        <v>2267</v>
      </c>
      <c r="I3253" s="27" t="s">
        <v>13</v>
      </c>
    </row>
    <row r="3254" spans="1:9" x14ac:dyDescent="0.3">
      <c r="A3254" s="26">
        <v>45101</v>
      </c>
      <c r="B3254" s="27" t="s">
        <v>122</v>
      </c>
      <c r="C3254" s="27" t="s">
        <v>32</v>
      </c>
      <c r="D3254" s="27" t="s">
        <v>21</v>
      </c>
      <c r="E3254" s="28">
        <v>35328</v>
      </c>
      <c r="F3254" s="28">
        <v>118377</v>
      </c>
      <c r="G3254" s="27" t="s">
        <v>11</v>
      </c>
      <c r="H3254" s="27" t="s">
        <v>2469</v>
      </c>
      <c r="I3254" s="27" t="s">
        <v>13</v>
      </c>
    </row>
    <row r="3255" spans="1:9" x14ac:dyDescent="0.3">
      <c r="A3255" s="26">
        <v>45101</v>
      </c>
      <c r="B3255" s="27" t="s">
        <v>122</v>
      </c>
      <c r="C3255" s="27" t="s">
        <v>14</v>
      </c>
      <c r="D3255" s="27" t="s">
        <v>21</v>
      </c>
      <c r="E3255" s="28">
        <v>139497</v>
      </c>
      <c r="F3255" s="28">
        <v>86457</v>
      </c>
      <c r="G3255" s="27" t="s">
        <v>8</v>
      </c>
      <c r="H3255" s="27" t="s">
        <v>2620</v>
      </c>
      <c r="I3255" s="27" t="s">
        <v>13</v>
      </c>
    </row>
    <row r="3256" spans="1:9" x14ac:dyDescent="0.3">
      <c r="A3256" s="26">
        <v>45101</v>
      </c>
      <c r="B3256" s="27" t="s">
        <v>122</v>
      </c>
      <c r="C3256" s="27" t="s">
        <v>18</v>
      </c>
      <c r="D3256" s="27" t="s">
        <v>16</v>
      </c>
      <c r="E3256" s="28">
        <v>143730</v>
      </c>
      <c r="F3256" s="28">
        <v>82272</v>
      </c>
      <c r="G3256" s="27" t="s">
        <v>17</v>
      </c>
      <c r="H3256" s="27" t="s">
        <v>2708</v>
      </c>
      <c r="I3256" s="27" t="s">
        <v>13</v>
      </c>
    </row>
    <row r="3257" spans="1:9" x14ac:dyDescent="0.3">
      <c r="A3257" s="26">
        <v>45101</v>
      </c>
      <c r="B3257" s="27" t="s">
        <v>122</v>
      </c>
      <c r="C3257" s="27" t="s">
        <v>32</v>
      </c>
      <c r="D3257" s="27" t="s">
        <v>16</v>
      </c>
      <c r="E3257" s="28">
        <v>48328</v>
      </c>
      <c r="F3257" s="28">
        <v>79309</v>
      </c>
      <c r="G3257" s="27" t="s">
        <v>17</v>
      </c>
      <c r="H3257" s="27" t="s">
        <v>2899</v>
      </c>
      <c r="I3257" s="27" t="s">
        <v>13</v>
      </c>
    </row>
    <row r="3258" spans="1:9" x14ac:dyDescent="0.3">
      <c r="A3258" s="26">
        <v>45101</v>
      </c>
      <c r="B3258" s="27" t="s">
        <v>122</v>
      </c>
      <c r="C3258" s="27" t="s">
        <v>15</v>
      </c>
      <c r="D3258" s="27" t="s">
        <v>21</v>
      </c>
      <c r="E3258" s="28">
        <v>37865</v>
      </c>
      <c r="F3258" s="28">
        <v>35396</v>
      </c>
      <c r="G3258" s="27" t="s">
        <v>22</v>
      </c>
      <c r="H3258" s="27" t="s">
        <v>3206</v>
      </c>
      <c r="I3258" s="27" t="s">
        <v>13</v>
      </c>
    </row>
    <row r="3259" spans="1:9" x14ac:dyDescent="0.3">
      <c r="A3259" s="26">
        <v>45101</v>
      </c>
      <c r="B3259" s="27" t="s">
        <v>122</v>
      </c>
      <c r="C3259" s="27" t="s">
        <v>6</v>
      </c>
      <c r="D3259" s="27" t="s">
        <v>24</v>
      </c>
      <c r="E3259" s="28">
        <v>125600</v>
      </c>
      <c r="F3259" s="28">
        <v>150600</v>
      </c>
      <c r="G3259" s="27" t="s">
        <v>22</v>
      </c>
      <c r="H3259" s="27" t="s">
        <v>3801</v>
      </c>
      <c r="I3259" s="27" t="s">
        <v>9</v>
      </c>
    </row>
    <row r="3260" spans="1:9" x14ac:dyDescent="0.3">
      <c r="A3260" s="26">
        <v>45101</v>
      </c>
      <c r="B3260" s="27" t="s">
        <v>122</v>
      </c>
      <c r="C3260" s="27" t="s">
        <v>6</v>
      </c>
      <c r="D3260" s="27" t="s">
        <v>7</v>
      </c>
      <c r="E3260" s="28">
        <v>124200</v>
      </c>
      <c r="F3260" s="28">
        <v>122000</v>
      </c>
      <c r="G3260" s="27" t="s">
        <v>17</v>
      </c>
      <c r="H3260" s="27" t="s">
        <v>4231</v>
      </c>
      <c r="I3260" s="27" t="s">
        <v>9</v>
      </c>
    </row>
    <row r="3261" spans="1:9" x14ac:dyDescent="0.3">
      <c r="A3261" s="26">
        <v>45101</v>
      </c>
      <c r="B3261" s="27" t="s">
        <v>122</v>
      </c>
      <c r="C3261" s="27" t="s">
        <v>93</v>
      </c>
      <c r="D3261" s="27" t="s">
        <v>7</v>
      </c>
      <c r="E3261" s="28">
        <v>165000</v>
      </c>
      <c r="F3261" s="28">
        <v>202500</v>
      </c>
      <c r="G3261" s="27" t="s">
        <v>11</v>
      </c>
      <c r="H3261" s="27" t="s">
        <v>4636</v>
      </c>
      <c r="I3261" s="27" t="s">
        <v>9</v>
      </c>
    </row>
    <row r="3262" spans="1:9" x14ac:dyDescent="0.3">
      <c r="A3262" s="26">
        <v>45101</v>
      </c>
      <c r="B3262" s="27" t="s">
        <v>122</v>
      </c>
      <c r="C3262" s="27" t="s">
        <v>6</v>
      </c>
      <c r="D3262" s="27" t="s">
        <v>24</v>
      </c>
      <c r="E3262" s="28">
        <v>110200</v>
      </c>
      <c r="F3262" s="28">
        <v>129100</v>
      </c>
      <c r="G3262" s="27" t="s">
        <v>11</v>
      </c>
      <c r="H3262" s="27" t="s">
        <v>5004</v>
      </c>
      <c r="I3262" s="27" t="s">
        <v>9</v>
      </c>
    </row>
    <row r="3263" spans="1:9" x14ac:dyDescent="0.3">
      <c r="A3263" s="26">
        <v>45101</v>
      </c>
      <c r="B3263" s="27" t="s">
        <v>122</v>
      </c>
      <c r="C3263" s="27" t="s">
        <v>93</v>
      </c>
      <c r="D3263" s="27" t="s">
        <v>21</v>
      </c>
      <c r="E3263" s="28">
        <v>100800</v>
      </c>
      <c r="F3263" s="28">
        <v>97600</v>
      </c>
      <c r="G3263" s="27" t="s">
        <v>17</v>
      </c>
      <c r="H3263" s="27" t="s">
        <v>5108</v>
      </c>
      <c r="I3263" s="27" t="s">
        <v>9</v>
      </c>
    </row>
    <row r="3264" spans="1:9" x14ac:dyDescent="0.3">
      <c r="A3264" s="26">
        <v>45101</v>
      </c>
      <c r="B3264" s="27" t="s">
        <v>122</v>
      </c>
      <c r="C3264" s="27" t="s">
        <v>93</v>
      </c>
      <c r="D3264" s="27" t="s">
        <v>7</v>
      </c>
      <c r="E3264" s="28">
        <v>121200</v>
      </c>
      <c r="F3264" s="28">
        <v>124100</v>
      </c>
      <c r="G3264" s="27" t="s">
        <v>11</v>
      </c>
      <c r="H3264" s="27" t="s">
        <v>5258</v>
      </c>
      <c r="I3264" s="27" t="s">
        <v>9</v>
      </c>
    </row>
    <row r="3265" spans="1:9" x14ac:dyDescent="0.3">
      <c r="A3265" s="26">
        <v>45101</v>
      </c>
      <c r="B3265" s="27" t="s">
        <v>122</v>
      </c>
      <c r="C3265" s="27" t="s">
        <v>6</v>
      </c>
      <c r="D3265" s="27" t="s">
        <v>24</v>
      </c>
      <c r="E3265" s="28">
        <v>113700</v>
      </c>
      <c r="F3265" s="28">
        <v>78500</v>
      </c>
      <c r="G3265" s="27" t="s">
        <v>11</v>
      </c>
      <c r="H3265" s="27" t="s">
        <v>5514</v>
      </c>
      <c r="I3265" s="27" t="s">
        <v>9</v>
      </c>
    </row>
    <row r="3266" spans="1:9" x14ac:dyDescent="0.3">
      <c r="A3266" s="26">
        <v>45101</v>
      </c>
      <c r="B3266" s="27" t="s">
        <v>122</v>
      </c>
      <c r="C3266" s="27" t="s">
        <v>6</v>
      </c>
      <c r="D3266" s="27" t="s">
        <v>19</v>
      </c>
      <c r="E3266" s="28">
        <v>137200</v>
      </c>
      <c r="F3266" s="28">
        <v>121500</v>
      </c>
      <c r="G3266" s="27" t="s">
        <v>11</v>
      </c>
      <c r="H3266" s="27" t="s">
        <v>5652</v>
      </c>
      <c r="I3266" s="27" t="s">
        <v>9</v>
      </c>
    </row>
    <row r="3267" spans="1:9" x14ac:dyDescent="0.3">
      <c r="A3267" s="26">
        <v>45101</v>
      </c>
      <c r="B3267" s="27" t="s">
        <v>122</v>
      </c>
      <c r="C3267" s="27" t="s">
        <v>6</v>
      </c>
      <c r="D3267" s="27" t="s">
        <v>21</v>
      </c>
      <c r="E3267" s="28">
        <v>138300</v>
      </c>
      <c r="F3267" s="28">
        <v>127600</v>
      </c>
      <c r="G3267" s="27" t="s">
        <v>11</v>
      </c>
      <c r="H3267" s="27" t="s">
        <v>5854</v>
      </c>
      <c r="I3267" s="27" t="s">
        <v>9</v>
      </c>
    </row>
    <row r="3268" spans="1:9" x14ac:dyDescent="0.3">
      <c r="A3268" s="26">
        <v>45101</v>
      </c>
      <c r="B3268" s="27" t="s">
        <v>122</v>
      </c>
      <c r="C3268" s="27" t="s">
        <v>6</v>
      </c>
      <c r="D3268" s="27" t="s">
        <v>21</v>
      </c>
      <c r="E3268" s="28">
        <v>309600</v>
      </c>
      <c r="F3268" s="28">
        <v>374400</v>
      </c>
      <c r="G3268" s="27" t="s">
        <v>22</v>
      </c>
      <c r="H3268" s="27" t="s">
        <v>6005</v>
      </c>
      <c r="I3268" s="27" t="s">
        <v>9</v>
      </c>
    </row>
    <row r="3269" spans="1:9" x14ac:dyDescent="0.3">
      <c r="A3269" s="26">
        <v>45101</v>
      </c>
      <c r="B3269" s="27" t="s">
        <v>122</v>
      </c>
      <c r="C3269" s="27" t="s">
        <v>6</v>
      </c>
      <c r="D3269" s="27" t="s">
        <v>16</v>
      </c>
      <c r="E3269" s="28">
        <v>208500</v>
      </c>
      <c r="F3269" s="28">
        <v>214100</v>
      </c>
      <c r="G3269" s="27" t="s">
        <v>11</v>
      </c>
      <c r="H3269" s="27" t="s">
        <v>6093</v>
      </c>
      <c r="I3269" s="27" t="s">
        <v>9</v>
      </c>
    </row>
    <row r="3270" spans="1:9" x14ac:dyDescent="0.3">
      <c r="A3270" s="26">
        <v>45101</v>
      </c>
      <c r="B3270" s="27" t="s">
        <v>122</v>
      </c>
      <c r="C3270" s="27" t="s">
        <v>6</v>
      </c>
      <c r="D3270" s="27" t="s">
        <v>16</v>
      </c>
      <c r="E3270" s="28">
        <v>194400</v>
      </c>
      <c r="F3270" s="28">
        <v>216500</v>
      </c>
      <c r="G3270" s="27" t="s">
        <v>22</v>
      </c>
      <c r="H3270" s="27" t="s">
        <v>6284</v>
      </c>
      <c r="I3270" s="27" t="s">
        <v>9</v>
      </c>
    </row>
    <row r="3271" spans="1:9" x14ac:dyDescent="0.3">
      <c r="A3271" s="26">
        <v>45101</v>
      </c>
      <c r="B3271" s="27" t="s">
        <v>122</v>
      </c>
      <c r="C3271" s="27" t="s">
        <v>6</v>
      </c>
      <c r="D3271" s="27" t="s">
        <v>21</v>
      </c>
      <c r="E3271" s="28">
        <v>177400</v>
      </c>
      <c r="F3271" s="28">
        <v>166200</v>
      </c>
      <c r="G3271" s="27" t="s">
        <v>22</v>
      </c>
      <c r="H3271" s="27" t="s">
        <v>6591</v>
      </c>
      <c r="I3271" s="27" t="s">
        <v>9</v>
      </c>
    </row>
    <row r="3272" spans="1:9" x14ac:dyDescent="0.3">
      <c r="A3272" s="26">
        <v>45102</v>
      </c>
      <c r="B3272" s="27" t="s">
        <v>122</v>
      </c>
      <c r="C3272" s="27" t="s">
        <v>32</v>
      </c>
      <c r="D3272" s="27" t="s">
        <v>24</v>
      </c>
      <c r="E3272" s="28">
        <v>54056</v>
      </c>
      <c r="F3272" s="28">
        <v>31790</v>
      </c>
      <c r="G3272" s="27" t="s">
        <v>8</v>
      </c>
      <c r="H3272" s="27" t="s">
        <v>432</v>
      </c>
      <c r="I3272" s="27" t="s">
        <v>13</v>
      </c>
    </row>
    <row r="3273" spans="1:9" x14ac:dyDescent="0.3">
      <c r="A3273" s="26">
        <v>45102</v>
      </c>
      <c r="B3273" s="27" t="s">
        <v>122</v>
      </c>
      <c r="C3273" s="27" t="s">
        <v>14</v>
      </c>
      <c r="D3273" s="27" t="s">
        <v>19</v>
      </c>
      <c r="E3273" s="28">
        <v>111536</v>
      </c>
      <c r="F3273" s="28">
        <v>55390</v>
      </c>
      <c r="G3273" s="27" t="s">
        <v>8</v>
      </c>
      <c r="H3273" s="27" t="s">
        <v>820</v>
      </c>
      <c r="I3273" s="27" t="s">
        <v>13</v>
      </c>
    </row>
    <row r="3274" spans="1:9" x14ac:dyDescent="0.3">
      <c r="A3274" s="26">
        <v>45102</v>
      </c>
      <c r="B3274" s="27" t="s">
        <v>122</v>
      </c>
      <c r="C3274" s="27" t="s">
        <v>32</v>
      </c>
      <c r="D3274" s="27" t="s">
        <v>24</v>
      </c>
      <c r="E3274" s="28">
        <v>16251</v>
      </c>
      <c r="F3274" s="28">
        <v>40744</v>
      </c>
      <c r="G3274" s="27" t="s">
        <v>8</v>
      </c>
      <c r="H3274" s="27" t="s">
        <v>995</v>
      </c>
      <c r="I3274" s="27" t="s">
        <v>13</v>
      </c>
    </row>
    <row r="3275" spans="1:9" x14ac:dyDescent="0.3">
      <c r="A3275" s="26">
        <v>45102</v>
      </c>
      <c r="B3275" s="27" t="s">
        <v>122</v>
      </c>
      <c r="C3275" s="27" t="s">
        <v>14</v>
      </c>
      <c r="D3275" s="27" t="s">
        <v>19</v>
      </c>
      <c r="E3275" s="28">
        <v>81963</v>
      </c>
      <c r="F3275" s="28">
        <v>36165</v>
      </c>
      <c r="G3275" s="27" t="s">
        <v>8</v>
      </c>
      <c r="H3275" s="27" t="s">
        <v>1032</v>
      </c>
      <c r="I3275" s="27" t="s">
        <v>13</v>
      </c>
    </row>
    <row r="3276" spans="1:9" x14ac:dyDescent="0.3">
      <c r="A3276" s="26">
        <v>45102</v>
      </c>
      <c r="B3276" s="27" t="s">
        <v>122</v>
      </c>
      <c r="C3276" s="27" t="s">
        <v>10</v>
      </c>
      <c r="D3276" s="27" t="s">
        <v>21</v>
      </c>
      <c r="E3276" s="28">
        <v>28673</v>
      </c>
      <c r="F3276" s="28">
        <v>115652</v>
      </c>
      <c r="G3276" s="27" t="s">
        <v>22</v>
      </c>
      <c r="H3276" s="27" t="s">
        <v>1341</v>
      </c>
      <c r="I3276" s="27" t="s">
        <v>13</v>
      </c>
    </row>
    <row r="3277" spans="1:9" x14ac:dyDescent="0.3">
      <c r="A3277" s="26">
        <v>45102</v>
      </c>
      <c r="B3277" s="27" t="s">
        <v>122</v>
      </c>
      <c r="C3277" s="27" t="s">
        <v>18</v>
      </c>
      <c r="D3277" s="27" t="s">
        <v>24</v>
      </c>
      <c r="E3277" s="28">
        <v>145374</v>
      </c>
      <c r="F3277" s="28">
        <v>52476</v>
      </c>
      <c r="G3277" s="27" t="s">
        <v>11</v>
      </c>
      <c r="H3277" s="27" t="s">
        <v>1376</v>
      </c>
      <c r="I3277" s="27" t="s">
        <v>13</v>
      </c>
    </row>
    <row r="3278" spans="1:9" x14ac:dyDescent="0.3">
      <c r="A3278" s="26">
        <v>45102</v>
      </c>
      <c r="B3278" s="27" t="s">
        <v>122</v>
      </c>
      <c r="C3278" s="27" t="s">
        <v>15</v>
      </c>
      <c r="D3278" s="27" t="s">
        <v>19</v>
      </c>
      <c r="E3278" s="28">
        <v>79730</v>
      </c>
      <c r="F3278" s="28">
        <v>101357</v>
      </c>
      <c r="G3278" s="27" t="s">
        <v>11</v>
      </c>
      <c r="H3278" s="27" t="s">
        <v>1889</v>
      </c>
      <c r="I3278" s="27" t="s">
        <v>13</v>
      </c>
    </row>
    <row r="3279" spans="1:9" x14ac:dyDescent="0.3">
      <c r="A3279" s="26">
        <v>45102</v>
      </c>
      <c r="B3279" s="27" t="s">
        <v>122</v>
      </c>
      <c r="C3279" s="27" t="s">
        <v>6</v>
      </c>
      <c r="D3279" s="27" t="s">
        <v>24</v>
      </c>
      <c r="E3279" s="28">
        <v>95300</v>
      </c>
      <c r="F3279" s="28">
        <v>104700</v>
      </c>
      <c r="G3279" s="27" t="s">
        <v>11</v>
      </c>
      <c r="H3279" s="27" t="s">
        <v>3813</v>
      </c>
      <c r="I3279" s="27" t="s">
        <v>9</v>
      </c>
    </row>
    <row r="3280" spans="1:9" x14ac:dyDescent="0.3">
      <c r="A3280" s="26">
        <v>45102</v>
      </c>
      <c r="B3280" s="27" t="s">
        <v>122</v>
      </c>
      <c r="C3280" s="27" t="s">
        <v>6</v>
      </c>
      <c r="D3280" s="27" t="s">
        <v>19</v>
      </c>
      <c r="E3280" s="28">
        <v>153500</v>
      </c>
      <c r="F3280" s="28">
        <v>135400</v>
      </c>
      <c r="G3280" s="27" t="s">
        <v>17</v>
      </c>
      <c r="H3280" s="27" t="s">
        <v>4201</v>
      </c>
      <c r="I3280" s="27" t="s">
        <v>9</v>
      </c>
    </row>
    <row r="3281" spans="1:9" x14ac:dyDescent="0.3">
      <c r="A3281" s="26">
        <v>45102</v>
      </c>
      <c r="B3281" s="27" t="s">
        <v>122</v>
      </c>
      <c r="C3281" s="27" t="s">
        <v>6</v>
      </c>
      <c r="D3281" s="27" t="s">
        <v>24</v>
      </c>
      <c r="E3281" s="28">
        <v>224500</v>
      </c>
      <c r="F3281" s="28">
        <v>179700</v>
      </c>
      <c r="G3281" s="27" t="s">
        <v>11</v>
      </c>
      <c r="H3281" s="27" t="s">
        <v>4376</v>
      </c>
      <c r="I3281" s="27" t="s">
        <v>9</v>
      </c>
    </row>
    <row r="3282" spans="1:9" x14ac:dyDescent="0.3">
      <c r="A3282" s="26">
        <v>45102</v>
      </c>
      <c r="B3282" s="27" t="s">
        <v>122</v>
      </c>
      <c r="C3282" s="27" t="s">
        <v>93</v>
      </c>
      <c r="D3282" s="27" t="s">
        <v>19</v>
      </c>
      <c r="E3282" s="28">
        <v>54300</v>
      </c>
      <c r="F3282" s="28">
        <v>35700</v>
      </c>
      <c r="G3282" s="27" t="s">
        <v>17</v>
      </c>
      <c r="H3282" s="27" t="s">
        <v>4414</v>
      </c>
      <c r="I3282" s="27" t="s">
        <v>9</v>
      </c>
    </row>
    <row r="3283" spans="1:9" x14ac:dyDescent="0.3">
      <c r="A3283" s="26">
        <v>45102</v>
      </c>
      <c r="B3283" s="27" t="s">
        <v>122</v>
      </c>
      <c r="C3283" s="27" t="s">
        <v>93</v>
      </c>
      <c r="D3283" s="27" t="s">
        <v>21</v>
      </c>
      <c r="E3283" s="28">
        <v>89500</v>
      </c>
      <c r="F3283" s="28">
        <v>87000</v>
      </c>
      <c r="G3283" s="27" t="s">
        <v>11</v>
      </c>
      <c r="H3283" s="27" t="s">
        <v>4724</v>
      </c>
      <c r="I3283" s="27" t="s">
        <v>9</v>
      </c>
    </row>
    <row r="3284" spans="1:9" x14ac:dyDescent="0.3">
      <c r="A3284" s="26">
        <v>45102</v>
      </c>
      <c r="B3284" s="27" t="s">
        <v>122</v>
      </c>
      <c r="C3284" s="27" t="s">
        <v>6</v>
      </c>
      <c r="D3284" s="27" t="s">
        <v>24</v>
      </c>
      <c r="E3284" s="28">
        <v>50600</v>
      </c>
      <c r="F3284" s="28">
        <v>31900</v>
      </c>
      <c r="G3284" s="27" t="s">
        <v>11</v>
      </c>
      <c r="H3284" s="27" t="s">
        <v>4759</v>
      </c>
      <c r="I3284" s="27" t="s">
        <v>9</v>
      </c>
    </row>
    <row r="3285" spans="1:9" x14ac:dyDescent="0.3">
      <c r="A3285" s="26">
        <v>45102</v>
      </c>
      <c r="B3285" s="27" t="s">
        <v>122</v>
      </c>
      <c r="C3285" s="27" t="s">
        <v>6</v>
      </c>
      <c r="D3285" s="27" t="s">
        <v>19</v>
      </c>
      <c r="E3285" s="28">
        <v>212600</v>
      </c>
      <c r="F3285" s="28">
        <v>236200</v>
      </c>
      <c r="G3285" s="27" t="s">
        <v>11</v>
      </c>
      <c r="H3285" s="27" t="s">
        <v>5273</v>
      </c>
      <c r="I3285" s="27" t="s">
        <v>9</v>
      </c>
    </row>
    <row r="3286" spans="1:9" x14ac:dyDescent="0.3">
      <c r="A3286" s="26">
        <v>45103</v>
      </c>
      <c r="B3286" s="27" t="s">
        <v>122</v>
      </c>
      <c r="C3286" s="27" t="s">
        <v>20</v>
      </c>
      <c r="D3286" s="27" t="s">
        <v>24</v>
      </c>
      <c r="E3286" s="28">
        <v>16715</v>
      </c>
      <c r="F3286" s="28">
        <v>167739</v>
      </c>
      <c r="G3286" s="27" t="s">
        <v>22</v>
      </c>
      <c r="H3286" s="27" t="s">
        <v>524</v>
      </c>
      <c r="I3286" s="27" t="s">
        <v>13</v>
      </c>
    </row>
    <row r="3287" spans="1:9" x14ac:dyDescent="0.3">
      <c r="A3287" s="26">
        <v>45103</v>
      </c>
      <c r="B3287" s="27" t="s">
        <v>122</v>
      </c>
      <c r="C3287" s="27" t="s">
        <v>20</v>
      </c>
      <c r="D3287" s="27" t="s">
        <v>21</v>
      </c>
      <c r="E3287" s="28">
        <v>127273</v>
      </c>
      <c r="F3287" s="28">
        <v>149825</v>
      </c>
      <c r="G3287" s="27" t="s">
        <v>17</v>
      </c>
      <c r="H3287" s="27" t="s">
        <v>929</v>
      </c>
      <c r="I3287" s="27" t="s">
        <v>13</v>
      </c>
    </row>
    <row r="3288" spans="1:9" x14ac:dyDescent="0.3">
      <c r="A3288" s="26">
        <v>45103</v>
      </c>
      <c r="B3288" s="27" t="s">
        <v>122</v>
      </c>
      <c r="C3288" s="27" t="s">
        <v>10</v>
      </c>
      <c r="D3288" s="27" t="s">
        <v>21</v>
      </c>
      <c r="E3288" s="28">
        <v>129618</v>
      </c>
      <c r="F3288" s="28">
        <v>62423</v>
      </c>
      <c r="G3288" s="27" t="s">
        <v>17</v>
      </c>
      <c r="H3288" s="27" t="s">
        <v>1547</v>
      </c>
      <c r="I3288" s="27" t="s">
        <v>13</v>
      </c>
    </row>
    <row r="3289" spans="1:9" x14ac:dyDescent="0.3">
      <c r="A3289" s="26">
        <v>45103</v>
      </c>
      <c r="B3289" s="27" t="s">
        <v>122</v>
      </c>
      <c r="C3289" s="27" t="s">
        <v>10</v>
      </c>
      <c r="D3289" s="27" t="s">
        <v>7</v>
      </c>
      <c r="E3289" s="28">
        <v>14055</v>
      </c>
      <c r="F3289" s="28">
        <v>39699</v>
      </c>
      <c r="G3289" s="27" t="s">
        <v>8</v>
      </c>
      <c r="H3289" s="27" t="s">
        <v>2336</v>
      </c>
      <c r="I3289" s="27" t="s">
        <v>13</v>
      </c>
    </row>
    <row r="3290" spans="1:9" x14ac:dyDescent="0.3">
      <c r="A3290" s="26">
        <v>45103</v>
      </c>
      <c r="B3290" s="27" t="s">
        <v>122</v>
      </c>
      <c r="C3290" s="27" t="s">
        <v>20</v>
      </c>
      <c r="D3290" s="27" t="s">
        <v>7</v>
      </c>
      <c r="E3290" s="28">
        <v>107218</v>
      </c>
      <c r="F3290" s="28">
        <v>104156</v>
      </c>
      <c r="G3290" s="27" t="s">
        <v>17</v>
      </c>
      <c r="H3290" s="27" t="s">
        <v>2656</v>
      </c>
      <c r="I3290" s="27" t="s">
        <v>13</v>
      </c>
    </row>
    <row r="3291" spans="1:9" x14ac:dyDescent="0.3">
      <c r="A3291" s="26">
        <v>45103</v>
      </c>
      <c r="B3291" s="27" t="s">
        <v>122</v>
      </c>
      <c r="C3291" s="27" t="s">
        <v>10</v>
      </c>
      <c r="D3291" s="27" t="s">
        <v>7</v>
      </c>
      <c r="E3291" s="28">
        <v>98169</v>
      </c>
      <c r="F3291" s="28">
        <v>40374</v>
      </c>
      <c r="G3291" s="27" t="s">
        <v>8</v>
      </c>
      <c r="H3291" s="27" t="s">
        <v>3162</v>
      </c>
      <c r="I3291" s="27" t="s">
        <v>13</v>
      </c>
    </row>
    <row r="3292" spans="1:9" x14ac:dyDescent="0.3">
      <c r="A3292" s="26">
        <v>45103</v>
      </c>
      <c r="B3292" s="27" t="s">
        <v>122</v>
      </c>
      <c r="C3292" s="27" t="s">
        <v>20</v>
      </c>
      <c r="D3292" s="27" t="s">
        <v>19</v>
      </c>
      <c r="E3292" s="28">
        <v>57986</v>
      </c>
      <c r="F3292" s="28">
        <v>105671</v>
      </c>
      <c r="G3292" s="27" t="s">
        <v>11</v>
      </c>
      <c r="H3292" s="27" t="s">
        <v>3190</v>
      </c>
      <c r="I3292" s="27" t="s">
        <v>13</v>
      </c>
    </row>
    <row r="3293" spans="1:9" x14ac:dyDescent="0.3">
      <c r="A3293" s="26">
        <v>45103</v>
      </c>
      <c r="B3293" s="27" t="s">
        <v>122</v>
      </c>
      <c r="C3293" s="27" t="s">
        <v>15</v>
      </c>
      <c r="D3293" s="27" t="s">
        <v>16</v>
      </c>
      <c r="E3293" s="28">
        <v>38465</v>
      </c>
      <c r="F3293" s="28">
        <v>154501</v>
      </c>
      <c r="G3293" s="27" t="s">
        <v>22</v>
      </c>
      <c r="H3293" s="27" t="s">
        <v>3382</v>
      </c>
      <c r="I3293" s="27" t="s">
        <v>13</v>
      </c>
    </row>
    <row r="3294" spans="1:9" x14ac:dyDescent="0.3">
      <c r="A3294" s="26">
        <v>45103</v>
      </c>
      <c r="B3294" s="27" t="s">
        <v>122</v>
      </c>
      <c r="C3294" s="27" t="s">
        <v>93</v>
      </c>
      <c r="D3294" s="27" t="s">
        <v>24</v>
      </c>
      <c r="E3294" s="28">
        <v>188900</v>
      </c>
      <c r="F3294" s="28">
        <v>227000</v>
      </c>
      <c r="G3294" s="27" t="s">
        <v>22</v>
      </c>
      <c r="H3294" s="27" t="s">
        <v>3905</v>
      </c>
      <c r="I3294" s="27" t="s">
        <v>9</v>
      </c>
    </row>
    <row r="3295" spans="1:9" x14ac:dyDescent="0.3">
      <c r="A3295" s="26">
        <v>45103</v>
      </c>
      <c r="B3295" s="27" t="s">
        <v>122</v>
      </c>
      <c r="C3295" s="27" t="s">
        <v>6</v>
      </c>
      <c r="D3295" s="27" t="s">
        <v>21</v>
      </c>
      <c r="E3295" s="28">
        <v>90400</v>
      </c>
      <c r="F3295" s="28">
        <v>54200</v>
      </c>
      <c r="G3295" s="27" t="s">
        <v>11</v>
      </c>
      <c r="H3295" s="27" t="s">
        <v>4310</v>
      </c>
      <c r="I3295" s="27" t="s">
        <v>9</v>
      </c>
    </row>
    <row r="3296" spans="1:9" x14ac:dyDescent="0.3">
      <c r="A3296" s="26">
        <v>45103</v>
      </c>
      <c r="B3296" s="27" t="s">
        <v>122</v>
      </c>
      <c r="C3296" s="27" t="s">
        <v>93</v>
      </c>
      <c r="D3296" s="27" t="s">
        <v>21</v>
      </c>
      <c r="E3296" s="28">
        <v>242700</v>
      </c>
      <c r="F3296" s="28">
        <v>264500</v>
      </c>
      <c r="G3296" s="27" t="s">
        <v>11</v>
      </c>
      <c r="H3296" s="27" t="s">
        <v>4930</v>
      </c>
      <c r="I3296" s="27" t="s">
        <v>9</v>
      </c>
    </row>
    <row r="3297" spans="1:9" x14ac:dyDescent="0.3">
      <c r="A3297" s="26">
        <v>45103</v>
      </c>
      <c r="B3297" s="27" t="s">
        <v>122</v>
      </c>
      <c r="C3297" s="27" t="s">
        <v>6</v>
      </c>
      <c r="D3297" s="27" t="s">
        <v>7</v>
      </c>
      <c r="E3297" s="28">
        <v>106700</v>
      </c>
      <c r="F3297" s="28">
        <v>132900</v>
      </c>
      <c r="G3297" s="27" t="s">
        <v>11</v>
      </c>
      <c r="H3297" s="27" t="s">
        <v>5721</v>
      </c>
      <c r="I3297" s="27" t="s">
        <v>9</v>
      </c>
    </row>
    <row r="3298" spans="1:9" x14ac:dyDescent="0.3">
      <c r="A3298" s="26">
        <v>45103</v>
      </c>
      <c r="B3298" s="27" t="s">
        <v>122</v>
      </c>
      <c r="C3298" s="27" t="s">
        <v>6</v>
      </c>
      <c r="D3298" s="27" t="s">
        <v>7</v>
      </c>
      <c r="E3298" s="28">
        <v>112800</v>
      </c>
      <c r="F3298" s="28">
        <v>112800</v>
      </c>
      <c r="G3298" s="27" t="s">
        <v>17</v>
      </c>
      <c r="H3298" s="27" t="s">
        <v>6041</v>
      </c>
      <c r="I3298" s="27" t="s">
        <v>9</v>
      </c>
    </row>
    <row r="3299" spans="1:9" x14ac:dyDescent="0.3">
      <c r="A3299" s="26">
        <v>45103</v>
      </c>
      <c r="B3299" s="27" t="s">
        <v>122</v>
      </c>
      <c r="C3299" s="27" t="s">
        <v>6</v>
      </c>
      <c r="D3299" s="27" t="s">
        <v>7</v>
      </c>
      <c r="E3299" s="28">
        <v>54600</v>
      </c>
      <c r="F3299" s="28">
        <v>61300</v>
      </c>
      <c r="G3299" s="27" t="s">
        <v>22</v>
      </c>
      <c r="H3299" s="27" t="s">
        <v>6547</v>
      </c>
      <c r="I3299" s="27" t="s">
        <v>9</v>
      </c>
    </row>
    <row r="3300" spans="1:9" x14ac:dyDescent="0.3">
      <c r="A3300" s="26">
        <v>45103</v>
      </c>
      <c r="B3300" s="27" t="s">
        <v>122</v>
      </c>
      <c r="C3300" s="27" t="s">
        <v>93</v>
      </c>
      <c r="D3300" s="27" t="s">
        <v>19</v>
      </c>
      <c r="E3300" s="28">
        <v>52200</v>
      </c>
      <c r="F3300" s="28">
        <v>59800</v>
      </c>
      <c r="G3300" s="27" t="s">
        <v>22</v>
      </c>
      <c r="H3300" s="27" t="s">
        <v>6575</v>
      </c>
      <c r="I3300" s="27" t="s">
        <v>9</v>
      </c>
    </row>
    <row r="3301" spans="1:9" x14ac:dyDescent="0.3">
      <c r="A3301" s="26">
        <v>45103</v>
      </c>
      <c r="B3301" s="27" t="s">
        <v>122</v>
      </c>
      <c r="C3301" s="27" t="s">
        <v>6</v>
      </c>
      <c r="D3301" s="27" t="s">
        <v>16</v>
      </c>
      <c r="E3301" s="28">
        <v>112800</v>
      </c>
      <c r="F3301" s="28">
        <v>114600</v>
      </c>
      <c r="G3301" s="27" t="s">
        <v>22</v>
      </c>
      <c r="H3301" s="27" t="s">
        <v>6767</v>
      </c>
      <c r="I3301" s="27" t="s">
        <v>9</v>
      </c>
    </row>
    <row r="3302" spans="1:9" x14ac:dyDescent="0.3">
      <c r="A3302" s="26">
        <v>45104</v>
      </c>
      <c r="B3302" s="27" t="s">
        <v>122</v>
      </c>
      <c r="C3302" s="27" t="s">
        <v>20</v>
      </c>
      <c r="D3302" s="27" t="s">
        <v>19</v>
      </c>
      <c r="E3302" s="28">
        <v>130704</v>
      </c>
      <c r="F3302" s="28">
        <v>75024</v>
      </c>
      <c r="G3302" s="27" t="s">
        <v>11</v>
      </c>
      <c r="H3302" s="27" t="s">
        <v>1549</v>
      </c>
      <c r="I3302" s="27" t="s">
        <v>13</v>
      </c>
    </row>
    <row r="3303" spans="1:9" x14ac:dyDescent="0.3">
      <c r="A3303" s="26">
        <v>45104</v>
      </c>
      <c r="B3303" s="27" t="s">
        <v>122</v>
      </c>
      <c r="C3303" s="27" t="s">
        <v>20</v>
      </c>
      <c r="D3303" s="27" t="s">
        <v>16</v>
      </c>
      <c r="E3303" s="28">
        <v>73810</v>
      </c>
      <c r="F3303" s="28">
        <v>17560</v>
      </c>
      <c r="G3303" s="27" t="s">
        <v>17</v>
      </c>
      <c r="H3303" s="27" t="s">
        <v>2006</v>
      </c>
      <c r="I3303" s="27" t="s">
        <v>13</v>
      </c>
    </row>
    <row r="3304" spans="1:9" x14ac:dyDescent="0.3">
      <c r="A3304" s="26">
        <v>45104</v>
      </c>
      <c r="B3304" s="27" t="s">
        <v>122</v>
      </c>
      <c r="C3304" s="27" t="s">
        <v>10</v>
      </c>
      <c r="D3304" s="27" t="s">
        <v>16</v>
      </c>
      <c r="E3304" s="28">
        <v>103064</v>
      </c>
      <c r="F3304" s="28">
        <v>65022</v>
      </c>
      <c r="G3304" s="27" t="s">
        <v>22</v>
      </c>
      <c r="H3304" s="27" t="s">
        <v>3168</v>
      </c>
      <c r="I3304" s="27" t="s">
        <v>13</v>
      </c>
    </row>
    <row r="3305" spans="1:9" x14ac:dyDescent="0.3">
      <c r="A3305" s="26">
        <v>45104</v>
      </c>
      <c r="B3305" s="27" t="s">
        <v>122</v>
      </c>
      <c r="C3305" s="27" t="s">
        <v>93</v>
      </c>
      <c r="D3305" s="27" t="s">
        <v>19</v>
      </c>
      <c r="E3305" s="28">
        <v>107600</v>
      </c>
      <c r="F3305" s="28">
        <v>120000</v>
      </c>
      <c r="G3305" s="27" t="s">
        <v>11</v>
      </c>
      <c r="H3305" s="27" t="s">
        <v>4932</v>
      </c>
      <c r="I3305" s="27" t="s">
        <v>9</v>
      </c>
    </row>
    <row r="3306" spans="1:9" x14ac:dyDescent="0.3">
      <c r="A3306" s="26">
        <v>45104</v>
      </c>
      <c r="B3306" s="27" t="s">
        <v>122</v>
      </c>
      <c r="C3306" s="27" t="s">
        <v>6</v>
      </c>
      <c r="D3306" s="27" t="s">
        <v>16</v>
      </c>
      <c r="E3306" s="28">
        <v>93500</v>
      </c>
      <c r="F3306" s="28">
        <v>96800</v>
      </c>
      <c r="G3306" s="27" t="s">
        <v>22</v>
      </c>
      <c r="H3306" s="27" t="s">
        <v>5390</v>
      </c>
      <c r="I3306" s="27" t="s">
        <v>9</v>
      </c>
    </row>
    <row r="3307" spans="1:9" x14ac:dyDescent="0.3">
      <c r="A3307" s="26">
        <v>45104</v>
      </c>
      <c r="B3307" s="27" t="s">
        <v>122</v>
      </c>
      <c r="C3307" s="27" t="s">
        <v>6</v>
      </c>
      <c r="D3307" s="27" t="s">
        <v>16</v>
      </c>
      <c r="E3307" s="28">
        <v>48600</v>
      </c>
      <c r="F3307" s="28">
        <v>43500</v>
      </c>
      <c r="G3307" s="27" t="s">
        <v>17</v>
      </c>
      <c r="H3307" s="27" t="s">
        <v>6553</v>
      </c>
      <c r="I3307" s="27" t="s">
        <v>9</v>
      </c>
    </row>
    <row r="3308" spans="1:9" x14ac:dyDescent="0.3">
      <c r="A3308" s="26">
        <v>45105</v>
      </c>
      <c r="B3308" s="27" t="s">
        <v>122</v>
      </c>
      <c r="C3308" s="27" t="s">
        <v>20</v>
      </c>
      <c r="D3308" s="27" t="s">
        <v>24</v>
      </c>
      <c r="E3308" s="28">
        <v>107462</v>
      </c>
      <c r="F3308" s="28">
        <v>83805</v>
      </c>
      <c r="G3308" s="27" t="s">
        <v>11</v>
      </c>
      <c r="H3308" s="27" t="s">
        <v>261</v>
      </c>
      <c r="I3308" s="27" t="s">
        <v>13</v>
      </c>
    </row>
    <row r="3309" spans="1:9" x14ac:dyDescent="0.3">
      <c r="A3309" s="26">
        <v>45105</v>
      </c>
      <c r="B3309" s="27" t="s">
        <v>122</v>
      </c>
      <c r="C3309" s="27" t="s">
        <v>20</v>
      </c>
      <c r="D3309" s="27" t="s">
        <v>7</v>
      </c>
      <c r="E3309" s="28">
        <v>147939</v>
      </c>
      <c r="F3309" s="28">
        <v>82382</v>
      </c>
      <c r="G3309" s="27" t="s">
        <v>17</v>
      </c>
      <c r="H3309" s="27" t="s">
        <v>572</v>
      </c>
      <c r="I3309" s="27" t="s">
        <v>13</v>
      </c>
    </row>
    <row r="3310" spans="1:9" x14ac:dyDescent="0.3">
      <c r="A3310" s="26">
        <v>45105</v>
      </c>
      <c r="B3310" s="27" t="s">
        <v>122</v>
      </c>
      <c r="C3310" s="27" t="s">
        <v>15</v>
      </c>
      <c r="D3310" s="27" t="s">
        <v>7</v>
      </c>
      <c r="E3310" s="28">
        <v>22839</v>
      </c>
      <c r="F3310" s="28">
        <v>117089</v>
      </c>
      <c r="G3310" s="27" t="s">
        <v>17</v>
      </c>
      <c r="H3310" s="27" t="s">
        <v>658</v>
      </c>
      <c r="I3310" s="27" t="s">
        <v>13</v>
      </c>
    </row>
    <row r="3311" spans="1:9" x14ac:dyDescent="0.3">
      <c r="A3311" s="26">
        <v>45105</v>
      </c>
      <c r="B3311" s="27" t="s">
        <v>122</v>
      </c>
      <c r="C3311" s="27" t="s">
        <v>32</v>
      </c>
      <c r="D3311" s="27" t="s">
        <v>24</v>
      </c>
      <c r="E3311" s="28">
        <v>127769</v>
      </c>
      <c r="F3311" s="28">
        <v>97739</v>
      </c>
      <c r="G3311" s="27" t="s">
        <v>8</v>
      </c>
      <c r="H3311" s="27" t="s">
        <v>970</v>
      </c>
      <c r="I3311" s="27" t="s">
        <v>13</v>
      </c>
    </row>
    <row r="3312" spans="1:9" x14ac:dyDescent="0.3">
      <c r="A3312" s="26">
        <v>45105</v>
      </c>
      <c r="B3312" s="27" t="s">
        <v>122</v>
      </c>
      <c r="C3312" s="27" t="s">
        <v>18</v>
      </c>
      <c r="D3312" s="27" t="s">
        <v>7</v>
      </c>
      <c r="E3312" s="28">
        <v>18438</v>
      </c>
      <c r="F3312" s="28">
        <v>169209</v>
      </c>
      <c r="G3312" s="27" t="s">
        <v>11</v>
      </c>
      <c r="H3312" s="27" t="s">
        <v>2404</v>
      </c>
      <c r="I3312" s="27" t="s">
        <v>13</v>
      </c>
    </row>
    <row r="3313" spans="1:9" x14ac:dyDescent="0.3">
      <c r="A3313" s="26">
        <v>45105</v>
      </c>
      <c r="B3313" s="27" t="s">
        <v>122</v>
      </c>
      <c r="C3313" s="27" t="s">
        <v>10</v>
      </c>
      <c r="D3313" s="27" t="s">
        <v>7</v>
      </c>
      <c r="E3313" s="28">
        <v>141351</v>
      </c>
      <c r="F3313" s="28">
        <v>84318</v>
      </c>
      <c r="G3313" s="27" t="s">
        <v>8</v>
      </c>
      <c r="H3313" s="27" t="s">
        <v>2503</v>
      </c>
      <c r="I3313" s="27" t="s">
        <v>13</v>
      </c>
    </row>
    <row r="3314" spans="1:9" x14ac:dyDescent="0.3">
      <c r="A3314" s="26">
        <v>45105</v>
      </c>
      <c r="B3314" s="27" t="s">
        <v>122</v>
      </c>
      <c r="C3314" s="27" t="s">
        <v>32</v>
      </c>
      <c r="D3314" s="27" t="s">
        <v>19</v>
      </c>
      <c r="E3314" s="28">
        <v>28406</v>
      </c>
      <c r="F3314" s="28">
        <v>84787</v>
      </c>
      <c r="G3314" s="27" t="s">
        <v>22</v>
      </c>
      <c r="H3314" s="27" t="s">
        <v>3022</v>
      </c>
      <c r="I3314" s="27" t="s">
        <v>13</v>
      </c>
    </row>
    <row r="3315" spans="1:9" x14ac:dyDescent="0.3">
      <c r="A3315" s="26">
        <v>45105</v>
      </c>
      <c r="B3315" s="27" t="s">
        <v>122</v>
      </c>
      <c r="C3315" s="27" t="s">
        <v>18</v>
      </c>
      <c r="D3315" s="27" t="s">
        <v>19</v>
      </c>
      <c r="E3315" s="28">
        <v>62959</v>
      </c>
      <c r="F3315" s="28">
        <v>118454</v>
      </c>
      <c r="G3315" s="27" t="s">
        <v>8</v>
      </c>
      <c r="H3315" s="27" t="s">
        <v>3301</v>
      </c>
      <c r="I3315" s="27" t="s">
        <v>13</v>
      </c>
    </row>
    <row r="3316" spans="1:9" x14ac:dyDescent="0.3">
      <c r="A3316" s="26">
        <v>45105</v>
      </c>
      <c r="B3316" s="27" t="s">
        <v>122</v>
      </c>
      <c r="C3316" s="27" t="s">
        <v>6</v>
      </c>
      <c r="D3316" s="27" t="s">
        <v>24</v>
      </c>
      <c r="E3316" s="28">
        <v>94700</v>
      </c>
      <c r="F3316" s="28">
        <v>84400</v>
      </c>
      <c r="G3316" s="27" t="s">
        <v>22</v>
      </c>
      <c r="H3316" s="27" t="s">
        <v>3642</v>
      </c>
      <c r="I3316" s="27" t="s">
        <v>9</v>
      </c>
    </row>
    <row r="3317" spans="1:9" x14ac:dyDescent="0.3">
      <c r="A3317" s="26">
        <v>45105</v>
      </c>
      <c r="B3317" s="27" t="s">
        <v>122</v>
      </c>
      <c r="C3317" s="27" t="s">
        <v>6</v>
      </c>
      <c r="D3317" s="27" t="s">
        <v>7</v>
      </c>
      <c r="E3317" s="28">
        <v>57600</v>
      </c>
      <c r="F3317" s="28">
        <v>54600</v>
      </c>
      <c r="G3317" s="27" t="s">
        <v>11</v>
      </c>
      <c r="H3317" s="27" t="s">
        <v>3953</v>
      </c>
      <c r="I3317" s="27" t="s">
        <v>9</v>
      </c>
    </row>
    <row r="3318" spans="1:9" x14ac:dyDescent="0.3">
      <c r="A3318" s="26">
        <v>45105</v>
      </c>
      <c r="B3318" s="27" t="s">
        <v>122</v>
      </c>
      <c r="C3318" s="27" t="s">
        <v>6</v>
      </c>
      <c r="D3318" s="27" t="s">
        <v>7</v>
      </c>
      <c r="E3318" s="28">
        <v>85900</v>
      </c>
      <c r="F3318" s="28">
        <v>93000</v>
      </c>
      <c r="G3318" s="27" t="s">
        <v>17</v>
      </c>
      <c r="H3318" s="27" t="s">
        <v>4039</v>
      </c>
      <c r="I3318" s="27" t="s">
        <v>9</v>
      </c>
    </row>
    <row r="3319" spans="1:9" x14ac:dyDescent="0.3">
      <c r="A3319" s="26">
        <v>45105</v>
      </c>
      <c r="B3319" s="27" t="s">
        <v>122</v>
      </c>
      <c r="C3319" s="27" t="s">
        <v>93</v>
      </c>
      <c r="D3319" s="27" t="s">
        <v>24</v>
      </c>
      <c r="E3319" s="28">
        <v>38000</v>
      </c>
      <c r="F3319" s="28">
        <v>38300</v>
      </c>
      <c r="G3319" s="27" t="s">
        <v>11</v>
      </c>
      <c r="H3319" s="27" t="s">
        <v>4351</v>
      </c>
      <c r="I3319" s="27" t="s">
        <v>9</v>
      </c>
    </row>
    <row r="3320" spans="1:9" x14ac:dyDescent="0.3">
      <c r="A3320" s="26">
        <v>45105</v>
      </c>
      <c r="B3320" s="27" t="s">
        <v>122</v>
      </c>
      <c r="C3320" s="27" t="s">
        <v>6</v>
      </c>
      <c r="D3320" s="27" t="s">
        <v>7</v>
      </c>
      <c r="E3320" s="28">
        <v>106600</v>
      </c>
      <c r="F3320" s="28">
        <v>113000</v>
      </c>
      <c r="G3320" s="27" t="s">
        <v>22</v>
      </c>
      <c r="H3320" s="27" t="s">
        <v>5789</v>
      </c>
      <c r="I3320" s="27" t="s">
        <v>9</v>
      </c>
    </row>
    <row r="3321" spans="1:9" x14ac:dyDescent="0.3">
      <c r="A3321" s="26">
        <v>45105</v>
      </c>
      <c r="B3321" s="27" t="s">
        <v>122</v>
      </c>
      <c r="C3321" s="27" t="s">
        <v>6</v>
      </c>
      <c r="D3321" s="27" t="s">
        <v>7</v>
      </c>
      <c r="E3321" s="28">
        <v>84400</v>
      </c>
      <c r="F3321" s="28">
        <v>70000</v>
      </c>
      <c r="G3321" s="27" t="s">
        <v>11</v>
      </c>
      <c r="H3321" s="27" t="s">
        <v>5888</v>
      </c>
      <c r="I3321" s="27" t="s">
        <v>9</v>
      </c>
    </row>
    <row r="3322" spans="1:9" x14ac:dyDescent="0.3">
      <c r="A3322" s="26">
        <v>45105</v>
      </c>
      <c r="B3322" s="27" t="s">
        <v>122</v>
      </c>
      <c r="C3322" s="27" t="s">
        <v>6</v>
      </c>
      <c r="D3322" s="27" t="s">
        <v>19</v>
      </c>
      <c r="E3322" s="28">
        <v>150600</v>
      </c>
      <c r="F3322" s="28">
        <v>161200</v>
      </c>
      <c r="G3322" s="27" t="s">
        <v>17</v>
      </c>
      <c r="H3322" s="27" t="s">
        <v>6407</v>
      </c>
      <c r="I3322" s="27" t="s">
        <v>9</v>
      </c>
    </row>
    <row r="3323" spans="1:9" x14ac:dyDescent="0.3">
      <c r="A3323" s="26">
        <v>45105</v>
      </c>
      <c r="B3323" s="27" t="s">
        <v>122</v>
      </c>
      <c r="C3323" s="27" t="s">
        <v>93</v>
      </c>
      <c r="D3323" s="27" t="s">
        <v>19</v>
      </c>
      <c r="E3323" s="28">
        <v>99400</v>
      </c>
      <c r="F3323" s="28">
        <v>103100</v>
      </c>
      <c r="G3323" s="27" t="s">
        <v>22</v>
      </c>
      <c r="H3323" s="27" t="s">
        <v>6686</v>
      </c>
      <c r="I3323" s="27" t="s">
        <v>9</v>
      </c>
    </row>
    <row r="3324" spans="1:9" x14ac:dyDescent="0.3">
      <c r="A3324" s="26">
        <v>45106</v>
      </c>
      <c r="B3324" s="27" t="s">
        <v>122</v>
      </c>
      <c r="C3324" s="27" t="s">
        <v>14</v>
      </c>
      <c r="D3324" s="27" t="s">
        <v>24</v>
      </c>
      <c r="E3324" s="28">
        <v>71171</v>
      </c>
      <c r="F3324" s="28">
        <v>30547</v>
      </c>
      <c r="G3324" s="27" t="s">
        <v>8</v>
      </c>
      <c r="H3324" s="27" t="s">
        <v>409</v>
      </c>
      <c r="I3324" s="27" t="s">
        <v>13</v>
      </c>
    </row>
    <row r="3325" spans="1:9" x14ac:dyDescent="0.3">
      <c r="A3325" s="26">
        <v>45106</v>
      </c>
      <c r="B3325" s="27" t="s">
        <v>122</v>
      </c>
      <c r="C3325" s="27" t="s">
        <v>32</v>
      </c>
      <c r="D3325" s="27" t="s">
        <v>16</v>
      </c>
      <c r="E3325" s="28">
        <v>144553</v>
      </c>
      <c r="F3325" s="28">
        <v>132858</v>
      </c>
      <c r="G3325" s="27" t="s">
        <v>22</v>
      </c>
      <c r="H3325" s="27" t="s">
        <v>938</v>
      </c>
      <c r="I3325" s="27" t="s">
        <v>13</v>
      </c>
    </row>
    <row r="3326" spans="1:9" x14ac:dyDescent="0.3">
      <c r="A3326" s="26">
        <v>45106</v>
      </c>
      <c r="B3326" s="27" t="s">
        <v>122</v>
      </c>
      <c r="C3326" s="27" t="s">
        <v>14</v>
      </c>
      <c r="D3326" s="27" t="s">
        <v>16</v>
      </c>
      <c r="E3326" s="28">
        <v>55972</v>
      </c>
      <c r="F3326" s="28">
        <v>112215</v>
      </c>
      <c r="G3326" s="27" t="s">
        <v>11</v>
      </c>
      <c r="H3326" s="27" t="s">
        <v>1001</v>
      </c>
      <c r="I3326" s="27" t="s">
        <v>13</v>
      </c>
    </row>
    <row r="3327" spans="1:9" x14ac:dyDescent="0.3">
      <c r="A3327" s="26">
        <v>45106</v>
      </c>
      <c r="B3327" s="27" t="s">
        <v>122</v>
      </c>
      <c r="C3327" s="27" t="s">
        <v>20</v>
      </c>
      <c r="D3327" s="27" t="s">
        <v>19</v>
      </c>
      <c r="E3327" s="28">
        <v>41244</v>
      </c>
      <c r="F3327" s="28">
        <v>99184</v>
      </c>
      <c r="G3327" s="27" t="s">
        <v>17</v>
      </c>
      <c r="H3327" s="27" t="s">
        <v>2107</v>
      </c>
      <c r="I3327" s="27" t="s">
        <v>13</v>
      </c>
    </row>
    <row r="3328" spans="1:9" x14ac:dyDescent="0.3">
      <c r="A3328" s="26">
        <v>45106</v>
      </c>
      <c r="B3328" s="27" t="s">
        <v>122</v>
      </c>
      <c r="C3328" s="27" t="s">
        <v>20</v>
      </c>
      <c r="D3328" s="27" t="s">
        <v>21</v>
      </c>
      <c r="E3328" s="28">
        <v>25366</v>
      </c>
      <c r="F3328" s="28">
        <v>128768</v>
      </c>
      <c r="G3328" s="27" t="s">
        <v>11</v>
      </c>
      <c r="H3328" s="27" t="s">
        <v>2462</v>
      </c>
      <c r="I3328" s="27" t="s">
        <v>13</v>
      </c>
    </row>
    <row r="3329" spans="1:9" x14ac:dyDescent="0.3">
      <c r="A3329" s="26">
        <v>45106</v>
      </c>
      <c r="B3329" s="27" t="s">
        <v>122</v>
      </c>
      <c r="C3329" s="27" t="s">
        <v>15</v>
      </c>
      <c r="D3329" s="27" t="s">
        <v>19</v>
      </c>
      <c r="E3329" s="28">
        <v>139935</v>
      </c>
      <c r="F3329" s="28">
        <v>91532</v>
      </c>
      <c r="G3329" s="27" t="s">
        <v>22</v>
      </c>
      <c r="H3329" s="27" t="s">
        <v>2590</v>
      </c>
      <c r="I3329" s="27" t="s">
        <v>13</v>
      </c>
    </row>
    <row r="3330" spans="1:9" x14ac:dyDescent="0.3">
      <c r="A3330" s="26">
        <v>45106</v>
      </c>
      <c r="B3330" s="27" t="s">
        <v>122</v>
      </c>
      <c r="C3330" s="27" t="s">
        <v>14</v>
      </c>
      <c r="D3330" s="27" t="s">
        <v>19</v>
      </c>
      <c r="E3330" s="28">
        <v>71894</v>
      </c>
      <c r="F3330" s="28">
        <v>20785</v>
      </c>
      <c r="G3330" s="27" t="s">
        <v>22</v>
      </c>
      <c r="H3330" s="27" t="s">
        <v>3431</v>
      </c>
      <c r="I3330" s="27" t="s">
        <v>13</v>
      </c>
    </row>
    <row r="3331" spans="1:9" x14ac:dyDescent="0.3">
      <c r="A3331" s="26">
        <v>45106</v>
      </c>
      <c r="B3331" s="27" t="s">
        <v>122</v>
      </c>
      <c r="C3331" s="27" t="s">
        <v>6</v>
      </c>
      <c r="D3331" s="27" t="s">
        <v>24</v>
      </c>
      <c r="E3331" s="28">
        <v>106100</v>
      </c>
      <c r="F3331" s="28">
        <v>101500</v>
      </c>
      <c r="G3331" s="27" t="s">
        <v>11</v>
      </c>
      <c r="H3331" s="27" t="s">
        <v>3790</v>
      </c>
      <c r="I3331" s="27" t="s">
        <v>9</v>
      </c>
    </row>
    <row r="3332" spans="1:9" x14ac:dyDescent="0.3">
      <c r="A3332" s="26">
        <v>45106</v>
      </c>
      <c r="B3332" s="27" t="s">
        <v>122</v>
      </c>
      <c r="C3332" s="27" t="s">
        <v>6</v>
      </c>
      <c r="D3332" s="27" t="s">
        <v>16</v>
      </c>
      <c r="E3332" s="28">
        <v>105300</v>
      </c>
      <c r="F3332" s="28">
        <v>100300</v>
      </c>
      <c r="G3332" s="27" t="s">
        <v>11</v>
      </c>
      <c r="H3332" s="27" t="s">
        <v>4319</v>
      </c>
      <c r="I3332" s="27" t="s">
        <v>9</v>
      </c>
    </row>
    <row r="3333" spans="1:9" x14ac:dyDescent="0.3">
      <c r="A3333" s="26">
        <v>45106</v>
      </c>
      <c r="B3333" s="27" t="s">
        <v>122</v>
      </c>
      <c r="C3333" s="27" t="s">
        <v>6</v>
      </c>
      <c r="D3333" s="27" t="s">
        <v>16</v>
      </c>
      <c r="E3333" s="28">
        <v>153300</v>
      </c>
      <c r="F3333" s="28">
        <v>207300</v>
      </c>
      <c r="G3333" s="27" t="s">
        <v>22</v>
      </c>
      <c r="H3333" s="27" t="s">
        <v>4382</v>
      </c>
      <c r="I3333" s="27" t="s">
        <v>9</v>
      </c>
    </row>
    <row r="3334" spans="1:9" x14ac:dyDescent="0.3">
      <c r="A3334" s="26">
        <v>45106</v>
      </c>
      <c r="B3334" s="27" t="s">
        <v>122</v>
      </c>
      <c r="C3334" s="27" t="s">
        <v>6</v>
      </c>
      <c r="D3334" s="27" t="s">
        <v>19</v>
      </c>
      <c r="E3334" s="28">
        <v>98500</v>
      </c>
      <c r="F3334" s="28">
        <v>117500</v>
      </c>
      <c r="G3334" s="27" t="s">
        <v>11</v>
      </c>
      <c r="H3334" s="27" t="s">
        <v>5491</v>
      </c>
      <c r="I3334" s="27" t="s">
        <v>9</v>
      </c>
    </row>
    <row r="3335" spans="1:9" x14ac:dyDescent="0.3">
      <c r="A3335" s="26">
        <v>45106</v>
      </c>
      <c r="B3335" s="27" t="s">
        <v>122</v>
      </c>
      <c r="C3335" s="27" t="s">
        <v>6</v>
      </c>
      <c r="D3335" s="27" t="s">
        <v>21</v>
      </c>
      <c r="E3335" s="28">
        <v>97000</v>
      </c>
      <c r="F3335" s="28">
        <v>102100</v>
      </c>
      <c r="G3335" s="27" t="s">
        <v>11</v>
      </c>
      <c r="H3335" s="27" t="s">
        <v>5847</v>
      </c>
      <c r="I3335" s="27" t="s">
        <v>9</v>
      </c>
    </row>
    <row r="3336" spans="1:9" x14ac:dyDescent="0.3">
      <c r="A3336" s="26">
        <v>45106</v>
      </c>
      <c r="B3336" s="27" t="s">
        <v>122</v>
      </c>
      <c r="C3336" s="27" t="s">
        <v>93</v>
      </c>
      <c r="D3336" s="27" t="s">
        <v>19</v>
      </c>
      <c r="E3336" s="28">
        <v>181200</v>
      </c>
      <c r="F3336" s="28">
        <v>237200</v>
      </c>
      <c r="G3336" s="27" t="s">
        <v>11</v>
      </c>
      <c r="H3336" s="27" t="s">
        <v>5975</v>
      </c>
      <c r="I3336" s="27" t="s">
        <v>9</v>
      </c>
    </row>
    <row r="3337" spans="1:9" x14ac:dyDescent="0.3">
      <c r="A3337" s="26">
        <v>45106</v>
      </c>
      <c r="B3337" s="27" t="s">
        <v>122</v>
      </c>
      <c r="C3337" s="27" t="s">
        <v>93</v>
      </c>
      <c r="D3337" s="27" t="s">
        <v>19</v>
      </c>
      <c r="E3337" s="28">
        <v>168800</v>
      </c>
      <c r="F3337" s="28">
        <v>189300</v>
      </c>
      <c r="G3337" s="27" t="s">
        <v>17</v>
      </c>
      <c r="H3337" s="27" t="s">
        <v>6816</v>
      </c>
      <c r="I3337" s="27" t="s">
        <v>9</v>
      </c>
    </row>
    <row r="3338" spans="1:9" x14ac:dyDescent="0.3">
      <c r="A3338" s="26">
        <v>45107</v>
      </c>
      <c r="B3338" s="27" t="s">
        <v>122</v>
      </c>
      <c r="C3338" s="27" t="s">
        <v>15</v>
      </c>
      <c r="D3338" s="27" t="s">
        <v>19</v>
      </c>
      <c r="E3338" s="28">
        <v>10019</v>
      </c>
      <c r="F3338" s="28">
        <v>160313</v>
      </c>
      <c r="G3338" s="27" t="s">
        <v>11</v>
      </c>
      <c r="H3338" s="27" t="s">
        <v>337</v>
      </c>
      <c r="I3338" s="27" t="s">
        <v>13</v>
      </c>
    </row>
    <row r="3339" spans="1:9" x14ac:dyDescent="0.3">
      <c r="A3339" s="26">
        <v>45107</v>
      </c>
      <c r="B3339" s="27" t="s">
        <v>122</v>
      </c>
      <c r="C3339" s="27" t="s">
        <v>18</v>
      </c>
      <c r="D3339" s="27" t="s">
        <v>21</v>
      </c>
      <c r="E3339" s="28">
        <v>59213</v>
      </c>
      <c r="F3339" s="28">
        <v>44783</v>
      </c>
      <c r="G3339" s="27" t="s">
        <v>22</v>
      </c>
      <c r="H3339" s="27" t="s">
        <v>589</v>
      </c>
      <c r="I3339" s="27" t="s">
        <v>13</v>
      </c>
    </row>
    <row r="3340" spans="1:9" x14ac:dyDescent="0.3">
      <c r="A3340" s="26">
        <v>45107</v>
      </c>
      <c r="B3340" s="27" t="s">
        <v>122</v>
      </c>
      <c r="C3340" s="27" t="s">
        <v>10</v>
      </c>
      <c r="D3340" s="27" t="s">
        <v>19</v>
      </c>
      <c r="E3340" s="28">
        <v>35312</v>
      </c>
      <c r="F3340" s="28">
        <v>151223</v>
      </c>
      <c r="G3340" s="27" t="s">
        <v>8</v>
      </c>
      <c r="H3340" s="27" t="s">
        <v>957</v>
      </c>
      <c r="I3340" s="27" t="s">
        <v>13</v>
      </c>
    </row>
    <row r="3341" spans="1:9" x14ac:dyDescent="0.3">
      <c r="A3341" s="26">
        <v>45107</v>
      </c>
      <c r="B3341" s="27" t="s">
        <v>122</v>
      </c>
      <c r="C3341" s="27" t="s">
        <v>14</v>
      </c>
      <c r="D3341" s="27" t="s">
        <v>19</v>
      </c>
      <c r="E3341" s="28">
        <v>41107</v>
      </c>
      <c r="F3341" s="28">
        <v>138637</v>
      </c>
      <c r="G3341" s="27" t="s">
        <v>11</v>
      </c>
      <c r="H3341" s="27" t="s">
        <v>998</v>
      </c>
      <c r="I3341" s="27" t="s">
        <v>13</v>
      </c>
    </row>
    <row r="3342" spans="1:9" x14ac:dyDescent="0.3">
      <c r="A3342" s="26">
        <v>45107</v>
      </c>
      <c r="B3342" s="27" t="s">
        <v>122</v>
      </c>
      <c r="C3342" s="27" t="s">
        <v>10</v>
      </c>
      <c r="D3342" s="27" t="s">
        <v>16</v>
      </c>
      <c r="E3342" s="28">
        <v>45065</v>
      </c>
      <c r="F3342" s="28">
        <v>55192</v>
      </c>
      <c r="G3342" s="27" t="s">
        <v>22</v>
      </c>
      <c r="H3342" s="27" t="s">
        <v>1028</v>
      </c>
      <c r="I3342" s="27" t="s">
        <v>13</v>
      </c>
    </row>
    <row r="3343" spans="1:9" x14ac:dyDescent="0.3">
      <c r="A3343" s="26">
        <v>45107</v>
      </c>
      <c r="B3343" s="27" t="s">
        <v>122</v>
      </c>
      <c r="C3343" s="27" t="s">
        <v>20</v>
      </c>
      <c r="D3343" s="27" t="s">
        <v>16</v>
      </c>
      <c r="E3343" s="28">
        <v>51128</v>
      </c>
      <c r="F3343" s="28">
        <v>32408</v>
      </c>
      <c r="G3343" s="27" t="s">
        <v>22</v>
      </c>
      <c r="H3343" s="27" t="s">
        <v>1382</v>
      </c>
      <c r="I3343" s="27" t="s">
        <v>13</v>
      </c>
    </row>
    <row r="3344" spans="1:9" x14ac:dyDescent="0.3">
      <c r="A3344" s="26">
        <v>45107</v>
      </c>
      <c r="B3344" s="27" t="s">
        <v>122</v>
      </c>
      <c r="C3344" s="27" t="s">
        <v>20</v>
      </c>
      <c r="D3344" s="27" t="s">
        <v>24</v>
      </c>
      <c r="E3344" s="28">
        <v>99865</v>
      </c>
      <c r="F3344" s="28">
        <v>153741</v>
      </c>
      <c r="G3344" s="27" t="s">
        <v>22</v>
      </c>
      <c r="H3344" s="27" t="s">
        <v>1950</v>
      </c>
      <c r="I3344" s="27" t="s">
        <v>13</v>
      </c>
    </row>
    <row r="3345" spans="1:9" x14ac:dyDescent="0.3">
      <c r="A3345" s="26">
        <v>45107</v>
      </c>
      <c r="B3345" s="27" t="s">
        <v>122</v>
      </c>
      <c r="C3345" s="27" t="s">
        <v>10</v>
      </c>
      <c r="D3345" s="27" t="s">
        <v>7</v>
      </c>
      <c r="E3345" s="28">
        <v>13107</v>
      </c>
      <c r="F3345" s="28">
        <v>19763</v>
      </c>
      <c r="G3345" s="27" t="s">
        <v>11</v>
      </c>
      <c r="H3345" s="27" t="s">
        <v>2449</v>
      </c>
      <c r="I3345" s="27" t="s">
        <v>13</v>
      </c>
    </row>
    <row r="3346" spans="1:9" x14ac:dyDescent="0.3">
      <c r="A3346" s="26">
        <v>45107</v>
      </c>
      <c r="B3346" s="27" t="s">
        <v>122</v>
      </c>
      <c r="C3346" s="27" t="s">
        <v>18</v>
      </c>
      <c r="D3346" s="27" t="s">
        <v>21</v>
      </c>
      <c r="E3346" s="28">
        <v>108294</v>
      </c>
      <c r="F3346" s="28">
        <v>124968</v>
      </c>
      <c r="G3346" s="27" t="s">
        <v>17</v>
      </c>
      <c r="H3346" s="27" t="s">
        <v>2662</v>
      </c>
      <c r="I3346" s="27" t="s">
        <v>13</v>
      </c>
    </row>
    <row r="3347" spans="1:9" x14ac:dyDescent="0.3">
      <c r="A3347" s="26">
        <v>45107</v>
      </c>
      <c r="B3347" s="27" t="s">
        <v>122</v>
      </c>
      <c r="C3347" s="27" t="s">
        <v>32</v>
      </c>
      <c r="D3347" s="27" t="s">
        <v>19</v>
      </c>
      <c r="E3347" s="28">
        <v>50902</v>
      </c>
      <c r="F3347" s="28">
        <v>13896</v>
      </c>
      <c r="G3347" s="27" t="s">
        <v>8</v>
      </c>
      <c r="H3347" s="27" t="s">
        <v>3164</v>
      </c>
      <c r="I3347" s="27" t="s">
        <v>13</v>
      </c>
    </row>
    <row r="3348" spans="1:9" x14ac:dyDescent="0.3">
      <c r="A3348" s="26">
        <v>45107</v>
      </c>
      <c r="B3348" s="27" t="s">
        <v>122</v>
      </c>
      <c r="C3348" s="27" t="s">
        <v>20</v>
      </c>
      <c r="D3348" s="27" t="s">
        <v>21</v>
      </c>
      <c r="E3348" s="28">
        <v>148210</v>
      </c>
      <c r="F3348" s="28">
        <v>132059</v>
      </c>
      <c r="G3348" s="27" t="s">
        <v>11</v>
      </c>
      <c r="H3348" s="27" t="s">
        <v>3356</v>
      </c>
      <c r="I3348" s="27" t="s">
        <v>13</v>
      </c>
    </row>
    <row r="3349" spans="1:9" x14ac:dyDescent="0.3">
      <c r="A3349" s="26">
        <v>45107</v>
      </c>
      <c r="B3349" s="27" t="s">
        <v>122</v>
      </c>
      <c r="C3349" s="27" t="s">
        <v>93</v>
      </c>
      <c r="D3349" s="27" t="s">
        <v>19</v>
      </c>
      <c r="E3349" s="28">
        <v>74600</v>
      </c>
      <c r="F3349" s="28">
        <v>93600</v>
      </c>
      <c r="G3349" s="27" t="s">
        <v>11</v>
      </c>
      <c r="H3349" s="27" t="s">
        <v>3718</v>
      </c>
      <c r="I3349" s="27" t="s">
        <v>9</v>
      </c>
    </row>
    <row r="3350" spans="1:9" x14ac:dyDescent="0.3">
      <c r="A3350" s="26">
        <v>45107</v>
      </c>
      <c r="B3350" s="27" t="s">
        <v>122</v>
      </c>
      <c r="C3350" s="27" t="s">
        <v>93</v>
      </c>
      <c r="D3350" s="27" t="s">
        <v>21</v>
      </c>
      <c r="E3350" s="28">
        <v>137200</v>
      </c>
      <c r="F3350" s="28">
        <v>110300</v>
      </c>
      <c r="G3350" s="27" t="s">
        <v>22</v>
      </c>
      <c r="H3350" s="27" t="s">
        <v>3970</v>
      </c>
      <c r="I3350" s="27" t="s">
        <v>9</v>
      </c>
    </row>
    <row r="3351" spans="1:9" x14ac:dyDescent="0.3">
      <c r="A3351" s="26">
        <v>45107</v>
      </c>
      <c r="B3351" s="27" t="s">
        <v>122</v>
      </c>
      <c r="C3351" s="27" t="s">
        <v>6</v>
      </c>
      <c r="D3351" s="27" t="s">
        <v>19</v>
      </c>
      <c r="E3351" s="28">
        <v>82100</v>
      </c>
      <c r="F3351" s="28">
        <v>99300</v>
      </c>
      <c r="G3351" s="27" t="s">
        <v>11</v>
      </c>
      <c r="H3351" s="27" t="s">
        <v>4338</v>
      </c>
      <c r="I3351" s="27" t="s">
        <v>9</v>
      </c>
    </row>
    <row r="3352" spans="1:9" x14ac:dyDescent="0.3">
      <c r="A3352" s="26">
        <v>45107</v>
      </c>
      <c r="B3352" s="27" t="s">
        <v>122</v>
      </c>
      <c r="C3352" s="27" t="s">
        <v>6</v>
      </c>
      <c r="D3352" s="27" t="s">
        <v>19</v>
      </c>
      <c r="E3352" s="28">
        <v>158100</v>
      </c>
      <c r="F3352" s="28">
        <v>155400</v>
      </c>
      <c r="G3352" s="27" t="s">
        <v>22</v>
      </c>
      <c r="H3352" s="27" t="s">
        <v>4379</v>
      </c>
      <c r="I3352" s="27" t="s">
        <v>9</v>
      </c>
    </row>
    <row r="3353" spans="1:9" x14ac:dyDescent="0.3">
      <c r="A3353" s="26">
        <v>45107</v>
      </c>
      <c r="B3353" s="27" t="s">
        <v>122</v>
      </c>
      <c r="C3353" s="27" t="s">
        <v>6</v>
      </c>
      <c r="D3353" s="27" t="s">
        <v>16</v>
      </c>
      <c r="E3353" s="28">
        <v>114100</v>
      </c>
      <c r="F3353" s="28">
        <v>99700</v>
      </c>
      <c r="G3353" s="27" t="s">
        <v>11</v>
      </c>
      <c r="H3353" s="27" t="s">
        <v>4410</v>
      </c>
      <c r="I3353" s="27" t="s">
        <v>9</v>
      </c>
    </row>
    <row r="3354" spans="1:9" x14ac:dyDescent="0.3">
      <c r="A3354" s="26">
        <v>45107</v>
      </c>
      <c r="B3354" s="27" t="s">
        <v>122</v>
      </c>
      <c r="C3354" s="27" t="s">
        <v>6</v>
      </c>
      <c r="D3354" s="27" t="s">
        <v>16</v>
      </c>
      <c r="E3354" s="28">
        <v>181800</v>
      </c>
      <c r="F3354" s="28">
        <v>194500</v>
      </c>
      <c r="G3354" s="27" t="s">
        <v>11</v>
      </c>
      <c r="H3354" s="27" t="s">
        <v>4765</v>
      </c>
      <c r="I3354" s="27" t="s">
        <v>9</v>
      </c>
    </row>
    <row r="3355" spans="1:9" x14ac:dyDescent="0.3">
      <c r="A3355" s="26">
        <v>45107</v>
      </c>
      <c r="B3355" s="27" t="s">
        <v>122</v>
      </c>
      <c r="C3355" s="27" t="s">
        <v>6</v>
      </c>
      <c r="D3355" s="27" t="s">
        <v>24</v>
      </c>
      <c r="E3355" s="28">
        <v>62600</v>
      </c>
      <c r="F3355" s="28">
        <v>60200</v>
      </c>
      <c r="G3355" s="27" t="s">
        <v>22</v>
      </c>
      <c r="H3355" s="27" t="s">
        <v>5334</v>
      </c>
      <c r="I3355" s="27" t="s">
        <v>9</v>
      </c>
    </row>
    <row r="3356" spans="1:9" x14ac:dyDescent="0.3">
      <c r="A3356" s="26">
        <v>45107</v>
      </c>
      <c r="B3356" s="27" t="s">
        <v>122</v>
      </c>
      <c r="C3356" s="27" t="s">
        <v>93</v>
      </c>
      <c r="D3356" s="27" t="s">
        <v>7</v>
      </c>
      <c r="E3356" s="28">
        <v>71100</v>
      </c>
      <c r="F3356" s="28">
        <v>81700</v>
      </c>
      <c r="G3356" s="27" t="s">
        <v>11</v>
      </c>
      <c r="H3356" s="27" t="s">
        <v>5834</v>
      </c>
      <c r="I3356" s="27" t="s">
        <v>9</v>
      </c>
    </row>
    <row r="3357" spans="1:9" x14ac:dyDescent="0.3">
      <c r="A3357" s="26">
        <v>45107</v>
      </c>
      <c r="B3357" s="27" t="s">
        <v>122</v>
      </c>
      <c r="C3357" s="27" t="s">
        <v>93</v>
      </c>
      <c r="D3357" s="27" t="s">
        <v>21</v>
      </c>
      <c r="E3357" s="28">
        <v>63300</v>
      </c>
      <c r="F3357" s="28">
        <v>62100</v>
      </c>
      <c r="G3357" s="27" t="s">
        <v>17</v>
      </c>
      <c r="H3357" s="27" t="s">
        <v>6047</v>
      </c>
      <c r="I3357" s="27" t="s">
        <v>9</v>
      </c>
    </row>
    <row r="3358" spans="1:9" x14ac:dyDescent="0.3">
      <c r="A3358" s="26">
        <v>45107</v>
      </c>
      <c r="B3358" s="27" t="s">
        <v>122</v>
      </c>
      <c r="C3358" s="27" t="s">
        <v>6</v>
      </c>
      <c r="D3358" s="27" t="s">
        <v>19</v>
      </c>
      <c r="E3358" s="28">
        <v>139500</v>
      </c>
      <c r="F3358" s="28">
        <v>148500</v>
      </c>
      <c r="G3358" s="27" t="s">
        <v>11</v>
      </c>
      <c r="H3358" s="27" t="s">
        <v>6549</v>
      </c>
      <c r="I3358" s="27" t="s">
        <v>9</v>
      </c>
    </row>
    <row r="3359" spans="1:9" x14ac:dyDescent="0.3">
      <c r="A3359" s="26">
        <v>45107</v>
      </c>
      <c r="B3359" s="27" t="s">
        <v>122</v>
      </c>
      <c r="C3359" s="27" t="s">
        <v>6</v>
      </c>
      <c r="D3359" s="27" t="s">
        <v>21</v>
      </c>
      <c r="E3359" s="28">
        <v>97700</v>
      </c>
      <c r="F3359" s="28">
        <v>114600</v>
      </c>
      <c r="G3359" s="27" t="s">
        <v>11</v>
      </c>
      <c r="H3359" s="27" t="s">
        <v>6741</v>
      </c>
      <c r="I3359" s="27" t="s">
        <v>9</v>
      </c>
    </row>
    <row r="3360" spans="1:9" x14ac:dyDescent="0.3">
      <c r="A3360" s="26">
        <v>45108</v>
      </c>
      <c r="B3360" s="27" t="s">
        <v>121</v>
      </c>
      <c r="C3360" s="27" t="s">
        <v>32</v>
      </c>
      <c r="D3360" s="27" t="s">
        <v>21</v>
      </c>
      <c r="E3360" s="28">
        <v>92927</v>
      </c>
      <c r="F3360" s="28">
        <v>110047</v>
      </c>
      <c r="G3360" s="27" t="s">
        <v>8</v>
      </c>
      <c r="H3360" s="27" t="s">
        <v>190</v>
      </c>
      <c r="I3360" s="27" t="s">
        <v>13</v>
      </c>
    </row>
    <row r="3361" spans="1:9" x14ac:dyDescent="0.3">
      <c r="A3361" s="26">
        <v>45108</v>
      </c>
      <c r="B3361" s="27" t="s">
        <v>121</v>
      </c>
      <c r="C3361" s="27" t="s">
        <v>14</v>
      </c>
      <c r="D3361" s="27" t="s">
        <v>21</v>
      </c>
      <c r="E3361" s="28">
        <v>75293</v>
      </c>
      <c r="F3361" s="28">
        <v>119830</v>
      </c>
      <c r="G3361" s="27" t="s">
        <v>22</v>
      </c>
      <c r="H3361" s="27" t="s">
        <v>687</v>
      </c>
      <c r="I3361" s="27" t="s">
        <v>13</v>
      </c>
    </row>
    <row r="3362" spans="1:9" x14ac:dyDescent="0.3">
      <c r="A3362" s="26">
        <v>45108</v>
      </c>
      <c r="B3362" s="27" t="s">
        <v>121</v>
      </c>
      <c r="C3362" s="27" t="s">
        <v>14</v>
      </c>
      <c r="D3362" s="27" t="s">
        <v>7</v>
      </c>
      <c r="E3362" s="28">
        <v>107101</v>
      </c>
      <c r="F3362" s="28">
        <v>147761</v>
      </c>
      <c r="G3362" s="27" t="s">
        <v>11</v>
      </c>
      <c r="H3362" s="27" t="s">
        <v>1366</v>
      </c>
      <c r="I3362" s="27" t="s">
        <v>13</v>
      </c>
    </row>
    <row r="3363" spans="1:9" x14ac:dyDescent="0.3">
      <c r="A3363" s="26">
        <v>45108</v>
      </c>
      <c r="B3363" s="27" t="s">
        <v>121</v>
      </c>
      <c r="C3363" s="27" t="s">
        <v>18</v>
      </c>
      <c r="D3363" s="27" t="s">
        <v>16</v>
      </c>
      <c r="E3363" s="28">
        <v>34568</v>
      </c>
      <c r="F3363" s="28">
        <v>157822</v>
      </c>
      <c r="G3363" s="27" t="s">
        <v>8</v>
      </c>
      <c r="H3363" s="27" t="s">
        <v>1420</v>
      </c>
      <c r="I3363" s="27" t="s">
        <v>13</v>
      </c>
    </row>
    <row r="3364" spans="1:9" x14ac:dyDescent="0.3">
      <c r="A3364" s="26">
        <v>45108</v>
      </c>
      <c r="B3364" s="27" t="s">
        <v>121</v>
      </c>
      <c r="C3364" s="27" t="s">
        <v>14</v>
      </c>
      <c r="D3364" s="27" t="s">
        <v>21</v>
      </c>
      <c r="E3364" s="28">
        <v>33070</v>
      </c>
      <c r="F3364" s="28">
        <v>81025</v>
      </c>
      <c r="G3364" s="27" t="s">
        <v>8</v>
      </c>
      <c r="H3364" s="27" t="s">
        <v>1570</v>
      </c>
      <c r="I3364" s="27" t="s">
        <v>13</v>
      </c>
    </row>
    <row r="3365" spans="1:9" x14ac:dyDescent="0.3">
      <c r="A3365" s="26">
        <v>45108</v>
      </c>
      <c r="B3365" s="27" t="s">
        <v>121</v>
      </c>
      <c r="C3365" s="27" t="s">
        <v>15</v>
      </c>
      <c r="D3365" s="27" t="s">
        <v>21</v>
      </c>
      <c r="E3365" s="28">
        <v>71957</v>
      </c>
      <c r="F3365" s="28">
        <v>70330</v>
      </c>
      <c r="G3365" s="27" t="s">
        <v>11</v>
      </c>
      <c r="H3365" s="27" t="s">
        <v>1825</v>
      </c>
      <c r="I3365" s="27" t="s">
        <v>13</v>
      </c>
    </row>
    <row r="3366" spans="1:9" x14ac:dyDescent="0.3">
      <c r="A3366" s="26">
        <v>45108</v>
      </c>
      <c r="B3366" s="27" t="s">
        <v>121</v>
      </c>
      <c r="C3366" s="27" t="s">
        <v>10</v>
      </c>
      <c r="D3366" s="27" t="s">
        <v>24</v>
      </c>
      <c r="E3366" s="28">
        <v>74021</v>
      </c>
      <c r="F3366" s="28">
        <v>111136</v>
      </c>
      <c r="G3366" s="27" t="s">
        <v>22</v>
      </c>
      <c r="H3366" s="27" t="s">
        <v>2093</v>
      </c>
      <c r="I3366" s="27" t="s">
        <v>13</v>
      </c>
    </row>
    <row r="3367" spans="1:9" x14ac:dyDescent="0.3">
      <c r="A3367" s="26">
        <v>45108</v>
      </c>
      <c r="B3367" s="27" t="s">
        <v>121</v>
      </c>
      <c r="C3367" s="27" t="s">
        <v>10</v>
      </c>
      <c r="D3367" s="27" t="s">
        <v>21</v>
      </c>
      <c r="E3367" s="28">
        <v>134720</v>
      </c>
      <c r="F3367" s="28">
        <v>18769</v>
      </c>
      <c r="G3367" s="27" t="s">
        <v>8</v>
      </c>
      <c r="H3367" s="27" t="s">
        <v>2515</v>
      </c>
      <c r="I3367" s="27" t="s">
        <v>13</v>
      </c>
    </row>
    <row r="3368" spans="1:9" x14ac:dyDescent="0.3">
      <c r="A3368" s="26">
        <v>45108</v>
      </c>
      <c r="B3368" s="27" t="s">
        <v>121</v>
      </c>
      <c r="C3368" s="27" t="s">
        <v>32</v>
      </c>
      <c r="D3368" s="27" t="s">
        <v>19</v>
      </c>
      <c r="E3368" s="28">
        <v>28089</v>
      </c>
      <c r="F3368" s="28">
        <v>127324</v>
      </c>
      <c r="G3368" s="27" t="s">
        <v>22</v>
      </c>
      <c r="H3368" s="27" t="s">
        <v>2705</v>
      </c>
      <c r="I3368" s="27" t="s">
        <v>13</v>
      </c>
    </row>
    <row r="3369" spans="1:9" x14ac:dyDescent="0.3">
      <c r="A3369" s="26">
        <v>45108</v>
      </c>
      <c r="B3369" s="27" t="s">
        <v>121</v>
      </c>
      <c r="C3369" s="27" t="s">
        <v>15</v>
      </c>
      <c r="D3369" s="27" t="s">
        <v>16</v>
      </c>
      <c r="E3369" s="28">
        <v>85153</v>
      </c>
      <c r="F3369" s="28">
        <v>77580</v>
      </c>
      <c r="G3369" s="27" t="s">
        <v>17</v>
      </c>
      <c r="H3369" s="27" t="s">
        <v>2812</v>
      </c>
      <c r="I3369" s="27" t="s">
        <v>13</v>
      </c>
    </row>
    <row r="3370" spans="1:9" x14ac:dyDescent="0.3">
      <c r="A3370" s="26">
        <v>45108</v>
      </c>
      <c r="B3370" s="27" t="s">
        <v>121</v>
      </c>
      <c r="C3370" s="27" t="s">
        <v>6</v>
      </c>
      <c r="D3370" s="27" t="s">
        <v>21</v>
      </c>
      <c r="E3370" s="28">
        <v>64700</v>
      </c>
      <c r="F3370" s="28">
        <v>79700</v>
      </c>
      <c r="G3370" s="27" t="s">
        <v>11</v>
      </c>
      <c r="H3370" s="27" t="s">
        <v>3571</v>
      </c>
      <c r="I3370" s="27" t="s">
        <v>9</v>
      </c>
    </row>
    <row r="3371" spans="1:9" x14ac:dyDescent="0.3">
      <c r="A3371" s="26">
        <v>45108</v>
      </c>
      <c r="B3371" s="27" t="s">
        <v>121</v>
      </c>
      <c r="C3371" s="27" t="s">
        <v>93</v>
      </c>
      <c r="D3371" s="27" t="s">
        <v>21</v>
      </c>
      <c r="E3371" s="28">
        <v>117000</v>
      </c>
      <c r="F3371" s="28">
        <v>151700</v>
      </c>
      <c r="G3371" s="27" t="s">
        <v>11</v>
      </c>
      <c r="H3371" s="27" t="s">
        <v>4068</v>
      </c>
      <c r="I3371" s="27" t="s">
        <v>9</v>
      </c>
    </row>
    <row r="3372" spans="1:9" x14ac:dyDescent="0.3">
      <c r="A3372" s="26">
        <v>45108</v>
      </c>
      <c r="B3372" s="27" t="s">
        <v>121</v>
      </c>
      <c r="C3372" s="27" t="s">
        <v>6</v>
      </c>
      <c r="D3372" s="27" t="s">
        <v>7</v>
      </c>
      <c r="E3372" s="28">
        <v>146900</v>
      </c>
      <c r="F3372" s="28">
        <v>143400</v>
      </c>
      <c r="G3372" s="27" t="s">
        <v>17</v>
      </c>
      <c r="H3372" s="27" t="s">
        <v>4749</v>
      </c>
      <c r="I3372" s="27" t="s">
        <v>9</v>
      </c>
    </row>
    <row r="3373" spans="1:9" x14ac:dyDescent="0.3">
      <c r="A3373" s="26">
        <v>45108</v>
      </c>
      <c r="B3373" s="27" t="s">
        <v>121</v>
      </c>
      <c r="C3373" s="27" t="s">
        <v>6</v>
      </c>
      <c r="D3373" s="27" t="s">
        <v>16</v>
      </c>
      <c r="E3373" s="28">
        <v>102800</v>
      </c>
      <c r="F3373" s="28">
        <v>96300</v>
      </c>
      <c r="G3373" s="27" t="s">
        <v>17</v>
      </c>
      <c r="H3373" s="27" t="s">
        <v>4803</v>
      </c>
      <c r="I3373" s="27" t="s">
        <v>9</v>
      </c>
    </row>
    <row r="3374" spans="1:9" x14ac:dyDescent="0.3">
      <c r="A3374" s="26">
        <v>45108</v>
      </c>
      <c r="B3374" s="27" t="s">
        <v>121</v>
      </c>
      <c r="C3374" s="27" t="s">
        <v>93</v>
      </c>
      <c r="D3374" s="27" t="s">
        <v>21</v>
      </c>
      <c r="E3374" s="28">
        <v>91900</v>
      </c>
      <c r="F3374" s="28">
        <v>99600</v>
      </c>
      <c r="G3374" s="27" t="s">
        <v>22</v>
      </c>
      <c r="H3374" s="27" t="s">
        <v>4953</v>
      </c>
      <c r="I3374" s="27" t="s">
        <v>9</v>
      </c>
    </row>
    <row r="3375" spans="1:9" x14ac:dyDescent="0.3">
      <c r="A3375" s="26">
        <v>45108</v>
      </c>
      <c r="B3375" s="27" t="s">
        <v>121</v>
      </c>
      <c r="C3375" s="27" t="s">
        <v>93</v>
      </c>
      <c r="D3375" s="27" t="s">
        <v>21</v>
      </c>
      <c r="E3375" s="28">
        <v>94400</v>
      </c>
      <c r="F3375" s="28">
        <v>76600</v>
      </c>
      <c r="G3375" s="27" t="s">
        <v>11</v>
      </c>
      <c r="H3375" s="27" t="s">
        <v>5208</v>
      </c>
      <c r="I3375" s="27" t="s">
        <v>9</v>
      </c>
    </row>
    <row r="3376" spans="1:9" x14ac:dyDescent="0.3">
      <c r="A3376" s="26">
        <v>45108</v>
      </c>
      <c r="B3376" s="27" t="s">
        <v>121</v>
      </c>
      <c r="C3376" s="27" t="s">
        <v>93</v>
      </c>
      <c r="D3376" s="27" t="s">
        <v>24</v>
      </c>
      <c r="E3376" s="28">
        <v>108800</v>
      </c>
      <c r="F3376" s="28">
        <v>76300</v>
      </c>
      <c r="G3376" s="27" t="s">
        <v>11</v>
      </c>
      <c r="H3376" s="27" t="s">
        <v>5477</v>
      </c>
      <c r="I3376" s="27" t="s">
        <v>9</v>
      </c>
    </row>
    <row r="3377" spans="1:9" x14ac:dyDescent="0.3">
      <c r="A3377" s="26">
        <v>45108</v>
      </c>
      <c r="B3377" s="27" t="s">
        <v>121</v>
      </c>
      <c r="C3377" s="27" t="s">
        <v>93</v>
      </c>
      <c r="D3377" s="27" t="s">
        <v>21</v>
      </c>
      <c r="E3377" s="28">
        <v>78600</v>
      </c>
      <c r="F3377" s="28">
        <v>89300</v>
      </c>
      <c r="G3377" s="27" t="s">
        <v>11</v>
      </c>
      <c r="H3377" s="27" t="s">
        <v>5900</v>
      </c>
      <c r="I3377" s="27" t="s">
        <v>9</v>
      </c>
    </row>
    <row r="3378" spans="1:9" x14ac:dyDescent="0.3">
      <c r="A3378" s="26">
        <v>45108</v>
      </c>
      <c r="B3378" s="27" t="s">
        <v>121</v>
      </c>
      <c r="C3378" s="27" t="s">
        <v>6</v>
      </c>
      <c r="D3378" s="27" t="s">
        <v>19</v>
      </c>
      <c r="E3378" s="28">
        <v>85000</v>
      </c>
      <c r="F3378" s="28">
        <v>89000</v>
      </c>
      <c r="G3378" s="27" t="s">
        <v>11</v>
      </c>
      <c r="H3378" s="27" t="s">
        <v>6090</v>
      </c>
      <c r="I3378" s="27" t="s">
        <v>9</v>
      </c>
    </row>
    <row r="3379" spans="1:9" x14ac:dyDescent="0.3">
      <c r="A3379" s="26">
        <v>45108</v>
      </c>
      <c r="B3379" s="27" t="s">
        <v>121</v>
      </c>
      <c r="C3379" s="27" t="s">
        <v>93</v>
      </c>
      <c r="D3379" s="27" t="s">
        <v>16</v>
      </c>
      <c r="E3379" s="28">
        <v>158200</v>
      </c>
      <c r="F3379" s="28">
        <v>140200</v>
      </c>
      <c r="G3379" s="27" t="s">
        <v>22</v>
      </c>
      <c r="H3379" s="27" t="s">
        <v>6197</v>
      </c>
      <c r="I3379" s="27" t="s">
        <v>9</v>
      </c>
    </row>
    <row r="3380" spans="1:9" x14ac:dyDescent="0.3">
      <c r="A3380" s="26">
        <v>45109</v>
      </c>
      <c r="B3380" s="27" t="s">
        <v>121</v>
      </c>
      <c r="C3380" s="27" t="s">
        <v>32</v>
      </c>
      <c r="D3380" s="27" t="s">
        <v>16</v>
      </c>
      <c r="E3380" s="28">
        <v>56515</v>
      </c>
      <c r="F3380" s="28">
        <v>66918</v>
      </c>
      <c r="G3380" s="27" t="s">
        <v>11</v>
      </c>
      <c r="H3380" s="27" t="s">
        <v>230</v>
      </c>
      <c r="I3380" s="27" t="s">
        <v>13</v>
      </c>
    </row>
    <row r="3381" spans="1:9" x14ac:dyDescent="0.3">
      <c r="A3381" s="26">
        <v>45109</v>
      </c>
      <c r="B3381" s="27" t="s">
        <v>121</v>
      </c>
      <c r="C3381" s="27" t="s">
        <v>14</v>
      </c>
      <c r="D3381" s="27" t="s">
        <v>24</v>
      </c>
      <c r="E3381" s="28">
        <v>21682</v>
      </c>
      <c r="F3381" s="28">
        <v>123874</v>
      </c>
      <c r="G3381" s="27" t="s">
        <v>17</v>
      </c>
      <c r="H3381" s="27" t="s">
        <v>1009</v>
      </c>
      <c r="I3381" s="27" t="s">
        <v>13</v>
      </c>
    </row>
    <row r="3382" spans="1:9" x14ac:dyDescent="0.3">
      <c r="A3382" s="26">
        <v>45109</v>
      </c>
      <c r="B3382" s="27" t="s">
        <v>121</v>
      </c>
      <c r="C3382" s="27" t="s">
        <v>14</v>
      </c>
      <c r="D3382" s="27" t="s">
        <v>19</v>
      </c>
      <c r="E3382" s="28">
        <v>97657</v>
      </c>
      <c r="F3382" s="28">
        <v>62436</v>
      </c>
      <c r="G3382" s="27" t="s">
        <v>17</v>
      </c>
      <c r="H3382" s="27" t="s">
        <v>1038</v>
      </c>
      <c r="I3382" s="27" t="s">
        <v>13</v>
      </c>
    </row>
    <row r="3383" spans="1:9" x14ac:dyDescent="0.3">
      <c r="A3383" s="26">
        <v>45109</v>
      </c>
      <c r="B3383" s="27" t="s">
        <v>121</v>
      </c>
      <c r="C3383" s="27" t="s">
        <v>15</v>
      </c>
      <c r="D3383" s="27" t="s">
        <v>24</v>
      </c>
      <c r="E3383" s="28">
        <v>64101</v>
      </c>
      <c r="F3383" s="28">
        <v>68149</v>
      </c>
      <c r="G3383" s="27" t="s">
        <v>17</v>
      </c>
      <c r="H3383" s="27" t="s">
        <v>1388</v>
      </c>
      <c r="I3383" s="27" t="s">
        <v>13</v>
      </c>
    </row>
    <row r="3384" spans="1:9" x14ac:dyDescent="0.3">
      <c r="A3384" s="26">
        <v>45109</v>
      </c>
      <c r="B3384" s="27" t="s">
        <v>121</v>
      </c>
      <c r="C3384" s="27" t="s">
        <v>15</v>
      </c>
      <c r="D3384" s="27" t="s">
        <v>19</v>
      </c>
      <c r="E3384" s="28">
        <v>86123</v>
      </c>
      <c r="F3384" s="28">
        <v>8636</v>
      </c>
      <c r="G3384" s="27" t="s">
        <v>17</v>
      </c>
      <c r="H3384" s="27" t="s">
        <v>1612</v>
      </c>
      <c r="I3384" s="27" t="s">
        <v>13</v>
      </c>
    </row>
    <row r="3385" spans="1:9" x14ac:dyDescent="0.3">
      <c r="A3385" s="26">
        <v>45109</v>
      </c>
      <c r="B3385" s="27" t="s">
        <v>121</v>
      </c>
      <c r="C3385" s="27" t="s">
        <v>20</v>
      </c>
      <c r="D3385" s="27" t="s">
        <v>21</v>
      </c>
      <c r="E3385" s="28">
        <v>136450</v>
      </c>
      <c r="F3385" s="28">
        <v>149592</v>
      </c>
      <c r="G3385" s="27" t="s">
        <v>22</v>
      </c>
      <c r="H3385" s="27" t="s">
        <v>1811</v>
      </c>
      <c r="I3385" s="27" t="s">
        <v>13</v>
      </c>
    </row>
    <row r="3386" spans="1:9" x14ac:dyDescent="0.3">
      <c r="A3386" s="26">
        <v>45109</v>
      </c>
      <c r="B3386" s="27" t="s">
        <v>121</v>
      </c>
      <c r="C3386" s="27" t="s">
        <v>32</v>
      </c>
      <c r="D3386" s="27" t="s">
        <v>19</v>
      </c>
      <c r="E3386" s="28">
        <v>94195</v>
      </c>
      <c r="F3386" s="28">
        <v>76224</v>
      </c>
      <c r="G3386" s="27" t="s">
        <v>11</v>
      </c>
      <c r="H3386" s="27" t="s">
        <v>2369</v>
      </c>
      <c r="I3386" s="27" t="s">
        <v>13</v>
      </c>
    </row>
    <row r="3387" spans="1:9" x14ac:dyDescent="0.3">
      <c r="A3387" s="26">
        <v>45109</v>
      </c>
      <c r="B3387" s="27" t="s">
        <v>121</v>
      </c>
      <c r="C3387" s="27" t="s">
        <v>20</v>
      </c>
      <c r="D3387" s="27" t="s">
        <v>21</v>
      </c>
      <c r="E3387" s="28">
        <v>32829</v>
      </c>
      <c r="F3387" s="28">
        <v>134029</v>
      </c>
      <c r="G3387" s="27" t="s">
        <v>17</v>
      </c>
      <c r="H3387" s="27" t="s">
        <v>2531</v>
      </c>
      <c r="I3387" s="27" t="s">
        <v>13</v>
      </c>
    </row>
    <row r="3388" spans="1:9" x14ac:dyDescent="0.3">
      <c r="A3388" s="26">
        <v>45109</v>
      </c>
      <c r="B3388" s="27" t="s">
        <v>121</v>
      </c>
      <c r="C3388" s="27" t="s">
        <v>20</v>
      </c>
      <c r="D3388" s="27" t="s">
        <v>19</v>
      </c>
      <c r="E3388" s="28">
        <v>59316</v>
      </c>
      <c r="F3388" s="28">
        <v>11440</v>
      </c>
      <c r="G3388" s="27" t="s">
        <v>17</v>
      </c>
      <c r="H3388" s="27" t="s">
        <v>2534</v>
      </c>
      <c r="I3388" s="27" t="s">
        <v>13</v>
      </c>
    </row>
    <row r="3389" spans="1:9" x14ac:dyDescent="0.3">
      <c r="A3389" s="26">
        <v>45109</v>
      </c>
      <c r="B3389" s="27" t="s">
        <v>121</v>
      </c>
      <c r="C3389" s="27" t="s">
        <v>32</v>
      </c>
      <c r="D3389" s="27" t="s">
        <v>19</v>
      </c>
      <c r="E3389" s="28">
        <v>51729</v>
      </c>
      <c r="F3389" s="28">
        <v>151480</v>
      </c>
      <c r="G3389" s="27" t="s">
        <v>17</v>
      </c>
      <c r="H3389" s="27" t="s">
        <v>2550</v>
      </c>
      <c r="I3389" s="27" t="s">
        <v>13</v>
      </c>
    </row>
    <row r="3390" spans="1:9" x14ac:dyDescent="0.3">
      <c r="A3390" s="26">
        <v>45109</v>
      </c>
      <c r="B3390" s="27" t="s">
        <v>121</v>
      </c>
      <c r="C3390" s="27" t="s">
        <v>14</v>
      </c>
      <c r="D3390" s="27" t="s">
        <v>16</v>
      </c>
      <c r="E3390" s="28">
        <v>45497</v>
      </c>
      <c r="F3390" s="28">
        <v>11919</v>
      </c>
      <c r="G3390" s="27" t="s">
        <v>11</v>
      </c>
      <c r="H3390" s="27" t="s">
        <v>2886</v>
      </c>
      <c r="I3390" s="27" t="s">
        <v>13</v>
      </c>
    </row>
    <row r="3391" spans="1:9" x14ac:dyDescent="0.3">
      <c r="A3391" s="26">
        <v>45109</v>
      </c>
      <c r="B3391" s="27" t="s">
        <v>121</v>
      </c>
      <c r="C3391" s="27" t="s">
        <v>15</v>
      </c>
      <c r="D3391" s="27" t="s">
        <v>21</v>
      </c>
      <c r="E3391" s="28">
        <v>82086</v>
      </c>
      <c r="F3391" s="28">
        <v>163525</v>
      </c>
      <c r="G3391" s="27" t="s">
        <v>8</v>
      </c>
      <c r="H3391" s="27" t="s">
        <v>2911</v>
      </c>
      <c r="I3391" s="27" t="s">
        <v>13</v>
      </c>
    </row>
    <row r="3392" spans="1:9" x14ac:dyDescent="0.3">
      <c r="A3392" s="26">
        <v>45109</v>
      </c>
      <c r="B3392" s="27" t="s">
        <v>121</v>
      </c>
      <c r="C3392" s="27" t="s">
        <v>18</v>
      </c>
      <c r="D3392" s="27" t="s">
        <v>24</v>
      </c>
      <c r="E3392" s="28">
        <v>98013</v>
      </c>
      <c r="F3392" s="28">
        <v>71021</v>
      </c>
      <c r="G3392" s="27" t="s">
        <v>11</v>
      </c>
      <c r="H3392" s="27" t="s">
        <v>3391</v>
      </c>
      <c r="I3392" s="27" t="s">
        <v>13</v>
      </c>
    </row>
    <row r="3393" spans="1:9" x14ac:dyDescent="0.3">
      <c r="A3393" s="26">
        <v>45109</v>
      </c>
      <c r="B3393" s="27" t="s">
        <v>121</v>
      </c>
      <c r="C3393" s="27" t="s">
        <v>6</v>
      </c>
      <c r="D3393" s="27" t="s">
        <v>16</v>
      </c>
      <c r="E3393" s="28">
        <v>186800</v>
      </c>
      <c r="F3393" s="28">
        <v>194500</v>
      </c>
      <c r="G3393" s="27" t="s">
        <v>11</v>
      </c>
      <c r="H3393" s="27" t="s">
        <v>3611</v>
      </c>
      <c r="I3393" s="27" t="s">
        <v>9</v>
      </c>
    </row>
    <row r="3394" spans="1:9" x14ac:dyDescent="0.3">
      <c r="A3394" s="26">
        <v>45109</v>
      </c>
      <c r="B3394" s="27" t="s">
        <v>121</v>
      </c>
      <c r="C3394" s="27" t="s">
        <v>6</v>
      </c>
      <c r="D3394" s="27" t="s">
        <v>24</v>
      </c>
      <c r="E3394" s="28">
        <v>135500</v>
      </c>
      <c r="F3394" s="28">
        <v>138900</v>
      </c>
      <c r="G3394" s="27" t="s">
        <v>11</v>
      </c>
      <c r="H3394" s="27" t="s">
        <v>4390</v>
      </c>
      <c r="I3394" s="27" t="s">
        <v>9</v>
      </c>
    </row>
    <row r="3395" spans="1:9" x14ac:dyDescent="0.3">
      <c r="A3395" s="26">
        <v>45109</v>
      </c>
      <c r="B3395" s="27" t="s">
        <v>121</v>
      </c>
      <c r="C3395" s="27" t="s">
        <v>93</v>
      </c>
      <c r="D3395" s="27" t="s">
        <v>19</v>
      </c>
      <c r="E3395" s="28">
        <v>263800</v>
      </c>
      <c r="F3395" s="28">
        <v>275300</v>
      </c>
      <c r="G3395" s="27" t="s">
        <v>22</v>
      </c>
      <c r="H3395" s="27" t="s">
        <v>4420</v>
      </c>
      <c r="I3395" s="27" t="s">
        <v>9</v>
      </c>
    </row>
    <row r="3396" spans="1:9" x14ac:dyDescent="0.3">
      <c r="A3396" s="26">
        <v>45109</v>
      </c>
      <c r="B3396" s="27" t="s">
        <v>121</v>
      </c>
      <c r="C3396" s="27" t="s">
        <v>6</v>
      </c>
      <c r="D3396" s="27" t="s">
        <v>24</v>
      </c>
      <c r="E3396" s="28">
        <v>110700</v>
      </c>
      <c r="F3396" s="28">
        <v>116000</v>
      </c>
      <c r="G3396" s="27" t="s">
        <v>22</v>
      </c>
      <c r="H3396" s="27" t="s">
        <v>4771</v>
      </c>
      <c r="I3396" s="27" t="s">
        <v>9</v>
      </c>
    </row>
    <row r="3397" spans="1:9" x14ac:dyDescent="0.3">
      <c r="A3397" s="26">
        <v>45109</v>
      </c>
      <c r="B3397" s="27" t="s">
        <v>121</v>
      </c>
      <c r="C3397" s="27" t="s">
        <v>93</v>
      </c>
      <c r="D3397" s="27" t="s">
        <v>19</v>
      </c>
      <c r="E3397" s="28">
        <v>288100</v>
      </c>
      <c r="F3397" s="28">
        <v>283700</v>
      </c>
      <c r="G3397" s="27" t="s">
        <v>11</v>
      </c>
      <c r="H3397" s="27" t="s">
        <v>4995</v>
      </c>
      <c r="I3397" s="27" t="s">
        <v>9</v>
      </c>
    </row>
    <row r="3398" spans="1:9" x14ac:dyDescent="0.3">
      <c r="A3398" s="26">
        <v>45109</v>
      </c>
      <c r="B3398" s="27" t="s">
        <v>121</v>
      </c>
      <c r="C3398" s="27" t="s">
        <v>6</v>
      </c>
      <c r="D3398" s="27" t="s">
        <v>21</v>
      </c>
      <c r="E3398" s="28">
        <v>92700</v>
      </c>
      <c r="F3398" s="28">
        <v>98000</v>
      </c>
      <c r="G3398" s="27" t="s">
        <v>22</v>
      </c>
      <c r="H3398" s="27" t="s">
        <v>5194</v>
      </c>
      <c r="I3398" s="27" t="s">
        <v>9</v>
      </c>
    </row>
    <row r="3399" spans="1:9" x14ac:dyDescent="0.3">
      <c r="A3399" s="26">
        <v>45109</v>
      </c>
      <c r="B3399" s="27" t="s">
        <v>121</v>
      </c>
      <c r="C3399" s="27" t="s">
        <v>6</v>
      </c>
      <c r="D3399" s="27" t="s">
        <v>19</v>
      </c>
      <c r="E3399" s="28">
        <v>131100</v>
      </c>
      <c r="F3399" s="28">
        <v>143600</v>
      </c>
      <c r="G3399" s="27" t="s">
        <v>17</v>
      </c>
      <c r="H3399" s="27" t="s">
        <v>5754</v>
      </c>
      <c r="I3399" s="27" t="s">
        <v>9</v>
      </c>
    </row>
    <row r="3400" spans="1:9" x14ac:dyDescent="0.3">
      <c r="A3400" s="26">
        <v>45109</v>
      </c>
      <c r="B3400" s="27" t="s">
        <v>121</v>
      </c>
      <c r="C3400" s="27" t="s">
        <v>6</v>
      </c>
      <c r="D3400" s="27" t="s">
        <v>21</v>
      </c>
      <c r="E3400" s="28">
        <v>132900</v>
      </c>
      <c r="F3400" s="28">
        <v>154000</v>
      </c>
      <c r="G3400" s="27" t="s">
        <v>11</v>
      </c>
      <c r="H3400" s="27" t="s">
        <v>5916</v>
      </c>
      <c r="I3400" s="27" t="s">
        <v>9</v>
      </c>
    </row>
    <row r="3401" spans="1:9" x14ac:dyDescent="0.3">
      <c r="A3401" s="26">
        <v>45109</v>
      </c>
      <c r="B3401" s="27" t="s">
        <v>121</v>
      </c>
      <c r="C3401" s="27" t="s">
        <v>6</v>
      </c>
      <c r="D3401" s="27" t="s">
        <v>19</v>
      </c>
      <c r="E3401" s="28">
        <v>56200</v>
      </c>
      <c r="F3401" s="28">
        <v>49600</v>
      </c>
      <c r="G3401" s="27" t="s">
        <v>22</v>
      </c>
      <c r="H3401" s="27" t="s">
        <v>5919</v>
      </c>
      <c r="I3401" s="27" t="s">
        <v>9</v>
      </c>
    </row>
    <row r="3402" spans="1:9" x14ac:dyDescent="0.3">
      <c r="A3402" s="26">
        <v>45109</v>
      </c>
      <c r="B3402" s="27" t="s">
        <v>121</v>
      </c>
      <c r="C3402" s="27" t="s">
        <v>6</v>
      </c>
      <c r="D3402" s="27" t="s">
        <v>19</v>
      </c>
      <c r="E3402" s="28">
        <v>81200</v>
      </c>
      <c r="F3402" s="28">
        <v>90500</v>
      </c>
      <c r="G3402" s="27" t="s">
        <v>22</v>
      </c>
      <c r="H3402" s="27" t="s">
        <v>5935</v>
      </c>
      <c r="I3402" s="27" t="s">
        <v>9</v>
      </c>
    </row>
    <row r="3403" spans="1:9" x14ac:dyDescent="0.3">
      <c r="A3403" s="26">
        <v>45109</v>
      </c>
      <c r="B3403" s="27" t="s">
        <v>121</v>
      </c>
      <c r="C3403" s="27" t="s">
        <v>6</v>
      </c>
      <c r="D3403" s="27" t="s">
        <v>16</v>
      </c>
      <c r="E3403" s="28">
        <v>110300</v>
      </c>
      <c r="F3403" s="28">
        <v>143200</v>
      </c>
      <c r="G3403" s="27" t="s">
        <v>11</v>
      </c>
      <c r="H3403" s="27" t="s">
        <v>6271</v>
      </c>
      <c r="I3403" s="27" t="s">
        <v>9</v>
      </c>
    </row>
    <row r="3404" spans="1:9" x14ac:dyDescent="0.3">
      <c r="A3404" s="26">
        <v>45109</v>
      </c>
      <c r="B3404" s="27" t="s">
        <v>121</v>
      </c>
      <c r="C3404" s="27" t="s">
        <v>6</v>
      </c>
      <c r="D3404" s="27" t="s">
        <v>21</v>
      </c>
      <c r="E3404" s="28">
        <v>248900</v>
      </c>
      <c r="F3404" s="28">
        <v>277800</v>
      </c>
      <c r="G3404" s="27" t="s">
        <v>17</v>
      </c>
      <c r="H3404" s="27" t="s">
        <v>6296</v>
      </c>
      <c r="I3404" s="27" t="s">
        <v>9</v>
      </c>
    </row>
    <row r="3405" spans="1:9" x14ac:dyDescent="0.3">
      <c r="A3405" s="26">
        <v>45109</v>
      </c>
      <c r="B3405" s="27" t="s">
        <v>121</v>
      </c>
      <c r="C3405" s="27" t="s">
        <v>93</v>
      </c>
      <c r="D3405" s="27" t="s">
        <v>24</v>
      </c>
      <c r="E3405" s="28">
        <v>110400</v>
      </c>
      <c r="F3405" s="28">
        <v>142300</v>
      </c>
      <c r="G3405" s="27" t="s">
        <v>22</v>
      </c>
      <c r="H3405" s="27" t="s">
        <v>6776</v>
      </c>
      <c r="I3405" s="27" t="s">
        <v>9</v>
      </c>
    </row>
    <row r="3406" spans="1:9" x14ac:dyDescent="0.3">
      <c r="A3406" s="26">
        <v>45110</v>
      </c>
      <c r="B3406" s="27" t="s">
        <v>121</v>
      </c>
      <c r="C3406" s="27" t="s">
        <v>32</v>
      </c>
      <c r="D3406" s="27" t="s">
        <v>7</v>
      </c>
      <c r="E3406" s="28">
        <v>19610</v>
      </c>
      <c r="F3406" s="28">
        <v>14224</v>
      </c>
      <c r="G3406" s="27" t="s">
        <v>11</v>
      </c>
      <c r="H3406" s="27" t="s">
        <v>129</v>
      </c>
      <c r="I3406" s="27" t="s">
        <v>13</v>
      </c>
    </row>
    <row r="3407" spans="1:9" x14ac:dyDescent="0.3">
      <c r="A3407" s="26">
        <v>45110</v>
      </c>
      <c r="B3407" s="27" t="s">
        <v>121</v>
      </c>
      <c r="C3407" s="27" t="s">
        <v>32</v>
      </c>
      <c r="D3407" s="27" t="s">
        <v>24</v>
      </c>
      <c r="E3407" s="28">
        <v>148073</v>
      </c>
      <c r="F3407" s="28">
        <v>74931</v>
      </c>
      <c r="G3407" s="27" t="s">
        <v>8</v>
      </c>
      <c r="H3407" s="27" t="s">
        <v>499</v>
      </c>
      <c r="I3407" s="27" t="s">
        <v>13</v>
      </c>
    </row>
    <row r="3408" spans="1:9" x14ac:dyDescent="0.3">
      <c r="A3408" s="26">
        <v>45110</v>
      </c>
      <c r="B3408" s="27" t="s">
        <v>121</v>
      </c>
      <c r="C3408" s="27" t="s">
        <v>18</v>
      </c>
      <c r="D3408" s="27" t="s">
        <v>19</v>
      </c>
      <c r="E3408" s="28">
        <v>104860</v>
      </c>
      <c r="F3408" s="28">
        <v>45761</v>
      </c>
      <c r="G3408" s="27" t="s">
        <v>8</v>
      </c>
      <c r="H3408" s="27" t="s">
        <v>574</v>
      </c>
      <c r="I3408" s="27" t="s">
        <v>13</v>
      </c>
    </row>
    <row r="3409" spans="1:9" x14ac:dyDescent="0.3">
      <c r="A3409" s="26">
        <v>45110</v>
      </c>
      <c r="B3409" s="27" t="s">
        <v>121</v>
      </c>
      <c r="C3409" s="27" t="s">
        <v>20</v>
      </c>
      <c r="D3409" s="27" t="s">
        <v>7</v>
      </c>
      <c r="E3409" s="28">
        <v>119239</v>
      </c>
      <c r="F3409" s="28">
        <v>106312</v>
      </c>
      <c r="G3409" s="27" t="s">
        <v>22</v>
      </c>
      <c r="H3409" s="27" t="s">
        <v>948</v>
      </c>
      <c r="I3409" s="27" t="s">
        <v>13</v>
      </c>
    </row>
    <row r="3410" spans="1:9" x14ac:dyDescent="0.3">
      <c r="A3410" s="26">
        <v>45110</v>
      </c>
      <c r="B3410" s="27" t="s">
        <v>121</v>
      </c>
      <c r="C3410" s="27" t="s">
        <v>10</v>
      </c>
      <c r="D3410" s="27" t="s">
        <v>24</v>
      </c>
      <c r="E3410" s="28">
        <v>62943</v>
      </c>
      <c r="F3410" s="28">
        <v>60693</v>
      </c>
      <c r="G3410" s="27" t="s">
        <v>22</v>
      </c>
      <c r="H3410" s="27" t="s">
        <v>1303</v>
      </c>
      <c r="I3410" s="27" t="s">
        <v>13</v>
      </c>
    </row>
    <row r="3411" spans="1:9" x14ac:dyDescent="0.3">
      <c r="A3411" s="26">
        <v>45110</v>
      </c>
      <c r="B3411" s="27" t="s">
        <v>121</v>
      </c>
      <c r="C3411" s="27" t="s">
        <v>10</v>
      </c>
      <c r="D3411" s="27" t="s">
        <v>19</v>
      </c>
      <c r="E3411" s="28">
        <v>52882</v>
      </c>
      <c r="F3411" s="28">
        <v>140146</v>
      </c>
      <c r="G3411" s="27" t="s">
        <v>17</v>
      </c>
      <c r="H3411" s="27" t="s">
        <v>1719</v>
      </c>
      <c r="I3411" s="27" t="s">
        <v>13</v>
      </c>
    </row>
    <row r="3412" spans="1:9" x14ac:dyDescent="0.3">
      <c r="A3412" s="26">
        <v>45110</v>
      </c>
      <c r="B3412" s="27" t="s">
        <v>121</v>
      </c>
      <c r="C3412" s="27" t="s">
        <v>10</v>
      </c>
      <c r="D3412" s="27" t="s">
        <v>24</v>
      </c>
      <c r="E3412" s="28">
        <v>118286</v>
      </c>
      <c r="F3412" s="28">
        <v>143092</v>
      </c>
      <c r="G3412" s="27" t="s">
        <v>17</v>
      </c>
      <c r="H3412" s="27" t="s">
        <v>2103</v>
      </c>
      <c r="I3412" s="27" t="s">
        <v>13</v>
      </c>
    </row>
    <row r="3413" spans="1:9" x14ac:dyDescent="0.3">
      <c r="A3413" s="26">
        <v>45110</v>
      </c>
      <c r="B3413" s="27" t="s">
        <v>121</v>
      </c>
      <c r="C3413" s="27" t="s">
        <v>20</v>
      </c>
      <c r="D3413" s="27" t="s">
        <v>7</v>
      </c>
      <c r="E3413" s="28">
        <v>27205</v>
      </c>
      <c r="F3413" s="28">
        <v>123126</v>
      </c>
      <c r="G3413" s="27" t="s">
        <v>11</v>
      </c>
      <c r="H3413" s="27" t="s">
        <v>2394</v>
      </c>
      <c r="I3413" s="27" t="s">
        <v>13</v>
      </c>
    </row>
    <row r="3414" spans="1:9" x14ac:dyDescent="0.3">
      <c r="A3414" s="26">
        <v>45110</v>
      </c>
      <c r="B3414" s="27" t="s">
        <v>121</v>
      </c>
      <c r="C3414" s="27" t="s">
        <v>6</v>
      </c>
      <c r="D3414" s="27" t="s">
        <v>7</v>
      </c>
      <c r="E3414" s="28">
        <v>242100</v>
      </c>
      <c r="F3414" s="28">
        <v>212300</v>
      </c>
      <c r="G3414" s="27" t="s">
        <v>11</v>
      </c>
      <c r="H3414" s="27" t="s">
        <v>3510</v>
      </c>
      <c r="I3414" s="27" t="s">
        <v>9</v>
      </c>
    </row>
    <row r="3415" spans="1:9" x14ac:dyDescent="0.3">
      <c r="A3415" s="26">
        <v>45110</v>
      </c>
      <c r="B3415" s="27" t="s">
        <v>121</v>
      </c>
      <c r="C3415" s="27" t="s">
        <v>6</v>
      </c>
      <c r="D3415" s="27" t="s">
        <v>24</v>
      </c>
      <c r="E3415" s="28">
        <v>174800</v>
      </c>
      <c r="F3415" s="28">
        <v>163200</v>
      </c>
      <c r="G3415" s="27" t="s">
        <v>22</v>
      </c>
      <c r="H3415" s="27" t="s">
        <v>3880</v>
      </c>
      <c r="I3415" s="27" t="s">
        <v>9</v>
      </c>
    </row>
    <row r="3416" spans="1:9" x14ac:dyDescent="0.3">
      <c r="A3416" s="26">
        <v>45110</v>
      </c>
      <c r="B3416" s="27" t="s">
        <v>121</v>
      </c>
      <c r="C3416" s="27" t="s">
        <v>6</v>
      </c>
      <c r="D3416" s="27" t="s">
        <v>19</v>
      </c>
      <c r="E3416" s="28">
        <v>112300</v>
      </c>
      <c r="F3416" s="28">
        <v>125200</v>
      </c>
      <c r="G3416" s="27" t="s">
        <v>17</v>
      </c>
      <c r="H3416" s="27" t="s">
        <v>3955</v>
      </c>
      <c r="I3416" s="27" t="s">
        <v>9</v>
      </c>
    </row>
    <row r="3417" spans="1:9" x14ac:dyDescent="0.3">
      <c r="A3417" s="26">
        <v>45110</v>
      </c>
      <c r="B3417" s="27" t="s">
        <v>121</v>
      </c>
      <c r="C3417" s="27" t="s">
        <v>6</v>
      </c>
      <c r="D3417" s="27" t="s">
        <v>7</v>
      </c>
      <c r="E3417" s="28">
        <v>92700</v>
      </c>
      <c r="F3417" s="28">
        <v>88000</v>
      </c>
      <c r="G3417" s="27" t="s">
        <v>11</v>
      </c>
      <c r="H3417" s="27" t="s">
        <v>4329</v>
      </c>
      <c r="I3417" s="27" t="s">
        <v>9</v>
      </c>
    </row>
    <row r="3418" spans="1:9" x14ac:dyDescent="0.3">
      <c r="A3418" s="26">
        <v>45110</v>
      </c>
      <c r="B3418" s="27" t="s">
        <v>121</v>
      </c>
      <c r="C3418" s="27" t="s">
        <v>6</v>
      </c>
      <c r="D3418" s="27" t="s">
        <v>24</v>
      </c>
      <c r="E3418" s="28">
        <v>84200</v>
      </c>
      <c r="F3418" s="28">
        <v>83200</v>
      </c>
      <c r="G3418" s="27" t="s">
        <v>22</v>
      </c>
      <c r="H3418" s="27" t="s">
        <v>4686</v>
      </c>
      <c r="I3418" s="27" t="s">
        <v>9</v>
      </c>
    </row>
    <row r="3419" spans="1:9" x14ac:dyDescent="0.3">
      <c r="A3419" s="26">
        <v>45110</v>
      </c>
      <c r="B3419" s="27" t="s">
        <v>121</v>
      </c>
      <c r="C3419" s="27" t="s">
        <v>6</v>
      </c>
      <c r="D3419" s="27" t="s">
        <v>19</v>
      </c>
      <c r="E3419" s="28">
        <v>139500</v>
      </c>
      <c r="F3419" s="28">
        <v>142800</v>
      </c>
      <c r="G3419" s="27" t="s">
        <v>17</v>
      </c>
      <c r="H3419" s="27" t="s">
        <v>5102</v>
      </c>
      <c r="I3419" s="27" t="s">
        <v>9</v>
      </c>
    </row>
    <row r="3420" spans="1:9" x14ac:dyDescent="0.3">
      <c r="A3420" s="26">
        <v>45110</v>
      </c>
      <c r="B3420" s="27" t="s">
        <v>121</v>
      </c>
      <c r="C3420" s="27" t="s">
        <v>6</v>
      </c>
      <c r="D3420" s="27" t="s">
        <v>24</v>
      </c>
      <c r="E3420" s="28">
        <v>71600</v>
      </c>
      <c r="F3420" s="28">
        <v>62000</v>
      </c>
      <c r="G3420" s="27" t="s">
        <v>11</v>
      </c>
      <c r="H3420" s="27" t="s">
        <v>5487</v>
      </c>
      <c r="I3420" s="27" t="s">
        <v>9</v>
      </c>
    </row>
    <row r="3421" spans="1:9" x14ac:dyDescent="0.3">
      <c r="A3421" s="26">
        <v>45110</v>
      </c>
      <c r="B3421" s="27" t="s">
        <v>121</v>
      </c>
      <c r="C3421" s="27" t="s">
        <v>6</v>
      </c>
      <c r="D3421" s="27" t="s">
        <v>7</v>
      </c>
      <c r="E3421" s="28">
        <v>96500</v>
      </c>
      <c r="F3421" s="28">
        <v>103700</v>
      </c>
      <c r="G3421" s="27" t="s">
        <v>11</v>
      </c>
      <c r="H3421" s="27" t="s">
        <v>5779</v>
      </c>
      <c r="I3421" s="27" t="s">
        <v>9</v>
      </c>
    </row>
    <row r="3422" spans="1:9" x14ac:dyDescent="0.3">
      <c r="A3422" s="26">
        <v>45111</v>
      </c>
      <c r="B3422" s="27" t="s">
        <v>121</v>
      </c>
      <c r="C3422" s="27" t="s">
        <v>15</v>
      </c>
      <c r="D3422" s="27" t="s">
        <v>7</v>
      </c>
      <c r="E3422" s="28">
        <v>78070</v>
      </c>
      <c r="F3422" s="28">
        <v>150647</v>
      </c>
      <c r="G3422" s="27" t="s">
        <v>8</v>
      </c>
      <c r="H3422" s="27" t="s">
        <v>414</v>
      </c>
      <c r="I3422" s="27" t="s">
        <v>13</v>
      </c>
    </row>
    <row r="3423" spans="1:9" x14ac:dyDescent="0.3">
      <c r="A3423" s="26">
        <v>45111</v>
      </c>
      <c r="B3423" s="27" t="s">
        <v>121</v>
      </c>
      <c r="C3423" s="27" t="s">
        <v>20</v>
      </c>
      <c r="D3423" s="27" t="s">
        <v>21</v>
      </c>
      <c r="E3423" s="28">
        <v>133828</v>
      </c>
      <c r="F3423" s="28">
        <v>135545</v>
      </c>
      <c r="G3423" s="27" t="s">
        <v>8</v>
      </c>
      <c r="H3423" s="27" t="s">
        <v>669</v>
      </c>
      <c r="I3423" s="27" t="s">
        <v>13</v>
      </c>
    </row>
    <row r="3424" spans="1:9" x14ac:dyDescent="0.3">
      <c r="A3424" s="26">
        <v>45111</v>
      </c>
      <c r="B3424" s="27" t="s">
        <v>121</v>
      </c>
      <c r="C3424" s="27" t="s">
        <v>10</v>
      </c>
      <c r="D3424" s="27" t="s">
        <v>16</v>
      </c>
      <c r="E3424" s="28">
        <v>48548</v>
      </c>
      <c r="F3424" s="28">
        <v>58459</v>
      </c>
      <c r="G3424" s="27" t="s">
        <v>11</v>
      </c>
      <c r="H3424" s="27" t="s">
        <v>795</v>
      </c>
      <c r="I3424" s="27" t="s">
        <v>13</v>
      </c>
    </row>
    <row r="3425" spans="1:9" x14ac:dyDescent="0.3">
      <c r="A3425" s="26">
        <v>45111</v>
      </c>
      <c r="B3425" s="27" t="s">
        <v>121</v>
      </c>
      <c r="C3425" s="27" t="s">
        <v>20</v>
      </c>
      <c r="D3425" s="27" t="s">
        <v>16</v>
      </c>
      <c r="E3425" s="28">
        <v>54732</v>
      </c>
      <c r="F3425" s="28">
        <v>12967</v>
      </c>
      <c r="G3425" s="27" t="s">
        <v>17</v>
      </c>
      <c r="H3425" s="27" t="s">
        <v>1175</v>
      </c>
      <c r="I3425" s="27" t="s">
        <v>13</v>
      </c>
    </row>
    <row r="3426" spans="1:9" x14ac:dyDescent="0.3">
      <c r="A3426" s="26">
        <v>45111</v>
      </c>
      <c r="B3426" s="27" t="s">
        <v>121</v>
      </c>
      <c r="C3426" s="27" t="s">
        <v>15</v>
      </c>
      <c r="D3426" s="27" t="s">
        <v>21</v>
      </c>
      <c r="E3426" s="28">
        <v>21740</v>
      </c>
      <c r="F3426" s="28">
        <v>160466</v>
      </c>
      <c r="G3426" s="27" t="s">
        <v>17</v>
      </c>
      <c r="H3426" s="27" t="s">
        <v>1662</v>
      </c>
      <c r="I3426" s="27" t="s">
        <v>13</v>
      </c>
    </row>
    <row r="3427" spans="1:9" x14ac:dyDescent="0.3">
      <c r="A3427" s="26">
        <v>45111</v>
      </c>
      <c r="B3427" s="27" t="s">
        <v>121</v>
      </c>
      <c r="C3427" s="27" t="s">
        <v>15</v>
      </c>
      <c r="D3427" s="27" t="s">
        <v>24</v>
      </c>
      <c r="E3427" s="28">
        <v>10480</v>
      </c>
      <c r="F3427" s="28">
        <v>118170</v>
      </c>
      <c r="G3427" s="27" t="s">
        <v>8</v>
      </c>
      <c r="H3427" s="27" t="s">
        <v>1892</v>
      </c>
      <c r="I3427" s="27" t="s">
        <v>13</v>
      </c>
    </row>
    <row r="3428" spans="1:9" x14ac:dyDescent="0.3">
      <c r="A3428" s="26">
        <v>45111</v>
      </c>
      <c r="B3428" s="27" t="s">
        <v>121</v>
      </c>
      <c r="C3428" s="27" t="s">
        <v>15</v>
      </c>
      <c r="D3428" s="27" t="s">
        <v>7</v>
      </c>
      <c r="E3428" s="28">
        <v>36997</v>
      </c>
      <c r="F3428" s="28">
        <v>164706</v>
      </c>
      <c r="G3428" s="27" t="s">
        <v>11</v>
      </c>
      <c r="H3428" s="27" t="s">
        <v>2208</v>
      </c>
      <c r="I3428" s="27" t="s">
        <v>13</v>
      </c>
    </row>
    <row r="3429" spans="1:9" x14ac:dyDescent="0.3">
      <c r="A3429" s="26">
        <v>45111</v>
      </c>
      <c r="B3429" s="27" t="s">
        <v>121</v>
      </c>
      <c r="C3429" s="27" t="s">
        <v>10</v>
      </c>
      <c r="D3429" s="27" t="s">
        <v>19</v>
      </c>
      <c r="E3429" s="28">
        <v>90611</v>
      </c>
      <c r="F3429" s="28">
        <v>90828</v>
      </c>
      <c r="G3429" s="27" t="s">
        <v>17</v>
      </c>
      <c r="H3429" s="27" t="s">
        <v>2994</v>
      </c>
      <c r="I3429" s="27" t="s">
        <v>13</v>
      </c>
    </row>
    <row r="3430" spans="1:9" x14ac:dyDescent="0.3">
      <c r="A3430" s="26">
        <v>45111</v>
      </c>
      <c r="B3430" s="27" t="s">
        <v>121</v>
      </c>
      <c r="C3430" s="27" t="s">
        <v>14</v>
      </c>
      <c r="D3430" s="27" t="s">
        <v>24</v>
      </c>
      <c r="E3430" s="28">
        <v>82251</v>
      </c>
      <c r="F3430" s="28">
        <v>29360</v>
      </c>
      <c r="G3430" s="27" t="s">
        <v>17</v>
      </c>
      <c r="H3430" s="27" t="s">
        <v>3053</v>
      </c>
      <c r="I3430" s="27" t="s">
        <v>13</v>
      </c>
    </row>
    <row r="3431" spans="1:9" x14ac:dyDescent="0.3">
      <c r="A3431" s="26">
        <v>45111</v>
      </c>
      <c r="B3431" s="27" t="s">
        <v>121</v>
      </c>
      <c r="C3431" s="27" t="s">
        <v>32</v>
      </c>
      <c r="D3431" s="27" t="s">
        <v>19</v>
      </c>
      <c r="E3431" s="28">
        <v>106003</v>
      </c>
      <c r="F3431" s="28">
        <v>92248</v>
      </c>
      <c r="G3431" s="27" t="s">
        <v>17</v>
      </c>
      <c r="H3431" s="27" t="s">
        <v>3179</v>
      </c>
      <c r="I3431" s="27" t="s">
        <v>13</v>
      </c>
    </row>
    <row r="3432" spans="1:9" x14ac:dyDescent="0.3">
      <c r="A3432" s="26">
        <v>45111</v>
      </c>
      <c r="B3432" s="27" t="s">
        <v>121</v>
      </c>
      <c r="C3432" s="27" t="s">
        <v>93</v>
      </c>
      <c r="D3432" s="27" t="s">
        <v>7</v>
      </c>
      <c r="E3432" s="28">
        <v>212100</v>
      </c>
      <c r="F3432" s="28">
        <v>161100</v>
      </c>
      <c r="G3432" s="27" t="s">
        <v>11</v>
      </c>
      <c r="H3432" s="27" t="s">
        <v>3795</v>
      </c>
      <c r="I3432" s="27" t="s">
        <v>9</v>
      </c>
    </row>
    <row r="3433" spans="1:9" x14ac:dyDescent="0.3">
      <c r="A3433" s="26">
        <v>45111</v>
      </c>
      <c r="B3433" s="27" t="s">
        <v>121</v>
      </c>
      <c r="C3433" s="27" t="s">
        <v>93</v>
      </c>
      <c r="D3433" s="27" t="s">
        <v>21</v>
      </c>
      <c r="E3433" s="28">
        <v>79600</v>
      </c>
      <c r="F3433" s="28">
        <v>100200</v>
      </c>
      <c r="G3433" s="27" t="s">
        <v>22</v>
      </c>
      <c r="H3433" s="27" t="s">
        <v>4050</v>
      </c>
      <c r="I3433" s="27" t="s">
        <v>9</v>
      </c>
    </row>
    <row r="3434" spans="1:9" x14ac:dyDescent="0.3">
      <c r="A3434" s="26">
        <v>45111</v>
      </c>
      <c r="B3434" s="27" t="s">
        <v>121</v>
      </c>
      <c r="C3434" s="27" t="s">
        <v>6</v>
      </c>
      <c r="D3434" s="27" t="s">
        <v>16</v>
      </c>
      <c r="E3434" s="28">
        <v>52700</v>
      </c>
      <c r="F3434" s="28">
        <v>74100</v>
      </c>
      <c r="G3434" s="27" t="s">
        <v>22</v>
      </c>
      <c r="H3434" s="27" t="s">
        <v>4176</v>
      </c>
      <c r="I3434" s="27" t="s">
        <v>9</v>
      </c>
    </row>
    <row r="3435" spans="1:9" x14ac:dyDescent="0.3">
      <c r="A3435" s="26">
        <v>45111</v>
      </c>
      <c r="B3435" s="27" t="s">
        <v>121</v>
      </c>
      <c r="C3435" s="27" t="s">
        <v>93</v>
      </c>
      <c r="D3435" s="27" t="s">
        <v>16</v>
      </c>
      <c r="E3435" s="28">
        <v>215000</v>
      </c>
      <c r="F3435" s="28">
        <v>231400</v>
      </c>
      <c r="G3435" s="27" t="s">
        <v>22</v>
      </c>
      <c r="H3435" s="27" t="s">
        <v>4558</v>
      </c>
      <c r="I3435" s="27" t="s">
        <v>9</v>
      </c>
    </row>
    <row r="3436" spans="1:9" x14ac:dyDescent="0.3">
      <c r="A3436" s="26">
        <v>45111</v>
      </c>
      <c r="B3436" s="27" t="s">
        <v>121</v>
      </c>
      <c r="C3436" s="27" t="s">
        <v>93</v>
      </c>
      <c r="D3436" s="27" t="s">
        <v>21</v>
      </c>
      <c r="E3436" s="28">
        <v>66900</v>
      </c>
      <c r="F3436" s="28">
        <v>57200</v>
      </c>
      <c r="G3436" s="27" t="s">
        <v>22</v>
      </c>
      <c r="H3436" s="27" t="s">
        <v>5045</v>
      </c>
      <c r="I3436" s="27" t="s">
        <v>9</v>
      </c>
    </row>
    <row r="3437" spans="1:9" x14ac:dyDescent="0.3">
      <c r="A3437" s="26">
        <v>45111</v>
      </c>
      <c r="B3437" s="27" t="s">
        <v>121</v>
      </c>
      <c r="C3437" s="27" t="s">
        <v>6</v>
      </c>
      <c r="D3437" s="27" t="s">
        <v>24</v>
      </c>
      <c r="E3437" s="28">
        <v>158700</v>
      </c>
      <c r="F3437" s="28">
        <v>161700</v>
      </c>
      <c r="G3437" s="27" t="s">
        <v>22</v>
      </c>
      <c r="H3437" s="27" t="s">
        <v>5276</v>
      </c>
      <c r="I3437" s="27" t="s">
        <v>9</v>
      </c>
    </row>
    <row r="3438" spans="1:9" x14ac:dyDescent="0.3">
      <c r="A3438" s="26">
        <v>45111</v>
      </c>
      <c r="B3438" s="27" t="s">
        <v>121</v>
      </c>
      <c r="C3438" s="27" t="s">
        <v>93</v>
      </c>
      <c r="D3438" s="27" t="s">
        <v>7</v>
      </c>
      <c r="E3438" s="28">
        <v>181900</v>
      </c>
      <c r="F3438" s="28">
        <v>172100</v>
      </c>
      <c r="G3438" s="27" t="s">
        <v>17</v>
      </c>
      <c r="H3438" s="27" t="s">
        <v>5593</v>
      </c>
      <c r="I3438" s="27" t="s">
        <v>9</v>
      </c>
    </row>
    <row r="3439" spans="1:9" x14ac:dyDescent="0.3">
      <c r="A3439" s="26">
        <v>45111</v>
      </c>
      <c r="B3439" s="27" t="s">
        <v>121</v>
      </c>
      <c r="C3439" s="27" t="s">
        <v>93</v>
      </c>
      <c r="D3439" s="27" t="s">
        <v>19</v>
      </c>
      <c r="E3439" s="28">
        <v>81600</v>
      </c>
      <c r="F3439" s="28">
        <v>91900</v>
      </c>
      <c r="G3439" s="27" t="s">
        <v>11</v>
      </c>
      <c r="H3439" s="27" t="s">
        <v>6379</v>
      </c>
      <c r="I3439" s="27" t="s">
        <v>9</v>
      </c>
    </row>
    <row r="3440" spans="1:9" x14ac:dyDescent="0.3">
      <c r="A3440" s="26">
        <v>45111</v>
      </c>
      <c r="B3440" s="27" t="s">
        <v>121</v>
      </c>
      <c r="C3440" s="27" t="s">
        <v>6</v>
      </c>
      <c r="D3440" s="27" t="s">
        <v>24</v>
      </c>
      <c r="E3440" s="28">
        <v>173900</v>
      </c>
      <c r="F3440" s="28">
        <v>210200</v>
      </c>
      <c r="G3440" s="27" t="s">
        <v>11</v>
      </c>
      <c r="H3440" s="27" t="s">
        <v>6438</v>
      </c>
      <c r="I3440" s="27" t="s">
        <v>9</v>
      </c>
    </row>
    <row r="3441" spans="1:9" x14ac:dyDescent="0.3">
      <c r="A3441" s="26">
        <v>45111</v>
      </c>
      <c r="B3441" s="27" t="s">
        <v>121</v>
      </c>
      <c r="C3441" s="27" t="s">
        <v>6</v>
      </c>
      <c r="D3441" s="27" t="s">
        <v>19</v>
      </c>
      <c r="E3441" s="28">
        <v>117000</v>
      </c>
      <c r="F3441" s="28">
        <v>128800</v>
      </c>
      <c r="G3441" s="27" t="s">
        <v>11</v>
      </c>
      <c r="H3441" s="27" t="s">
        <v>6564</v>
      </c>
      <c r="I3441" s="27" t="s">
        <v>9</v>
      </c>
    </row>
    <row r="3442" spans="1:9" x14ac:dyDescent="0.3">
      <c r="A3442" s="26">
        <v>45112</v>
      </c>
      <c r="B3442" s="27" t="s">
        <v>121</v>
      </c>
      <c r="C3442" s="27" t="s">
        <v>15</v>
      </c>
      <c r="D3442" s="27" t="s">
        <v>24</v>
      </c>
      <c r="E3442" s="28">
        <v>113213</v>
      </c>
      <c r="F3442" s="28">
        <v>118030</v>
      </c>
      <c r="G3442" s="27" t="s">
        <v>11</v>
      </c>
      <c r="H3442" s="27" t="s">
        <v>516</v>
      </c>
      <c r="I3442" s="27" t="s">
        <v>13</v>
      </c>
    </row>
    <row r="3443" spans="1:9" x14ac:dyDescent="0.3">
      <c r="A3443" s="26">
        <v>45112</v>
      </c>
      <c r="B3443" s="27" t="s">
        <v>121</v>
      </c>
      <c r="C3443" s="27" t="s">
        <v>14</v>
      </c>
      <c r="D3443" s="27" t="s">
        <v>7</v>
      </c>
      <c r="E3443" s="28">
        <v>115894</v>
      </c>
      <c r="F3443" s="28">
        <v>158316</v>
      </c>
      <c r="G3443" s="27" t="s">
        <v>11</v>
      </c>
      <c r="H3443" s="27" t="s">
        <v>547</v>
      </c>
      <c r="I3443" s="27" t="s">
        <v>13</v>
      </c>
    </row>
    <row r="3444" spans="1:9" x14ac:dyDescent="0.3">
      <c r="A3444" s="26">
        <v>45112</v>
      </c>
      <c r="B3444" s="27" t="s">
        <v>121</v>
      </c>
      <c r="C3444" s="27" t="s">
        <v>15</v>
      </c>
      <c r="D3444" s="27" t="s">
        <v>7</v>
      </c>
      <c r="E3444" s="28">
        <v>130408</v>
      </c>
      <c r="F3444" s="28">
        <v>37834</v>
      </c>
      <c r="G3444" s="27" t="s">
        <v>8</v>
      </c>
      <c r="H3444" s="27" t="s">
        <v>1425</v>
      </c>
      <c r="I3444" s="27" t="s">
        <v>13</v>
      </c>
    </row>
    <row r="3445" spans="1:9" x14ac:dyDescent="0.3">
      <c r="A3445" s="26">
        <v>45112</v>
      </c>
      <c r="B3445" s="27" t="s">
        <v>121</v>
      </c>
      <c r="C3445" s="27" t="s">
        <v>15</v>
      </c>
      <c r="D3445" s="27" t="s">
        <v>24</v>
      </c>
      <c r="E3445" s="28">
        <v>149583</v>
      </c>
      <c r="F3445" s="28">
        <v>34905</v>
      </c>
      <c r="G3445" s="27" t="s">
        <v>22</v>
      </c>
      <c r="H3445" s="27" t="s">
        <v>1544</v>
      </c>
      <c r="I3445" s="27" t="s">
        <v>13</v>
      </c>
    </row>
    <row r="3446" spans="1:9" x14ac:dyDescent="0.3">
      <c r="A3446" s="26">
        <v>45112</v>
      </c>
      <c r="B3446" s="27" t="s">
        <v>121</v>
      </c>
      <c r="C3446" s="27" t="s">
        <v>15</v>
      </c>
      <c r="D3446" s="27" t="s">
        <v>7</v>
      </c>
      <c r="E3446" s="28">
        <v>138013</v>
      </c>
      <c r="F3446" s="28">
        <v>82683</v>
      </c>
      <c r="G3446" s="27" t="s">
        <v>22</v>
      </c>
      <c r="H3446" s="27" t="s">
        <v>1974</v>
      </c>
      <c r="I3446" s="27" t="s">
        <v>13</v>
      </c>
    </row>
    <row r="3447" spans="1:9" x14ac:dyDescent="0.3">
      <c r="A3447" s="26">
        <v>45112</v>
      </c>
      <c r="B3447" s="27" t="s">
        <v>121</v>
      </c>
      <c r="C3447" s="27" t="s">
        <v>32</v>
      </c>
      <c r="D3447" s="27" t="s">
        <v>7</v>
      </c>
      <c r="E3447" s="28">
        <v>33613</v>
      </c>
      <c r="F3447" s="28">
        <v>82051</v>
      </c>
      <c r="G3447" s="27" t="s">
        <v>17</v>
      </c>
      <c r="H3447" s="27" t="s">
        <v>2255</v>
      </c>
      <c r="I3447" s="27" t="s">
        <v>13</v>
      </c>
    </row>
    <row r="3448" spans="1:9" x14ac:dyDescent="0.3">
      <c r="A3448" s="26">
        <v>45112</v>
      </c>
      <c r="B3448" s="27" t="s">
        <v>121</v>
      </c>
      <c r="C3448" s="27" t="s">
        <v>18</v>
      </c>
      <c r="D3448" s="27" t="s">
        <v>24</v>
      </c>
      <c r="E3448" s="28">
        <v>23586</v>
      </c>
      <c r="F3448" s="28">
        <v>18701</v>
      </c>
      <c r="G3448" s="27" t="s">
        <v>17</v>
      </c>
      <c r="H3448" s="27" t="s">
        <v>2689</v>
      </c>
      <c r="I3448" s="27" t="s">
        <v>13</v>
      </c>
    </row>
    <row r="3449" spans="1:9" x14ac:dyDescent="0.3">
      <c r="A3449" s="26">
        <v>45112</v>
      </c>
      <c r="B3449" s="27" t="s">
        <v>121</v>
      </c>
      <c r="C3449" s="27" t="s">
        <v>15</v>
      </c>
      <c r="D3449" s="27" t="s">
        <v>7</v>
      </c>
      <c r="E3449" s="28">
        <v>110414</v>
      </c>
      <c r="F3449" s="28">
        <v>54728</v>
      </c>
      <c r="G3449" s="27" t="s">
        <v>11</v>
      </c>
      <c r="H3449" s="27" t="s">
        <v>2903</v>
      </c>
      <c r="I3449" s="27" t="s">
        <v>13</v>
      </c>
    </row>
    <row r="3450" spans="1:9" x14ac:dyDescent="0.3">
      <c r="A3450" s="26">
        <v>45112</v>
      </c>
      <c r="B3450" s="27" t="s">
        <v>121</v>
      </c>
      <c r="C3450" s="27" t="s">
        <v>32</v>
      </c>
      <c r="D3450" s="27" t="s">
        <v>16</v>
      </c>
      <c r="E3450" s="28">
        <v>29267</v>
      </c>
      <c r="F3450" s="28">
        <v>79220</v>
      </c>
      <c r="G3450" s="27" t="s">
        <v>22</v>
      </c>
      <c r="H3450" s="27" t="s">
        <v>3028</v>
      </c>
      <c r="I3450" s="27" t="s">
        <v>13</v>
      </c>
    </row>
    <row r="3451" spans="1:9" x14ac:dyDescent="0.3">
      <c r="A3451" s="26">
        <v>45112</v>
      </c>
      <c r="B3451" s="27" t="s">
        <v>121</v>
      </c>
      <c r="C3451" s="27" t="s">
        <v>18</v>
      </c>
      <c r="D3451" s="27" t="s">
        <v>16</v>
      </c>
      <c r="E3451" s="28">
        <v>137602</v>
      </c>
      <c r="F3451" s="28">
        <v>127283</v>
      </c>
      <c r="G3451" s="27" t="s">
        <v>22</v>
      </c>
      <c r="H3451" s="27" t="s">
        <v>3116</v>
      </c>
      <c r="I3451" s="27" t="s">
        <v>13</v>
      </c>
    </row>
    <row r="3452" spans="1:9" x14ac:dyDescent="0.3">
      <c r="A3452" s="26">
        <v>45112</v>
      </c>
      <c r="B3452" s="27" t="s">
        <v>121</v>
      </c>
      <c r="C3452" s="27" t="s">
        <v>18</v>
      </c>
      <c r="D3452" s="27" t="s">
        <v>19</v>
      </c>
      <c r="E3452" s="28">
        <v>48010</v>
      </c>
      <c r="F3452" s="28">
        <v>33376</v>
      </c>
      <c r="G3452" s="27" t="s">
        <v>22</v>
      </c>
      <c r="H3452" s="27" t="s">
        <v>3123</v>
      </c>
      <c r="I3452" s="27" t="s">
        <v>13</v>
      </c>
    </row>
    <row r="3453" spans="1:9" x14ac:dyDescent="0.3">
      <c r="A3453" s="26">
        <v>45112</v>
      </c>
      <c r="B3453" s="27" t="s">
        <v>121</v>
      </c>
      <c r="C3453" s="27" t="s">
        <v>93</v>
      </c>
      <c r="D3453" s="27" t="s">
        <v>24</v>
      </c>
      <c r="E3453" s="28">
        <v>170400</v>
      </c>
      <c r="F3453" s="28">
        <v>169800</v>
      </c>
      <c r="G3453" s="27" t="s">
        <v>11</v>
      </c>
      <c r="H3453" s="27" t="s">
        <v>3897</v>
      </c>
      <c r="I3453" s="27" t="s">
        <v>9</v>
      </c>
    </row>
    <row r="3454" spans="1:9" x14ac:dyDescent="0.3">
      <c r="A3454" s="26">
        <v>45112</v>
      </c>
      <c r="B3454" s="27" t="s">
        <v>121</v>
      </c>
      <c r="C3454" s="27" t="s">
        <v>6</v>
      </c>
      <c r="D3454" s="27" t="s">
        <v>7</v>
      </c>
      <c r="E3454" s="28">
        <v>112800</v>
      </c>
      <c r="F3454" s="28">
        <v>147900</v>
      </c>
      <c r="G3454" s="27" t="s">
        <v>11</v>
      </c>
      <c r="H3454" s="27" t="s">
        <v>3928</v>
      </c>
      <c r="I3454" s="27" t="s">
        <v>9</v>
      </c>
    </row>
    <row r="3455" spans="1:9" x14ac:dyDescent="0.3">
      <c r="A3455" s="26">
        <v>45112</v>
      </c>
      <c r="B3455" s="27" t="s">
        <v>121</v>
      </c>
      <c r="C3455" s="27" t="s">
        <v>6</v>
      </c>
      <c r="D3455" s="27" t="s">
        <v>7</v>
      </c>
      <c r="E3455" s="28">
        <v>88900</v>
      </c>
      <c r="F3455" s="28">
        <v>88700</v>
      </c>
      <c r="G3455" s="27" t="s">
        <v>22</v>
      </c>
      <c r="H3455" s="27" t="s">
        <v>4808</v>
      </c>
      <c r="I3455" s="27" t="s">
        <v>9</v>
      </c>
    </row>
    <row r="3456" spans="1:9" x14ac:dyDescent="0.3">
      <c r="A3456" s="26">
        <v>45112</v>
      </c>
      <c r="B3456" s="27" t="s">
        <v>121</v>
      </c>
      <c r="C3456" s="27" t="s">
        <v>93</v>
      </c>
      <c r="D3456" s="27" t="s">
        <v>24</v>
      </c>
      <c r="E3456" s="28">
        <v>105100</v>
      </c>
      <c r="F3456" s="28">
        <v>116300</v>
      </c>
      <c r="G3456" s="27" t="s">
        <v>22</v>
      </c>
      <c r="H3456" s="27" t="s">
        <v>4927</v>
      </c>
      <c r="I3456" s="27" t="s">
        <v>9</v>
      </c>
    </row>
    <row r="3457" spans="1:9" x14ac:dyDescent="0.3">
      <c r="A3457" s="26">
        <v>45112</v>
      </c>
      <c r="B3457" s="27" t="s">
        <v>121</v>
      </c>
      <c r="C3457" s="27" t="s">
        <v>93</v>
      </c>
      <c r="D3457" s="27" t="s">
        <v>7</v>
      </c>
      <c r="E3457" s="28">
        <v>325300</v>
      </c>
      <c r="F3457" s="28">
        <v>341700</v>
      </c>
      <c r="G3457" s="27" t="s">
        <v>11</v>
      </c>
      <c r="H3457" s="27" t="s">
        <v>5358</v>
      </c>
      <c r="I3457" s="27" t="s">
        <v>9</v>
      </c>
    </row>
    <row r="3458" spans="1:9" x14ac:dyDescent="0.3">
      <c r="A3458" s="26">
        <v>45112</v>
      </c>
      <c r="B3458" s="27" t="s">
        <v>121</v>
      </c>
      <c r="C3458" s="27" t="s">
        <v>93</v>
      </c>
      <c r="D3458" s="27" t="s">
        <v>7</v>
      </c>
      <c r="E3458" s="28">
        <v>141100</v>
      </c>
      <c r="F3458" s="28">
        <v>136300</v>
      </c>
      <c r="G3458" s="27" t="s">
        <v>11</v>
      </c>
      <c r="H3458" s="27" t="s">
        <v>5640</v>
      </c>
      <c r="I3458" s="27" t="s">
        <v>9</v>
      </c>
    </row>
    <row r="3459" spans="1:9" x14ac:dyDescent="0.3">
      <c r="A3459" s="26">
        <v>45112</v>
      </c>
      <c r="B3459" s="27" t="s">
        <v>121</v>
      </c>
      <c r="C3459" s="27" t="s">
        <v>6</v>
      </c>
      <c r="D3459" s="27" t="s">
        <v>24</v>
      </c>
      <c r="E3459" s="28">
        <v>159400</v>
      </c>
      <c r="F3459" s="28">
        <v>212600</v>
      </c>
      <c r="G3459" s="27" t="s">
        <v>11</v>
      </c>
      <c r="H3459" s="27" t="s">
        <v>6074</v>
      </c>
      <c r="I3459" s="27" t="s">
        <v>9</v>
      </c>
    </row>
    <row r="3460" spans="1:9" x14ac:dyDescent="0.3">
      <c r="A3460" s="26">
        <v>45112</v>
      </c>
      <c r="B3460" s="27" t="s">
        <v>121</v>
      </c>
      <c r="C3460" s="27" t="s">
        <v>6</v>
      </c>
      <c r="D3460" s="27" t="s">
        <v>7</v>
      </c>
      <c r="E3460" s="28">
        <v>147800</v>
      </c>
      <c r="F3460" s="28">
        <v>148800</v>
      </c>
      <c r="G3460" s="27" t="s">
        <v>11</v>
      </c>
      <c r="H3460" s="27" t="s">
        <v>6288</v>
      </c>
      <c r="I3460" s="27" t="s">
        <v>9</v>
      </c>
    </row>
    <row r="3461" spans="1:9" x14ac:dyDescent="0.3">
      <c r="A3461" s="26">
        <v>45112</v>
      </c>
      <c r="B3461" s="27" t="s">
        <v>121</v>
      </c>
      <c r="C3461" s="27" t="s">
        <v>6</v>
      </c>
      <c r="D3461" s="27" t="s">
        <v>16</v>
      </c>
      <c r="E3461" s="28">
        <v>157800</v>
      </c>
      <c r="F3461" s="28">
        <v>160700</v>
      </c>
      <c r="G3461" s="27" t="s">
        <v>22</v>
      </c>
      <c r="H3461" s="27" t="s">
        <v>6413</v>
      </c>
      <c r="I3461" s="27" t="s">
        <v>9</v>
      </c>
    </row>
    <row r="3462" spans="1:9" x14ac:dyDescent="0.3">
      <c r="A3462" s="26">
        <v>45112</v>
      </c>
      <c r="B3462" s="27" t="s">
        <v>121</v>
      </c>
      <c r="C3462" s="27" t="s">
        <v>6</v>
      </c>
      <c r="D3462" s="27" t="s">
        <v>16</v>
      </c>
      <c r="E3462" s="28">
        <v>71600</v>
      </c>
      <c r="F3462" s="28">
        <v>71600</v>
      </c>
      <c r="G3462" s="27" t="s">
        <v>11</v>
      </c>
      <c r="H3462" s="27" t="s">
        <v>6501</v>
      </c>
      <c r="I3462" s="27" t="s">
        <v>9</v>
      </c>
    </row>
    <row r="3463" spans="1:9" x14ac:dyDescent="0.3">
      <c r="A3463" s="26">
        <v>45112</v>
      </c>
      <c r="B3463" s="27" t="s">
        <v>121</v>
      </c>
      <c r="C3463" s="27" t="s">
        <v>6</v>
      </c>
      <c r="D3463" s="27" t="s">
        <v>19</v>
      </c>
      <c r="E3463" s="28">
        <v>156100</v>
      </c>
      <c r="F3463" s="28">
        <v>155500</v>
      </c>
      <c r="G3463" s="27" t="s">
        <v>22</v>
      </c>
      <c r="H3463" s="27" t="s">
        <v>6508</v>
      </c>
      <c r="I3463" s="27" t="s">
        <v>9</v>
      </c>
    </row>
    <row r="3464" spans="1:9" x14ac:dyDescent="0.3">
      <c r="A3464" s="26">
        <v>45113</v>
      </c>
      <c r="B3464" s="27" t="s">
        <v>121</v>
      </c>
      <c r="C3464" s="27" t="s">
        <v>14</v>
      </c>
      <c r="D3464" s="27" t="s">
        <v>19</v>
      </c>
      <c r="E3464" s="28">
        <v>18143</v>
      </c>
      <c r="F3464" s="28">
        <v>51189</v>
      </c>
      <c r="G3464" s="27" t="s">
        <v>22</v>
      </c>
      <c r="H3464" s="27" t="s">
        <v>634</v>
      </c>
      <c r="I3464" s="27" t="s">
        <v>13</v>
      </c>
    </row>
    <row r="3465" spans="1:9" x14ac:dyDescent="0.3">
      <c r="A3465" s="26">
        <v>45113</v>
      </c>
      <c r="B3465" s="27" t="s">
        <v>121</v>
      </c>
      <c r="C3465" s="27" t="s">
        <v>20</v>
      </c>
      <c r="D3465" s="27" t="s">
        <v>19</v>
      </c>
      <c r="E3465" s="28">
        <v>102408</v>
      </c>
      <c r="F3465" s="28">
        <v>152931</v>
      </c>
      <c r="G3465" s="27" t="s">
        <v>11</v>
      </c>
      <c r="H3465" s="27" t="s">
        <v>712</v>
      </c>
      <c r="I3465" s="27" t="s">
        <v>13</v>
      </c>
    </row>
    <row r="3466" spans="1:9" x14ac:dyDescent="0.3">
      <c r="A3466" s="26">
        <v>45113</v>
      </c>
      <c r="B3466" s="27" t="s">
        <v>121</v>
      </c>
      <c r="C3466" s="27" t="s">
        <v>10</v>
      </c>
      <c r="D3466" s="27" t="s">
        <v>21</v>
      </c>
      <c r="E3466" s="28">
        <v>49035</v>
      </c>
      <c r="F3466" s="28">
        <v>137401</v>
      </c>
      <c r="G3466" s="27" t="s">
        <v>17</v>
      </c>
      <c r="H3466" s="27" t="s">
        <v>810</v>
      </c>
      <c r="I3466" s="27" t="s">
        <v>13</v>
      </c>
    </row>
    <row r="3467" spans="1:9" x14ac:dyDescent="0.3">
      <c r="A3467" s="26">
        <v>45113</v>
      </c>
      <c r="B3467" s="27" t="s">
        <v>121</v>
      </c>
      <c r="C3467" s="27" t="s">
        <v>20</v>
      </c>
      <c r="D3467" s="27" t="s">
        <v>7</v>
      </c>
      <c r="E3467" s="28">
        <v>63155</v>
      </c>
      <c r="F3467" s="28">
        <v>110798</v>
      </c>
      <c r="G3467" s="27" t="s">
        <v>11</v>
      </c>
      <c r="H3467" s="27" t="s">
        <v>1124</v>
      </c>
      <c r="I3467" s="27" t="s">
        <v>13</v>
      </c>
    </row>
    <row r="3468" spans="1:9" x14ac:dyDescent="0.3">
      <c r="A3468" s="26">
        <v>45113</v>
      </c>
      <c r="B3468" s="27" t="s">
        <v>121</v>
      </c>
      <c r="C3468" s="27" t="s">
        <v>15</v>
      </c>
      <c r="D3468" s="27" t="s">
        <v>16</v>
      </c>
      <c r="E3468" s="28">
        <v>93400</v>
      </c>
      <c r="F3468" s="28">
        <v>54273</v>
      </c>
      <c r="G3468" s="27" t="s">
        <v>22</v>
      </c>
      <c r="H3468" s="27" t="s">
        <v>1166</v>
      </c>
      <c r="I3468" s="27" t="s">
        <v>13</v>
      </c>
    </row>
    <row r="3469" spans="1:9" x14ac:dyDescent="0.3">
      <c r="A3469" s="26">
        <v>45113</v>
      </c>
      <c r="B3469" s="27" t="s">
        <v>121</v>
      </c>
      <c r="C3469" s="27" t="s">
        <v>20</v>
      </c>
      <c r="D3469" s="27" t="s">
        <v>24</v>
      </c>
      <c r="E3469" s="28">
        <v>80029</v>
      </c>
      <c r="F3469" s="28">
        <v>78068</v>
      </c>
      <c r="G3469" s="27" t="s">
        <v>8</v>
      </c>
      <c r="H3469" s="27" t="s">
        <v>1291</v>
      </c>
      <c r="I3469" s="27" t="s">
        <v>13</v>
      </c>
    </row>
    <row r="3470" spans="1:9" x14ac:dyDescent="0.3">
      <c r="A3470" s="26">
        <v>45113</v>
      </c>
      <c r="B3470" s="27" t="s">
        <v>121</v>
      </c>
      <c r="C3470" s="27" t="s">
        <v>10</v>
      </c>
      <c r="D3470" s="27" t="s">
        <v>16</v>
      </c>
      <c r="E3470" s="28">
        <v>97172</v>
      </c>
      <c r="F3470" s="28">
        <v>33544</v>
      </c>
      <c r="G3470" s="27" t="s">
        <v>11</v>
      </c>
      <c r="H3470" s="27" t="s">
        <v>1564</v>
      </c>
      <c r="I3470" s="27" t="s">
        <v>13</v>
      </c>
    </row>
    <row r="3471" spans="1:9" x14ac:dyDescent="0.3">
      <c r="A3471" s="26">
        <v>45113</v>
      </c>
      <c r="B3471" s="27" t="s">
        <v>121</v>
      </c>
      <c r="C3471" s="27" t="s">
        <v>10</v>
      </c>
      <c r="D3471" s="27" t="s">
        <v>19</v>
      </c>
      <c r="E3471" s="28">
        <v>21957</v>
      </c>
      <c r="F3471" s="28">
        <v>123796</v>
      </c>
      <c r="G3471" s="27" t="s">
        <v>17</v>
      </c>
      <c r="H3471" s="27" t="s">
        <v>1767</v>
      </c>
      <c r="I3471" s="27" t="s">
        <v>13</v>
      </c>
    </row>
    <row r="3472" spans="1:9" x14ac:dyDescent="0.3">
      <c r="A3472" s="26">
        <v>45113</v>
      </c>
      <c r="B3472" s="27" t="s">
        <v>121</v>
      </c>
      <c r="C3472" s="27" t="s">
        <v>20</v>
      </c>
      <c r="D3472" s="27" t="s">
        <v>21</v>
      </c>
      <c r="E3472" s="28">
        <v>74413</v>
      </c>
      <c r="F3472" s="28">
        <v>83281</v>
      </c>
      <c r="G3472" s="27" t="s">
        <v>11</v>
      </c>
      <c r="H3472" s="27" t="s">
        <v>1800</v>
      </c>
      <c r="I3472" s="27" t="s">
        <v>13</v>
      </c>
    </row>
    <row r="3473" spans="1:9" x14ac:dyDescent="0.3">
      <c r="A3473" s="26">
        <v>45113</v>
      </c>
      <c r="B3473" s="27" t="s">
        <v>121</v>
      </c>
      <c r="C3473" s="27" t="s">
        <v>15</v>
      </c>
      <c r="D3473" s="27" t="s">
        <v>24</v>
      </c>
      <c r="E3473" s="28">
        <v>67369</v>
      </c>
      <c r="F3473" s="28">
        <v>60172</v>
      </c>
      <c r="G3473" s="27" t="s">
        <v>22</v>
      </c>
      <c r="H3473" s="27" t="s">
        <v>1959</v>
      </c>
      <c r="I3473" s="27" t="s">
        <v>13</v>
      </c>
    </row>
    <row r="3474" spans="1:9" x14ac:dyDescent="0.3">
      <c r="A3474" s="26">
        <v>45113</v>
      </c>
      <c r="B3474" s="27" t="s">
        <v>121</v>
      </c>
      <c r="C3474" s="27" t="s">
        <v>18</v>
      </c>
      <c r="D3474" s="27" t="s">
        <v>16</v>
      </c>
      <c r="E3474" s="28">
        <v>29935</v>
      </c>
      <c r="F3474" s="28">
        <v>158857</v>
      </c>
      <c r="G3474" s="27" t="s">
        <v>8</v>
      </c>
      <c r="H3474" s="27" t="s">
        <v>2506</v>
      </c>
      <c r="I3474" s="27" t="s">
        <v>13</v>
      </c>
    </row>
    <row r="3475" spans="1:9" x14ac:dyDescent="0.3">
      <c r="A3475" s="26">
        <v>45113</v>
      </c>
      <c r="B3475" s="27" t="s">
        <v>121</v>
      </c>
      <c r="C3475" s="27" t="s">
        <v>20</v>
      </c>
      <c r="D3475" s="27" t="s">
        <v>21</v>
      </c>
      <c r="E3475" s="28">
        <v>125815</v>
      </c>
      <c r="F3475" s="28">
        <v>37345</v>
      </c>
      <c r="G3475" s="27" t="s">
        <v>17</v>
      </c>
      <c r="H3475" s="27" t="s">
        <v>2535</v>
      </c>
      <c r="I3475" s="27" t="s">
        <v>13</v>
      </c>
    </row>
    <row r="3476" spans="1:9" x14ac:dyDescent="0.3">
      <c r="A3476" s="26">
        <v>45113</v>
      </c>
      <c r="B3476" s="27" t="s">
        <v>121</v>
      </c>
      <c r="C3476" s="27" t="s">
        <v>18</v>
      </c>
      <c r="D3476" s="27" t="s">
        <v>16</v>
      </c>
      <c r="E3476" s="28">
        <v>64571</v>
      </c>
      <c r="F3476" s="28">
        <v>72237</v>
      </c>
      <c r="G3476" s="27" t="s">
        <v>17</v>
      </c>
      <c r="H3476" s="27" t="s">
        <v>2755</v>
      </c>
      <c r="I3476" s="27" t="s">
        <v>13</v>
      </c>
    </row>
    <row r="3477" spans="1:9" x14ac:dyDescent="0.3">
      <c r="A3477" s="26">
        <v>45113</v>
      </c>
      <c r="B3477" s="27" t="s">
        <v>121</v>
      </c>
      <c r="C3477" s="27" t="s">
        <v>15</v>
      </c>
      <c r="D3477" s="27" t="s">
        <v>24</v>
      </c>
      <c r="E3477" s="28">
        <v>79087</v>
      </c>
      <c r="F3477" s="28">
        <v>13410</v>
      </c>
      <c r="G3477" s="27" t="s">
        <v>11</v>
      </c>
      <c r="H3477" s="27" t="s">
        <v>3183</v>
      </c>
      <c r="I3477" s="27" t="s">
        <v>13</v>
      </c>
    </row>
    <row r="3478" spans="1:9" x14ac:dyDescent="0.3">
      <c r="A3478" s="26">
        <v>45113</v>
      </c>
      <c r="B3478" s="27" t="s">
        <v>121</v>
      </c>
      <c r="C3478" s="27" t="s">
        <v>93</v>
      </c>
      <c r="D3478" s="27" t="s">
        <v>19</v>
      </c>
      <c r="E3478" s="28">
        <v>125300</v>
      </c>
      <c r="F3478" s="28">
        <v>122200</v>
      </c>
      <c r="G3478" s="27" t="s">
        <v>22</v>
      </c>
      <c r="H3478" s="27" t="s">
        <v>4015</v>
      </c>
      <c r="I3478" s="27" t="s">
        <v>9</v>
      </c>
    </row>
    <row r="3479" spans="1:9" x14ac:dyDescent="0.3">
      <c r="A3479" s="26">
        <v>45113</v>
      </c>
      <c r="B3479" s="27" t="s">
        <v>121</v>
      </c>
      <c r="C3479" s="27" t="s">
        <v>93</v>
      </c>
      <c r="D3479" s="27" t="s">
        <v>19</v>
      </c>
      <c r="E3479" s="28">
        <v>185000</v>
      </c>
      <c r="F3479" s="28">
        <v>122800</v>
      </c>
      <c r="G3479" s="27" t="s">
        <v>11</v>
      </c>
      <c r="H3479" s="27" t="s">
        <v>4093</v>
      </c>
      <c r="I3479" s="27" t="s">
        <v>9</v>
      </c>
    </row>
    <row r="3480" spans="1:9" x14ac:dyDescent="0.3">
      <c r="A3480" s="26">
        <v>45113</v>
      </c>
      <c r="B3480" s="27" t="s">
        <v>121</v>
      </c>
      <c r="C3480" s="27" t="s">
        <v>6</v>
      </c>
      <c r="D3480" s="27" t="s">
        <v>21</v>
      </c>
      <c r="E3480" s="28">
        <v>90800</v>
      </c>
      <c r="F3480" s="28">
        <v>72200</v>
      </c>
      <c r="G3480" s="27" t="s">
        <v>11</v>
      </c>
      <c r="H3480" s="27" t="s">
        <v>4191</v>
      </c>
      <c r="I3480" s="27" t="s">
        <v>9</v>
      </c>
    </row>
    <row r="3481" spans="1:9" x14ac:dyDescent="0.3">
      <c r="A3481" s="26">
        <v>45113</v>
      </c>
      <c r="B3481" s="27" t="s">
        <v>121</v>
      </c>
      <c r="C3481" s="27" t="s">
        <v>6</v>
      </c>
      <c r="D3481" s="27" t="s">
        <v>7</v>
      </c>
      <c r="E3481" s="28">
        <v>105500</v>
      </c>
      <c r="F3481" s="28">
        <v>94600</v>
      </c>
      <c r="G3481" s="27" t="s">
        <v>11</v>
      </c>
      <c r="H3481" s="27" t="s">
        <v>4507</v>
      </c>
      <c r="I3481" s="27" t="s">
        <v>9</v>
      </c>
    </row>
    <row r="3482" spans="1:9" x14ac:dyDescent="0.3">
      <c r="A3482" s="26">
        <v>45113</v>
      </c>
      <c r="B3482" s="27" t="s">
        <v>121</v>
      </c>
      <c r="C3482" s="27" t="s">
        <v>6</v>
      </c>
      <c r="D3482" s="27" t="s">
        <v>16</v>
      </c>
      <c r="E3482" s="28">
        <v>110000</v>
      </c>
      <c r="F3482" s="28">
        <v>124800</v>
      </c>
      <c r="G3482" s="27" t="s">
        <v>17</v>
      </c>
      <c r="H3482" s="27" t="s">
        <v>4549</v>
      </c>
      <c r="I3482" s="27" t="s">
        <v>9</v>
      </c>
    </row>
    <row r="3483" spans="1:9" x14ac:dyDescent="0.3">
      <c r="A3483" s="26">
        <v>45113</v>
      </c>
      <c r="B3483" s="27" t="s">
        <v>121</v>
      </c>
      <c r="C3483" s="27" t="s">
        <v>6</v>
      </c>
      <c r="D3483" s="27" t="s">
        <v>24</v>
      </c>
      <c r="E3483" s="28">
        <v>83800</v>
      </c>
      <c r="F3483" s="28">
        <v>88100</v>
      </c>
      <c r="G3483" s="27" t="s">
        <v>22</v>
      </c>
      <c r="H3483" s="27" t="s">
        <v>4674</v>
      </c>
      <c r="I3483" s="27" t="s">
        <v>9</v>
      </c>
    </row>
    <row r="3484" spans="1:9" x14ac:dyDescent="0.3">
      <c r="A3484" s="26">
        <v>45113</v>
      </c>
      <c r="B3484" s="27" t="s">
        <v>121</v>
      </c>
      <c r="C3484" s="27" t="s">
        <v>6</v>
      </c>
      <c r="D3484" s="27" t="s">
        <v>16</v>
      </c>
      <c r="E3484" s="28">
        <v>144400</v>
      </c>
      <c r="F3484" s="28">
        <v>158200</v>
      </c>
      <c r="G3484" s="27" t="s">
        <v>11</v>
      </c>
      <c r="H3484" s="27" t="s">
        <v>4947</v>
      </c>
      <c r="I3484" s="27" t="s">
        <v>9</v>
      </c>
    </row>
    <row r="3485" spans="1:9" x14ac:dyDescent="0.3">
      <c r="A3485" s="26">
        <v>45113</v>
      </c>
      <c r="B3485" s="27" t="s">
        <v>121</v>
      </c>
      <c r="C3485" s="27" t="s">
        <v>6</v>
      </c>
      <c r="D3485" s="27" t="s">
        <v>19</v>
      </c>
      <c r="E3485" s="28">
        <v>143600</v>
      </c>
      <c r="F3485" s="28">
        <v>133400</v>
      </c>
      <c r="G3485" s="27" t="s">
        <v>11</v>
      </c>
      <c r="H3485" s="27" t="s">
        <v>5150</v>
      </c>
      <c r="I3485" s="27" t="s">
        <v>9</v>
      </c>
    </row>
    <row r="3486" spans="1:9" x14ac:dyDescent="0.3">
      <c r="A3486" s="26">
        <v>45113</v>
      </c>
      <c r="B3486" s="27" t="s">
        <v>121</v>
      </c>
      <c r="C3486" s="27" t="s">
        <v>93</v>
      </c>
      <c r="D3486" s="27" t="s">
        <v>21</v>
      </c>
      <c r="E3486" s="28">
        <v>163500</v>
      </c>
      <c r="F3486" s="28">
        <v>210300</v>
      </c>
      <c r="G3486" s="27" t="s">
        <v>22</v>
      </c>
      <c r="H3486" s="27" t="s">
        <v>5183</v>
      </c>
      <c r="I3486" s="27" t="s">
        <v>9</v>
      </c>
    </row>
    <row r="3487" spans="1:9" x14ac:dyDescent="0.3">
      <c r="A3487" s="26">
        <v>45113</v>
      </c>
      <c r="B3487" s="27" t="s">
        <v>121</v>
      </c>
      <c r="C3487" s="27" t="s">
        <v>93</v>
      </c>
      <c r="D3487" s="27" t="s">
        <v>24</v>
      </c>
      <c r="E3487" s="28">
        <v>100500</v>
      </c>
      <c r="F3487" s="28">
        <v>121500</v>
      </c>
      <c r="G3487" s="27" t="s">
        <v>11</v>
      </c>
      <c r="H3487" s="27" t="s">
        <v>5343</v>
      </c>
      <c r="I3487" s="27" t="s">
        <v>9</v>
      </c>
    </row>
    <row r="3488" spans="1:9" x14ac:dyDescent="0.3">
      <c r="A3488" s="26">
        <v>45113</v>
      </c>
      <c r="B3488" s="27" t="s">
        <v>121</v>
      </c>
      <c r="C3488" s="27" t="s">
        <v>93</v>
      </c>
      <c r="D3488" s="27" t="s">
        <v>16</v>
      </c>
      <c r="E3488" s="28">
        <v>167300</v>
      </c>
      <c r="F3488" s="28">
        <v>179200</v>
      </c>
      <c r="G3488" s="27" t="s">
        <v>17</v>
      </c>
      <c r="H3488" s="27" t="s">
        <v>5891</v>
      </c>
      <c r="I3488" s="27" t="s">
        <v>9</v>
      </c>
    </row>
    <row r="3489" spans="1:9" x14ac:dyDescent="0.3">
      <c r="A3489" s="26">
        <v>45113</v>
      </c>
      <c r="B3489" s="27" t="s">
        <v>121</v>
      </c>
      <c r="C3489" s="27" t="s">
        <v>6</v>
      </c>
      <c r="D3489" s="27" t="s">
        <v>21</v>
      </c>
      <c r="E3489" s="28">
        <v>59400</v>
      </c>
      <c r="F3489" s="28">
        <v>60100</v>
      </c>
      <c r="G3489" s="27" t="s">
        <v>17</v>
      </c>
      <c r="H3489" s="27" t="s">
        <v>5920</v>
      </c>
      <c r="I3489" s="27" t="s">
        <v>9</v>
      </c>
    </row>
    <row r="3490" spans="1:9" x14ac:dyDescent="0.3">
      <c r="A3490" s="26">
        <v>45113</v>
      </c>
      <c r="B3490" s="27" t="s">
        <v>121</v>
      </c>
      <c r="C3490" s="27" t="s">
        <v>6</v>
      </c>
      <c r="D3490" s="27" t="s">
        <v>16</v>
      </c>
      <c r="E3490" s="28">
        <v>66500</v>
      </c>
      <c r="F3490" s="28">
        <v>65300</v>
      </c>
      <c r="G3490" s="27" t="s">
        <v>22</v>
      </c>
      <c r="H3490" s="27" t="s">
        <v>6140</v>
      </c>
      <c r="I3490" s="27" t="s">
        <v>9</v>
      </c>
    </row>
    <row r="3491" spans="1:9" x14ac:dyDescent="0.3">
      <c r="A3491" s="26">
        <v>45113</v>
      </c>
      <c r="B3491" s="27" t="s">
        <v>121</v>
      </c>
      <c r="C3491" s="27" t="s">
        <v>93</v>
      </c>
      <c r="D3491" s="27" t="s">
        <v>24</v>
      </c>
      <c r="E3491" s="28">
        <v>93400</v>
      </c>
      <c r="F3491" s="28">
        <v>98900</v>
      </c>
      <c r="G3491" s="27" t="s">
        <v>11</v>
      </c>
      <c r="H3491" s="27" t="s">
        <v>6568</v>
      </c>
      <c r="I3491" s="27" t="s">
        <v>9</v>
      </c>
    </row>
    <row r="3492" spans="1:9" x14ac:dyDescent="0.3">
      <c r="A3492" s="26">
        <v>45114</v>
      </c>
      <c r="B3492" s="27" t="s">
        <v>121</v>
      </c>
      <c r="C3492" s="27" t="s">
        <v>18</v>
      </c>
      <c r="D3492" s="27" t="s">
        <v>24</v>
      </c>
      <c r="E3492" s="28">
        <v>123866</v>
      </c>
      <c r="F3492" s="28">
        <v>24483</v>
      </c>
      <c r="G3492" s="27" t="s">
        <v>11</v>
      </c>
      <c r="H3492" s="27" t="s">
        <v>338</v>
      </c>
      <c r="I3492" s="27" t="s">
        <v>13</v>
      </c>
    </row>
    <row r="3493" spans="1:9" x14ac:dyDescent="0.3">
      <c r="A3493" s="26">
        <v>45114</v>
      </c>
      <c r="B3493" s="27" t="s">
        <v>121</v>
      </c>
      <c r="C3493" s="27" t="s">
        <v>14</v>
      </c>
      <c r="D3493" s="27" t="s">
        <v>16</v>
      </c>
      <c r="E3493" s="28">
        <v>75860</v>
      </c>
      <c r="F3493" s="28">
        <v>97835</v>
      </c>
      <c r="G3493" s="27" t="s">
        <v>11</v>
      </c>
      <c r="H3493" s="27" t="s">
        <v>519</v>
      </c>
      <c r="I3493" s="27" t="s">
        <v>13</v>
      </c>
    </row>
    <row r="3494" spans="1:9" x14ac:dyDescent="0.3">
      <c r="A3494" s="26">
        <v>45114</v>
      </c>
      <c r="B3494" s="27" t="s">
        <v>121</v>
      </c>
      <c r="C3494" s="27" t="s">
        <v>15</v>
      </c>
      <c r="D3494" s="27" t="s">
        <v>19</v>
      </c>
      <c r="E3494" s="28">
        <v>69263</v>
      </c>
      <c r="F3494" s="28">
        <v>71039</v>
      </c>
      <c r="G3494" s="27" t="s">
        <v>22</v>
      </c>
      <c r="H3494" s="27" t="s">
        <v>559</v>
      </c>
      <c r="I3494" s="27" t="s">
        <v>13</v>
      </c>
    </row>
    <row r="3495" spans="1:9" x14ac:dyDescent="0.3">
      <c r="A3495" s="26">
        <v>45114</v>
      </c>
      <c r="B3495" s="27" t="s">
        <v>121</v>
      </c>
      <c r="C3495" s="27" t="s">
        <v>20</v>
      </c>
      <c r="D3495" s="27" t="s">
        <v>19</v>
      </c>
      <c r="E3495" s="28">
        <v>45942</v>
      </c>
      <c r="F3495" s="28">
        <v>103105</v>
      </c>
      <c r="G3495" s="27" t="s">
        <v>17</v>
      </c>
      <c r="H3495" s="27" t="s">
        <v>1160</v>
      </c>
      <c r="I3495" s="27" t="s">
        <v>13</v>
      </c>
    </row>
    <row r="3496" spans="1:9" x14ac:dyDescent="0.3">
      <c r="A3496" s="26">
        <v>45114</v>
      </c>
      <c r="B3496" s="27" t="s">
        <v>121</v>
      </c>
      <c r="C3496" s="27" t="s">
        <v>14</v>
      </c>
      <c r="D3496" s="27" t="s">
        <v>19</v>
      </c>
      <c r="E3496" s="28">
        <v>130872</v>
      </c>
      <c r="F3496" s="28">
        <v>79031</v>
      </c>
      <c r="G3496" s="27" t="s">
        <v>11</v>
      </c>
      <c r="H3496" s="27" t="s">
        <v>1308</v>
      </c>
      <c r="I3496" s="27" t="s">
        <v>13</v>
      </c>
    </row>
    <row r="3497" spans="1:9" x14ac:dyDescent="0.3">
      <c r="A3497" s="26">
        <v>45114</v>
      </c>
      <c r="B3497" s="27" t="s">
        <v>121</v>
      </c>
      <c r="C3497" s="27" t="s">
        <v>10</v>
      </c>
      <c r="D3497" s="27" t="s">
        <v>19</v>
      </c>
      <c r="E3497" s="28">
        <v>103116</v>
      </c>
      <c r="F3497" s="28">
        <v>84894</v>
      </c>
      <c r="G3497" s="27" t="s">
        <v>8</v>
      </c>
      <c r="H3497" s="27" t="s">
        <v>1533</v>
      </c>
      <c r="I3497" s="27" t="s">
        <v>13</v>
      </c>
    </row>
    <row r="3498" spans="1:9" x14ac:dyDescent="0.3">
      <c r="A3498" s="26">
        <v>45114</v>
      </c>
      <c r="B3498" s="27" t="s">
        <v>121</v>
      </c>
      <c r="C3498" s="27" t="s">
        <v>32</v>
      </c>
      <c r="D3498" s="27" t="s">
        <v>21</v>
      </c>
      <c r="E3498" s="28">
        <v>12902</v>
      </c>
      <c r="F3498" s="28">
        <v>136245</v>
      </c>
      <c r="G3498" s="27" t="s">
        <v>17</v>
      </c>
      <c r="H3498" s="27" t="s">
        <v>2482</v>
      </c>
      <c r="I3498" s="27" t="s">
        <v>13</v>
      </c>
    </row>
    <row r="3499" spans="1:9" x14ac:dyDescent="0.3">
      <c r="A3499" s="26">
        <v>45114</v>
      </c>
      <c r="B3499" s="27" t="s">
        <v>121</v>
      </c>
      <c r="C3499" s="27" t="s">
        <v>18</v>
      </c>
      <c r="D3499" s="27" t="s">
        <v>24</v>
      </c>
      <c r="E3499" s="28">
        <v>93633</v>
      </c>
      <c r="F3499" s="28">
        <v>75799</v>
      </c>
      <c r="G3499" s="27" t="s">
        <v>8</v>
      </c>
      <c r="H3499" s="27" t="s">
        <v>2766</v>
      </c>
      <c r="I3499" s="27" t="s">
        <v>13</v>
      </c>
    </row>
    <row r="3500" spans="1:9" x14ac:dyDescent="0.3">
      <c r="A3500" s="26">
        <v>45114</v>
      </c>
      <c r="B3500" s="27" t="s">
        <v>121</v>
      </c>
      <c r="C3500" s="27" t="s">
        <v>15</v>
      </c>
      <c r="D3500" s="27" t="s">
        <v>19</v>
      </c>
      <c r="E3500" s="28">
        <v>13910</v>
      </c>
      <c r="F3500" s="28">
        <v>126262</v>
      </c>
      <c r="G3500" s="27" t="s">
        <v>8</v>
      </c>
      <c r="H3500" s="27" t="s">
        <v>2888</v>
      </c>
      <c r="I3500" s="27" t="s">
        <v>13</v>
      </c>
    </row>
    <row r="3501" spans="1:9" x14ac:dyDescent="0.3">
      <c r="A3501" s="26">
        <v>45114</v>
      </c>
      <c r="B3501" s="27" t="s">
        <v>121</v>
      </c>
      <c r="C3501" s="27" t="s">
        <v>6</v>
      </c>
      <c r="D3501" s="27" t="s">
        <v>24</v>
      </c>
      <c r="E3501" s="28">
        <v>113300</v>
      </c>
      <c r="F3501" s="28">
        <v>149600</v>
      </c>
      <c r="G3501" s="27" t="s">
        <v>17</v>
      </c>
      <c r="H3501" s="27" t="s">
        <v>3719</v>
      </c>
      <c r="I3501" s="27" t="s">
        <v>9</v>
      </c>
    </row>
    <row r="3502" spans="1:9" x14ac:dyDescent="0.3">
      <c r="A3502" s="26">
        <v>45114</v>
      </c>
      <c r="B3502" s="27" t="s">
        <v>121</v>
      </c>
      <c r="C3502" s="27" t="s">
        <v>6</v>
      </c>
      <c r="D3502" s="27" t="s">
        <v>16</v>
      </c>
      <c r="E3502" s="28">
        <v>136600</v>
      </c>
      <c r="F3502" s="28">
        <v>146800</v>
      </c>
      <c r="G3502" s="27" t="s">
        <v>11</v>
      </c>
      <c r="H3502" s="27" t="s">
        <v>3900</v>
      </c>
      <c r="I3502" s="27" t="s">
        <v>9</v>
      </c>
    </row>
    <row r="3503" spans="1:9" x14ac:dyDescent="0.3">
      <c r="A3503" s="26">
        <v>45114</v>
      </c>
      <c r="B3503" s="27" t="s">
        <v>121</v>
      </c>
      <c r="C3503" s="27" t="s">
        <v>93</v>
      </c>
      <c r="D3503" s="27" t="s">
        <v>19</v>
      </c>
      <c r="E3503" s="28">
        <v>145600</v>
      </c>
      <c r="F3503" s="28">
        <v>146700</v>
      </c>
      <c r="G3503" s="27" t="s">
        <v>11</v>
      </c>
      <c r="H3503" s="27" t="s">
        <v>3940</v>
      </c>
      <c r="I3503" s="27" t="s">
        <v>9</v>
      </c>
    </row>
    <row r="3504" spans="1:9" x14ac:dyDescent="0.3">
      <c r="A3504" s="26">
        <v>45114</v>
      </c>
      <c r="B3504" s="27" t="s">
        <v>121</v>
      </c>
      <c r="C3504" s="27" t="s">
        <v>6</v>
      </c>
      <c r="D3504" s="27" t="s">
        <v>19</v>
      </c>
      <c r="E3504" s="28">
        <v>213900</v>
      </c>
      <c r="F3504" s="28">
        <v>252700</v>
      </c>
      <c r="G3504" s="27" t="s">
        <v>11</v>
      </c>
      <c r="H3504" s="27" t="s">
        <v>4543</v>
      </c>
      <c r="I3504" s="27" t="s">
        <v>9</v>
      </c>
    </row>
    <row r="3505" spans="1:9" x14ac:dyDescent="0.3">
      <c r="A3505" s="26">
        <v>45114</v>
      </c>
      <c r="B3505" s="27" t="s">
        <v>121</v>
      </c>
      <c r="C3505" s="27" t="s">
        <v>6</v>
      </c>
      <c r="D3505" s="27" t="s">
        <v>19</v>
      </c>
      <c r="E3505" s="28">
        <v>72400</v>
      </c>
      <c r="F3505" s="28">
        <v>75700</v>
      </c>
      <c r="G3505" s="27" t="s">
        <v>11</v>
      </c>
      <c r="H3505" s="27" t="s">
        <v>4691</v>
      </c>
      <c r="I3505" s="27" t="s">
        <v>9</v>
      </c>
    </row>
    <row r="3506" spans="1:9" x14ac:dyDescent="0.3">
      <c r="A3506" s="26">
        <v>45114</v>
      </c>
      <c r="B3506" s="27" t="s">
        <v>121</v>
      </c>
      <c r="C3506" s="27" t="s">
        <v>93</v>
      </c>
      <c r="D3506" s="27" t="s">
        <v>19</v>
      </c>
      <c r="E3506" s="28">
        <v>111900</v>
      </c>
      <c r="F3506" s="28">
        <v>112800</v>
      </c>
      <c r="G3506" s="27" t="s">
        <v>17</v>
      </c>
      <c r="H3506" s="27" t="s">
        <v>4916</v>
      </c>
      <c r="I3506" s="27" t="s">
        <v>9</v>
      </c>
    </row>
    <row r="3507" spans="1:9" x14ac:dyDescent="0.3">
      <c r="A3507" s="26">
        <v>45114</v>
      </c>
      <c r="B3507" s="27" t="s">
        <v>121</v>
      </c>
      <c r="C3507" s="27" t="s">
        <v>93</v>
      </c>
      <c r="D3507" s="27" t="s">
        <v>21</v>
      </c>
      <c r="E3507" s="28">
        <v>62900</v>
      </c>
      <c r="F3507" s="28">
        <v>66900</v>
      </c>
      <c r="G3507" s="27" t="s">
        <v>22</v>
      </c>
      <c r="H3507" s="27" t="s">
        <v>5867</v>
      </c>
      <c r="I3507" s="27" t="s">
        <v>9</v>
      </c>
    </row>
    <row r="3508" spans="1:9" x14ac:dyDescent="0.3">
      <c r="A3508" s="26">
        <v>45114</v>
      </c>
      <c r="B3508" s="27" t="s">
        <v>121</v>
      </c>
      <c r="C3508" s="27" t="s">
        <v>6</v>
      </c>
      <c r="D3508" s="27" t="s">
        <v>24</v>
      </c>
      <c r="E3508" s="28">
        <v>160700</v>
      </c>
      <c r="F3508" s="28">
        <v>232900</v>
      </c>
      <c r="G3508" s="27" t="s">
        <v>11</v>
      </c>
      <c r="H3508" s="27" t="s">
        <v>6151</v>
      </c>
      <c r="I3508" s="27" t="s">
        <v>9</v>
      </c>
    </row>
    <row r="3509" spans="1:9" x14ac:dyDescent="0.3">
      <c r="A3509" s="26">
        <v>45114</v>
      </c>
      <c r="B3509" s="27" t="s">
        <v>121</v>
      </c>
      <c r="C3509" s="27" t="s">
        <v>93</v>
      </c>
      <c r="D3509" s="27" t="s">
        <v>19</v>
      </c>
      <c r="E3509" s="28">
        <v>71200</v>
      </c>
      <c r="F3509" s="28">
        <v>52400</v>
      </c>
      <c r="G3509" s="27" t="s">
        <v>11</v>
      </c>
      <c r="H3509" s="27" t="s">
        <v>6273</v>
      </c>
      <c r="I3509" s="27" t="s">
        <v>9</v>
      </c>
    </row>
    <row r="3510" spans="1:9" x14ac:dyDescent="0.3">
      <c r="A3510" s="26">
        <v>45115</v>
      </c>
      <c r="B3510" s="27" t="s">
        <v>121</v>
      </c>
      <c r="C3510" s="27" t="s">
        <v>20</v>
      </c>
      <c r="D3510" s="27" t="s">
        <v>24</v>
      </c>
      <c r="E3510" s="28">
        <v>77448</v>
      </c>
      <c r="F3510" s="28">
        <v>109374</v>
      </c>
      <c r="G3510" s="27" t="s">
        <v>22</v>
      </c>
      <c r="H3510" s="27" t="s">
        <v>282</v>
      </c>
      <c r="I3510" s="27" t="s">
        <v>13</v>
      </c>
    </row>
    <row r="3511" spans="1:9" x14ac:dyDescent="0.3">
      <c r="A3511" s="26">
        <v>45115</v>
      </c>
      <c r="B3511" s="27" t="s">
        <v>121</v>
      </c>
      <c r="C3511" s="27" t="s">
        <v>14</v>
      </c>
      <c r="D3511" s="27" t="s">
        <v>21</v>
      </c>
      <c r="E3511" s="28">
        <v>76527</v>
      </c>
      <c r="F3511" s="28">
        <v>159094</v>
      </c>
      <c r="G3511" s="27" t="s">
        <v>11</v>
      </c>
      <c r="H3511" s="27" t="s">
        <v>312</v>
      </c>
      <c r="I3511" s="27" t="s">
        <v>13</v>
      </c>
    </row>
    <row r="3512" spans="1:9" x14ac:dyDescent="0.3">
      <c r="A3512" s="26">
        <v>45115</v>
      </c>
      <c r="B3512" s="27" t="s">
        <v>121</v>
      </c>
      <c r="C3512" s="27" t="s">
        <v>10</v>
      </c>
      <c r="D3512" s="27" t="s">
        <v>7</v>
      </c>
      <c r="E3512" s="28">
        <v>50456</v>
      </c>
      <c r="F3512" s="28">
        <v>58228</v>
      </c>
      <c r="G3512" s="27" t="s">
        <v>22</v>
      </c>
      <c r="H3512" s="27" t="s">
        <v>598</v>
      </c>
      <c r="I3512" s="27" t="s">
        <v>13</v>
      </c>
    </row>
    <row r="3513" spans="1:9" x14ac:dyDescent="0.3">
      <c r="A3513" s="26">
        <v>45115</v>
      </c>
      <c r="B3513" s="27" t="s">
        <v>121</v>
      </c>
      <c r="C3513" s="27" t="s">
        <v>18</v>
      </c>
      <c r="D3513" s="27" t="s">
        <v>21</v>
      </c>
      <c r="E3513" s="28">
        <v>10606</v>
      </c>
      <c r="F3513" s="28">
        <v>130164</v>
      </c>
      <c r="G3513" s="27" t="s">
        <v>22</v>
      </c>
      <c r="H3513" s="27" t="s">
        <v>615</v>
      </c>
      <c r="I3513" s="27" t="s">
        <v>13</v>
      </c>
    </row>
    <row r="3514" spans="1:9" x14ac:dyDescent="0.3">
      <c r="A3514" s="26">
        <v>45115</v>
      </c>
      <c r="B3514" s="27" t="s">
        <v>121</v>
      </c>
      <c r="C3514" s="27" t="s">
        <v>14</v>
      </c>
      <c r="D3514" s="27" t="s">
        <v>7</v>
      </c>
      <c r="E3514" s="28">
        <v>129742</v>
      </c>
      <c r="F3514" s="28">
        <v>46002</v>
      </c>
      <c r="G3514" s="27" t="s">
        <v>17</v>
      </c>
      <c r="H3514" s="27" t="s">
        <v>1487</v>
      </c>
      <c r="I3514" s="27" t="s">
        <v>13</v>
      </c>
    </row>
    <row r="3515" spans="1:9" x14ac:dyDescent="0.3">
      <c r="A3515" s="26">
        <v>45115</v>
      </c>
      <c r="B3515" s="27" t="s">
        <v>121</v>
      </c>
      <c r="C3515" s="27" t="s">
        <v>15</v>
      </c>
      <c r="D3515" s="27" t="s">
        <v>7</v>
      </c>
      <c r="E3515" s="28">
        <v>65100</v>
      </c>
      <c r="F3515" s="28">
        <v>56247</v>
      </c>
      <c r="G3515" s="27" t="s">
        <v>11</v>
      </c>
      <c r="H3515" s="27" t="s">
        <v>1669</v>
      </c>
      <c r="I3515" s="27" t="s">
        <v>13</v>
      </c>
    </row>
    <row r="3516" spans="1:9" x14ac:dyDescent="0.3">
      <c r="A3516" s="26">
        <v>45115</v>
      </c>
      <c r="B3516" s="27" t="s">
        <v>121</v>
      </c>
      <c r="C3516" s="27" t="s">
        <v>18</v>
      </c>
      <c r="D3516" s="27" t="s">
        <v>24</v>
      </c>
      <c r="E3516" s="28">
        <v>144137</v>
      </c>
      <c r="F3516" s="28">
        <v>114062</v>
      </c>
      <c r="G3516" s="27" t="s">
        <v>17</v>
      </c>
      <c r="H3516" s="27" t="s">
        <v>1670</v>
      </c>
      <c r="I3516" s="27" t="s">
        <v>13</v>
      </c>
    </row>
    <row r="3517" spans="1:9" x14ac:dyDescent="0.3">
      <c r="A3517" s="26">
        <v>45115</v>
      </c>
      <c r="B3517" s="27" t="s">
        <v>121</v>
      </c>
      <c r="C3517" s="27" t="s">
        <v>18</v>
      </c>
      <c r="D3517" s="27" t="s">
        <v>16</v>
      </c>
      <c r="E3517" s="28">
        <v>91242</v>
      </c>
      <c r="F3517" s="28">
        <v>158165</v>
      </c>
      <c r="G3517" s="27" t="s">
        <v>8</v>
      </c>
      <c r="H3517" s="27" t="s">
        <v>1761</v>
      </c>
      <c r="I3517" s="27" t="s">
        <v>13</v>
      </c>
    </row>
    <row r="3518" spans="1:9" x14ac:dyDescent="0.3">
      <c r="A3518" s="26">
        <v>45115</v>
      </c>
      <c r="B3518" s="27" t="s">
        <v>121</v>
      </c>
      <c r="C3518" s="27" t="s">
        <v>32</v>
      </c>
      <c r="D3518" s="27" t="s">
        <v>19</v>
      </c>
      <c r="E3518" s="28">
        <v>111706</v>
      </c>
      <c r="F3518" s="28">
        <v>164338</v>
      </c>
      <c r="G3518" s="27" t="s">
        <v>11</v>
      </c>
      <c r="H3518" s="27" t="s">
        <v>1943</v>
      </c>
      <c r="I3518" s="27" t="s">
        <v>13</v>
      </c>
    </row>
    <row r="3519" spans="1:9" x14ac:dyDescent="0.3">
      <c r="A3519" s="26">
        <v>45115</v>
      </c>
      <c r="B3519" s="27" t="s">
        <v>121</v>
      </c>
      <c r="C3519" s="27" t="s">
        <v>32</v>
      </c>
      <c r="D3519" s="27" t="s">
        <v>24</v>
      </c>
      <c r="E3519" s="28">
        <v>72030</v>
      </c>
      <c r="F3519" s="28">
        <v>32041</v>
      </c>
      <c r="G3519" s="27" t="s">
        <v>11</v>
      </c>
      <c r="H3519" s="27" t="s">
        <v>2305</v>
      </c>
      <c r="I3519" s="27" t="s">
        <v>13</v>
      </c>
    </row>
    <row r="3520" spans="1:9" x14ac:dyDescent="0.3">
      <c r="A3520" s="26">
        <v>45115</v>
      </c>
      <c r="B3520" s="27" t="s">
        <v>121</v>
      </c>
      <c r="C3520" s="27" t="s">
        <v>32</v>
      </c>
      <c r="D3520" s="27" t="s">
        <v>21</v>
      </c>
      <c r="E3520" s="28">
        <v>14521</v>
      </c>
      <c r="F3520" s="28">
        <v>26672</v>
      </c>
      <c r="G3520" s="27" t="s">
        <v>22</v>
      </c>
      <c r="H3520" s="27" t="s">
        <v>2484</v>
      </c>
      <c r="I3520" s="27" t="s">
        <v>13</v>
      </c>
    </row>
    <row r="3521" spans="1:9" x14ac:dyDescent="0.3">
      <c r="A3521" s="26">
        <v>45115</v>
      </c>
      <c r="B3521" s="27" t="s">
        <v>121</v>
      </c>
      <c r="C3521" s="27" t="s">
        <v>18</v>
      </c>
      <c r="D3521" s="27" t="s">
        <v>7</v>
      </c>
      <c r="E3521" s="28">
        <v>17649</v>
      </c>
      <c r="F3521" s="28">
        <v>120665</v>
      </c>
      <c r="G3521" s="27" t="s">
        <v>11</v>
      </c>
      <c r="H3521" s="27" t="s">
        <v>2806</v>
      </c>
      <c r="I3521" s="27" t="s">
        <v>13</v>
      </c>
    </row>
    <row r="3522" spans="1:9" x14ac:dyDescent="0.3">
      <c r="A3522" s="26">
        <v>45115</v>
      </c>
      <c r="B3522" s="27" t="s">
        <v>121</v>
      </c>
      <c r="C3522" s="27" t="s">
        <v>20</v>
      </c>
      <c r="D3522" s="27" t="s">
        <v>24</v>
      </c>
      <c r="E3522" s="28">
        <v>43144</v>
      </c>
      <c r="F3522" s="28">
        <v>64600</v>
      </c>
      <c r="G3522" s="27" t="s">
        <v>22</v>
      </c>
      <c r="H3522" s="27" t="s">
        <v>3129</v>
      </c>
      <c r="I3522" s="27" t="s">
        <v>13</v>
      </c>
    </row>
    <row r="3523" spans="1:9" x14ac:dyDescent="0.3">
      <c r="A3523" s="26">
        <v>45115</v>
      </c>
      <c r="B3523" s="27" t="s">
        <v>121</v>
      </c>
      <c r="C3523" s="27" t="s">
        <v>10</v>
      </c>
      <c r="D3523" s="27" t="s">
        <v>7</v>
      </c>
      <c r="E3523" s="28">
        <v>100222</v>
      </c>
      <c r="F3523" s="28">
        <v>25067</v>
      </c>
      <c r="G3523" s="27" t="s">
        <v>11</v>
      </c>
      <c r="H3523" s="27" t="s">
        <v>3325</v>
      </c>
      <c r="I3523" s="27" t="s">
        <v>13</v>
      </c>
    </row>
    <row r="3524" spans="1:9" x14ac:dyDescent="0.3">
      <c r="A3524" s="26">
        <v>45115</v>
      </c>
      <c r="B3524" s="27" t="s">
        <v>121</v>
      </c>
      <c r="C3524" s="27" t="s">
        <v>14</v>
      </c>
      <c r="D3524" s="27" t="s">
        <v>19</v>
      </c>
      <c r="E3524" s="28">
        <v>129705</v>
      </c>
      <c r="F3524" s="28">
        <v>100969</v>
      </c>
      <c r="G3524" s="27" t="s">
        <v>22</v>
      </c>
      <c r="H3524" s="27" t="s">
        <v>3335</v>
      </c>
      <c r="I3524" s="27" t="s">
        <v>13</v>
      </c>
    </row>
    <row r="3525" spans="1:9" x14ac:dyDescent="0.3">
      <c r="A3525" s="26">
        <v>45115</v>
      </c>
      <c r="B3525" s="27" t="s">
        <v>121</v>
      </c>
      <c r="C3525" s="27" t="s">
        <v>6</v>
      </c>
      <c r="D3525" s="27" t="s">
        <v>24</v>
      </c>
      <c r="E3525" s="28">
        <v>169300</v>
      </c>
      <c r="F3525" s="28">
        <v>228700</v>
      </c>
      <c r="G3525" s="27" t="s">
        <v>22</v>
      </c>
      <c r="H3525" s="27" t="s">
        <v>3663</v>
      </c>
      <c r="I3525" s="27" t="s">
        <v>9</v>
      </c>
    </row>
    <row r="3526" spans="1:9" x14ac:dyDescent="0.3">
      <c r="A3526" s="26">
        <v>45115</v>
      </c>
      <c r="B3526" s="27" t="s">
        <v>121</v>
      </c>
      <c r="C3526" s="27" t="s">
        <v>6</v>
      </c>
      <c r="D3526" s="27" t="s">
        <v>21</v>
      </c>
      <c r="E3526" s="28">
        <v>220200</v>
      </c>
      <c r="F3526" s="28">
        <v>202400</v>
      </c>
      <c r="G3526" s="27" t="s">
        <v>11</v>
      </c>
      <c r="H3526" s="27" t="s">
        <v>3693</v>
      </c>
      <c r="I3526" s="27" t="s">
        <v>9</v>
      </c>
    </row>
    <row r="3527" spans="1:9" x14ac:dyDescent="0.3">
      <c r="A3527" s="26">
        <v>45115</v>
      </c>
      <c r="B3527" s="27" t="s">
        <v>121</v>
      </c>
      <c r="C3527" s="27" t="s">
        <v>93</v>
      </c>
      <c r="D3527" s="27" t="s">
        <v>7</v>
      </c>
      <c r="E3527" s="28">
        <v>173100</v>
      </c>
      <c r="F3527" s="28">
        <v>154500</v>
      </c>
      <c r="G3527" s="27" t="s">
        <v>11</v>
      </c>
      <c r="H3527" s="27" t="s">
        <v>3979</v>
      </c>
      <c r="I3527" s="27" t="s">
        <v>9</v>
      </c>
    </row>
    <row r="3528" spans="1:9" x14ac:dyDescent="0.3">
      <c r="A3528" s="26">
        <v>45115</v>
      </c>
      <c r="B3528" s="27" t="s">
        <v>121</v>
      </c>
      <c r="C3528" s="27" t="s">
        <v>6</v>
      </c>
      <c r="D3528" s="27" t="s">
        <v>21</v>
      </c>
      <c r="E3528" s="28">
        <v>159200</v>
      </c>
      <c r="F3528" s="28">
        <v>184900</v>
      </c>
      <c r="G3528" s="27" t="s">
        <v>22</v>
      </c>
      <c r="H3528" s="27" t="s">
        <v>3996</v>
      </c>
      <c r="I3528" s="27" t="s">
        <v>9</v>
      </c>
    </row>
    <row r="3529" spans="1:9" x14ac:dyDescent="0.3">
      <c r="A3529" s="26">
        <v>45115</v>
      </c>
      <c r="B3529" s="27" t="s">
        <v>121</v>
      </c>
      <c r="C3529" s="27" t="s">
        <v>93</v>
      </c>
      <c r="D3529" s="27" t="s">
        <v>7</v>
      </c>
      <c r="E3529" s="28">
        <v>229200</v>
      </c>
      <c r="F3529" s="28">
        <v>262800</v>
      </c>
      <c r="G3529" s="27" t="s">
        <v>22</v>
      </c>
      <c r="H3529" s="27" t="s">
        <v>4870</v>
      </c>
      <c r="I3529" s="27" t="s">
        <v>9</v>
      </c>
    </row>
    <row r="3530" spans="1:9" x14ac:dyDescent="0.3">
      <c r="A3530" s="26">
        <v>45115</v>
      </c>
      <c r="B3530" s="27" t="s">
        <v>121</v>
      </c>
      <c r="C3530" s="27" t="s">
        <v>6</v>
      </c>
      <c r="D3530" s="27" t="s">
        <v>7</v>
      </c>
      <c r="E3530" s="28">
        <v>88700</v>
      </c>
      <c r="F3530" s="28">
        <v>101200</v>
      </c>
      <c r="G3530" s="27" t="s">
        <v>22</v>
      </c>
      <c r="H3530" s="27" t="s">
        <v>5052</v>
      </c>
      <c r="I3530" s="27" t="s">
        <v>9</v>
      </c>
    </row>
    <row r="3531" spans="1:9" x14ac:dyDescent="0.3">
      <c r="A3531" s="26">
        <v>45115</v>
      </c>
      <c r="B3531" s="27" t="s">
        <v>121</v>
      </c>
      <c r="C3531" s="27" t="s">
        <v>93</v>
      </c>
      <c r="D3531" s="27" t="s">
        <v>24</v>
      </c>
      <c r="E3531" s="28">
        <v>78700</v>
      </c>
      <c r="F3531" s="28">
        <v>65200</v>
      </c>
      <c r="G3531" s="27" t="s">
        <v>22</v>
      </c>
      <c r="H3531" s="27" t="s">
        <v>5053</v>
      </c>
      <c r="I3531" s="27" t="s">
        <v>9</v>
      </c>
    </row>
    <row r="3532" spans="1:9" x14ac:dyDescent="0.3">
      <c r="A3532" s="26">
        <v>45115</v>
      </c>
      <c r="B3532" s="27" t="s">
        <v>121</v>
      </c>
      <c r="C3532" s="27" t="s">
        <v>93</v>
      </c>
      <c r="D3532" s="27" t="s">
        <v>16</v>
      </c>
      <c r="E3532" s="28">
        <v>81900</v>
      </c>
      <c r="F3532" s="28">
        <v>106000</v>
      </c>
      <c r="G3532" s="27" t="s">
        <v>22</v>
      </c>
      <c r="H3532" s="27" t="s">
        <v>5144</v>
      </c>
      <c r="I3532" s="27" t="s">
        <v>9</v>
      </c>
    </row>
    <row r="3533" spans="1:9" x14ac:dyDescent="0.3">
      <c r="A3533" s="26">
        <v>45115</v>
      </c>
      <c r="B3533" s="27" t="s">
        <v>121</v>
      </c>
      <c r="C3533" s="27" t="s">
        <v>93</v>
      </c>
      <c r="D3533" s="27" t="s">
        <v>19</v>
      </c>
      <c r="E3533" s="28">
        <v>173900</v>
      </c>
      <c r="F3533" s="28">
        <v>215600</v>
      </c>
      <c r="G3533" s="27" t="s">
        <v>11</v>
      </c>
      <c r="H3533" s="27" t="s">
        <v>5327</v>
      </c>
      <c r="I3533" s="27" t="s">
        <v>9</v>
      </c>
    </row>
    <row r="3534" spans="1:9" x14ac:dyDescent="0.3">
      <c r="A3534" s="26">
        <v>45115</v>
      </c>
      <c r="B3534" s="27" t="s">
        <v>121</v>
      </c>
      <c r="C3534" s="27" t="s">
        <v>93</v>
      </c>
      <c r="D3534" s="27" t="s">
        <v>24</v>
      </c>
      <c r="E3534" s="28">
        <v>70000</v>
      </c>
      <c r="F3534" s="28">
        <v>83100</v>
      </c>
      <c r="G3534" s="27" t="s">
        <v>11</v>
      </c>
      <c r="H3534" s="27" t="s">
        <v>5690</v>
      </c>
      <c r="I3534" s="27" t="s">
        <v>9</v>
      </c>
    </row>
    <row r="3535" spans="1:9" x14ac:dyDescent="0.3">
      <c r="A3535" s="26">
        <v>45115</v>
      </c>
      <c r="B3535" s="27" t="s">
        <v>121</v>
      </c>
      <c r="C3535" s="27" t="s">
        <v>93</v>
      </c>
      <c r="D3535" s="27" t="s">
        <v>21</v>
      </c>
      <c r="E3535" s="28">
        <v>75800</v>
      </c>
      <c r="F3535" s="28">
        <v>65600</v>
      </c>
      <c r="G3535" s="27" t="s">
        <v>11</v>
      </c>
      <c r="H3535" s="27" t="s">
        <v>5869</v>
      </c>
      <c r="I3535" s="27" t="s">
        <v>9</v>
      </c>
    </row>
    <row r="3536" spans="1:9" x14ac:dyDescent="0.3">
      <c r="A3536" s="26">
        <v>45115</v>
      </c>
      <c r="B3536" s="27" t="s">
        <v>121</v>
      </c>
      <c r="C3536" s="27" t="s">
        <v>93</v>
      </c>
      <c r="D3536" s="27" t="s">
        <v>7</v>
      </c>
      <c r="E3536" s="28">
        <v>99100</v>
      </c>
      <c r="F3536" s="28">
        <v>97000</v>
      </c>
      <c r="G3536" s="27" t="s">
        <v>11</v>
      </c>
      <c r="H3536" s="27" t="s">
        <v>6191</v>
      </c>
      <c r="I3536" s="27" t="s">
        <v>9</v>
      </c>
    </row>
    <row r="3537" spans="1:9" x14ac:dyDescent="0.3">
      <c r="A3537" s="26">
        <v>45115</v>
      </c>
      <c r="B3537" s="27" t="s">
        <v>121</v>
      </c>
      <c r="C3537" s="27" t="s">
        <v>93</v>
      </c>
      <c r="D3537" s="27" t="s">
        <v>24</v>
      </c>
      <c r="E3537" s="28">
        <v>186000</v>
      </c>
      <c r="F3537" s="28">
        <v>201000</v>
      </c>
      <c r="G3537" s="27" t="s">
        <v>11</v>
      </c>
      <c r="H3537" s="27" t="s">
        <v>6514</v>
      </c>
      <c r="I3537" s="27" t="s">
        <v>9</v>
      </c>
    </row>
    <row r="3538" spans="1:9" x14ac:dyDescent="0.3">
      <c r="A3538" s="26">
        <v>45115</v>
      </c>
      <c r="B3538" s="27" t="s">
        <v>121</v>
      </c>
      <c r="C3538" s="27" t="s">
        <v>6</v>
      </c>
      <c r="D3538" s="27" t="s">
        <v>7</v>
      </c>
      <c r="E3538" s="28">
        <v>216700</v>
      </c>
      <c r="F3538" s="28">
        <v>243300</v>
      </c>
      <c r="G3538" s="27" t="s">
        <v>17</v>
      </c>
      <c r="H3538" s="27" t="s">
        <v>6710</v>
      </c>
      <c r="I3538" s="27" t="s">
        <v>9</v>
      </c>
    </row>
    <row r="3539" spans="1:9" x14ac:dyDescent="0.3">
      <c r="A3539" s="26">
        <v>45115</v>
      </c>
      <c r="B3539" s="27" t="s">
        <v>121</v>
      </c>
      <c r="C3539" s="27" t="s">
        <v>6</v>
      </c>
      <c r="D3539" s="27" t="s">
        <v>19</v>
      </c>
      <c r="E3539" s="28">
        <v>84000</v>
      </c>
      <c r="F3539" s="28">
        <v>50400</v>
      </c>
      <c r="G3539" s="27" t="s">
        <v>22</v>
      </c>
      <c r="H3539" s="27" t="s">
        <v>6720</v>
      </c>
      <c r="I3539" s="27" t="s">
        <v>9</v>
      </c>
    </row>
    <row r="3540" spans="1:9" x14ac:dyDescent="0.3">
      <c r="A3540" s="26">
        <v>45116</v>
      </c>
      <c r="B3540" s="27" t="s">
        <v>121</v>
      </c>
      <c r="C3540" s="27" t="s">
        <v>10</v>
      </c>
      <c r="D3540" s="27" t="s">
        <v>24</v>
      </c>
      <c r="E3540" s="28">
        <v>103305</v>
      </c>
      <c r="F3540" s="28">
        <v>37658</v>
      </c>
      <c r="G3540" s="27" t="s">
        <v>8</v>
      </c>
      <c r="H3540" s="27" t="s">
        <v>209</v>
      </c>
      <c r="I3540" s="27" t="s">
        <v>13</v>
      </c>
    </row>
    <row r="3541" spans="1:9" x14ac:dyDescent="0.3">
      <c r="A3541" s="26">
        <v>45116</v>
      </c>
      <c r="B3541" s="27" t="s">
        <v>121</v>
      </c>
      <c r="C3541" s="27" t="s">
        <v>15</v>
      </c>
      <c r="D3541" s="27" t="s">
        <v>21</v>
      </c>
      <c r="E3541" s="28">
        <v>34875</v>
      </c>
      <c r="F3541" s="28">
        <v>49006</v>
      </c>
      <c r="G3541" s="27" t="s">
        <v>11</v>
      </c>
      <c r="H3541" s="27" t="s">
        <v>326</v>
      </c>
      <c r="I3541" s="27" t="s">
        <v>13</v>
      </c>
    </row>
    <row r="3542" spans="1:9" x14ac:dyDescent="0.3">
      <c r="A3542" s="26">
        <v>45116</v>
      </c>
      <c r="B3542" s="27" t="s">
        <v>121</v>
      </c>
      <c r="C3542" s="27" t="s">
        <v>10</v>
      </c>
      <c r="D3542" s="27" t="s">
        <v>16</v>
      </c>
      <c r="E3542" s="28">
        <v>61539</v>
      </c>
      <c r="F3542" s="28">
        <v>73721</v>
      </c>
      <c r="G3542" s="27" t="s">
        <v>17</v>
      </c>
      <c r="H3542" s="27" t="s">
        <v>1294</v>
      </c>
      <c r="I3542" s="27" t="s">
        <v>13</v>
      </c>
    </row>
    <row r="3543" spans="1:9" x14ac:dyDescent="0.3">
      <c r="A3543" s="26">
        <v>45116</v>
      </c>
      <c r="B3543" s="27" t="s">
        <v>121</v>
      </c>
      <c r="C3543" s="27" t="s">
        <v>10</v>
      </c>
      <c r="D3543" s="27" t="s">
        <v>16</v>
      </c>
      <c r="E3543" s="28">
        <v>109227</v>
      </c>
      <c r="F3543" s="28">
        <v>67006</v>
      </c>
      <c r="G3543" s="27" t="s">
        <v>11</v>
      </c>
      <c r="H3543" s="27" t="s">
        <v>1423</v>
      </c>
      <c r="I3543" s="27" t="s">
        <v>13</v>
      </c>
    </row>
    <row r="3544" spans="1:9" x14ac:dyDescent="0.3">
      <c r="A3544" s="26">
        <v>45116</v>
      </c>
      <c r="B3544" s="27" t="s">
        <v>121</v>
      </c>
      <c r="C3544" s="27" t="s">
        <v>20</v>
      </c>
      <c r="D3544" s="27" t="s">
        <v>21</v>
      </c>
      <c r="E3544" s="28">
        <v>84091</v>
      </c>
      <c r="F3544" s="28">
        <v>8037</v>
      </c>
      <c r="G3544" s="27" t="s">
        <v>11</v>
      </c>
      <c r="H3544" s="27" t="s">
        <v>1613</v>
      </c>
      <c r="I3544" s="27" t="s">
        <v>13</v>
      </c>
    </row>
    <row r="3545" spans="1:9" x14ac:dyDescent="0.3">
      <c r="A3545" s="26">
        <v>45116</v>
      </c>
      <c r="B3545" s="27" t="s">
        <v>121</v>
      </c>
      <c r="C3545" s="27" t="s">
        <v>20</v>
      </c>
      <c r="D3545" s="27" t="s">
        <v>24</v>
      </c>
      <c r="E3545" s="28">
        <v>93994</v>
      </c>
      <c r="F3545" s="28">
        <v>55548</v>
      </c>
      <c r="G3545" s="27" t="s">
        <v>11</v>
      </c>
      <c r="H3545" s="27" t="s">
        <v>1876</v>
      </c>
      <c r="I3545" s="27" t="s">
        <v>13</v>
      </c>
    </row>
    <row r="3546" spans="1:9" x14ac:dyDescent="0.3">
      <c r="A3546" s="26">
        <v>45116</v>
      </c>
      <c r="B3546" s="27" t="s">
        <v>121</v>
      </c>
      <c r="C3546" s="27" t="s">
        <v>20</v>
      </c>
      <c r="D3546" s="27" t="s">
        <v>19</v>
      </c>
      <c r="E3546" s="28">
        <v>113830</v>
      </c>
      <c r="F3546" s="28">
        <v>31901</v>
      </c>
      <c r="G3546" s="27" t="s">
        <v>22</v>
      </c>
      <c r="H3546" s="27" t="s">
        <v>1990</v>
      </c>
      <c r="I3546" s="27" t="s">
        <v>13</v>
      </c>
    </row>
    <row r="3547" spans="1:9" x14ac:dyDescent="0.3">
      <c r="A3547" s="26">
        <v>45116</v>
      </c>
      <c r="B3547" s="27" t="s">
        <v>121</v>
      </c>
      <c r="C3547" s="27" t="s">
        <v>32</v>
      </c>
      <c r="D3547" s="27" t="s">
        <v>19</v>
      </c>
      <c r="E3547" s="28">
        <v>124509</v>
      </c>
      <c r="F3547" s="28">
        <v>121047</v>
      </c>
      <c r="G3547" s="27" t="s">
        <v>11</v>
      </c>
      <c r="H3547" s="27" t="s">
        <v>2477</v>
      </c>
      <c r="I3547" s="27" t="s">
        <v>13</v>
      </c>
    </row>
    <row r="3548" spans="1:9" x14ac:dyDescent="0.3">
      <c r="A3548" s="26">
        <v>45116</v>
      </c>
      <c r="B3548" s="27" t="s">
        <v>121</v>
      </c>
      <c r="C3548" s="27" t="s">
        <v>10</v>
      </c>
      <c r="D3548" s="27" t="s">
        <v>19</v>
      </c>
      <c r="E3548" s="28">
        <v>97010</v>
      </c>
      <c r="F3548" s="28">
        <v>11110</v>
      </c>
      <c r="G3548" s="27" t="s">
        <v>11</v>
      </c>
      <c r="H3548" s="27" t="s">
        <v>3062</v>
      </c>
      <c r="I3548" s="27" t="s">
        <v>13</v>
      </c>
    </row>
    <row r="3549" spans="1:9" x14ac:dyDescent="0.3">
      <c r="A3549" s="26">
        <v>45116</v>
      </c>
      <c r="B3549" s="27" t="s">
        <v>121</v>
      </c>
      <c r="C3549" s="27" t="s">
        <v>14</v>
      </c>
      <c r="D3549" s="27" t="s">
        <v>7</v>
      </c>
      <c r="E3549" s="28">
        <v>74723</v>
      </c>
      <c r="F3549" s="28">
        <v>120165</v>
      </c>
      <c r="G3549" s="27" t="s">
        <v>22</v>
      </c>
      <c r="H3549" s="27" t="s">
        <v>3072</v>
      </c>
      <c r="I3549" s="27" t="s">
        <v>13</v>
      </c>
    </row>
    <row r="3550" spans="1:9" x14ac:dyDescent="0.3">
      <c r="A3550" s="26">
        <v>45116</v>
      </c>
      <c r="B3550" s="27" t="s">
        <v>121</v>
      </c>
      <c r="C3550" s="27" t="s">
        <v>18</v>
      </c>
      <c r="D3550" s="27" t="s">
        <v>7</v>
      </c>
      <c r="E3550" s="28">
        <v>105653</v>
      </c>
      <c r="F3550" s="28">
        <v>77526</v>
      </c>
      <c r="G3550" s="27" t="s">
        <v>22</v>
      </c>
      <c r="H3550" s="27" t="s">
        <v>3406</v>
      </c>
      <c r="I3550" s="27" t="s">
        <v>13</v>
      </c>
    </row>
    <row r="3551" spans="1:9" x14ac:dyDescent="0.3">
      <c r="A3551" s="26">
        <v>45116</v>
      </c>
      <c r="B3551" s="27" t="s">
        <v>121</v>
      </c>
      <c r="C3551" s="27" t="s">
        <v>93</v>
      </c>
      <c r="D3551" s="27" t="s">
        <v>24</v>
      </c>
      <c r="E3551" s="28">
        <v>220200</v>
      </c>
      <c r="F3551" s="28">
        <v>320200</v>
      </c>
      <c r="G3551" s="27" t="s">
        <v>11</v>
      </c>
      <c r="H3551" s="27" t="s">
        <v>3590</v>
      </c>
      <c r="I3551" s="27" t="s">
        <v>9</v>
      </c>
    </row>
    <row r="3552" spans="1:9" x14ac:dyDescent="0.3">
      <c r="A3552" s="26">
        <v>45116</v>
      </c>
      <c r="B3552" s="27" t="s">
        <v>121</v>
      </c>
      <c r="C3552" s="27" t="s">
        <v>6</v>
      </c>
      <c r="D3552" s="27" t="s">
        <v>21</v>
      </c>
      <c r="E3552" s="28">
        <v>79600</v>
      </c>
      <c r="F3552" s="28">
        <v>87800</v>
      </c>
      <c r="G3552" s="27" t="s">
        <v>22</v>
      </c>
      <c r="H3552" s="27" t="s">
        <v>3707</v>
      </c>
      <c r="I3552" s="27" t="s">
        <v>9</v>
      </c>
    </row>
    <row r="3553" spans="1:9" x14ac:dyDescent="0.3">
      <c r="A3553" s="26">
        <v>45116</v>
      </c>
      <c r="B3553" s="27" t="s">
        <v>121</v>
      </c>
      <c r="C3553" s="27" t="s">
        <v>6</v>
      </c>
      <c r="D3553" s="27" t="s">
        <v>16</v>
      </c>
      <c r="E3553" s="28">
        <v>146500</v>
      </c>
      <c r="F3553" s="28">
        <v>143100</v>
      </c>
      <c r="G3553" s="27" t="s">
        <v>11</v>
      </c>
      <c r="H3553" s="27" t="s">
        <v>4677</v>
      </c>
      <c r="I3553" s="27" t="s">
        <v>9</v>
      </c>
    </row>
    <row r="3554" spans="1:9" x14ac:dyDescent="0.3">
      <c r="A3554" s="26">
        <v>45116</v>
      </c>
      <c r="B3554" s="27" t="s">
        <v>121</v>
      </c>
      <c r="C3554" s="27" t="s">
        <v>6</v>
      </c>
      <c r="D3554" s="27" t="s">
        <v>16</v>
      </c>
      <c r="E3554" s="28">
        <v>108800</v>
      </c>
      <c r="F3554" s="28">
        <v>114300</v>
      </c>
      <c r="G3554" s="27" t="s">
        <v>22</v>
      </c>
      <c r="H3554" s="27" t="s">
        <v>4806</v>
      </c>
      <c r="I3554" s="27" t="s">
        <v>9</v>
      </c>
    </row>
    <row r="3555" spans="1:9" x14ac:dyDescent="0.3">
      <c r="A3555" s="26">
        <v>45116</v>
      </c>
      <c r="B3555" s="27" t="s">
        <v>121</v>
      </c>
      <c r="C3555" s="27" t="s">
        <v>6</v>
      </c>
      <c r="D3555" s="27" t="s">
        <v>21</v>
      </c>
      <c r="E3555" s="28">
        <v>180800</v>
      </c>
      <c r="F3555" s="28">
        <v>200900</v>
      </c>
      <c r="G3555" s="27" t="s">
        <v>11</v>
      </c>
      <c r="H3555" s="27" t="s">
        <v>4996</v>
      </c>
      <c r="I3555" s="27" t="s">
        <v>9</v>
      </c>
    </row>
    <row r="3556" spans="1:9" x14ac:dyDescent="0.3">
      <c r="A3556" s="26">
        <v>45116</v>
      </c>
      <c r="B3556" s="27" t="s">
        <v>121</v>
      </c>
      <c r="C3556" s="27" t="s">
        <v>6</v>
      </c>
      <c r="D3556" s="27" t="s">
        <v>24</v>
      </c>
      <c r="E3556" s="28">
        <v>190500</v>
      </c>
      <c r="F3556" s="28">
        <v>243700</v>
      </c>
      <c r="G3556" s="27" t="s">
        <v>11</v>
      </c>
      <c r="H3556" s="27" t="s">
        <v>5260</v>
      </c>
      <c r="I3556" s="27" t="s">
        <v>9</v>
      </c>
    </row>
    <row r="3557" spans="1:9" x14ac:dyDescent="0.3">
      <c r="A3557" s="26">
        <v>45116</v>
      </c>
      <c r="B3557" s="27" t="s">
        <v>121</v>
      </c>
      <c r="C3557" s="27" t="s">
        <v>6</v>
      </c>
      <c r="D3557" s="27" t="s">
        <v>19</v>
      </c>
      <c r="E3557" s="28">
        <v>171200</v>
      </c>
      <c r="F3557" s="28">
        <v>158400</v>
      </c>
      <c r="G3557" s="27" t="s">
        <v>11</v>
      </c>
      <c r="H3557" s="27" t="s">
        <v>5374</v>
      </c>
      <c r="I3557" s="27" t="s">
        <v>9</v>
      </c>
    </row>
    <row r="3558" spans="1:9" x14ac:dyDescent="0.3">
      <c r="A3558" s="26">
        <v>45116</v>
      </c>
      <c r="B3558" s="27" t="s">
        <v>121</v>
      </c>
      <c r="C3558" s="27" t="s">
        <v>6</v>
      </c>
      <c r="D3558" s="27" t="s">
        <v>19</v>
      </c>
      <c r="E3558" s="28">
        <v>316100</v>
      </c>
      <c r="F3558" s="28">
        <v>336200</v>
      </c>
      <c r="G3558" s="27" t="s">
        <v>11</v>
      </c>
      <c r="H3558" s="27" t="s">
        <v>5862</v>
      </c>
      <c r="I3558" s="27" t="s">
        <v>9</v>
      </c>
    </row>
    <row r="3559" spans="1:9" x14ac:dyDescent="0.3">
      <c r="A3559" s="26">
        <v>45116</v>
      </c>
      <c r="B3559" s="27" t="s">
        <v>121</v>
      </c>
      <c r="C3559" s="27" t="s">
        <v>6</v>
      </c>
      <c r="D3559" s="27" t="s">
        <v>19</v>
      </c>
      <c r="E3559" s="28">
        <v>149200</v>
      </c>
      <c r="F3559" s="28">
        <v>175600</v>
      </c>
      <c r="G3559" s="27" t="s">
        <v>11</v>
      </c>
      <c r="H3559" s="27" t="s">
        <v>6447</v>
      </c>
      <c r="I3559" s="27" t="s">
        <v>9</v>
      </c>
    </row>
    <row r="3560" spans="1:9" x14ac:dyDescent="0.3">
      <c r="A3560" s="26">
        <v>45116</v>
      </c>
      <c r="B3560" s="27" t="s">
        <v>121</v>
      </c>
      <c r="C3560" s="27" t="s">
        <v>6</v>
      </c>
      <c r="D3560" s="27" t="s">
        <v>7</v>
      </c>
      <c r="E3560" s="28">
        <v>36600</v>
      </c>
      <c r="F3560" s="28">
        <v>30600</v>
      </c>
      <c r="G3560" s="27" t="s">
        <v>11</v>
      </c>
      <c r="H3560" s="27" t="s">
        <v>6457</v>
      </c>
      <c r="I3560" s="27" t="s">
        <v>9</v>
      </c>
    </row>
    <row r="3561" spans="1:9" x14ac:dyDescent="0.3">
      <c r="A3561" s="26">
        <v>45116</v>
      </c>
      <c r="B3561" s="27" t="s">
        <v>121</v>
      </c>
      <c r="C3561" s="27" t="s">
        <v>6</v>
      </c>
      <c r="D3561" s="27" t="s">
        <v>7</v>
      </c>
      <c r="E3561" s="28">
        <v>115300</v>
      </c>
      <c r="F3561" s="28">
        <v>104700</v>
      </c>
      <c r="G3561" s="27" t="s">
        <v>11</v>
      </c>
      <c r="H3561" s="27" t="s">
        <v>6791</v>
      </c>
      <c r="I3561" s="27" t="s">
        <v>9</v>
      </c>
    </row>
    <row r="3562" spans="1:9" x14ac:dyDescent="0.3">
      <c r="A3562" s="26">
        <v>45117</v>
      </c>
      <c r="B3562" s="27" t="s">
        <v>121</v>
      </c>
      <c r="C3562" s="27" t="s">
        <v>20</v>
      </c>
      <c r="D3562" s="27" t="s">
        <v>7</v>
      </c>
      <c r="E3562" s="28">
        <v>114349</v>
      </c>
      <c r="F3562" s="28">
        <v>47802</v>
      </c>
      <c r="G3562" s="27" t="s">
        <v>8</v>
      </c>
      <c r="H3562" s="27" t="s">
        <v>155</v>
      </c>
      <c r="I3562" s="27" t="s">
        <v>13</v>
      </c>
    </row>
    <row r="3563" spans="1:9" x14ac:dyDescent="0.3">
      <c r="A3563" s="26">
        <v>45117</v>
      </c>
      <c r="B3563" s="27" t="s">
        <v>121</v>
      </c>
      <c r="C3563" s="27" t="s">
        <v>18</v>
      </c>
      <c r="D3563" s="27" t="s">
        <v>21</v>
      </c>
      <c r="E3563" s="28">
        <v>29314</v>
      </c>
      <c r="F3563" s="28">
        <v>139729</v>
      </c>
      <c r="G3563" s="27" t="s">
        <v>11</v>
      </c>
      <c r="H3563" s="27" t="s">
        <v>466</v>
      </c>
      <c r="I3563" s="27" t="s">
        <v>13</v>
      </c>
    </row>
    <row r="3564" spans="1:9" x14ac:dyDescent="0.3">
      <c r="A3564" s="26">
        <v>45117</v>
      </c>
      <c r="B3564" s="27" t="s">
        <v>121</v>
      </c>
      <c r="C3564" s="27" t="s">
        <v>15</v>
      </c>
      <c r="D3564" s="27" t="s">
        <v>21</v>
      </c>
      <c r="E3564" s="28">
        <v>35805</v>
      </c>
      <c r="F3564" s="28">
        <v>58224</v>
      </c>
      <c r="G3564" s="27" t="s">
        <v>11</v>
      </c>
      <c r="H3564" s="27" t="s">
        <v>475</v>
      </c>
      <c r="I3564" s="27" t="s">
        <v>13</v>
      </c>
    </row>
    <row r="3565" spans="1:9" x14ac:dyDescent="0.3">
      <c r="A3565" s="26">
        <v>45117</v>
      </c>
      <c r="B3565" s="27" t="s">
        <v>121</v>
      </c>
      <c r="C3565" s="27" t="s">
        <v>15</v>
      </c>
      <c r="D3565" s="27" t="s">
        <v>7</v>
      </c>
      <c r="E3565" s="28">
        <v>31345</v>
      </c>
      <c r="F3565" s="28">
        <v>78970</v>
      </c>
      <c r="G3565" s="27" t="s">
        <v>11</v>
      </c>
      <c r="H3565" s="27" t="s">
        <v>494</v>
      </c>
      <c r="I3565" s="27" t="s">
        <v>13</v>
      </c>
    </row>
    <row r="3566" spans="1:9" x14ac:dyDescent="0.3">
      <c r="A3566" s="26">
        <v>45117</v>
      </c>
      <c r="B3566" s="27" t="s">
        <v>121</v>
      </c>
      <c r="C3566" s="27" t="s">
        <v>14</v>
      </c>
      <c r="D3566" s="27" t="s">
        <v>24</v>
      </c>
      <c r="E3566" s="28">
        <v>55517</v>
      </c>
      <c r="F3566" s="28">
        <v>69988</v>
      </c>
      <c r="G3566" s="27" t="s">
        <v>11</v>
      </c>
      <c r="H3566" s="27" t="s">
        <v>674</v>
      </c>
      <c r="I3566" s="27" t="s">
        <v>13</v>
      </c>
    </row>
    <row r="3567" spans="1:9" x14ac:dyDescent="0.3">
      <c r="A3567" s="26">
        <v>45117</v>
      </c>
      <c r="B3567" s="27" t="s">
        <v>121</v>
      </c>
      <c r="C3567" s="27" t="s">
        <v>10</v>
      </c>
      <c r="D3567" s="27" t="s">
        <v>24</v>
      </c>
      <c r="E3567" s="28">
        <v>113073</v>
      </c>
      <c r="F3567" s="28">
        <v>169161</v>
      </c>
      <c r="G3567" s="27" t="s">
        <v>8</v>
      </c>
      <c r="H3567" s="27" t="s">
        <v>750</v>
      </c>
      <c r="I3567" s="27" t="s">
        <v>13</v>
      </c>
    </row>
    <row r="3568" spans="1:9" x14ac:dyDescent="0.3">
      <c r="A3568" s="26">
        <v>45117</v>
      </c>
      <c r="B3568" s="27" t="s">
        <v>121</v>
      </c>
      <c r="C3568" s="27" t="s">
        <v>14</v>
      </c>
      <c r="D3568" s="27" t="s">
        <v>19</v>
      </c>
      <c r="E3568" s="28">
        <v>133022</v>
      </c>
      <c r="F3568" s="28">
        <v>79362</v>
      </c>
      <c r="G3568" s="27" t="s">
        <v>17</v>
      </c>
      <c r="H3568" s="27" t="s">
        <v>941</v>
      </c>
      <c r="I3568" s="27" t="s">
        <v>13</v>
      </c>
    </row>
    <row r="3569" spans="1:9" x14ac:dyDescent="0.3">
      <c r="A3569" s="26">
        <v>45117</v>
      </c>
      <c r="B3569" s="27" t="s">
        <v>121</v>
      </c>
      <c r="C3569" s="27" t="s">
        <v>10</v>
      </c>
      <c r="D3569" s="27" t="s">
        <v>19</v>
      </c>
      <c r="E3569" s="28">
        <v>50676</v>
      </c>
      <c r="F3569" s="28">
        <v>87494</v>
      </c>
      <c r="G3569" s="27" t="s">
        <v>11</v>
      </c>
      <c r="H3569" s="27" t="s">
        <v>1600</v>
      </c>
      <c r="I3569" s="27" t="s">
        <v>13</v>
      </c>
    </row>
    <row r="3570" spans="1:9" x14ac:dyDescent="0.3">
      <c r="A3570" s="26">
        <v>45117</v>
      </c>
      <c r="B3570" s="27" t="s">
        <v>121</v>
      </c>
      <c r="C3570" s="27" t="s">
        <v>14</v>
      </c>
      <c r="D3570" s="27" t="s">
        <v>24</v>
      </c>
      <c r="E3570" s="28">
        <v>35194</v>
      </c>
      <c r="F3570" s="28">
        <v>48382</v>
      </c>
      <c r="G3570" s="27" t="s">
        <v>8</v>
      </c>
      <c r="H3570" s="27" t="s">
        <v>1741</v>
      </c>
      <c r="I3570" s="27" t="s">
        <v>13</v>
      </c>
    </row>
    <row r="3571" spans="1:9" x14ac:dyDescent="0.3">
      <c r="A3571" s="26">
        <v>45117</v>
      </c>
      <c r="B3571" s="27" t="s">
        <v>121</v>
      </c>
      <c r="C3571" s="27" t="s">
        <v>15</v>
      </c>
      <c r="D3571" s="27" t="s">
        <v>19</v>
      </c>
      <c r="E3571" s="28">
        <v>85447</v>
      </c>
      <c r="F3571" s="28">
        <v>138382</v>
      </c>
      <c r="G3571" s="27" t="s">
        <v>8</v>
      </c>
      <c r="H3571" s="27" t="s">
        <v>2117</v>
      </c>
      <c r="I3571" s="27" t="s">
        <v>13</v>
      </c>
    </row>
    <row r="3572" spans="1:9" x14ac:dyDescent="0.3">
      <c r="A3572" s="26">
        <v>45117</v>
      </c>
      <c r="B3572" s="27" t="s">
        <v>121</v>
      </c>
      <c r="C3572" s="27" t="s">
        <v>18</v>
      </c>
      <c r="D3572" s="27" t="s">
        <v>19</v>
      </c>
      <c r="E3572" s="28">
        <v>47010</v>
      </c>
      <c r="F3572" s="28">
        <v>104611</v>
      </c>
      <c r="G3572" s="27" t="s">
        <v>8</v>
      </c>
      <c r="H3572" s="27" t="s">
        <v>2163</v>
      </c>
      <c r="I3572" s="27" t="s">
        <v>13</v>
      </c>
    </row>
    <row r="3573" spans="1:9" x14ac:dyDescent="0.3">
      <c r="A3573" s="26">
        <v>45117</v>
      </c>
      <c r="B3573" s="27" t="s">
        <v>121</v>
      </c>
      <c r="C3573" s="27" t="s">
        <v>20</v>
      </c>
      <c r="D3573" s="27" t="s">
        <v>7</v>
      </c>
      <c r="E3573" s="28">
        <v>39488</v>
      </c>
      <c r="F3573" s="28">
        <v>42912</v>
      </c>
      <c r="G3573" s="27" t="s">
        <v>22</v>
      </c>
      <c r="H3573" s="27" t="s">
        <v>2209</v>
      </c>
      <c r="I3573" s="27" t="s">
        <v>13</v>
      </c>
    </row>
    <row r="3574" spans="1:9" x14ac:dyDescent="0.3">
      <c r="A3574" s="26">
        <v>45117</v>
      </c>
      <c r="B3574" s="27" t="s">
        <v>121</v>
      </c>
      <c r="C3574" s="27" t="s">
        <v>20</v>
      </c>
      <c r="D3574" s="27" t="s">
        <v>7</v>
      </c>
      <c r="E3574" s="28">
        <v>88755</v>
      </c>
      <c r="F3574" s="28">
        <v>44473</v>
      </c>
      <c r="G3574" s="27" t="s">
        <v>8</v>
      </c>
      <c r="H3574" s="27" t="s">
        <v>2233</v>
      </c>
      <c r="I3574" s="27" t="s">
        <v>13</v>
      </c>
    </row>
    <row r="3575" spans="1:9" x14ac:dyDescent="0.3">
      <c r="A3575" s="26">
        <v>45117</v>
      </c>
      <c r="B3575" s="27" t="s">
        <v>121</v>
      </c>
      <c r="C3575" s="27" t="s">
        <v>18</v>
      </c>
      <c r="D3575" s="27" t="s">
        <v>21</v>
      </c>
      <c r="E3575" s="28">
        <v>115722</v>
      </c>
      <c r="F3575" s="28">
        <v>122115</v>
      </c>
      <c r="G3575" s="27" t="s">
        <v>8</v>
      </c>
      <c r="H3575" s="27" t="s">
        <v>2338</v>
      </c>
      <c r="I3575" s="27" t="s">
        <v>13</v>
      </c>
    </row>
    <row r="3576" spans="1:9" x14ac:dyDescent="0.3">
      <c r="A3576" s="26">
        <v>45117</v>
      </c>
      <c r="B3576" s="27" t="s">
        <v>121</v>
      </c>
      <c r="C3576" s="27" t="s">
        <v>32</v>
      </c>
      <c r="D3576" s="27" t="s">
        <v>19</v>
      </c>
      <c r="E3576" s="28">
        <v>142572</v>
      </c>
      <c r="F3576" s="28">
        <v>151821</v>
      </c>
      <c r="G3576" s="27" t="s">
        <v>22</v>
      </c>
      <c r="H3576" s="27" t="s">
        <v>3404</v>
      </c>
      <c r="I3576" s="27" t="s">
        <v>13</v>
      </c>
    </row>
    <row r="3577" spans="1:9" x14ac:dyDescent="0.3">
      <c r="A3577" s="26">
        <v>45117</v>
      </c>
      <c r="B3577" s="27" t="s">
        <v>121</v>
      </c>
      <c r="C3577" s="27" t="s">
        <v>6</v>
      </c>
      <c r="D3577" s="27" t="s">
        <v>7</v>
      </c>
      <c r="E3577" s="28">
        <v>115000</v>
      </c>
      <c r="F3577" s="28">
        <v>109800</v>
      </c>
      <c r="G3577" s="27" t="s">
        <v>22</v>
      </c>
      <c r="H3577" s="27" t="s">
        <v>3536</v>
      </c>
      <c r="I3577" s="27" t="s">
        <v>9</v>
      </c>
    </row>
    <row r="3578" spans="1:9" x14ac:dyDescent="0.3">
      <c r="A3578" s="26">
        <v>45117</v>
      </c>
      <c r="B3578" s="27" t="s">
        <v>121</v>
      </c>
      <c r="C3578" s="27" t="s">
        <v>6</v>
      </c>
      <c r="D3578" s="27" t="s">
        <v>21</v>
      </c>
      <c r="E3578" s="28">
        <v>213900</v>
      </c>
      <c r="F3578" s="28">
        <v>207500</v>
      </c>
      <c r="G3578" s="27" t="s">
        <v>11</v>
      </c>
      <c r="H3578" s="27" t="s">
        <v>3847</v>
      </c>
      <c r="I3578" s="27" t="s">
        <v>9</v>
      </c>
    </row>
    <row r="3579" spans="1:9" x14ac:dyDescent="0.3">
      <c r="A3579" s="26">
        <v>45117</v>
      </c>
      <c r="B3579" s="27" t="s">
        <v>121</v>
      </c>
      <c r="C3579" s="27" t="s">
        <v>93</v>
      </c>
      <c r="D3579" s="27" t="s">
        <v>21</v>
      </c>
      <c r="E3579" s="28">
        <v>215200</v>
      </c>
      <c r="F3579" s="28">
        <v>263800</v>
      </c>
      <c r="G3579" s="27" t="s">
        <v>22</v>
      </c>
      <c r="H3579" s="27" t="s">
        <v>3856</v>
      </c>
      <c r="I3579" s="27" t="s">
        <v>9</v>
      </c>
    </row>
    <row r="3580" spans="1:9" x14ac:dyDescent="0.3">
      <c r="A3580" s="26">
        <v>45117</v>
      </c>
      <c r="B3580" s="27" t="s">
        <v>121</v>
      </c>
      <c r="C3580" s="27" t="s">
        <v>6</v>
      </c>
      <c r="D3580" s="27" t="s">
        <v>7</v>
      </c>
      <c r="E3580" s="28">
        <v>96200</v>
      </c>
      <c r="F3580" s="28">
        <v>115300</v>
      </c>
      <c r="G3580" s="27" t="s">
        <v>22</v>
      </c>
      <c r="H3580" s="27" t="s">
        <v>3875</v>
      </c>
      <c r="I3580" s="27" t="s">
        <v>9</v>
      </c>
    </row>
    <row r="3581" spans="1:9" x14ac:dyDescent="0.3">
      <c r="A3581" s="26">
        <v>45117</v>
      </c>
      <c r="B3581" s="27" t="s">
        <v>121</v>
      </c>
      <c r="C3581" s="27" t="s">
        <v>93</v>
      </c>
      <c r="D3581" s="27" t="s">
        <v>24</v>
      </c>
      <c r="E3581" s="28">
        <v>82600</v>
      </c>
      <c r="F3581" s="28">
        <v>103200</v>
      </c>
      <c r="G3581" s="27" t="s">
        <v>11</v>
      </c>
      <c r="H3581" s="27" t="s">
        <v>4055</v>
      </c>
      <c r="I3581" s="27" t="s">
        <v>9</v>
      </c>
    </row>
    <row r="3582" spans="1:9" x14ac:dyDescent="0.3">
      <c r="A3582" s="26">
        <v>45117</v>
      </c>
      <c r="B3582" s="27" t="s">
        <v>121</v>
      </c>
      <c r="C3582" s="27" t="s">
        <v>6</v>
      </c>
      <c r="D3582" s="27" t="s">
        <v>24</v>
      </c>
      <c r="E3582" s="28">
        <v>123200</v>
      </c>
      <c r="F3582" s="28">
        <v>103700</v>
      </c>
      <c r="G3582" s="27" t="s">
        <v>22</v>
      </c>
      <c r="H3582" s="27" t="s">
        <v>4131</v>
      </c>
      <c r="I3582" s="27" t="s">
        <v>9</v>
      </c>
    </row>
    <row r="3583" spans="1:9" x14ac:dyDescent="0.3">
      <c r="A3583" s="26">
        <v>45117</v>
      </c>
      <c r="B3583" s="27" t="s">
        <v>121</v>
      </c>
      <c r="C3583" s="27" t="s">
        <v>6</v>
      </c>
      <c r="D3583" s="27" t="s">
        <v>19</v>
      </c>
      <c r="E3583" s="28">
        <v>105500</v>
      </c>
      <c r="F3583" s="28">
        <v>89300</v>
      </c>
      <c r="G3583" s="27" t="s">
        <v>17</v>
      </c>
      <c r="H3583" s="27" t="s">
        <v>4322</v>
      </c>
      <c r="I3583" s="27" t="s">
        <v>9</v>
      </c>
    </row>
    <row r="3584" spans="1:9" x14ac:dyDescent="0.3">
      <c r="A3584" s="26">
        <v>45117</v>
      </c>
      <c r="B3584" s="27" t="s">
        <v>121</v>
      </c>
      <c r="C3584" s="27" t="s">
        <v>6</v>
      </c>
      <c r="D3584" s="27" t="s">
        <v>19</v>
      </c>
      <c r="E3584" s="28">
        <v>84400</v>
      </c>
      <c r="F3584" s="28">
        <v>112000</v>
      </c>
      <c r="G3584" s="27" t="s">
        <v>11</v>
      </c>
      <c r="H3584" s="27" t="s">
        <v>4983</v>
      </c>
      <c r="I3584" s="27" t="s">
        <v>9</v>
      </c>
    </row>
    <row r="3585" spans="1:9" x14ac:dyDescent="0.3">
      <c r="A3585" s="26">
        <v>45117</v>
      </c>
      <c r="B3585" s="27" t="s">
        <v>121</v>
      </c>
      <c r="C3585" s="27" t="s">
        <v>6</v>
      </c>
      <c r="D3585" s="27" t="s">
        <v>24</v>
      </c>
      <c r="E3585" s="28">
        <v>124000</v>
      </c>
      <c r="F3585" s="28">
        <v>127500</v>
      </c>
      <c r="G3585" s="27" t="s">
        <v>17</v>
      </c>
      <c r="H3585" s="27" t="s">
        <v>5124</v>
      </c>
      <c r="I3585" s="27" t="s">
        <v>9</v>
      </c>
    </row>
    <row r="3586" spans="1:9" x14ac:dyDescent="0.3">
      <c r="A3586" s="26">
        <v>45117</v>
      </c>
      <c r="B3586" s="27" t="s">
        <v>121</v>
      </c>
      <c r="C3586" s="27" t="s">
        <v>6</v>
      </c>
      <c r="D3586" s="27" t="s">
        <v>19</v>
      </c>
      <c r="E3586" s="28">
        <v>157600</v>
      </c>
      <c r="F3586" s="28">
        <v>151500</v>
      </c>
      <c r="G3586" s="27" t="s">
        <v>22</v>
      </c>
      <c r="H3586" s="27" t="s">
        <v>5501</v>
      </c>
      <c r="I3586" s="27" t="s">
        <v>9</v>
      </c>
    </row>
    <row r="3587" spans="1:9" x14ac:dyDescent="0.3">
      <c r="A3587" s="26">
        <v>45117</v>
      </c>
      <c r="B3587" s="27" t="s">
        <v>121</v>
      </c>
      <c r="C3587" s="27" t="s">
        <v>6</v>
      </c>
      <c r="D3587" s="27" t="s">
        <v>19</v>
      </c>
      <c r="E3587" s="28">
        <v>208800</v>
      </c>
      <c r="F3587" s="28">
        <v>234700</v>
      </c>
      <c r="G3587" s="27" t="s">
        <v>11</v>
      </c>
      <c r="H3587" s="27" t="s">
        <v>5548</v>
      </c>
      <c r="I3587" s="27" t="s">
        <v>9</v>
      </c>
    </row>
    <row r="3588" spans="1:9" x14ac:dyDescent="0.3">
      <c r="A3588" s="26">
        <v>45117</v>
      </c>
      <c r="B3588" s="27" t="s">
        <v>121</v>
      </c>
      <c r="C3588" s="27" t="s">
        <v>93</v>
      </c>
      <c r="D3588" s="27" t="s">
        <v>7</v>
      </c>
      <c r="E3588" s="28">
        <v>86200</v>
      </c>
      <c r="F3588" s="28">
        <v>79000</v>
      </c>
      <c r="G3588" s="27" t="s">
        <v>11</v>
      </c>
      <c r="H3588" s="27" t="s">
        <v>5594</v>
      </c>
      <c r="I3588" s="27" t="s">
        <v>9</v>
      </c>
    </row>
    <row r="3589" spans="1:9" x14ac:dyDescent="0.3">
      <c r="A3589" s="26">
        <v>45117</v>
      </c>
      <c r="B3589" s="27" t="s">
        <v>121</v>
      </c>
      <c r="C3589" s="27" t="s">
        <v>93</v>
      </c>
      <c r="D3589" s="27" t="s">
        <v>7</v>
      </c>
      <c r="E3589" s="28">
        <v>233500</v>
      </c>
      <c r="F3589" s="28">
        <v>251400</v>
      </c>
      <c r="G3589" s="27" t="s">
        <v>17</v>
      </c>
      <c r="H3589" s="27" t="s">
        <v>5618</v>
      </c>
      <c r="I3589" s="27" t="s">
        <v>9</v>
      </c>
    </row>
    <row r="3590" spans="1:9" x14ac:dyDescent="0.3">
      <c r="A3590" s="26">
        <v>45117</v>
      </c>
      <c r="B3590" s="27" t="s">
        <v>121</v>
      </c>
      <c r="C3590" s="27" t="s">
        <v>6</v>
      </c>
      <c r="D3590" s="27" t="s">
        <v>21</v>
      </c>
      <c r="E3590" s="28">
        <v>68400</v>
      </c>
      <c r="F3590" s="28">
        <v>68400</v>
      </c>
      <c r="G3590" s="27" t="s">
        <v>17</v>
      </c>
      <c r="H3590" s="27" t="s">
        <v>5723</v>
      </c>
      <c r="I3590" s="27" t="s">
        <v>9</v>
      </c>
    </row>
    <row r="3591" spans="1:9" x14ac:dyDescent="0.3">
      <c r="A3591" s="26">
        <v>45117</v>
      </c>
      <c r="B3591" s="27" t="s">
        <v>121</v>
      </c>
      <c r="C3591" s="27" t="s">
        <v>6</v>
      </c>
      <c r="D3591" s="27" t="s">
        <v>19</v>
      </c>
      <c r="E3591" s="28">
        <v>82800</v>
      </c>
      <c r="F3591" s="28">
        <v>101600</v>
      </c>
      <c r="G3591" s="27" t="s">
        <v>17</v>
      </c>
      <c r="H3591" s="27" t="s">
        <v>6789</v>
      </c>
      <c r="I3591" s="27" t="s">
        <v>9</v>
      </c>
    </row>
    <row r="3592" spans="1:9" x14ac:dyDescent="0.3">
      <c r="A3592" s="26">
        <v>45118</v>
      </c>
      <c r="B3592" s="27" t="s">
        <v>121</v>
      </c>
      <c r="C3592" s="27" t="s">
        <v>15</v>
      </c>
      <c r="D3592" s="27" t="s">
        <v>24</v>
      </c>
      <c r="E3592" s="28">
        <v>98353</v>
      </c>
      <c r="F3592" s="28">
        <v>53241</v>
      </c>
      <c r="G3592" s="27" t="s">
        <v>8</v>
      </c>
      <c r="H3592" s="27" t="s">
        <v>433</v>
      </c>
      <c r="I3592" s="27" t="s">
        <v>13</v>
      </c>
    </row>
    <row r="3593" spans="1:9" x14ac:dyDescent="0.3">
      <c r="A3593" s="26">
        <v>45118</v>
      </c>
      <c r="B3593" s="27" t="s">
        <v>121</v>
      </c>
      <c r="C3593" s="27" t="s">
        <v>18</v>
      </c>
      <c r="D3593" s="27" t="s">
        <v>24</v>
      </c>
      <c r="E3593" s="28">
        <v>101301</v>
      </c>
      <c r="F3593" s="28">
        <v>163977</v>
      </c>
      <c r="G3593" s="27" t="s">
        <v>8</v>
      </c>
      <c r="H3593" s="27" t="s">
        <v>809</v>
      </c>
      <c r="I3593" s="27" t="s">
        <v>13</v>
      </c>
    </row>
    <row r="3594" spans="1:9" x14ac:dyDescent="0.3">
      <c r="A3594" s="26">
        <v>45118</v>
      </c>
      <c r="B3594" s="27" t="s">
        <v>121</v>
      </c>
      <c r="C3594" s="27" t="s">
        <v>14</v>
      </c>
      <c r="D3594" s="27" t="s">
        <v>19</v>
      </c>
      <c r="E3594" s="28">
        <v>134628</v>
      </c>
      <c r="F3594" s="28">
        <v>142027</v>
      </c>
      <c r="G3594" s="27" t="s">
        <v>17</v>
      </c>
      <c r="H3594" s="27" t="s">
        <v>1650</v>
      </c>
      <c r="I3594" s="27" t="s">
        <v>13</v>
      </c>
    </row>
    <row r="3595" spans="1:9" x14ac:dyDescent="0.3">
      <c r="A3595" s="26">
        <v>45118</v>
      </c>
      <c r="B3595" s="27" t="s">
        <v>121</v>
      </c>
      <c r="C3595" s="27" t="s">
        <v>18</v>
      </c>
      <c r="D3595" s="27" t="s">
        <v>21</v>
      </c>
      <c r="E3595" s="28">
        <v>128480</v>
      </c>
      <c r="F3595" s="28">
        <v>63310</v>
      </c>
      <c r="G3595" s="27" t="s">
        <v>8</v>
      </c>
      <c r="H3595" s="27" t="s">
        <v>2419</v>
      </c>
      <c r="I3595" s="27" t="s">
        <v>13</v>
      </c>
    </row>
    <row r="3596" spans="1:9" x14ac:dyDescent="0.3">
      <c r="A3596" s="26">
        <v>45118</v>
      </c>
      <c r="B3596" s="27" t="s">
        <v>121</v>
      </c>
      <c r="C3596" s="27" t="s">
        <v>14</v>
      </c>
      <c r="D3596" s="27" t="s">
        <v>24</v>
      </c>
      <c r="E3596" s="28">
        <v>35657</v>
      </c>
      <c r="F3596" s="28">
        <v>82983</v>
      </c>
      <c r="G3596" s="27" t="s">
        <v>17</v>
      </c>
      <c r="H3596" s="27" t="s">
        <v>2576</v>
      </c>
      <c r="I3596" s="27" t="s">
        <v>13</v>
      </c>
    </row>
    <row r="3597" spans="1:9" x14ac:dyDescent="0.3">
      <c r="A3597" s="26">
        <v>45118</v>
      </c>
      <c r="B3597" s="27" t="s">
        <v>121</v>
      </c>
      <c r="C3597" s="27" t="s">
        <v>20</v>
      </c>
      <c r="D3597" s="27" t="s">
        <v>21</v>
      </c>
      <c r="E3597" s="28">
        <v>133664</v>
      </c>
      <c r="F3597" s="28">
        <v>20897</v>
      </c>
      <c r="G3597" s="27" t="s">
        <v>11</v>
      </c>
      <c r="H3597" s="27" t="s">
        <v>2703</v>
      </c>
      <c r="I3597" s="27" t="s">
        <v>13</v>
      </c>
    </row>
    <row r="3598" spans="1:9" x14ac:dyDescent="0.3">
      <c r="A3598" s="26">
        <v>45118</v>
      </c>
      <c r="B3598" s="27" t="s">
        <v>121</v>
      </c>
      <c r="C3598" s="27" t="s">
        <v>14</v>
      </c>
      <c r="D3598" s="27" t="s">
        <v>16</v>
      </c>
      <c r="E3598" s="28">
        <v>25811</v>
      </c>
      <c r="F3598" s="28">
        <v>138944</v>
      </c>
      <c r="G3598" s="27" t="s">
        <v>11</v>
      </c>
      <c r="H3598" s="27" t="s">
        <v>2865</v>
      </c>
      <c r="I3598" s="27" t="s">
        <v>13</v>
      </c>
    </row>
    <row r="3599" spans="1:9" x14ac:dyDescent="0.3">
      <c r="A3599" s="26">
        <v>45118</v>
      </c>
      <c r="B3599" s="27" t="s">
        <v>121</v>
      </c>
      <c r="C3599" s="27" t="s">
        <v>14</v>
      </c>
      <c r="D3599" s="27" t="s">
        <v>19</v>
      </c>
      <c r="E3599" s="28">
        <v>114308</v>
      </c>
      <c r="F3599" s="28">
        <v>91258</v>
      </c>
      <c r="G3599" s="27" t="s">
        <v>22</v>
      </c>
      <c r="H3599" s="27" t="s">
        <v>3205</v>
      </c>
      <c r="I3599" s="27" t="s">
        <v>13</v>
      </c>
    </row>
    <row r="3600" spans="1:9" x14ac:dyDescent="0.3">
      <c r="A3600" s="26">
        <v>45118</v>
      </c>
      <c r="B3600" s="27" t="s">
        <v>121</v>
      </c>
      <c r="C3600" s="27" t="s">
        <v>6</v>
      </c>
      <c r="D3600" s="27" t="s">
        <v>24</v>
      </c>
      <c r="E3600" s="28">
        <v>68800</v>
      </c>
      <c r="F3600" s="28">
        <v>62900</v>
      </c>
      <c r="G3600" s="27" t="s">
        <v>11</v>
      </c>
      <c r="H3600" s="27" t="s">
        <v>3814</v>
      </c>
      <c r="I3600" s="27" t="s">
        <v>9</v>
      </c>
    </row>
    <row r="3601" spans="1:9" x14ac:dyDescent="0.3">
      <c r="A3601" s="26">
        <v>45118</v>
      </c>
      <c r="B3601" s="27" t="s">
        <v>121</v>
      </c>
      <c r="C3601" s="27" t="s">
        <v>6</v>
      </c>
      <c r="D3601" s="27" t="s">
        <v>24</v>
      </c>
      <c r="E3601" s="28">
        <v>152500</v>
      </c>
      <c r="F3601" s="28">
        <v>125000</v>
      </c>
      <c r="G3601" s="27" t="s">
        <v>22</v>
      </c>
      <c r="H3601" s="27" t="s">
        <v>4190</v>
      </c>
      <c r="I3601" s="27" t="s">
        <v>9</v>
      </c>
    </row>
    <row r="3602" spans="1:9" x14ac:dyDescent="0.3">
      <c r="A3602" s="26">
        <v>45118</v>
      </c>
      <c r="B3602" s="27" t="s">
        <v>121</v>
      </c>
      <c r="C3602" s="27" t="s">
        <v>93</v>
      </c>
      <c r="D3602" s="27" t="s">
        <v>19</v>
      </c>
      <c r="E3602" s="28">
        <v>141700</v>
      </c>
      <c r="F3602" s="28">
        <v>173700</v>
      </c>
      <c r="G3602" s="27" t="s">
        <v>11</v>
      </c>
      <c r="H3602" s="27" t="s">
        <v>5033</v>
      </c>
      <c r="I3602" s="27" t="s">
        <v>9</v>
      </c>
    </row>
    <row r="3603" spans="1:9" x14ac:dyDescent="0.3">
      <c r="A3603" s="26">
        <v>45118</v>
      </c>
      <c r="B3603" s="27" t="s">
        <v>121</v>
      </c>
      <c r="C3603" s="27" t="s">
        <v>93</v>
      </c>
      <c r="D3603" s="27" t="s">
        <v>21</v>
      </c>
      <c r="E3603" s="28">
        <v>70400</v>
      </c>
      <c r="F3603" s="28">
        <v>75500</v>
      </c>
      <c r="G3603" s="27" t="s">
        <v>11</v>
      </c>
      <c r="H3603" s="27" t="s">
        <v>5804</v>
      </c>
      <c r="I3603" s="27" t="s">
        <v>9</v>
      </c>
    </row>
    <row r="3604" spans="1:9" x14ac:dyDescent="0.3">
      <c r="A3604" s="26">
        <v>45118</v>
      </c>
      <c r="B3604" s="27" t="s">
        <v>121</v>
      </c>
      <c r="C3604" s="27" t="s">
        <v>6</v>
      </c>
      <c r="D3604" s="27" t="s">
        <v>24</v>
      </c>
      <c r="E3604" s="28">
        <v>119600</v>
      </c>
      <c r="F3604" s="28">
        <v>120300</v>
      </c>
      <c r="G3604" s="27" t="s">
        <v>17</v>
      </c>
      <c r="H3604" s="27" t="s">
        <v>5961</v>
      </c>
      <c r="I3604" s="27" t="s">
        <v>9</v>
      </c>
    </row>
    <row r="3605" spans="1:9" x14ac:dyDescent="0.3">
      <c r="A3605" s="26">
        <v>45118</v>
      </c>
      <c r="B3605" s="27" t="s">
        <v>121</v>
      </c>
      <c r="C3605" s="27" t="s">
        <v>93</v>
      </c>
      <c r="D3605" s="27" t="s">
        <v>21</v>
      </c>
      <c r="E3605" s="28">
        <v>161400</v>
      </c>
      <c r="F3605" s="28">
        <v>158600</v>
      </c>
      <c r="G3605" s="27" t="s">
        <v>22</v>
      </c>
      <c r="H3605" s="27" t="s">
        <v>6088</v>
      </c>
      <c r="I3605" s="27" t="s">
        <v>9</v>
      </c>
    </row>
    <row r="3606" spans="1:9" x14ac:dyDescent="0.3">
      <c r="A3606" s="26">
        <v>45118</v>
      </c>
      <c r="B3606" s="27" t="s">
        <v>121</v>
      </c>
      <c r="C3606" s="27" t="s">
        <v>93</v>
      </c>
      <c r="D3606" s="27" t="s">
        <v>16</v>
      </c>
      <c r="E3606" s="28">
        <v>139600</v>
      </c>
      <c r="F3606" s="28">
        <v>174100</v>
      </c>
      <c r="G3606" s="27" t="s">
        <v>11</v>
      </c>
      <c r="H3606" s="27" t="s">
        <v>6250</v>
      </c>
      <c r="I3606" s="27" t="s">
        <v>9</v>
      </c>
    </row>
    <row r="3607" spans="1:9" x14ac:dyDescent="0.3">
      <c r="A3607" s="26">
        <v>45118</v>
      </c>
      <c r="B3607" s="27" t="s">
        <v>121</v>
      </c>
      <c r="C3607" s="27" t="s">
        <v>6</v>
      </c>
      <c r="D3607" s="27" t="s">
        <v>19</v>
      </c>
      <c r="E3607" s="28">
        <v>142600</v>
      </c>
      <c r="F3607" s="28">
        <v>199200</v>
      </c>
      <c r="G3607" s="27" t="s">
        <v>11</v>
      </c>
      <c r="H3607" s="27" t="s">
        <v>6590</v>
      </c>
      <c r="I3607" s="27" t="s">
        <v>9</v>
      </c>
    </row>
    <row r="3608" spans="1:9" x14ac:dyDescent="0.3">
      <c r="A3608" s="26">
        <v>45119</v>
      </c>
      <c r="B3608" s="27" t="s">
        <v>121</v>
      </c>
      <c r="C3608" s="27" t="s">
        <v>20</v>
      </c>
      <c r="D3608" s="27" t="s">
        <v>16</v>
      </c>
      <c r="E3608" s="28">
        <v>123462</v>
      </c>
      <c r="F3608" s="28">
        <v>148178</v>
      </c>
      <c r="G3608" s="27" t="s">
        <v>17</v>
      </c>
      <c r="H3608" s="27" t="s">
        <v>350</v>
      </c>
      <c r="I3608" s="27" t="s">
        <v>13</v>
      </c>
    </row>
    <row r="3609" spans="1:9" x14ac:dyDescent="0.3">
      <c r="A3609" s="26">
        <v>45119</v>
      </c>
      <c r="B3609" s="27" t="s">
        <v>121</v>
      </c>
      <c r="C3609" s="27" t="s">
        <v>15</v>
      </c>
      <c r="D3609" s="27" t="s">
        <v>21</v>
      </c>
      <c r="E3609" s="28">
        <v>106155</v>
      </c>
      <c r="F3609" s="28">
        <v>14900</v>
      </c>
      <c r="G3609" s="27" t="s">
        <v>8</v>
      </c>
      <c r="H3609" s="27" t="s">
        <v>774</v>
      </c>
      <c r="I3609" s="27" t="s">
        <v>13</v>
      </c>
    </row>
    <row r="3610" spans="1:9" x14ac:dyDescent="0.3">
      <c r="A3610" s="26">
        <v>45119</v>
      </c>
      <c r="B3610" s="27" t="s">
        <v>121</v>
      </c>
      <c r="C3610" s="27" t="s">
        <v>20</v>
      </c>
      <c r="D3610" s="27" t="s">
        <v>7</v>
      </c>
      <c r="E3610" s="28">
        <v>113519</v>
      </c>
      <c r="F3610" s="28">
        <v>83014</v>
      </c>
      <c r="G3610" s="27" t="s">
        <v>8</v>
      </c>
      <c r="H3610" s="27" t="s">
        <v>1272</v>
      </c>
      <c r="I3610" s="27" t="s">
        <v>13</v>
      </c>
    </row>
    <row r="3611" spans="1:9" x14ac:dyDescent="0.3">
      <c r="A3611" s="26">
        <v>45119</v>
      </c>
      <c r="B3611" s="27" t="s">
        <v>121</v>
      </c>
      <c r="C3611" s="27" t="s">
        <v>32</v>
      </c>
      <c r="D3611" s="27" t="s">
        <v>21</v>
      </c>
      <c r="E3611" s="28">
        <v>126934</v>
      </c>
      <c r="F3611" s="28">
        <v>94058</v>
      </c>
      <c r="G3611" s="27" t="s">
        <v>22</v>
      </c>
      <c r="H3611" s="27" t="s">
        <v>1419</v>
      </c>
      <c r="I3611" s="27" t="s">
        <v>13</v>
      </c>
    </row>
    <row r="3612" spans="1:9" x14ac:dyDescent="0.3">
      <c r="A3612" s="26">
        <v>45119</v>
      </c>
      <c r="B3612" s="27" t="s">
        <v>121</v>
      </c>
      <c r="C3612" s="27" t="s">
        <v>20</v>
      </c>
      <c r="D3612" s="27" t="s">
        <v>24</v>
      </c>
      <c r="E3612" s="28">
        <v>34688</v>
      </c>
      <c r="F3612" s="28">
        <v>18531</v>
      </c>
      <c r="G3612" s="27" t="s">
        <v>11</v>
      </c>
      <c r="H3612" s="27" t="s">
        <v>1562</v>
      </c>
      <c r="I3612" s="27" t="s">
        <v>13</v>
      </c>
    </row>
    <row r="3613" spans="1:9" x14ac:dyDescent="0.3">
      <c r="A3613" s="26">
        <v>45119</v>
      </c>
      <c r="B3613" s="27" t="s">
        <v>121</v>
      </c>
      <c r="C3613" s="27" t="s">
        <v>32</v>
      </c>
      <c r="D3613" s="27" t="s">
        <v>24</v>
      </c>
      <c r="E3613" s="28">
        <v>138686</v>
      </c>
      <c r="F3613" s="28">
        <v>41375</v>
      </c>
      <c r="G3613" s="27" t="s">
        <v>22</v>
      </c>
      <c r="H3613" s="27" t="s">
        <v>2038</v>
      </c>
      <c r="I3613" s="27" t="s">
        <v>13</v>
      </c>
    </row>
    <row r="3614" spans="1:9" x14ac:dyDescent="0.3">
      <c r="A3614" s="26">
        <v>45119</v>
      </c>
      <c r="B3614" s="27" t="s">
        <v>121</v>
      </c>
      <c r="C3614" s="27" t="s">
        <v>14</v>
      </c>
      <c r="D3614" s="27" t="s">
        <v>19</v>
      </c>
      <c r="E3614" s="28">
        <v>42593</v>
      </c>
      <c r="F3614" s="28">
        <v>100437</v>
      </c>
      <c r="G3614" s="27" t="s">
        <v>17</v>
      </c>
      <c r="H3614" s="27" t="s">
        <v>2081</v>
      </c>
      <c r="I3614" s="27" t="s">
        <v>13</v>
      </c>
    </row>
    <row r="3615" spans="1:9" x14ac:dyDescent="0.3">
      <c r="A3615" s="26">
        <v>45119</v>
      </c>
      <c r="B3615" s="27" t="s">
        <v>121</v>
      </c>
      <c r="C3615" s="27" t="s">
        <v>18</v>
      </c>
      <c r="D3615" s="27" t="s">
        <v>16</v>
      </c>
      <c r="E3615" s="28">
        <v>36263</v>
      </c>
      <c r="F3615" s="28">
        <v>104590</v>
      </c>
      <c r="G3615" s="27" t="s">
        <v>17</v>
      </c>
      <c r="H3615" s="27" t="s">
        <v>2147</v>
      </c>
      <c r="I3615" s="27" t="s">
        <v>13</v>
      </c>
    </row>
    <row r="3616" spans="1:9" x14ac:dyDescent="0.3">
      <c r="A3616" s="26">
        <v>45119</v>
      </c>
      <c r="B3616" s="27" t="s">
        <v>121</v>
      </c>
      <c r="C3616" s="27" t="s">
        <v>14</v>
      </c>
      <c r="D3616" s="27" t="s">
        <v>24</v>
      </c>
      <c r="E3616" s="28">
        <v>137938</v>
      </c>
      <c r="F3616" s="28">
        <v>67717</v>
      </c>
      <c r="G3616" s="27" t="s">
        <v>22</v>
      </c>
      <c r="H3616" s="27" t="s">
        <v>2580</v>
      </c>
      <c r="I3616" s="27" t="s">
        <v>13</v>
      </c>
    </row>
    <row r="3617" spans="1:9" x14ac:dyDescent="0.3">
      <c r="A3617" s="26">
        <v>45119</v>
      </c>
      <c r="B3617" s="27" t="s">
        <v>121</v>
      </c>
      <c r="C3617" s="27" t="s">
        <v>18</v>
      </c>
      <c r="D3617" s="27" t="s">
        <v>24</v>
      </c>
      <c r="E3617" s="28">
        <v>115347</v>
      </c>
      <c r="F3617" s="28">
        <v>87063</v>
      </c>
      <c r="G3617" s="27" t="s">
        <v>8</v>
      </c>
      <c r="H3617" s="27" t="s">
        <v>2927</v>
      </c>
      <c r="I3617" s="27" t="s">
        <v>13</v>
      </c>
    </row>
    <row r="3618" spans="1:9" x14ac:dyDescent="0.3">
      <c r="A3618" s="26">
        <v>45119</v>
      </c>
      <c r="B3618" s="27" t="s">
        <v>121</v>
      </c>
      <c r="C3618" s="27" t="s">
        <v>10</v>
      </c>
      <c r="D3618" s="27" t="s">
        <v>7</v>
      </c>
      <c r="E3618" s="28">
        <v>148702</v>
      </c>
      <c r="F3618" s="28">
        <v>88274</v>
      </c>
      <c r="G3618" s="27" t="s">
        <v>11</v>
      </c>
      <c r="H3618" s="27" t="s">
        <v>2943</v>
      </c>
      <c r="I3618" s="27" t="s">
        <v>13</v>
      </c>
    </row>
    <row r="3619" spans="1:9" x14ac:dyDescent="0.3">
      <c r="A3619" s="26">
        <v>45119</v>
      </c>
      <c r="B3619" s="27" t="s">
        <v>121</v>
      </c>
      <c r="C3619" s="27" t="s">
        <v>18</v>
      </c>
      <c r="D3619" s="27" t="s">
        <v>24</v>
      </c>
      <c r="E3619" s="28">
        <v>35927</v>
      </c>
      <c r="F3619" s="28">
        <v>50013</v>
      </c>
      <c r="G3619" s="27" t="s">
        <v>17</v>
      </c>
      <c r="H3619" s="27" t="s">
        <v>3424</v>
      </c>
      <c r="I3619" s="27" t="s">
        <v>13</v>
      </c>
    </row>
    <row r="3620" spans="1:9" x14ac:dyDescent="0.3">
      <c r="A3620" s="26">
        <v>45119</v>
      </c>
      <c r="B3620" s="27" t="s">
        <v>121</v>
      </c>
      <c r="C3620" s="27" t="s">
        <v>93</v>
      </c>
      <c r="D3620" s="27" t="s">
        <v>16</v>
      </c>
      <c r="E3620" s="28">
        <v>73500</v>
      </c>
      <c r="F3620" s="28">
        <v>72400</v>
      </c>
      <c r="G3620" s="27" t="s">
        <v>11</v>
      </c>
      <c r="H3620" s="27" t="s">
        <v>3731</v>
      </c>
      <c r="I3620" s="27" t="s">
        <v>9</v>
      </c>
    </row>
    <row r="3621" spans="1:9" x14ac:dyDescent="0.3">
      <c r="A3621" s="26">
        <v>45119</v>
      </c>
      <c r="B3621" s="27" t="s">
        <v>121</v>
      </c>
      <c r="C3621" s="27" t="s">
        <v>6</v>
      </c>
      <c r="D3621" s="27" t="s">
        <v>21</v>
      </c>
      <c r="E3621" s="28">
        <v>200100</v>
      </c>
      <c r="F3621" s="28">
        <v>239600</v>
      </c>
      <c r="G3621" s="27" t="s">
        <v>17</v>
      </c>
      <c r="H3621" s="27" t="s">
        <v>4155</v>
      </c>
      <c r="I3621" s="27" t="s">
        <v>9</v>
      </c>
    </row>
    <row r="3622" spans="1:9" x14ac:dyDescent="0.3">
      <c r="A3622" s="26">
        <v>45119</v>
      </c>
      <c r="B3622" s="27" t="s">
        <v>121</v>
      </c>
      <c r="C3622" s="27" t="s">
        <v>6</v>
      </c>
      <c r="D3622" s="27" t="s">
        <v>7</v>
      </c>
      <c r="E3622" s="28">
        <v>73600</v>
      </c>
      <c r="F3622" s="28">
        <v>101900</v>
      </c>
      <c r="G3622" s="27" t="s">
        <v>11</v>
      </c>
      <c r="H3622" s="27" t="s">
        <v>4655</v>
      </c>
      <c r="I3622" s="27" t="s">
        <v>9</v>
      </c>
    </row>
    <row r="3623" spans="1:9" x14ac:dyDescent="0.3">
      <c r="A3623" s="26">
        <v>45119</v>
      </c>
      <c r="B3623" s="27" t="s">
        <v>121</v>
      </c>
      <c r="C3623" s="27" t="s">
        <v>6</v>
      </c>
      <c r="D3623" s="27" t="s">
        <v>21</v>
      </c>
      <c r="E3623" s="28">
        <v>139600</v>
      </c>
      <c r="F3623" s="28">
        <v>100500</v>
      </c>
      <c r="G3623" s="27" t="s">
        <v>11</v>
      </c>
      <c r="H3623" s="27" t="s">
        <v>4802</v>
      </c>
      <c r="I3623" s="27" t="s">
        <v>9</v>
      </c>
    </row>
    <row r="3624" spans="1:9" x14ac:dyDescent="0.3">
      <c r="A3624" s="26">
        <v>45119</v>
      </c>
      <c r="B3624" s="27" t="s">
        <v>121</v>
      </c>
      <c r="C3624" s="27" t="s">
        <v>93</v>
      </c>
      <c r="D3624" s="27" t="s">
        <v>24</v>
      </c>
      <c r="E3624" s="28">
        <v>156100</v>
      </c>
      <c r="F3624" s="28">
        <v>159100</v>
      </c>
      <c r="G3624" s="27" t="s">
        <v>22</v>
      </c>
      <c r="H3624" s="27" t="s">
        <v>4945</v>
      </c>
      <c r="I3624" s="27" t="s">
        <v>9</v>
      </c>
    </row>
    <row r="3625" spans="1:9" x14ac:dyDescent="0.3">
      <c r="A3625" s="26">
        <v>45119</v>
      </c>
      <c r="B3625" s="27" t="s">
        <v>121</v>
      </c>
      <c r="C3625" s="27" t="s">
        <v>6</v>
      </c>
      <c r="D3625" s="27" t="s">
        <v>24</v>
      </c>
      <c r="E3625" s="28">
        <v>81400</v>
      </c>
      <c r="F3625" s="28">
        <v>61100</v>
      </c>
      <c r="G3625" s="27" t="s">
        <v>11</v>
      </c>
      <c r="H3625" s="27" t="s">
        <v>5422</v>
      </c>
      <c r="I3625" s="27" t="s">
        <v>9</v>
      </c>
    </row>
    <row r="3626" spans="1:9" x14ac:dyDescent="0.3">
      <c r="A3626" s="26">
        <v>45119</v>
      </c>
      <c r="B3626" s="27" t="s">
        <v>121</v>
      </c>
      <c r="C3626" s="27" t="s">
        <v>93</v>
      </c>
      <c r="D3626" s="27" t="s">
        <v>19</v>
      </c>
      <c r="E3626" s="28">
        <v>87400</v>
      </c>
      <c r="F3626" s="28">
        <v>100900</v>
      </c>
      <c r="G3626" s="27" t="s">
        <v>22</v>
      </c>
      <c r="H3626" s="27" t="s">
        <v>5465</v>
      </c>
      <c r="I3626" s="27" t="s">
        <v>9</v>
      </c>
    </row>
    <row r="3627" spans="1:9" x14ac:dyDescent="0.3">
      <c r="A3627" s="26">
        <v>45119</v>
      </c>
      <c r="B3627" s="27" t="s">
        <v>121</v>
      </c>
      <c r="C3627" s="27" t="s">
        <v>6</v>
      </c>
      <c r="D3627" s="27" t="s">
        <v>16</v>
      </c>
      <c r="E3627" s="28">
        <v>69100</v>
      </c>
      <c r="F3627" s="28">
        <v>53800</v>
      </c>
      <c r="G3627" s="27" t="s">
        <v>22</v>
      </c>
      <c r="H3627" s="27" t="s">
        <v>5532</v>
      </c>
      <c r="I3627" s="27" t="s">
        <v>9</v>
      </c>
    </row>
    <row r="3628" spans="1:9" x14ac:dyDescent="0.3">
      <c r="A3628" s="26">
        <v>45119</v>
      </c>
      <c r="B3628" s="27" t="s">
        <v>121</v>
      </c>
      <c r="C3628" s="27" t="s">
        <v>93</v>
      </c>
      <c r="D3628" s="27" t="s">
        <v>24</v>
      </c>
      <c r="E3628" s="28">
        <v>74900</v>
      </c>
      <c r="F3628" s="28">
        <v>64200</v>
      </c>
      <c r="G3628" s="27" t="s">
        <v>11</v>
      </c>
      <c r="H3628" s="27" t="s">
        <v>5965</v>
      </c>
      <c r="I3628" s="27" t="s">
        <v>9</v>
      </c>
    </row>
    <row r="3629" spans="1:9" x14ac:dyDescent="0.3">
      <c r="A3629" s="26">
        <v>45119</v>
      </c>
      <c r="B3629" s="27" t="s">
        <v>121</v>
      </c>
      <c r="C3629" s="27" t="s">
        <v>6</v>
      </c>
      <c r="D3629" s="27" t="s">
        <v>24</v>
      </c>
      <c r="E3629" s="28">
        <v>88900</v>
      </c>
      <c r="F3629" s="28">
        <v>70700</v>
      </c>
      <c r="G3629" s="27" t="s">
        <v>22</v>
      </c>
      <c r="H3629" s="27" t="s">
        <v>6312</v>
      </c>
      <c r="I3629" s="27" t="s">
        <v>9</v>
      </c>
    </row>
    <row r="3630" spans="1:9" x14ac:dyDescent="0.3">
      <c r="A3630" s="26">
        <v>45119</v>
      </c>
      <c r="B3630" s="27" t="s">
        <v>121</v>
      </c>
      <c r="C3630" s="27" t="s">
        <v>6</v>
      </c>
      <c r="D3630" s="27" t="s">
        <v>7</v>
      </c>
      <c r="E3630" s="28">
        <v>250200</v>
      </c>
      <c r="F3630" s="28">
        <v>224400</v>
      </c>
      <c r="G3630" s="27" t="s">
        <v>11</v>
      </c>
      <c r="H3630" s="27" t="s">
        <v>6328</v>
      </c>
      <c r="I3630" s="27" t="s">
        <v>9</v>
      </c>
    </row>
    <row r="3631" spans="1:9" x14ac:dyDescent="0.3">
      <c r="A3631" s="26">
        <v>45119</v>
      </c>
      <c r="B3631" s="27" t="s">
        <v>121</v>
      </c>
      <c r="C3631" s="27" t="s">
        <v>93</v>
      </c>
      <c r="D3631" s="27" t="s">
        <v>24</v>
      </c>
      <c r="E3631" s="28">
        <v>114000</v>
      </c>
      <c r="F3631" s="28">
        <v>132000</v>
      </c>
      <c r="G3631" s="27" t="s">
        <v>22</v>
      </c>
      <c r="H3631" s="27" t="s">
        <v>6809</v>
      </c>
      <c r="I3631" s="27" t="s">
        <v>9</v>
      </c>
    </row>
    <row r="3632" spans="1:9" x14ac:dyDescent="0.3">
      <c r="A3632" s="26">
        <v>45120</v>
      </c>
      <c r="B3632" s="27" t="s">
        <v>121</v>
      </c>
      <c r="C3632" s="27" t="s">
        <v>32</v>
      </c>
      <c r="D3632" s="27" t="s">
        <v>24</v>
      </c>
      <c r="E3632" s="28">
        <v>65197</v>
      </c>
      <c r="F3632" s="28">
        <v>103772</v>
      </c>
      <c r="G3632" s="27" t="s">
        <v>22</v>
      </c>
      <c r="H3632" s="27" t="s">
        <v>577</v>
      </c>
      <c r="I3632" s="27" t="s">
        <v>13</v>
      </c>
    </row>
    <row r="3633" spans="1:9" x14ac:dyDescent="0.3">
      <c r="A3633" s="26">
        <v>45120</v>
      </c>
      <c r="B3633" s="27" t="s">
        <v>121</v>
      </c>
      <c r="C3633" s="27" t="s">
        <v>32</v>
      </c>
      <c r="D3633" s="27" t="s">
        <v>16</v>
      </c>
      <c r="E3633" s="28">
        <v>61632</v>
      </c>
      <c r="F3633" s="28">
        <v>150436</v>
      </c>
      <c r="G3633" s="27" t="s">
        <v>11</v>
      </c>
      <c r="H3633" s="27" t="s">
        <v>864</v>
      </c>
      <c r="I3633" s="27" t="s">
        <v>13</v>
      </c>
    </row>
    <row r="3634" spans="1:9" x14ac:dyDescent="0.3">
      <c r="A3634" s="26">
        <v>45120</v>
      </c>
      <c r="B3634" s="27" t="s">
        <v>121</v>
      </c>
      <c r="C3634" s="27" t="s">
        <v>18</v>
      </c>
      <c r="D3634" s="27" t="s">
        <v>16</v>
      </c>
      <c r="E3634" s="28">
        <v>100100</v>
      </c>
      <c r="F3634" s="28">
        <v>44363</v>
      </c>
      <c r="G3634" s="27" t="s">
        <v>22</v>
      </c>
      <c r="H3634" s="27" t="s">
        <v>1106</v>
      </c>
      <c r="I3634" s="27" t="s">
        <v>13</v>
      </c>
    </row>
    <row r="3635" spans="1:9" x14ac:dyDescent="0.3">
      <c r="A3635" s="26">
        <v>45120</v>
      </c>
      <c r="B3635" s="27" t="s">
        <v>121</v>
      </c>
      <c r="C3635" s="27" t="s">
        <v>14</v>
      </c>
      <c r="D3635" s="27" t="s">
        <v>7</v>
      </c>
      <c r="E3635" s="28">
        <v>21018</v>
      </c>
      <c r="F3635" s="28">
        <v>99569</v>
      </c>
      <c r="G3635" s="27" t="s">
        <v>11</v>
      </c>
      <c r="H3635" s="27" t="s">
        <v>1504</v>
      </c>
      <c r="I3635" s="27" t="s">
        <v>13</v>
      </c>
    </row>
    <row r="3636" spans="1:9" x14ac:dyDescent="0.3">
      <c r="A3636" s="26">
        <v>45120</v>
      </c>
      <c r="B3636" s="27" t="s">
        <v>121</v>
      </c>
      <c r="C3636" s="27" t="s">
        <v>14</v>
      </c>
      <c r="D3636" s="27" t="s">
        <v>21</v>
      </c>
      <c r="E3636" s="28">
        <v>62563</v>
      </c>
      <c r="F3636" s="28">
        <v>131211</v>
      </c>
      <c r="G3636" s="27" t="s">
        <v>11</v>
      </c>
      <c r="H3636" s="27" t="s">
        <v>1589</v>
      </c>
      <c r="I3636" s="27" t="s">
        <v>13</v>
      </c>
    </row>
    <row r="3637" spans="1:9" x14ac:dyDescent="0.3">
      <c r="A3637" s="26">
        <v>45120</v>
      </c>
      <c r="B3637" s="27" t="s">
        <v>121</v>
      </c>
      <c r="C3637" s="27" t="s">
        <v>15</v>
      </c>
      <c r="D3637" s="27" t="s">
        <v>19</v>
      </c>
      <c r="E3637" s="28">
        <v>54568</v>
      </c>
      <c r="F3637" s="28">
        <v>110733</v>
      </c>
      <c r="G3637" s="27" t="s">
        <v>8</v>
      </c>
      <c r="H3637" s="27" t="s">
        <v>1834</v>
      </c>
      <c r="I3637" s="27" t="s">
        <v>13</v>
      </c>
    </row>
    <row r="3638" spans="1:9" x14ac:dyDescent="0.3">
      <c r="A3638" s="26">
        <v>45120</v>
      </c>
      <c r="B3638" s="27" t="s">
        <v>121</v>
      </c>
      <c r="C3638" s="27" t="s">
        <v>14</v>
      </c>
      <c r="D3638" s="27" t="s">
        <v>21</v>
      </c>
      <c r="E3638" s="28">
        <v>67121</v>
      </c>
      <c r="F3638" s="28">
        <v>129268</v>
      </c>
      <c r="G3638" s="27" t="s">
        <v>11</v>
      </c>
      <c r="H3638" s="27" t="s">
        <v>1913</v>
      </c>
      <c r="I3638" s="27" t="s">
        <v>13</v>
      </c>
    </row>
    <row r="3639" spans="1:9" x14ac:dyDescent="0.3">
      <c r="A3639" s="26">
        <v>45120</v>
      </c>
      <c r="B3639" s="27" t="s">
        <v>121</v>
      </c>
      <c r="C3639" s="27" t="s">
        <v>20</v>
      </c>
      <c r="D3639" s="27" t="s">
        <v>7</v>
      </c>
      <c r="E3639" s="28">
        <v>138245</v>
      </c>
      <c r="F3639" s="28">
        <v>8749</v>
      </c>
      <c r="G3639" s="27" t="s">
        <v>17</v>
      </c>
      <c r="H3639" s="27" t="s">
        <v>2265</v>
      </c>
      <c r="I3639" s="27" t="s">
        <v>13</v>
      </c>
    </row>
    <row r="3640" spans="1:9" x14ac:dyDescent="0.3">
      <c r="A3640" s="26">
        <v>45120</v>
      </c>
      <c r="B3640" s="27" t="s">
        <v>121</v>
      </c>
      <c r="C3640" s="27" t="s">
        <v>15</v>
      </c>
      <c r="D3640" s="27" t="s">
        <v>16</v>
      </c>
      <c r="E3640" s="28">
        <v>32479</v>
      </c>
      <c r="F3640" s="28">
        <v>155769</v>
      </c>
      <c r="G3640" s="27" t="s">
        <v>17</v>
      </c>
      <c r="H3640" s="27" t="s">
        <v>2579</v>
      </c>
      <c r="I3640" s="27" t="s">
        <v>13</v>
      </c>
    </row>
    <row r="3641" spans="1:9" x14ac:dyDescent="0.3">
      <c r="A3641" s="26">
        <v>45120</v>
      </c>
      <c r="B3641" s="27" t="s">
        <v>121</v>
      </c>
      <c r="C3641" s="27" t="s">
        <v>93</v>
      </c>
      <c r="D3641" s="27" t="s">
        <v>24</v>
      </c>
      <c r="E3641" s="28">
        <v>82100</v>
      </c>
      <c r="F3641" s="28">
        <v>58400</v>
      </c>
      <c r="G3641" s="27" t="s">
        <v>11</v>
      </c>
      <c r="H3641" s="27" t="s">
        <v>3958</v>
      </c>
      <c r="I3641" s="27" t="s">
        <v>9</v>
      </c>
    </row>
    <row r="3642" spans="1:9" x14ac:dyDescent="0.3">
      <c r="A3642" s="26">
        <v>45120</v>
      </c>
      <c r="B3642" s="27" t="s">
        <v>121</v>
      </c>
      <c r="C3642" s="27" t="s">
        <v>93</v>
      </c>
      <c r="D3642" s="27" t="s">
        <v>16</v>
      </c>
      <c r="E3642" s="28">
        <v>55100</v>
      </c>
      <c r="F3642" s="28">
        <v>52500</v>
      </c>
      <c r="G3642" s="27" t="s">
        <v>22</v>
      </c>
      <c r="H3642" s="27" t="s">
        <v>4245</v>
      </c>
      <c r="I3642" s="27" t="s">
        <v>9</v>
      </c>
    </row>
    <row r="3643" spans="1:9" x14ac:dyDescent="0.3">
      <c r="A3643" s="26">
        <v>45120</v>
      </c>
      <c r="B3643" s="27" t="s">
        <v>121</v>
      </c>
      <c r="C3643" s="27" t="s">
        <v>93</v>
      </c>
      <c r="D3643" s="27" t="s">
        <v>16</v>
      </c>
      <c r="E3643" s="28">
        <v>116600</v>
      </c>
      <c r="F3643" s="28">
        <v>120600</v>
      </c>
      <c r="G3643" s="27" t="s">
        <v>17</v>
      </c>
      <c r="H3643" s="27" t="s">
        <v>4489</v>
      </c>
      <c r="I3643" s="27" t="s">
        <v>9</v>
      </c>
    </row>
    <row r="3644" spans="1:9" x14ac:dyDescent="0.3">
      <c r="A3644" s="26">
        <v>45120</v>
      </c>
      <c r="B3644" s="27" t="s">
        <v>121</v>
      </c>
      <c r="C3644" s="27" t="s">
        <v>93</v>
      </c>
      <c r="D3644" s="27" t="s">
        <v>7</v>
      </c>
      <c r="E3644" s="28">
        <v>88200</v>
      </c>
      <c r="F3644" s="28">
        <v>73600</v>
      </c>
      <c r="G3644" s="27" t="s">
        <v>22</v>
      </c>
      <c r="H3644" s="27" t="s">
        <v>4887</v>
      </c>
      <c r="I3644" s="27" t="s">
        <v>9</v>
      </c>
    </row>
    <row r="3645" spans="1:9" x14ac:dyDescent="0.3">
      <c r="A3645" s="26">
        <v>45120</v>
      </c>
      <c r="B3645" s="27" t="s">
        <v>121</v>
      </c>
      <c r="C3645" s="27" t="s">
        <v>93</v>
      </c>
      <c r="D3645" s="27" t="s">
        <v>21</v>
      </c>
      <c r="E3645" s="28">
        <v>179400</v>
      </c>
      <c r="F3645" s="28">
        <v>188800</v>
      </c>
      <c r="G3645" s="27" t="s">
        <v>22</v>
      </c>
      <c r="H3645" s="27" t="s">
        <v>4972</v>
      </c>
      <c r="I3645" s="27" t="s">
        <v>9</v>
      </c>
    </row>
    <row r="3646" spans="1:9" x14ac:dyDescent="0.3">
      <c r="A3646" s="26">
        <v>45120</v>
      </c>
      <c r="B3646" s="27" t="s">
        <v>121</v>
      </c>
      <c r="C3646" s="27" t="s">
        <v>6</v>
      </c>
      <c r="D3646" s="27" t="s">
        <v>19</v>
      </c>
      <c r="E3646" s="28">
        <v>124300</v>
      </c>
      <c r="F3646" s="28">
        <v>111800</v>
      </c>
      <c r="G3646" s="27" t="s">
        <v>22</v>
      </c>
      <c r="H3646" s="27" t="s">
        <v>5217</v>
      </c>
      <c r="I3646" s="27" t="s">
        <v>9</v>
      </c>
    </row>
    <row r="3647" spans="1:9" x14ac:dyDescent="0.3">
      <c r="A3647" s="26">
        <v>45120</v>
      </c>
      <c r="B3647" s="27" t="s">
        <v>121</v>
      </c>
      <c r="C3647" s="27" t="s">
        <v>6</v>
      </c>
      <c r="D3647" s="27" t="s">
        <v>21</v>
      </c>
      <c r="E3647" s="28">
        <v>82600</v>
      </c>
      <c r="F3647" s="28">
        <v>76400</v>
      </c>
      <c r="G3647" s="27" t="s">
        <v>22</v>
      </c>
      <c r="H3647" s="27" t="s">
        <v>5297</v>
      </c>
      <c r="I3647" s="27" t="s">
        <v>9</v>
      </c>
    </row>
    <row r="3648" spans="1:9" x14ac:dyDescent="0.3">
      <c r="A3648" s="26">
        <v>45120</v>
      </c>
      <c r="B3648" s="27" t="s">
        <v>121</v>
      </c>
      <c r="C3648" s="27" t="s">
        <v>6</v>
      </c>
      <c r="D3648" s="27" t="s">
        <v>7</v>
      </c>
      <c r="E3648" s="28">
        <v>61500</v>
      </c>
      <c r="F3648" s="28">
        <v>62000</v>
      </c>
      <c r="G3648" s="27" t="s">
        <v>11</v>
      </c>
      <c r="H3648" s="27" t="s">
        <v>5650</v>
      </c>
      <c r="I3648" s="27" t="s">
        <v>9</v>
      </c>
    </row>
    <row r="3649" spans="1:9" x14ac:dyDescent="0.3">
      <c r="A3649" s="26">
        <v>45120</v>
      </c>
      <c r="B3649" s="27" t="s">
        <v>121</v>
      </c>
      <c r="C3649" s="27" t="s">
        <v>6</v>
      </c>
      <c r="D3649" s="27" t="s">
        <v>16</v>
      </c>
      <c r="E3649" s="28">
        <v>150300</v>
      </c>
      <c r="F3649" s="28">
        <v>194100</v>
      </c>
      <c r="G3649" s="27" t="s">
        <v>11</v>
      </c>
      <c r="H3649" s="27" t="s">
        <v>5964</v>
      </c>
      <c r="I3649" s="27" t="s">
        <v>9</v>
      </c>
    </row>
    <row r="3650" spans="1:9" x14ac:dyDescent="0.3">
      <c r="A3650" s="26">
        <v>45121</v>
      </c>
      <c r="B3650" s="27" t="s">
        <v>121</v>
      </c>
      <c r="C3650" s="27" t="s">
        <v>15</v>
      </c>
      <c r="D3650" s="27" t="s">
        <v>24</v>
      </c>
      <c r="E3650" s="28">
        <v>42831</v>
      </c>
      <c r="F3650" s="28">
        <v>96170</v>
      </c>
      <c r="G3650" s="27" t="s">
        <v>22</v>
      </c>
      <c r="H3650" s="27" t="s">
        <v>260</v>
      </c>
      <c r="I3650" s="27" t="s">
        <v>13</v>
      </c>
    </row>
    <row r="3651" spans="1:9" x14ac:dyDescent="0.3">
      <c r="A3651" s="26">
        <v>45121</v>
      </c>
      <c r="B3651" s="27" t="s">
        <v>121</v>
      </c>
      <c r="C3651" s="27" t="s">
        <v>10</v>
      </c>
      <c r="D3651" s="27" t="s">
        <v>16</v>
      </c>
      <c r="E3651" s="28">
        <v>61523</v>
      </c>
      <c r="F3651" s="28">
        <v>54521</v>
      </c>
      <c r="G3651" s="27" t="s">
        <v>22</v>
      </c>
      <c r="H3651" s="27" t="s">
        <v>398</v>
      </c>
      <c r="I3651" s="27" t="s">
        <v>13</v>
      </c>
    </row>
    <row r="3652" spans="1:9" x14ac:dyDescent="0.3">
      <c r="A3652" s="26">
        <v>45121</v>
      </c>
      <c r="B3652" s="27" t="s">
        <v>121</v>
      </c>
      <c r="C3652" s="27" t="s">
        <v>20</v>
      </c>
      <c r="D3652" s="27" t="s">
        <v>21</v>
      </c>
      <c r="E3652" s="28">
        <v>50425</v>
      </c>
      <c r="F3652" s="28">
        <v>131118</v>
      </c>
      <c r="G3652" s="27" t="s">
        <v>11</v>
      </c>
      <c r="H3652" s="27" t="s">
        <v>1136</v>
      </c>
      <c r="I3652" s="27" t="s">
        <v>13</v>
      </c>
    </row>
    <row r="3653" spans="1:9" x14ac:dyDescent="0.3">
      <c r="A3653" s="26">
        <v>45121</v>
      </c>
      <c r="B3653" s="27" t="s">
        <v>121</v>
      </c>
      <c r="C3653" s="27" t="s">
        <v>14</v>
      </c>
      <c r="D3653" s="27" t="s">
        <v>7</v>
      </c>
      <c r="E3653" s="28">
        <v>35602</v>
      </c>
      <c r="F3653" s="28">
        <v>139823</v>
      </c>
      <c r="G3653" s="27" t="s">
        <v>11</v>
      </c>
      <c r="H3653" s="27" t="s">
        <v>1204</v>
      </c>
      <c r="I3653" s="27" t="s">
        <v>13</v>
      </c>
    </row>
    <row r="3654" spans="1:9" x14ac:dyDescent="0.3">
      <c r="A3654" s="26">
        <v>45121</v>
      </c>
      <c r="B3654" s="27" t="s">
        <v>121</v>
      </c>
      <c r="C3654" s="27" t="s">
        <v>15</v>
      </c>
      <c r="D3654" s="27" t="s">
        <v>21</v>
      </c>
      <c r="E3654" s="28">
        <v>108132</v>
      </c>
      <c r="F3654" s="28">
        <v>23169</v>
      </c>
      <c r="G3654" s="27" t="s">
        <v>11</v>
      </c>
      <c r="H3654" s="27" t="s">
        <v>1234</v>
      </c>
      <c r="I3654" s="27" t="s">
        <v>13</v>
      </c>
    </row>
    <row r="3655" spans="1:9" x14ac:dyDescent="0.3">
      <c r="A3655" s="26">
        <v>45121</v>
      </c>
      <c r="B3655" s="27" t="s">
        <v>121</v>
      </c>
      <c r="C3655" s="27" t="s">
        <v>10</v>
      </c>
      <c r="D3655" s="27" t="s">
        <v>21</v>
      </c>
      <c r="E3655" s="28">
        <v>133787</v>
      </c>
      <c r="F3655" s="28">
        <v>149301</v>
      </c>
      <c r="G3655" s="27" t="s">
        <v>17</v>
      </c>
      <c r="H3655" s="27" t="s">
        <v>1257</v>
      </c>
      <c r="I3655" s="27" t="s">
        <v>13</v>
      </c>
    </row>
    <row r="3656" spans="1:9" x14ac:dyDescent="0.3">
      <c r="A3656" s="26">
        <v>45121</v>
      </c>
      <c r="B3656" s="27" t="s">
        <v>121</v>
      </c>
      <c r="C3656" s="27" t="s">
        <v>20</v>
      </c>
      <c r="D3656" s="27" t="s">
        <v>24</v>
      </c>
      <c r="E3656" s="28">
        <v>104631</v>
      </c>
      <c r="F3656" s="28">
        <v>55172</v>
      </c>
      <c r="G3656" s="27" t="s">
        <v>17</v>
      </c>
      <c r="H3656" s="27" t="s">
        <v>1338</v>
      </c>
      <c r="I3656" s="27" t="s">
        <v>13</v>
      </c>
    </row>
    <row r="3657" spans="1:9" x14ac:dyDescent="0.3">
      <c r="A3657" s="26">
        <v>45121</v>
      </c>
      <c r="B3657" s="27" t="s">
        <v>121</v>
      </c>
      <c r="C3657" s="27" t="s">
        <v>20</v>
      </c>
      <c r="D3657" s="27" t="s">
        <v>16</v>
      </c>
      <c r="E3657" s="28">
        <v>126942</v>
      </c>
      <c r="F3657" s="28">
        <v>106572</v>
      </c>
      <c r="G3657" s="27" t="s">
        <v>8</v>
      </c>
      <c r="H3657" s="27" t="s">
        <v>1631</v>
      </c>
      <c r="I3657" s="27" t="s">
        <v>13</v>
      </c>
    </row>
    <row r="3658" spans="1:9" x14ac:dyDescent="0.3">
      <c r="A3658" s="26">
        <v>45121</v>
      </c>
      <c r="B3658" s="27" t="s">
        <v>121</v>
      </c>
      <c r="C3658" s="27" t="s">
        <v>20</v>
      </c>
      <c r="D3658" s="27" t="s">
        <v>21</v>
      </c>
      <c r="E3658" s="28">
        <v>78311</v>
      </c>
      <c r="F3658" s="28">
        <v>154379</v>
      </c>
      <c r="G3658" s="27" t="s">
        <v>11</v>
      </c>
      <c r="H3658" s="27" t="s">
        <v>1810</v>
      </c>
      <c r="I3658" s="27" t="s">
        <v>13</v>
      </c>
    </row>
    <row r="3659" spans="1:9" x14ac:dyDescent="0.3">
      <c r="A3659" s="26">
        <v>45121</v>
      </c>
      <c r="B3659" s="27" t="s">
        <v>121</v>
      </c>
      <c r="C3659" s="27" t="s">
        <v>32</v>
      </c>
      <c r="D3659" s="27" t="s">
        <v>7</v>
      </c>
      <c r="E3659" s="28">
        <v>79456</v>
      </c>
      <c r="F3659" s="28">
        <v>132302</v>
      </c>
      <c r="G3659" s="27" t="s">
        <v>11</v>
      </c>
      <c r="H3659" s="27" t="s">
        <v>2280</v>
      </c>
      <c r="I3659" s="27" t="s">
        <v>13</v>
      </c>
    </row>
    <row r="3660" spans="1:9" x14ac:dyDescent="0.3">
      <c r="A3660" s="26">
        <v>45121</v>
      </c>
      <c r="B3660" s="27" t="s">
        <v>121</v>
      </c>
      <c r="C3660" s="27" t="s">
        <v>14</v>
      </c>
      <c r="D3660" s="27" t="s">
        <v>16</v>
      </c>
      <c r="E3660" s="28">
        <v>46843</v>
      </c>
      <c r="F3660" s="28">
        <v>50706</v>
      </c>
      <c r="G3660" s="27" t="s">
        <v>11</v>
      </c>
      <c r="H3660" s="27" t="s">
        <v>2636</v>
      </c>
      <c r="I3660" s="27" t="s">
        <v>13</v>
      </c>
    </row>
    <row r="3661" spans="1:9" x14ac:dyDescent="0.3">
      <c r="A3661" s="26">
        <v>45121</v>
      </c>
      <c r="B3661" s="27" t="s">
        <v>121</v>
      </c>
      <c r="C3661" s="27" t="s">
        <v>10</v>
      </c>
      <c r="D3661" s="27" t="s">
        <v>19</v>
      </c>
      <c r="E3661" s="28">
        <v>104845</v>
      </c>
      <c r="F3661" s="28">
        <v>131736</v>
      </c>
      <c r="G3661" s="27" t="s">
        <v>17</v>
      </c>
      <c r="H3661" s="27" t="s">
        <v>3111</v>
      </c>
      <c r="I3661" s="27" t="s">
        <v>13</v>
      </c>
    </row>
    <row r="3662" spans="1:9" x14ac:dyDescent="0.3">
      <c r="A3662" s="26">
        <v>45121</v>
      </c>
      <c r="B3662" s="27" t="s">
        <v>121</v>
      </c>
      <c r="C3662" s="27" t="s">
        <v>6</v>
      </c>
      <c r="D3662" s="27" t="s">
        <v>24</v>
      </c>
      <c r="E3662" s="28">
        <v>133200</v>
      </c>
      <c r="F3662" s="28">
        <v>136700</v>
      </c>
      <c r="G3662" s="27" t="s">
        <v>11</v>
      </c>
      <c r="H3662" s="27" t="s">
        <v>3641</v>
      </c>
      <c r="I3662" s="27" t="s">
        <v>9</v>
      </c>
    </row>
    <row r="3663" spans="1:9" x14ac:dyDescent="0.3">
      <c r="A3663" s="26">
        <v>45121</v>
      </c>
      <c r="B3663" s="27" t="s">
        <v>121</v>
      </c>
      <c r="C3663" s="27" t="s">
        <v>6</v>
      </c>
      <c r="D3663" s="27" t="s">
        <v>16</v>
      </c>
      <c r="E3663" s="28">
        <v>205500</v>
      </c>
      <c r="F3663" s="28">
        <v>189400</v>
      </c>
      <c r="G3663" s="27" t="s">
        <v>17</v>
      </c>
      <c r="H3663" s="27" t="s">
        <v>3779</v>
      </c>
      <c r="I3663" s="27" t="s">
        <v>9</v>
      </c>
    </row>
    <row r="3664" spans="1:9" x14ac:dyDescent="0.3">
      <c r="A3664" s="26">
        <v>45121</v>
      </c>
      <c r="B3664" s="27" t="s">
        <v>121</v>
      </c>
      <c r="C3664" s="27" t="s">
        <v>6</v>
      </c>
      <c r="D3664" s="27" t="s">
        <v>21</v>
      </c>
      <c r="E3664" s="28">
        <v>128100</v>
      </c>
      <c r="F3664" s="28">
        <v>182200</v>
      </c>
      <c r="G3664" s="27" t="s">
        <v>17</v>
      </c>
      <c r="H3664" s="27" t="s">
        <v>4519</v>
      </c>
      <c r="I3664" s="27" t="s">
        <v>9</v>
      </c>
    </row>
    <row r="3665" spans="1:9" x14ac:dyDescent="0.3">
      <c r="A3665" s="26">
        <v>45121</v>
      </c>
      <c r="B3665" s="27" t="s">
        <v>121</v>
      </c>
      <c r="C3665" s="27" t="s">
        <v>6</v>
      </c>
      <c r="D3665" s="27" t="s">
        <v>7</v>
      </c>
      <c r="E3665" s="28">
        <v>143400</v>
      </c>
      <c r="F3665" s="28">
        <v>136200</v>
      </c>
      <c r="G3665" s="27" t="s">
        <v>22</v>
      </c>
      <c r="H3665" s="27" t="s">
        <v>4587</v>
      </c>
      <c r="I3665" s="27" t="s">
        <v>9</v>
      </c>
    </row>
    <row r="3666" spans="1:9" x14ac:dyDescent="0.3">
      <c r="A3666" s="26">
        <v>45121</v>
      </c>
      <c r="B3666" s="27" t="s">
        <v>121</v>
      </c>
      <c r="C3666" s="27" t="s">
        <v>6</v>
      </c>
      <c r="D3666" s="27" t="s">
        <v>21</v>
      </c>
      <c r="E3666" s="28">
        <v>104900</v>
      </c>
      <c r="F3666" s="28">
        <v>83700</v>
      </c>
      <c r="G3666" s="27" t="s">
        <v>22</v>
      </c>
      <c r="H3666" s="27" t="s">
        <v>4617</v>
      </c>
      <c r="I3666" s="27" t="s">
        <v>9</v>
      </c>
    </row>
    <row r="3667" spans="1:9" x14ac:dyDescent="0.3">
      <c r="A3667" s="26">
        <v>45121</v>
      </c>
      <c r="B3667" s="27" t="s">
        <v>121</v>
      </c>
      <c r="C3667" s="27" t="s">
        <v>6</v>
      </c>
      <c r="D3667" s="27" t="s">
        <v>21</v>
      </c>
      <c r="E3667" s="28">
        <v>134700</v>
      </c>
      <c r="F3667" s="28">
        <v>126600</v>
      </c>
      <c r="G3667" s="27" t="s">
        <v>11</v>
      </c>
      <c r="H3667" s="27" t="s">
        <v>4640</v>
      </c>
      <c r="I3667" s="27" t="s">
        <v>9</v>
      </c>
    </row>
    <row r="3668" spans="1:9" x14ac:dyDescent="0.3">
      <c r="A3668" s="26">
        <v>45121</v>
      </c>
      <c r="B3668" s="27" t="s">
        <v>121</v>
      </c>
      <c r="C3668" s="27" t="s">
        <v>6</v>
      </c>
      <c r="D3668" s="27" t="s">
        <v>24</v>
      </c>
      <c r="E3668" s="28">
        <v>114800</v>
      </c>
      <c r="F3668" s="28">
        <v>124900</v>
      </c>
      <c r="G3668" s="27" t="s">
        <v>22</v>
      </c>
      <c r="H3668" s="27" t="s">
        <v>4721</v>
      </c>
      <c r="I3668" s="27" t="s">
        <v>9</v>
      </c>
    </row>
    <row r="3669" spans="1:9" x14ac:dyDescent="0.3">
      <c r="A3669" s="26">
        <v>45121</v>
      </c>
      <c r="B3669" s="27" t="s">
        <v>121</v>
      </c>
      <c r="C3669" s="27" t="s">
        <v>6</v>
      </c>
      <c r="D3669" s="27" t="s">
        <v>16</v>
      </c>
      <c r="E3669" s="28">
        <v>144600</v>
      </c>
      <c r="F3669" s="28">
        <v>160100</v>
      </c>
      <c r="G3669" s="27" t="s">
        <v>17</v>
      </c>
      <c r="H3669" s="27" t="s">
        <v>5014</v>
      </c>
      <c r="I3669" s="27" t="s">
        <v>9</v>
      </c>
    </row>
    <row r="3670" spans="1:9" x14ac:dyDescent="0.3">
      <c r="A3670" s="26">
        <v>45121</v>
      </c>
      <c r="B3670" s="27" t="s">
        <v>121</v>
      </c>
      <c r="C3670" s="27" t="s">
        <v>6</v>
      </c>
      <c r="D3670" s="27" t="s">
        <v>21</v>
      </c>
      <c r="E3670" s="28">
        <v>166000</v>
      </c>
      <c r="F3670" s="28">
        <v>171600</v>
      </c>
      <c r="G3670" s="27" t="s">
        <v>22</v>
      </c>
      <c r="H3670" s="27" t="s">
        <v>5193</v>
      </c>
      <c r="I3670" s="27" t="s">
        <v>9</v>
      </c>
    </row>
    <row r="3671" spans="1:9" x14ac:dyDescent="0.3">
      <c r="A3671" s="26">
        <v>45121</v>
      </c>
      <c r="B3671" s="27" t="s">
        <v>121</v>
      </c>
      <c r="C3671" s="27" t="s">
        <v>93</v>
      </c>
      <c r="D3671" s="27" t="s">
        <v>7</v>
      </c>
      <c r="E3671" s="28">
        <v>70700</v>
      </c>
      <c r="F3671" s="28">
        <v>74600</v>
      </c>
      <c r="G3671" s="27" t="s">
        <v>17</v>
      </c>
      <c r="H3671" s="27" t="s">
        <v>5665</v>
      </c>
      <c r="I3671" s="27" t="s">
        <v>9</v>
      </c>
    </row>
    <row r="3672" spans="1:9" x14ac:dyDescent="0.3">
      <c r="A3672" s="26">
        <v>45121</v>
      </c>
      <c r="B3672" s="27" t="s">
        <v>121</v>
      </c>
      <c r="C3672" s="27" t="s">
        <v>6</v>
      </c>
      <c r="D3672" s="27" t="s">
        <v>16</v>
      </c>
      <c r="E3672" s="28">
        <v>91500</v>
      </c>
      <c r="F3672" s="28">
        <v>102800</v>
      </c>
      <c r="G3672" s="27" t="s">
        <v>11</v>
      </c>
      <c r="H3672" s="27" t="s">
        <v>6021</v>
      </c>
      <c r="I3672" s="27" t="s">
        <v>9</v>
      </c>
    </row>
    <row r="3673" spans="1:9" x14ac:dyDescent="0.3">
      <c r="A3673" s="26">
        <v>45121</v>
      </c>
      <c r="B3673" s="27" t="s">
        <v>121</v>
      </c>
      <c r="C3673" s="27" t="s">
        <v>6</v>
      </c>
      <c r="D3673" s="27" t="s">
        <v>19</v>
      </c>
      <c r="E3673" s="28">
        <v>128900</v>
      </c>
      <c r="F3673" s="28">
        <v>127300</v>
      </c>
      <c r="G3673" s="27" t="s">
        <v>17</v>
      </c>
      <c r="H3673" s="27" t="s">
        <v>6496</v>
      </c>
      <c r="I3673" s="27" t="s">
        <v>9</v>
      </c>
    </row>
    <row r="3674" spans="1:9" x14ac:dyDescent="0.3">
      <c r="A3674" s="26">
        <v>45122</v>
      </c>
      <c r="B3674" s="27" t="s">
        <v>121</v>
      </c>
      <c r="C3674" s="27" t="s">
        <v>14</v>
      </c>
      <c r="D3674" s="27" t="s">
        <v>19</v>
      </c>
      <c r="E3674" s="28">
        <v>82494</v>
      </c>
      <c r="F3674" s="28">
        <v>161939</v>
      </c>
      <c r="G3674" s="27" t="s">
        <v>8</v>
      </c>
      <c r="H3674" s="27" t="s">
        <v>474</v>
      </c>
      <c r="I3674" s="27" t="s">
        <v>13</v>
      </c>
    </row>
    <row r="3675" spans="1:9" x14ac:dyDescent="0.3">
      <c r="A3675" s="26">
        <v>45122</v>
      </c>
      <c r="B3675" s="27" t="s">
        <v>121</v>
      </c>
      <c r="C3675" s="27" t="s">
        <v>20</v>
      </c>
      <c r="D3675" s="27" t="s">
        <v>19</v>
      </c>
      <c r="E3675" s="28">
        <v>69821</v>
      </c>
      <c r="F3675" s="28">
        <v>104676</v>
      </c>
      <c r="G3675" s="27" t="s">
        <v>22</v>
      </c>
      <c r="H3675" s="27" t="s">
        <v>817</v>
      </c>
      <c r="I3675" s="27" t="s">
        <v>13</v>
      </c>
    </row>
    <row r="3676" spans="1:9" x14ac:dyDescent="0.3">
      <c r="A3676" s="26">
        <v>45122</v>
      </c>
      <c r="B3676" s="27" t="s">
        <v>121</v>
      </c>
      <c r="C3676" s="27" t="s">
        <v>10</v>
      </c>
      <c r="D3676" s="27" t="s">
        <v>7</v>
      </c>
      <c r="E3676" s="28">
        <v>17549</v>
      </c>
      <c r="F3676" s="28">
        <v>60483</v>
      </c>
      <c r="G3676" s="27" t="s">
        <v>17</v>
      </c>
      <c r="H3676" s="27" t="s">
        <v>956</v>
      </c>
      <c r="I3676" s="27" t="s">
        <v>13</v>
      </c>
    </row>
    <row r="3677" spans="1:9" x14ac:dyDescent="0.3">
      <c r="A3677" s="26">
        <v>45122</v>
      </c>
      <c r="B3677" s="27" t="s">
        <v>121</v>
      </c>
      <c r="C3677" s="27" t="s">
        <v>10</v>
      </c>
      <c r="D3677" s="27" t="s">
        <v>7</v>
      </c>
      <c r="E3677" s="28">
        <v>94986</v>
      </c>
      <c r="F3677" s="28">
        <v>114091</v>
      </c>
      <c r="G3677" s="27" t="s">
        <v>22</v>
      </c>
      <c r="H3677" s="27" t="s">
        <v>1324</v>
      </c>
      <c r="I3677" s="27" t="s">
        <v>13</v>
      </c>
    </row>
    <row r="3678" spans="1:9" x14ac:dyDescent="0.3">
      <c r="A3678" s="26">
        <v>45122</v>
      </c>
      <c r="B3678" s="27" t="s">
        <v>121</v>
      </c>
      <c r="C3678" s="27" t="s">
        <v>14</v>
      </c>
      <c r="D3678" s="27" t="s">
        <v>16</v>
      </c>
      <c r="E3678" s="28">
        <v>121464</v>
      </c>
      <c r="F3678" s="28">
        <v>135418</v>
      </c>
      <c r="G3678" s="27" t="s">
        <v>11</v>
      </c>
      <c r="H3678" s="27" t="s">
        <v>1393</v>
      </c>
      <c r="I3678" s="27" t="s">
        <v>13</v>
      </c>
    </row>
    <row r="3679" spans="1:9" x14ac:dyDescent="0.3">
      <c r="A3679" s="26">
        <v>45122</v>
      </c>
      <c r="B3679" s="27" t="s">
        <v>121</v>
      </c>
      <c r="C3679" s="27" t="s">
        <v>10</v>
      </c>
      <c r="D3679" s="27" t="s">
        <v>7</v>
      </c>
      <c r="E3679" s="28">
        <v>142382</v>
      </c>
      <c r="F3679" s="28">
        <v>145183</v>
      </c>
      <c r="G3679" s="27" t="s">
        <v>17</v>
      </c>
      <c r="H3679" s="27" t="s">
        <v>1525</v>
      </c>
      <c r="I3679" s="27" t="s">
        <v>13</v>
      </c>
    </row>
    <row r="3680" spans="1:9" x14ac:dyDescent="0.3">
      <c r="A3680" s="26">
        <v>45122</v>
      </c>
      <c r="B3680" s="27" t="s">
        <v>121</v>
      </c>
      <c r="C3680" s="27" t="s">
        <v>10</v>
      </c>
      <c r="D3680" s="27" t="s">
        <v>7</v>
      </c>
      <c r="E3680" s="28">
        <v>131222</v>
      </c>
      <c r="F3680" s="28">
        <v>147598</v>
      </c>
      <c r="G3680" s="27" t="s">
        <v>11</v>
      </c>
      <c r="H3680" s="27" t="s">
        <v>1953</v>
      </c>
      <c r="I3680" s="27" t="s">
        <v>13</v>
      </c>
    </row>
    <row r="3681" spans="1:9" x14ac:dyDescent="0.3">
      <c r="A3681" s="26">
        <v>45122</v>
      </c>
      <c r="B3681" s="27" t="s">
        <v>121</v>
      </c>
      <c r="C3681" s="27" t="s">
        <v>10</v>
      </c>
      <c r="D3681" s="27" t="s">
        <v>16</v>
      </c>
      <c r="E3681" s="28">
        <v>62100</v>
      </c>
      <c r="F3681" s="28">
        <v>126020</v>
      </c>
      <c r="G3681" s="27" t="s">
        <v>22</v>
      </c>
      <c r="H3681" s="27" t="s">
        <v>2256</v>
      </c>
      <c r="I3681" s="27" t="s">
        <v>13</v>
      </c>
    </row>
    <row r="3682" spans="1:9" x14ac:dyDescent="0.3">
      <c r="A3682" s="26">
        <v>45122</v>
      </c>
      <c r="B3682" s="27" t="s">
        <v>121</v>
      </c>
      <c r="C3682" s="27" t="s">
        <v>20</v>
      </c>
      <c r="D3682" s="27" t="s">
        <v>19</v>
      </c>
      <c r="E3682" s="28">
        <v>120909</v>
      </c>
      <c r="F3682" s="28">
        <v>163951</v>
      </c>
      <c r="G3682" s="27" t="s">
        <v>17</v>
      </c>
      <c r="H3682" s="27" t="s">
        <v>2681</v>
      </c>
      <c r="I3682" s="27" t="s">
        <v>13</v>
      </c>
    </row>
    <row r="3683" spans="1:9" x14ac:dyDescent="0.3">
      <c r="A3683" s="26">
        <v>45122</v>
      </c>
      <c r="B3683" s="27" t="s">
        <v>121</v>
      </c>
      <c r="C3683" s="27" t="s">
        <v>20</v>
      </c>
      <c r="D3683" s="27" t="s">
        <v>19</v>
      </c>
      <c r="E3683" s="28">
        <v>74634</v>
      </c>
      <c r="F3683" s="28">
        <v>37914</v>
      </c>
      <c r="G3683" s="27" t="s">
        <v>11</v>
      </c>
      <c r="H3683" s="27" t="s">
        <v>2700</v>
      </c>
      <c r="I3683" s="27" t="s">
        <v>13</v>
      </c>
    </row>
    <row r="3684" spans="1:9" x14ac:dyDescent="0.3">
      <c r="A3684" s="26">
        <v>45122</v>
      </c>
      <c r="B3684" s="27" t="s">
        <v>121</v>
      </c>
      <c r="C3684" s="27" t="s">
        <v>18</v>
      </c>
      <c r="D3684" s="27" t="s">
        <v>24</v>
      </c>
      <c r="E3684" s="28">
        <v>72726</v>
      </c>
      <c r="F3684" s="28">
        <v>131809</v>
      </c>
      <c r="G3684" s="27" t="s">
        <v>11</v>
      </c>
      <c r="H3684" s="27" t="s">
        <v>2922</v>
      </c>
      <c r="I3684" s="27" t="s">
        <v>13</v>
      </c>
    </row>
    <row r="3685" spans="1:9" x14ac:dyDescent="0.3">
      <c r="A3685" s="26">
        <v>45122</v>
      </c>
      <c r="B3685" s="27" t="s">
        <v>121</v>
      </c>
      <c r="C3685" s="27" t="s">
        <v>10</v>
      </c>
      <c r="D3685" s="27" t="s">
        <v>19</v>
      </c>
      <c r="E3685" s="28">
        <v>115593</v>
      </c>
      <c r="F3685" s="28">
        <v>153044</v>
      </c>
      <c r="G3685" s="27" t="s">
        <v>8</v>
      </c>
      <c r="H3685" s="27" t="s">
        <v>3302</v>
      </c>
      <c r="I3685" s="27" t="s">
        <v>13</v>
      </c>
    </row>
    <row r="3686" spans="1:9" x14ac:dyDescent="0.3">
      <c r="A3686" s="26">
        <v>45122</v>
      </c>
      <c r="B3686" s="27" t="s">
        <v>121</v>
      </c>
      <c r="C3686" s="27" t="s">
        <v>6</v>
      </c>
      <c r="D3686" s="27" t="s">
        <v>19</v>
      </c>
      <c r="E3686" s="28">
        <v>117000</v>
      </c>
      <c r="F3686" s="28">
        <v>134700</v>
      </c>
      <c r="G3686" s="27" t="s">
        <v>11</v>
      </c>
      <c r="H3686" s="27" t="s">
        <v>3855</v>
      </c>
      <c r="I3686" s="27" t="s">
        <v>9</v>
      </c>
    </row>
    <row r="3687" spans="1:9" x14ac:dyDescent="0.3">
      <c r="A3687" s="26">
        <v>45122</v>
      </c>
      <c r="B3687" s="27" t="s">
        <v>121</v>
      </c>
      <c r="C3687" s="27" t="s">
        <v>6</v>
      </c>
      <c r="D3687" s="27" t="s">
        <v>19</v>
      </c>
      <c r="E3687" s="28">
        <v>139700</v>
      </c>
      <c r="F3687" s="28">
        <v>131700</v>
      </c>
      <c r="G3687" s="27" t="s">
        <v>11</v>
      </c>
      <c r="H3687" s="27" t="s">
        <v>4198</v>
      </c>
      <c r="I3687" s="27" t="s">
        <v>9</v>
      </c>
    </row>
    <row r="3688" spans="1:9" x14ac:dyDescent="0.3">
      <c r="A3688" s="26">
        <v>45122</v>
      </c>
      <c r="B3688" s="27" t="s">
        <v>121</v>
      </c>
      <c r="C3688" s="27" t="s">
        <v>6</v>
      </c>
      <c r="D3688" s="27" t="s">
        <v>7</v>
      </c>
      <c r="E3688" s="28">
        <v>53100</v>
      </c>
      <c r="F3688" s="28">
        <v>55000</v>
      </c>
      <c r="G3688" s="27" t="s">
        <v>22</v>
      </c>
      <c r="H3688" s="27" t="s">
        <v>4337</v>
      </c>
      <c r="I3688" s="27" t="s">
        <v>9</v>
      </c>
    </row>
    <row r="3689" spans="1:9" x14ac:dyDescent="0.3">
      <c r="A3689" s="26">
        <v>45122</v>
      </c>
      <c r="B3689" s="27" t="s">
        <v>121</v>
      </c>
      <c r="C3689" s="27" t="s">
        <v>6</v>
      </c>
      <c r="D3689" s="27" t="s">
        <v>7</v>
      </c>
      <c r="E3689" s="28">
        <v>96800</v>
      </c>
      <c r="F3689" s="28">
        <v>98100</v>
      </c>
      <c r="G3689" s="27" t="s">
        <v>22</v>
      </c>
      <c r="H3689" s="27" t="s">
        <v>4707</v>
      </c>
      <c r="I3689" s="27" t="s">
        <v>9</v>
      </c>
    </row>
    <row r="3690" spans="1:9" x14ac:dyDescent="0.3">
      <c r="A3690" s="26">
        <v>45122</v>
      </c>
      <c r="B3690" s="27" t="s">
        <v>121</v>
      </c>
      <c r="C3690" s="27" t="s">
        <v>6</v>
      </c>
      <c r="D3690" s="27" t="s">
        <v>16</v>
      </c>
      <c r="E3690" s="28">
        <v>62700</v>
      </c>
      <c r="F3690" s="28">
        <v>65300</v>
      </c>
      <c r="G3690" s="27" t="s">
        <v>22</v>
      </c>
      <c r="H3690" s="27" t="s">
        <v>4776</v>
      </c>
      <c r="I3690" s="27" t="s">
        <v>9</v>
      </c>
    </row>
    <row r="3691" spans="1:9" x14ac:dyDescent="0.3">
      <c r="A3691" s="26">
        <v>45122</v>
      </c>
      <c r="B3691" s="27" t="s">
        <v>121</v>
      </c>
      <c r="C3691" s="27" t="s">
        <v>6</v>
      </c>
      <c r="D3691" s="27" t="s">
        <v>7</v>
      </c>
      <c r="E3691" s="28">
        <v>208200</v>
      </c>
      <c r="F3691" s="28">
        <v>178300</v>
      </c>
      <c r="G3691" s="27" t="s">
        <v>11</v>
      </c>
      <c r="H3691" s="27" t="s">
        <v>4908</v>
      </c>
      <c r="I3691" s="27" t="s">
        <v>9</v>
      </c>
    </row>
    <row r="3692" spans="1:9" x14ac:dyDescent="0.3">
      <c r="A3692" s="26">
        <v>45122</v>
      </c>
      <c r="B3692" s="27" t="s">
        <v>121</v>
      </c>
      <c r="C3692" s="27" t="s">
        <v>6</v>
      </c>
      <c r="D3692" s="27" t="s">
        <v>7</v>
      </c>
      <c r="E3692" s="28">
        <v>101700</v>
      </c>
      <c r="F3692" s="28">
        <v>91500</v>
      </c>
      <c r="G3692" s="27" t="s">
        <v>11</v>
      </c>
      <c r="H3692" s="27" t="s">
        <v>5337</v>
      </c>
      <c r="I3692" s="27" t="s">
        <v>9</v>
      </c>
    </row>
    <row r="3693" spans="1:9" x14ac:dyDescent="0.3">
      <c r="A3693" s="26">
        <v>45122</v>
      </c>
      <c r="B3693" s="27" t="s">
        <v>121</v>
      </c>
      <c r="C3693" s="27" t="s">
        <v>93</v>
      </c>
      <c r="D3693" s="27" t="s">
        <v>16</v>
      </c>
      <c r="E3693" s="28">
        <v>92300</v>
      </c>
      <c r="F3693" s="28">
        <v>96800</v>
      </c>
      <c r="G3693" s="27" t="s">
        <v>11</v>
      </c>
      <c r="H3693" s="27" t="s">
        <v>5641</v>
      </c>
      <c r="I3693" s="27" t="s">
        <v>9</v>
      </c>
    </row>
    <row r="3694" spans="1:9" x14ac:dyDescent="0.3">
      <c r="A3694" s="26">
        <v>45122</v>
      </c>
      <c r="B3694" s="27" t="s">
        <v>121</v>
      </c>
      <c r="C3694" s="27" t="s">
        <v>6</v>
      </c>
      <c r="D3694" s="27" t="s">
        <v>19</v>
      </c>
      <c r="E3694" s="28">
        <v>115300</v>
      </c>
      <c r="F3694" s="28">
        <v>88100</v>
      </c>
      <c r="G3694" s="27" t="s">
        <v>22</v>
      </c>
      <c r="H3694" s="27" t="s">
        <v>6066</v>
      </c>
      <c r="I3694" s="27" t="s">
        <v>9</v>
      </c>
    </row>
    <row r="3695" spans="1:9" x14ac:dyDescent="0.3">
      <c r="A3695" s="26">
        <v>45122</v>
      </c>
      <c r="B3695" s="27" t="s">
        <v>121</v>
      </c>
      <c r="C3695" s="27" t="s">
        <v>93</v>
      </c>
      <c r="D3695" s="27" t="s">
        <v>19</v>
      </c>
      <c r="E3695" s="28">
        <v>78000</v>
      </c>
      <c r="F3695" s="28">
        <v>90100</v>
      </c>
      <c r="G3695" s="27" t="s">
        <v>17</v>
      </c>
      <c r="H3695" s="27" t="s">
        <v>6085</v>
      </c>
      <c r="I3695" s="27" t="s">
        <v>9</v>
      </c>
    </row>
    <row r="3696" spans="1:9" x14ac:dyDescent="0.3">
      <c r="A3696" s="26">
        <v>45122</v>
      </c>
      <c r="B3696" s="27" t="s">
        <v>121</v>
      </c>
      <c r="C3696" s="27" t="s">
        <v>93</v>
      </c>
      <c r="D3696" s="27" t="s">
        <v>24</v>
      </c>
      <c r="E3696" s="28">
        <v>66500</v>
      </c>
      <c r="F3696" s="28">
        <v>90000</v>
      </c>
      <c r="G3696" s="27" t="s">
        <v>11</v>
      </c>
      <c r="H3696" s="27" t="s">
        <v>6307</v>
      </c>
      <c r="I3696" s="27" t="s">
        <v>9</v>
      </c>
    </row>
    <row r="3697" spans="1:9" x14ac:dyDescent="0.3">
      <c r="A3697" s="26">
        <v>45122</v>
      </c>
      <c r="B3697" s="27" t="s">
        <v>121</v>
      </c>
      <c r="C3697" s="27" t="s">
        <v>93</v>
      </c>
      <c r="D3697" s="27" t="s">
        <v>19</v>
      </c>
      <c r="E3697" s="28">
        <v>57400</v>
      </c>
      <c r="F3697" s="28">
        <v>54600</v>
      </c>
      <c r="G3697" s="27" t="s">
        <v>11</v>
      </c>
      <c r="H3697" s="27" t="s">
        <v>6687</v>
      </c>
      <c r="I3697" s="27" t="s">
        <v>9</v>
      </c>
    </row>
    <row r="3698" spans="1:9" x14ac:dyDescent="0.3">
      <c r="A3698" s="26">
        <v>45123</v>
      </c>
      <c r="B3698" s="27" t="s">
        <v>121</v>
      </c>
      <c r="C3698" s="27" t="s">
        <v>20</v>
      </c>
      <c r="D3698" s="27" t="s">
        <v>19</v>
      </c>
      <c r="E3698" s="28">
        <v>102001</v>
      </c>
      <c r="F3698" s="28">
        <v>116596</v>
      </c>
      <c r="G3698" s="27" t="s">
        <v>11</v>
      </c>
      <c r="H3698" s="27" t="s">
        <v>797</v>
      </c>
      <c r="I3698" s="27" t="s">
        <v>13</v>
      </c>
    </row>
    <row r="3699" spans="1:9" x14ac:dyDescent="0.3">
      <c r="A3699" s="26">
        <v>45123</v>
      </c>
      <c r="B3699" s="27" t="s">
        <v>121</v>
      </c>
      <c r="C3699" s="27" t="s">
        <v>14</v>
      </c>
      <c r="D3699" s="27" t="s">
        <v>21</v>
      </c>
      <c r="E3699" s="28">
        <v>127388</v>
      </c>
      <c r="F3699" s="28">
        <v>118103</v>
      </c>
      <c r="G3699" s="27" t="s">
        <v>8</v>
      </c>
      <c r="H3699" s="27" t="s">
        <v>1546</v>
      </c>
      <c r="I3699" s="27" t="s">
        <v>13</v>
      </c>
    </row>
    <row r="3700" spans="1:9" x14ac:dyDescent="0.3">
      <c r="A3700" s="26">
        <v>45123</v>
      </c>
      <c r="B3700" s="27" t="s">
        <v>121</v>
      </c>
      <c r="C3700" s="27" t="s">
        <v>15</v>
      </c>
      <c r="D3700" s="27" t="s">
        <v>21</v>
      </c>
      <c r="E3700" s="28">
        <v>146054</v>
      </c>
      <c r="F3700" s="28">
        <v>28309</v>
      </c>
      <c r="G3700" s="27" t="s">
        <v>17</v>
      </c>
      <c r="H3700" s="27" t="s">
        <v>1948</v>
      </c>
      <c r="I3700" s="27" t="s">
        <v>13</v>
      </c>
    </row>
    <row r="3701" spans="1:9" x14ac:dyDescent="0.3">
      <c r="A3701" s="26">
        <v>45123</v>
      </c>
      <c r="B3701" s="27" t="s">
        <v>121</v>
      </c>
      <c r="C3701" s="27" t="s">
        <v>10</v>
      </c>
      <c r="D3701" s="27" t="s">
        <v>21</v>
      </c>
      <c r="E3701" s="28">
        <v>67143</v>
      </c>
      <c r="F3701" s="28">
        <v>57684</v>
      </c>
      <c r="G3701" s="27" t="s">
        <v>17</v>
      </c>
      <c r="H3701" s="27" t="s">
        <v>2127</v>
      </c>
      <c r="I3701" s="27" t="s">
        <v>13</v>
      </c>
    </row>
    <row r="3702" spans="1:9" x14ac:dyDescent="0.3">
      <c r="A3702" s="26">
        <v>45123</v>
      </c>
      <c r="B3702" s="27" t="s">
        <v>121</v>
      </c>
      <c r="C3702" s="27" t="s">
        <v>6</v>
      </c>
      <c r="D3702" s="27" t="s">
        <v>19</v>
      </c>
      <c r="E3702" s="28">
        <v>99300</v>
      </c>
      <c r="F3702" s="28">
        <v>87200</v>
      </c>
      <c r="G3702" s="27" t="s">
        <v>22</v>
      </c>
      <c r="H3702" s="27" t="s">
        <v>4178</v>
      </c>
      <c r="I3702" s="27" t="s">
        <v>9</v>
      </c>
    </row>
    <row r="3703" spans="1:9" x14ac:dyDescent="0.3">
      <c r="A3703" s="26">
        <v>45123</v>
      </c>
      <c r="B3703" s="27" t="s">
        <v>121</v>
      </c>
      <c r="C3703" s="27" t="s">
        <v>6</v>
      </c>
      <c r="D3703" s="27" t="s">
        <v>21</v>
      </c>
      <c r="E3703" s="28">
        <v>114200</v>
      </c>
      <c r="F3703" s="28">
        <v>98000</v>
      </c>
      <c r="G3703" s="27" t="s">
        <v>11</v>
      </c>
      <c r="H3703" s="27" t="s">
        <v>4929</v>
      </c>
      <c r="I3703" s="27" t="s">
        <v>9</v>
      </c>
    </row>
    <row r="3704" spans="1:9" x14ac:dyDescent="0.3">
      <c r="A3704" s="26">
        <v>45123</v>
      </c>
      <c r="B3704" s="27" t="s">
        <v>121</v>
      </c>
      <c r="C3704" s="27" t="s">
        <v>6</v>
      </c>
      <c r="D3704" s="27" t="s">
        <v>21</v>
      </c>
      <c r="E3704" s="28">
        <v>125600</v>
      </c>
      <c r="F3704" s="28">
        <v>172300</v>
      </c>
      <c r="G3704" s="27" t="s">
        <v>11</v>
      </c>
      <c r="H3704" s="27" t="s">
        <v>5332</v>
      </c>
      <c r="I3704" s="27" t="s">
        <v>9</v>
      </c>
    </row>
    <row r="3705" spans="1:9" x14ac:dyDescent="0.3">
      <c r="A3705" s="26">
        <v>45123</v>
      </c>
      <c r="B3705" s="27" t="s">
        <v>121</v>
      </c>
      <c r="C3705" s="27" t="s">
        <v>6</v>
      </c>
      <c r="D3705" s="27" t="s">
        <v>21</v>
      </c>
      <c r="E3705" s="28">
        <v>122600</v>
      </c>
      <c r="F3705" s="28">
        <v>115700</v>
      </c>
      <c r="G3705" s="27" t="s">
        <v>11</v>
      </c>
      <c r="H3705" s="27" t="s">
        <v>5511</v>
      </c>
      <c r="I3705" s="27" t="s">
        <v>9</v>
      </c>
    </row>
    <row r="3706" spans="1:9" x14ac:dyDescent="0.3">
      <c r="A3706" s="26">
        <v>45124</v>
      </c>
      <c r="B3706" s="27" t="s">
        <v>121</v>
      </c>
      <c r="C3706" s="27" t="s">
        <v>14</v>
      </c>
      <c r="D3706" s="27" t="s">
        <v>16</v>
      </c>
      <c r="E3706" s="28">
        <v>103806</v>
      </c>
      <c r="F3706" s="28">
        <v>105313</v>
      </c>
      <c r="G3706" s="27" t="s">
        <v>8</v>
      </c>
      <c r="H3706" s="27" t="s">
        <v>149</v>
      </c>
      <c r="I3706" s="27" t="s">
        <v>13</v>
      </c>
    </row>
    <row r="3707" spans="1:9" x14ac:dyDescent="0.3">
      <c r="A3707" s="26">
        <v>45124</v>
      </c>
      <c r="B3707" s="27" t="s">
        <v>121</v>
      </c>
      <c r="C3707" s="27" t="s">
        <v>32</v>
      </c>
      <c r="D3707" s="27" t="s">
        <v>7</v>
      </c>
      <c r="E3707" s="28">
        <v>60338</v>
      </c>
      <c r="F3707" s="28">
        <v>161071</v>
      </c>
      <c r="G3707" s="27" t="s">
        <v>8</v>
      </c>
      <c r="H3707" s="27" t="s">
        <v>858</v>
      </c>
      <c r="I3707" s="27" t="s">
        <v>13</v>
      </c>
    </row>
    <row r="3708" spans="1:9" x14ac:dyDescent="0.3">
      <c r="A3708" s="26">
        <v>45124</v>
      </c>
      <c r="B3708" s="27" t="s">
        <v>121</v>
      </c>
      <c r="C3708" s="27" t="s">
        <v>18</v>
      </c>
      <c r="D3708" s="27" t="s">
        <v>19</v>
      </c>
      <c r="E3708" s="28">
        <v>141630</v>
      </c>
      <c r="F3708" s="28">
        <v>27052</v>
      </c>
      <c r="G3708" s="27" t="s">
        <v>11</v>
      </c>
      <c r="H3708" s="27" t="s">
        <v>1173</v>
      </c>
      <c r="I3708" s="27" t="s">
        <v>13</v>
      </c>
    </row>
    <row r="3709" spans="1:9" x14ac:dyDescent="0.3">
      <c r="A3709" s="26">
        <v>45124</v>
      </c>
      <c r="B3709" s="27" t="s">
        <v>121</v>
      </c>
      <c r="C3709" s="27" t="s">
        <v>14</v>
      </c>
      <c r="D3709" s="27" t="s">
        <v>7</v>
      </c>
      <c r="E3709" s="28">
        <v>144415</v>
      </c>
      <c r="F3709" s="28">
        <v>123773</v>
      </c>
      <c r="G3709" s="27" t="s">
        <v>11</v>
      </c>
      <c r="H3709" s="27" t="s">
        <v>1342</v>
      </c>
      <c r="I3709" s="27" t="s">
        <v>13</v>
      </c>
    </row>
    <row r="3710" spans="1:9" x14ac:dyDescent="0.3">
      <c r="A3710" s="26">
        <v>45124</v>
      </c>
      <c r="B3710" s="27" t="s">
        <v>121</v>
      </c>
      <c r="C3710" s="27" t="s">
        <v>14</v>
      </c>
      <c r="D3710" s="27" t="s">
        <v>7</v>
      </c>
      <c r="E3710" s="28">
        <v>74082</v>
      </c>
      <c r="F3710" s="28">
        <v>134174</v>
      </c>
      <c r="G3710" s="27" t="s">
        <v>11</v>
      </c>
      <c r="H3710" s="27" t="s">
        <v>2203</v>
      </c>
      <c r="I3710" s="27" t="s">
        <v>13</v>
      </c>
    </row>
    <row r="3711" spans="1:9" x14ac:dyDescent="0.3">
      <c r="A3711" s="26">
        <v>45124</v>
      </c>
      <c r="B3711" s="27" t="s">
        <v>121</v>
      </c>
      <c r="C3711" s="27" t="s">
        <v>93</v>
      </c>
      <c r="D3711" s="27" t="s">
        <v>16</v>
      </c>
      <c r="E3711" s="28">
        <v>171400</v>
      </c>
      <c r="F3711" s="28">
        <v>175500</v>
      </c>
      <c r="G3711" s="27" t="s">
        <v>11</v>
      </c>
      <c r="H3711" s="27" t="s">
        <v>3530</v>
      </c>
      <c r="I3711" s="27" t="s">
        <v>9</v>
      </c>
    </row>
    <row r="3712" spans="1:9" x14ac:dyDescent="0.3">
      <c r="A3712" s="26">
        <v>45124</v>
      </c>
      <c r="B3712" s="27" t="s">
        <v>121</v>
      </c>
      <c r="C3712" s="27" t="s">
        <v>93</v>
      </c>
      <c r="D3712" s="27" t="s">
        <v>7</v>
      </c>
      <c r="E3712" s="28">
        <v>35900</v>
      </c>
      <c r="F3712" s="28">
        <v>35000</v>
      </c>
      <c r="G3712" s="27" t="s">
        <v>11</v>
      </c>
      <c r="H3712" s="27" t="s">
        <v>4239</v>
      </c>
      <c r="I3712" s="27" t="s">
        <v>9</v>
      </c>
    </row>
    <row r="3713" spans="1:9" x14ac:dyDescent="0.3">
      <c r="A3713" s="26">
        <v>45124</v>
      </c>
      <c r="B3713" s="27" t="s">
        <v>121</v>
      </c>
      <c r="C3713" s="27" t="s">
        <v>93</v>
      </c>
      <c r="D3713" s="27" t="s">
        <v>19</v>
      </c>
      <c r="E3713" s="28">
        <v>226900</v>
      </c>
      <c r="F3713" s="28">
        <v>203700</v>
      </c>
      <c r="G3713" s="27" t="s">
        <v>11</v>
      </c>
      <c r="H3713" s="27" t="s">
        <v>4556</v>
      </c>
      <c r="I3713" s="27" t="s">
        <v>9</v>
      </c>
    </row>
    <row r="3714" spans="1:9" x14ac:dyDescent="0.3">
      <c r="A3714" s="26">
        <v>45124</v>
      </c>
      <c r="B3714" s="27" t="s">
        <v>121</v>
      </c>
      <c r="C3714" s="27" t="s">
        <v>6</v>
      </c>
      <c r="D3714" s="27" t="s">
        <v>7</v>
      </c>
      <c r="E3714" s="28">
        <v>230000</v>
      </c>
      <c r="F3714" s="28">
        <v>233300</v>
      </c>
      <c r="G3714" s="27" t="s">
        <v>11</v>
      </c>
      <c r="H3714" s="27" t="s">
        <v>4725</v>
      </c>
      <c r="I3714" s="27" t="s">
        <v>9</v>
      </c>
    </row>
    <row r="3715" spans="1:9" x14ac:dyDescent="0.3">
      <c r="A3715" s="26">
        <v>45124</v>
      </c>
      <c r="B3715" s="27" t="s">
        <v>121</v>
      </c>
      <c r="C3715" s="27" t="s">
        <v>6</v>
      </c>
      <c r="D3715" s="27" t="s">
        <v>7</v>
      </c>
      <c r="E3715" s="28">
        <v>191500</v>
      </c>
      <c r="F3715" s="28">
        <v>230200</v>
      </c>
      <c r="G3715" s="27" t="s">
        <v>22</v>
      </c>
      <c r="H3715" s="27" t="s">
        <v>5588</v>
      </c>
      <c r="I3715" s="27" t="s">
        <v>9</v>
      </c>
    </row>
    <row r="3716" spans="1:9" x14ac:dyDescent="0.3">
      <c r="A3716" s="26">
        <v>45125</v>
      </c>
      <c r="B3716" s="27" t="s">
        <v>121</v>
      </c>
      <c r="C3716" s="27" t="s">
        <v>14</v>
      </c>
      <c r="D3716" s="27" t="s">
        <v>16</v>
      </c>
      <c r="E3716" s="28">
        <v>50132</v>
      </c>
      <c r="F3716" s="28">
        <v>116527</v>
      </c>
      <c r="G3716" s="27" t="s">
        <v>8</v>
      </c>
      <c r="H3716" s="27" t="s">
        <v>102</v>
      </c>
      <c r="I3716" s="27" t="s">
        <v>13</v>
      </c>
    </row>
    <row r="3717" spans="1:9" x14ac:dyDescent="0.3">
      <c r="A3717" s="26">
        <v>45125</v>
      </c>
      <c r="B3717" s="27" t="s">
        <v>121</v>
      </c>
      <c r="C3717" s="27" t="s">
        <v>14</v>
      </c>
      <c r="D3717" s="27" t="s">
        <v>7</v>
      </c>
      <c r="E3717" s="28">
        <v>46892</v>
      </c>
      <c r="F3717" s="28">
        <v>12096</v>
      </c>
      <c r="G3717" s="27" t="s">
        <v>11</v>
      </c>
      <c r="H3717" s="27" t="s">
        <v>241</v>
      </c>
      <c r="I3717" s="27" t="s">
        <v>13</v>
      </c>
    </row>
    <row r="3718" spans="1:9" x14ac:dyDescent="0.3">
      <c r="A3718" s="26">
        <v>45125</v>
      </c>
      <c r="B3718" s="27" t="s">
        <v>121</v>
      </c>
      <c r="C3718" s="27" t="s">
        <v>15</v>
      </c>
      <c r="D3718" s="27" t="s">
        <v>19</v>
      </c>
      <c r="E3718" s="28">
        <v>18549</v>
      </c>
      <c r="F3718" s="28">
        <v>140422</v>
      </c>
      <c r="G3718" s="27" t="s">
        <v>8</v>
      </c>
      <c r="H3718" s="27" t="s">
        <v>257</v>
      </c>
      <c r="I3718" s="27" t="s">
        <v>13</v>
      </c>
    </row>
    <row r="3719" spans="1:9" x14ac:dyDescent="0.3">
      <c r="A3719" s="26">
        <v>45125</v>
      </c>
      <c r="B3719" s="27" t="s">
        <v>121</v>
      </c>
      <c r="C3719" s="27" t="s">
        <v>32</v>
      </c>
      <c r="D3719" s="27" t="s">
        <v>7</v>
      </c>
      <c r="E3719" s="28">
        <v>44173</v>
      </c>
      <c r="F3719" s="28">
        <v>65846</v>
      </c>
      <c r="G3719" s="27" t="s">
        <v>22</v>
      </c>
      <c r="H3719" s="27" t="s">
        <v>855</v>
      </c>
      <c r="I3719" s="27" t="s">
        <v>13</v>
      </c>
    </row>
    <row r="3720" spans="1:9" x14ac:dyDescent="0.3">
      <c r="A3720" s="26">
        <v>45125</v>
      </c>
      <c r="B3720" s="27" t="s">
        <v>121</v>
      </c>
      <c r="C3720" s="27" t="s">
        <v>10</v>
      </c>
      <c r="D3720" s="27" t="s">
        <v>19</v>
      </c>
      <c r="E3720" s="28">
        <v>36156</v>
      </c>
      <c r="F3720" s="28">
        <v>15536</v>
      </c>
      <c r="G3720" s="27" t="s">
        <v>8</v>
      </c>
      <c r="H3720" s="27" t="s">
        <v>1030</v>
      </c>
      <c r="I3720" s="27" t="s">
        <v>13</v>
      </c>
    </row>
    <row r="3721" spans="1:9" x14ac:dyDescent="0.3">
      <c r="A3721" s="26">
        <v>45125</v>
      </c>
      <c r="B3721" s="27" t="s">
        <v>121</v>
      </c>
      <c r="C3721" s="27" t="s">
        <v>18</v>
      </c>
      <c r="D3721" s="27" t="s">
        <v>21</v>
      </c>
      <c r="E3721" s="28">
        <v>86432</v>
      </c>
      <c r="F3721" s="28">
        <v>152938</v>
      </c>
      <c r="G3721" s="27" t="s">
        <v>11</v>
      </c>
      <c r="H3721" s="27" t="s">
        <v>1034</v>
      </c>
      <c r="I3721" s="27" t="s">
        <v>13</v>
      </c>
    </row>
    <row r="3722" spans="1:9" x14ac:dyDescent="0.3">
      <c r="A3722" s="26">
        <v>45125</v>
      </c>
      <c r="B3722" s="27" t="s">
        <v>121</v>
      </c>
      <c r="C3722" s="27" t="s">
        <v>14</v>
      </c>
      <c r="D3722" s="27" t="s">
        <v>24</v>
      </c>
      <c r="E3722" s="28">
        <v>110157</v>
      </c>
      <c r="F3722" s="28">
        <v>71711</v>
      </c>
      <c r="G3722" s="27" t="s">
        <v>22</v>
      </c>
      <c r="H3722" s="27" t="s">
        <v>1886</v>
      </c>
      <c r="I3722" s="27" t="s">
        <v>13</v>
      </c>
    </row>
    <row r="3723" spans="1:9" x14ac:dyDescent="0.3">
      <c r="A3723" s="26">
        <v>45125</v>
      </c>
      <c r="B3723" s="27" t="s">
        <v>121</v>
      </c>
      <c r="C3723" s="27" t="s">
        <v>15</v>
      </c>
      <c r="D3723" s="27" t="s">
        <v>21</v>
      </c>
      <c r="E3723" s="28">
        <v>130897</v>
      </c>
      <c r="F3723" s="28">
        <v>119065</v>
      </c>
      <c r="G3723" s="27" t="s">
        <v>22</v>
      </c>
      <c r="H3723" s="27" t="s">
        <v>2115</v>
      </c>
      <c r="I3723" s="27" t="s">
        <v>13</v>
      </c>
    </row>
    <row r="3724" spans="1:9" x14ac:dyDescent="0.3">
      <c r="A3724" s="26">
        <v>45125</v>
      </c>
      <c r="B3724" s="27" t="s">
        <v>121</v>
      </c>
      <c r="C3724" s="27" t="s">
        <v>20</v>
      </c>
      <c r="D3724" s="27" t="s">
        <v>21</v>
      </c>
      <c r="E3724" s="28">
        <v>92191</v>
      </c>
      <c r="F3724" s="28">
        <v>90287</v>
      </c>
      <c r="G3724" s="27" t="s">
        <v>22</v>
      </c>
      <c r="H3724" s="27" t="s">
        <v>2154</v>
      </c>
      <c r="I3724" s="27" t="s">
        <v>13</v>
      </c>
    </row>
    <row r="3725" spans="1:9" x14ac:dyDescent="0.3">
      <c r="A3725" s="26">
        <v>45125</v>
      </c>
      <c r="B3725" s="27" t="s">
        <v>121</v>
      </c>
      <c r="C3725" s="27" t="s">
        <v>32</v>
      </c>
      <c r="D3725" s="27" t="s">
        <v>16</v>
      </c>
      <c r="E3725" s="28">
        <v>111572</v>
      </c>
      <c r="F3725" s="28">
        <v>99811</v>
      </c>
      <c r="G3725" s="27" t="s">
        <v>11</v>
      </c>
      <c r="H3725" s="27" t="s">
        <v>2230</v>
      </c>
      <c r="I3725" s="27" t="s">
        <v>13</v>
      </c>
    </row>
    <row r="3726" spans="1:9" x14ac:dyDescent="0.3">
      <c r="A3726" s="26">
        <v>45125</v>
      </c>
      <c r="B3726" s="27" t="s">
        <v>121</v>
      </c>
      <c r="C3726" s="27" t="s">
        <v>20</v>
      </c>
      <c r="D3726" s="27" t="s">
        <v>16</v>
      </c>
      <c r="E3726" s="28">
        <v>78410</v>
      </c>
      <c r="F3726" s="28">
        <v>153466</v>
      </c>
      <c r="G3726" s="27" t="s">
        <v>17</v>
      </c>
      <c r="H3726" s="27" t="s">
        <v>2312</v>
      </c>
      <c r="I3726" s="27" t="s">
        <v>13</v>
      </c>
    </row>
    <row r="3727" spans="1:9" x14ac:dyDescent="0.3">
      <c r="A3727" s="26">
        <v>45125</v>
      </c>
      <c r="B3727" s="27" t="s">
        <v>121</v>
      </c>
      <c r="C3727" s="27" t="s">
        <v>32</v>
      </c>
      <c r="D3727" s="27" t="s">
        <v>19</v>
      </c>
      <c r="E3727" s="28">
        <v>26620</v>
      </c>
      <c r="F3727" s="28">
        <v>162638</v>
      </c>
      <c r="G3727" s="27" t="s">
        <v>8</v>
      </c>
      <c r="H3727" s="27" t="s">
        <v>2751</v>
      </c>
      <c r="I3727" s="27" t="s">
        <v>13</v>
      </c>
    </row>
    <row r="3728" spans="1:9" x14ac:dyDescent="0.3">
      <c r="A3728" s="26">
        <v>45125</v>
      </c>
      <c r="B3728" s="27" t="s">
        <v>121</v>
      </c>
      <c r="C3728" s="27" t="s">
        <v>32</v>
      </c>
      <c r="D3728" s="27" t="s">
        <v>19</v>
      </c>
      <c r="E3728" s="28">
        <v>89613</v>
      </c>
      <c r="F3728" s="28">
        <v>72991</v>
      </c>
      <c r="G3728" s="27" t="s">
        <v>8</v>
      </c>
      <c r="H3728" s="27" t="s">
        <v>2955</v>
      </c>
      <c r="I3728" s="27" t="s">
        <v>13</v>
      </c>
    </row>
    <row r="3729" spans="1:9" x14ac:dyDescent="0.3">
      <c r="A3729" s="26">
        <v>45125</v>
      </c>
      <c r="B3729" s="27" t="s">
        <v>121</v>
      </c>
      <c r="C3729" s="27" t="s">
        <v>20</v>
      </c>
      <c r="D3729" s="27" t="s">
        <v>7</v>
      </c>
      <c r="E3729" s="28">
        <v>67599</v>
      </c>
      <c r="F3729" s="28">
        <v>143449</v>
      </c>
      <c r="G3729" s="27" t="s">
        <v>8</v>
      </c>
      <c r="H3729" s="27" t="s">
        <v>3401</v>
      </c>
      <c r="I3729" s="27" t="s">
        <v>13</v>
      </c>
    </row>
    <row r="3730" spans="1:9" x14ac:dyDescent="0.3">
      <c r="A3730" s="26">
        <v>45125</v>
      </c>
      <c r="B3730" s="27" t="s">
        <v>121</v>
      </c>
      <c r="C3730" s="27" t="s">
        <v>93</v>
      </c>
      <c r="D3730" s="27" t="s">
        <v>16</v>
      </c>
      <c r="E3730" s="28">
        <v>142800</v>
      </c>
      <c r="F3730" s="28">
        <v>156800</v>
      </c>
      <c r="G3730" s="27" t="s">
        <v>17</v>
      </c>
      <c r="H3730" s="27" t="s">
        <v>3502</v>
      </c>
      <c r="I3730" s="27" t="s">
        <v>9</v>
      </c>
    </row>
    <row r="3731" spans="1:9" x14ac:dyDescent="0.3">
      <c r="A3731" s="26">
        <v>45125</v>
      </c>
      <c r="B3731" s="27" t="s">
        <v>121</v>
      </c>
      <c r="C3731" s="27" t="s">
        <v>6</v>
      </c>
      <c r="D3731" s="27" t="s">
        <v>7</v>
      </c>
      <c r="E3731" s="28">
        <v>98200</v>
      </c>
      <c r="F3731" s="28">
        <v>78800</v>
      </c>
      <c r="G3731" s="27" t="s">
        <v>17</v>
      </c>
      <c r="H3731" s="27" t="s">
        <v>3622</v>
      </c>
      <c r="I3731" s="27" t="s">
        <v>9</v>
      </c>
    </row>
    <row r="3732" spans="1:9" x14ac:dyDescent="0.3">
      <c r="A3732" s="26">
        <v>45125</v>
      </c>
      <c r="B3732" s="27" t="s">
        <v>121</v>
      </c>
      <c r="C3732" s="27" t="s">
        <v>6</v>
      </c>
      <c r="D3732" s="27" t="s">
        <v>19</v>
      </c>
      <c r="E3732" s="28">
        <v>83600</v>
      </c>
      <c r="F3732" s="28">
        <v>93600</v>
      </c>
      <c r="G3732" s="27" t="s">
        <v>11</v>
      </c>
      <c r="H3732" s="27" t="s">
        <v>3638</v>
      </c>
      <c r="I3732" s="27" t="s">
        <v>9</v>
      </c>
    </row>
    <row r="3733" spans="1:9" x14ac:dyDescent="0.3">
      <c r="A3733" s="26">
        <v>45125</v>
      </c>
      <c r="B3733" s="27" t="s">
        <v>121</v>
      </c>
      <c r="C3733" s="27" t="s">
        <v>6</v>
      </c>
      <c r="D3733" s="27" t="s">
        <v>7</v>
      </c>
      <c r="E3733" s="28">
        <v>102500</v>
      </c>
      <c r="F3733" s="28">
        <v>107100</v>
      </c>
      <c r="G3733" s="27" t="s">
        <v>22</v>
      </c>
      <c r="H3733" s="27" t="s">
        <v>4236</v>
      </c>
      <c r="I3733" s="27" t="s">
        <v>9</v>
      </c>
    </row>
    <row r="3734" spans="1:9" x14ac:dyDescent="0.3">
      <c r="A3734" s="26">
        <v>45125</v>
      </c>
      <c r="B3734" s="27" t="s">
        <v>121</v>
      </c>
      <c r="C3734" s="27" t="s">
        <v>93</v>
      </c>
      <c r="D3734" s="27" t="s">
        <v>19</v>
      </c>
      <c r="E3734" s="28">
        <v>170700</v>
      </c>
      <c r="F3734" s="28">
        <v>229700</v>
      </c>
      <c r="G3734" s="27" t="s">
        <v>17</v>
      </c>
      <c r="H3734" s="27" t="s">
        <v>4412</v>
      </c>
      <c r="I3734" s="27" t="s">
        <v>9</v>
      </c>
    </row>
    <row r="3735" spans="1:9" x14ac:dyDescent="0.3">
      <c r="A3735" s="26">
        <v>45125</v>
      </c>
      <c r="B3735" s="27" t="s">
        <v>121</v>
      </c>
      <c r="C3735" s="27" t="s">
        <v>6</v>
      </c>
      <c r="D3735" s="27" t="s">
        <v>21</v>
      </c>
      <c r="E3735" s="28">
        <v>94900</v>
      </c>
      <c r="F3735" s="28">
        <v>121000</v>
      </c>
      <c r="G3735" s="27" t="s">
        <v>11</v>
      </c>
      <c r="H3735" s="27" t="s">
        <v>4416</v>
      </c>
      <c r="I3735" s="27" t="s">
        <v>9</v>
      </c>
    </row>
    <row r="3736" spans="1:9" x14ac:dyDescent="0.3">
      <c r="A3736" s="26">
        <v>45125</v>
      </c>
      <c r="B3736" s="27" t="s">
        <v>121</v>
      </c>
      <c r="C3736" s="27" t="s">
        <v>93</v>
      </c>
      <c r="D3736" s="27" t="s">
        <v>24</v>
      </c>
      <c r="E3736" s="28">
        <v>110800</v>
      </c>
      <c r="F3736" s="28">
        <v>105700</v>
      </c>
      <c r="G3736" s="27" t="s">
        <v>22</v>
      </c>
      <c r="H3736" s="27" t="s">
        <v>5270</v>
      </c>
      <c r="I3736" s="27" t="s">
        <v>9</v>
      </c>
    </row>
    <row r="3737" spans="1:9" x14ac:dyDescent="0.3">
      <c r="A3737" s="26">
        <v>45125</v>
      </c>
      <c r="B3737" s="27" t="s">
        <v>121</v>
      </c>
      <c r="C3737" s="27" t="s">
        <v>93</v>
      </c>
      <c r="D3737" s="27" t="s">
        <v>21</v>
      </c>
      <c r="E3737" s="28">
        <v>96800</v>
      </c>
      <c r="F3737" s="28">
        <v>114600</v>
      </c>
      <c r="G3737" s="27" t="s">
        <v>17</v>
      </c>
      <c r="H3737" s="27" t="s">
        <v>5499</v>
      </c>
      <c r="I3737" s="27" t="s">
        <v>9</v>
      </c>
    </row>
    <row r="3738" spans="1:9" x14ac:dyDescent="0.3">
      <c r="A3738" s="26">
        <v>45125</v>
      </c>
      <c r="B3738" s="27" t="s">
        <v>121</v>
      </c>
      <c r="C3738" s="27" t="s">
        <v>93</v>
      </c>
      <c r="D3738" s="27" t="s">
        <v>21</v>
      </c>
      <c r="E3738" s="28">
        <v>94100</v>
      </c>
      <c r="F3738" s="28">
        <v>85600</v>
      </c>
      <c r="G3738" s="27" t="s">
        <v>11</v>
      </c>
      <c r="H3738" s="27" t="s">
        <v>5539</v>
      </c>
      <c r="I3738" s="27" t="s">
        <v>9</v>
      </c>
    </row>
    <row r="3739" spans="1:9" x14ac:dyDescent="0.3">
      <c r="A3739" s="26">
        <v>45125</v>
      </c>
      <c r="B3739" s="27" t="s">
        <v>121</v>
      </c>
      <c r="C3739" s="27" t="s">
        <v>6</v>
      </c>
      <c r="D3739" s="27" t="s">
        <v>16</v>
      </c>
      <c r="E3739" s="28">
        <v>100400</v>
      </c>
      <c r="F3739" s="28">
        <v>103800</v>
      </c>
      <c r="G3739" s="27" t="s">
        <v>22</v>
      </c>
      <c r="H3739" s="27" t="s">
        <v>5615</v>
      </c>
      <c r="I3739" s="27" t="s">
        <v>9</v>
      </c>
    </row>
    <row r="3740" spans="1:9" x14ac:dyDescent="0.3">
      <c r="A3740" s="26">
        <v>45125</v>
      </c>
      <c r="B3740" s="27" t="s">
        <v>121</v>
      </c>
      <c r="C3740" s="27" t="s">
        <v>6</v>
      </c>
      <c r="D3740" s="27" t="s">
        <v>16</v>
      </c>
      <c r="E3740" s="28">
        <v>206800</v>
      </c>
      <c r="F3740" s="28">
        <v>185100</v>
      </c>
      <c r="G3740" s="27" t="s">
        <v>22</v>
      </c>
      <c r="H3740" s="27" t="s">
        <v>5697</v>
      </c>
      <c r="I3740" s="27" t="s">
        <v>9</v>
      </c>
    </row>
    <row r="3741" spans="1:9" x14ac:dyDescent="0.3">
      <c r="A3741" s="26">
        <v>45125</v>
      </c>
      <c r="B3741" s="27" t="s">
        <v>121</v>
      </c>
      <c r="C3741" s="27" t="s">
        <v>6</v>
      </c>
      <c r="D3741" s="27" t="s">
        <v>19</v>
      </c>
      <c r="E3741" s="28">
        <v>117000</v>
      </c>
      <c r="F3741" s="28">
        <v>97100</v>
      </c>
      <c r="G3741" s="27" t="s">
        <v>11</v>
      </c>
      <c r="H3741" s="27" t="s">
        <v>6136</v>
      </c>
      <c r="I3741" s="27" t="s">
        <v>9</v>
      </c>
    </row>
    <row r="3742" spans="1:9" x14ac:dyDescent="0.3">
      <c r="A3742" s="26">
        <v>45125</v>
      </c>
      <c r="B3742" s="27" t="s">
        <v>121</v>
      </c>
      <c r="C3742" s="27" t="s">
        <v>93</v>
      </c>
      <c r="D3742" s="27" t="s">
        <v>19</v>
      </c>
      <c r="E3742" s="28">
        <v>183000</v>
      </c>
      <c r="F3742" s="28">
        <v>177500</v>
      </c>
      <c r="G3742" s="27" t="s">
        <v>11</v>
      </c>
      <c r="H3742" s="27" t="s">
        <v>6340</v>
      </c>
      <c r="I3742" s="27" t="s">
        <v>9</v>
      </c>
    </row>
    <row r="3743" spans="1:9" x14ac:dyDescent="0.3">
      <c r="A3743" s="26">
        <v>45125</v>
      </c>
      <c r="B3743" s="27" t="s">
        <v>121</v>
      </c>
      <c r="C3743" s="27" t="s">
        <v>6</v>
      </c>
      <c r="D3743" s="27" t="s">
        <v>7</v>
      </c>
      <c r="E3743" s="28">
        <v>238200</v>
      </c>
      <c r="F3743" s="28">
        <v>189900</v>
      </c>
      <c r="G3743" s="27" t="s">
        <v>11</v>
      </c>
      <c r="H3743" s="27" t="s">
        <v>6786</v>
      </c>
      <c r="I3743" s="27" t="s">
        <v>9</v>
      </c>
    </row>
    <row r="3744" spans="1:9" x14ac:dyDescent="0.3">
      <c r="A3744" s="26">
        <v>45126</v>
      </c>
      <c r="B3744" s="27" t="s">
        <v>121</v>
      </c>
      <c r="C3744" s="27" t="s">
        <v>10</v>
      </c>
      <c r="D3744" s="27" t="s">
        <v>7</v>
      </c>
      <c r="E3744" s="28">
        <v>98434</v>
      </c>
      <c r="F3744" s="28">
        <v>81095</v>
      </c>
      <c r="G3744" s="27" t="s">
        <v>22</v>
      </c>
      <c r="H3744" s="27" t="s">
        <v>50</v>
      </c>
      <c r="I3744" s="27" t="s">
        <v>13</v>
      </c>
    </row>
    <row r="3745" spans="1:9" x14ac:dyDescent="0.3">
      <c r="A3745" s="26">
        <v>45126</v>
      </c>
      <c r="B3745" s="27" t="s">
        <v>121</v>
      </c>
      <c r="C3745" s="27" t="s">
        <v>20</v>
      </c>
      <c r="D3745" s="27" t="s">
        <v>7</v>
      </c>
      <c r="E3745" s="28">
        <v>140891</v>
      </c>
      <c r="F3745" s="28">
        <v>40391</v>
      </c>
      <c r="G3745" s="27" t="s">
        <v>8</v>
      </c>
      <c r="H3745" s="27" t="s">
        <v>865</v>
      </c>
      <c r="I3745" s="27" t="s">
        <v>13</v>
      </c>
    </row>
    <row r="3746" spans="1:9" x14ac:dyDescent="0.3">
      <c r="A3746" s="26">
        <v>45126</v>
      </c>
      <c r="B3746" s="27" t="s">
        <v>121</v>
      </c>
      <c r="C3746" s="27" t="s">
        <v>18</v>
      </c>
      <c r="D3746" s="27" t="s">
        <v>16</v>
      </c>
      <c r="E3746" s="28">
        <v>107571</v>
      </c>
      <c r="F3746" s="28">
        <v>42556</v>
      </c>
      <c r="G3746" s="27" t="s">
        <v>8</v>
      </c>
      <c r="H3746" s="27" t="s">
        <v>952</v>
      </c>
      <c r="I3746" s="27" t="s">
        <v>13</v>
      </c>
    </row>
    <row r="3747" spans="1:9" x14ac:dyDescent="0.3">
      <c r="A3747" s="26">
        <v>45126</v>
      </c>
      <c r="B3747" s="27" t="s">
        <v>121</v>
      </c>
      <c r="C3747" s="27" t="s">
        <v>10</v>
      </c>
      <c r="D3747" s="27" t="s">
        <v>21</v>
      </c>
      <c r="E3747" s="28">
        <v>61703</v>
      </c>
      <c r="F3747" s="28">
        <v>99739</v>
      </c>
      <c r="G3747" s="27" t="s">
        <v>17</v>
      </c>
      <c r="H3747" s="27" t="s">
        <v>1084</v>
      </c>
      <c r="I3747" s="27" t="s">
        <v>13</v>
      </c>
    </row>
    <row r="3748" spans="1:9" x14ac:dyDescent="0.3">
      <c r="A3748" s="26">
        <v>45126</v>
      </c>
      <c r="B3748" s="27" t="s">
        <v>121</v>
      </c>
      <c r="C3748" s="27" t="s">
        <v>14</v>
      </c>
      <c r="D3748" s="27" t="s">
        <v>7</v>
      </c>
      <c r="E3748" s="28">
        <v>39398</v>
      </c>
      <c r="F3748" s="28">
        <v>136990</v>
      </c>
      <c r="G3748" s="27" t="s">
        <v>17</v>
      </c>
      <c r="H3748" s="27" t="s">
        <v>1232</v>
      </c>
      <c r="I3748" s="27" t="s">
        <v>13</v>
      </c>
    </row>
    <row r="3749" spans="1:9" x14ac:dyDescent="0.3">
      <c r="A3749" s="26">
        <v>45126</v>
      </c>
      <c r="B3749" s="27" t="s">
        <v>121</v>
      </c>
      <c r="C3749" s="27" t="s">
        <v>15</v>
      </c>
      <c r="D3749" s="27" t="s">
        <v>7</v>
      </c>
      <c r="E3749" s="28">
        <v>53908</v>
      </c>
      <c r="F3749" s="28">
        <v>135192</v>
      </c>
      <c r="G3749" s="27" t="s">
        <v>17</v>
      </c>
      <c r="H3749" s="27" t="s">
        <v>1611</v>
      </c>
      <c r="I3749" s="27" t="s">
        <v>13</v>
      </c>
    </row>
    <row r="3750" spans="1:9" x14ac:dyDescent="0.3">
      <c r="A3750" s="26">
        <v>45126</v>
      </c>
      <c r="B3750" s="27" t="s">
        <v>121</v>
      </c>
      <c r="C3750" s="27" t="s">
        <v>15</v>
      </c>
      <c r="D3750" s="27" t="s">
        <v>16</v>
      </c>
      <c r="E3750" s="28">
        <v>140709</v>
      </c>
      <c r="F3750" s="28">
        <v>97362</v>
      </c>
      <c r="G3750" s="27" t="s">
        <v>22</v>
      </c>
      <c r="H3750" s="27" t="s">
        <v>1684</v>
      </c>
      <c r="I3750" s="27" t="s">
        <v>13</v>
      </c>
    </row>
    <row r="3751" spans="1:9" x14ac:dyDescent="0.3">
      <c r="A3751" s="26">
        <v>45126</v>
      </c>
      <c r="B3751" s="27" t="s">
        <v>121</v>
      </c>
      <c r="C3751" s="27" t="s">
        <v>20</v>
      </c>
      <c r="D3751" s="27" t="s">
        <v>19</v>
      </c>
      <c r="E3751" s="28">
        <v>141871</v>
      </c>
      <c r="F3751" s="28">
        <v>47883</v>
      </c>
      <c r="G3751" s="27" t="s">
        <v>22</v>
      </c>
      <c r="H3751" s="27" t="s">
        <v>2749</v>
      </c>
      <c r="I3751" s="27" t="s">
        <v>13</v>
      </c>
    </row>
    <row r="3752" spans="1:9" x14ac:dyDescent="0.3">
      <c r="A3752" s="26">
        <v>45126</v>
      </c>
      <c r="B3752" s="27" t="s">
        <v>121</v>
      </c>
      <c r="C3752" s="27" t="s">
        <v>10</v>
      </c>
      <c r="D3752" s="27" t="s">
        <v>16</v>
      </c>
      <c r="E3752" s="28">
        <v>80277</v>
      </c>
      <c r="F3752" s="28">
        <v>109506</v>
      </c>
      <c r="G3752" s="27" t="s">
        <v>17</v>
      </c>
      <c r="H3752" s="27" t="s">
        <v>3033</v>
      </c>
      <c r="I3752" s="27" t="s">
        <v>13</v>
      </c>
    </row>
    <row r="3753" spans="1:9" x14ac:dyDescent="0.3">
      <c r="A3753" s="26">
        <v>45126</v>
      </c>
      <c r="B3753" s="27" t="s">
        <v>121</v>
      </c>
      <c r="C3753" s="27" t="s">
        <v>6</v>
      </c>
      <c r="D3753" s="27" t="s">
        <v>7</v>
      </c>
      <c r="E3753" s="28">
        <v>145000</v>
      </c>
      <c r="F3753" s="28">
        <v>133500</v>
      </c>
      <c r="G3753" s="27" t="s">
        <v>22</v>
      </c>
      <c r="H3753" s="27" t="s">
        <v>3471</v>
      </c>
      <c r="I3753" s="27" t="s">
        <v>9</v>
      </c>
    </row>
    <row r="3754" spans="1:9" x14ac:dyDescent="0.3">
      <c r="A3754" s="26">
        <v>45126</v>
      </c>
      <c r="B3754" s="27" t="s">
        <v>121</v>
      </c>
      <c r="C3754" s="27" t="s">
        <v>6</v>
      </c>
      <c r="D3754" s="27" t="s">
        <v>7</v>
      </c>
      <c r="E3754" s="28">
        <v>66000</v>
      </c>
      <c r="F3754" s="28">
        <v>62400</v>
      </c>
      <c r="G3754" s="27" t="s">
        <v>22</v>
      </c>
      <c r="H3754" s="27" t="s">
        <v>4246</v>
      </c>
      <c r="I3754" s="27" t="s">
        <v>9</v>
      </c>
    </row>
    <row r="3755" spans="1:9" x14ac:dyDescent="0.3">
      <c r="A3755" s="26">
        <v>45126</v>
      </c>
      <c r="B3755" s="27" t="s">
        <v>121</v>
      </c>
      <c r="C3755" s="27" t="s">
        <v>93</v>
      </c>
      <c r="D3755" s="27" t="s">
        <v>16</v>
      </c>
      <c r="E3755" s="28">
        <v>91100</v>
      </c>
      <c r="F3755" s="28">
        <v>88700</v>
      </c>
      <c r="G3755" s="27" t="s">
        <v>17</v>
      </c>
      <c r="H3755" s="27" t="s">
        <v>4333</v>
      </c>
      <c r="I3755" s="27" t="s">
        <v>9</v>
      </c>
    </row>
    <row r="3756" spans="1:9" x14ac:dyDescent="0.3">
      <c r="A3756" s="26">
        <v>45126</v>
      </c>
      <c r="B3756" s="27" t="s">
        <v>121</v>
      </c>
      <c r="C3756" s="27" t="s">
        <v>6</v>
      </c>
      <c r="D3756" s="27" t="s">
        <v>21</v>
      </c>
      <c r="E3756" s="28">
        <v>112900</v>
      </c>
      <c r="F3756" s="28">
        <v>151600</v>
      </c>
      <c r="G3756" s="27" t="s">
        <v>22</v>
      </c>
      <c r="H3756" s="27" t="s">
        <v>4466</v>
      </c>
      <c r="I3756" s="27" t="s">
        <v>9</v>
      </c>
    </row>
    <row r="3757" spans="1:9" x14ac:dyDescent="0.3">
      <c r="A3757" s="26">
        <v>45126</v>
      </c>
      <c r="B3757" s="27" t="s">
        <v>121</v>
      </c>
      <c r="C3757" s="27" t="s">
        <v>6</v>
      </c>
      <c r="D3757" s="27" t="s">
        <v>7</v>
      </c>
      <c r="E3757" s="28">
        <v>72000</v>
      </c>
      <c r="F3757" s="28">
        <v>78300</v>
      </c>
      <c r="G3757" s="27" t="s">
        <v>11</v>
      </c>
      <c r="H3757" s="27" t="s">
        <v>4615</v>
      </c>
      <c r="I3757" s="27" t="s">
        <v>9</v>
      </c>
    </row>
    <row r="3758" spans="1:9" x14ac:dyDescent="0.3">
      <c r="A3758" s="26">
        <v>45126</v>
      </c>
      <c r="B3758" s="27" t="s">
        <v>121</v>
      </c>
      <c r="C3758" s="27" t="s">
        <v>93</v>
      </c>
      <c r="D3758" s="27" t="s">
        <v>7</v>
      </c>
      <c r="E3758" s="28">
        <v>154700</v>
      </c>
      <c r="F3758" s="28">
        <v>155000</v>
      </c>
      <c r="G3758" s="27" t="s">
        <v>11</v>
      </c>
      <c r="H3758" s="27" t="s">
        <v>4994</v>
      </c>
      <c r="I3758" s="27" t="s">
        <v>9</v>
      </c>
    </row>
    <row r="3759" spans="1:9" x14ac:dyDescent="0.3">
      <c r="A3759" s="26">
        <v>45126</v>
      </c>
      <c r="B3759" s="27" t="s">
        <v>121</v>
      </c>
      <c r="C3759" s="27" t="s">
        <v>6</v>
      </c>
      <c r="D3759" s="27" t="s">
        <v>16</v>
      </c>
      <c r="E3759" s="28">
        <v>96100</v>
      </c>
      <c r="F3759" s="28">
        <v>115900</v>
      </c>
      <c r="G3759" s="27" t="s">
        <v>11</v>
      </c>
      <c r="H3759" s="27" t="s">
        <v>5067</v>
      </c>
      <c r="I3759" s="27" t="s">
        <v>9</v>
      </c>
    </row>
    <row r="3760" spans="1:9" x14ac:dyDescent="0.3">
      <c r="A3760" s="26">
        <v>45126</v>
      </c>
      <c r="B3760" s="27" t="s">
        <v>121</v>
      </c>
      <c r="C3760" s="27" t="s">
        <v>6</v>
      </c>
      <c r="D3760" s="27" t="s">
        <v>19</v>
      </c>
      <c r="E3760" s="28">
        <v>111900</v>
      </c>
      <c r="F3760" s="28">
        <v>114000</v>
      </c>
      <c r="G3760" s="27" t="s">
        <v>22</v>
      </c>
      <c r="H3760" s="27" t="s">
        <v>6134</v>
      </c>
      <c r="I3760" s="27" t="s">
        <v>9</v>
      </c>
    </row>
    <row r="3761" spans="1:9" x14ac:dyDescent="0.3">
      <c r="A3761" s="26">
        <v>45126</v>
      </c>
      <c r="B3761" s="27" t="s">
        <v>121</v>
      </c>
      <c r="C3761" s="27" t="s">
        <v>93</v>
      </c>
      <c r="D3761" s="27" t="s">
        <v>16</v>
      </c>
      <c r="E3761" s="28">
        <v>112200</v>
      </c>
      <c r="F3761" s="28">
        <v>137500</v>
      </c>
      <c r="G3761" s="27" t="s">
        <v>17</v>
      </c>
      <c r="H3761" s="27" t="s">
        <v>6418</v>
      </c>
      <c r="I3761" s="27" t="s">
        <v>9</v>
      </c>
    </row>
    <row r="3762" spans="1:9" x14ac:dyDescent="0.3">
      <c r="A3762" s="26">
        <v>45127</v>
      </c>
      <c r="B3762" s="27" t="s">
        <v>121</v>
      </c>
      <c r="C3762" s="27" t="s">
        <v>32</v>
      </c>
      <c r="D3762" s="27" t="s">
        <v>16</v>
      </c>
      <c r="E3762" s="28">
        <v>66561</v>
      </c>
      <c r="F3762" s="28">
        <v>46520</v>
      </c>
      <c r="G3762" s="27" t="s">
        <v>8</v>
      </c>
      <c r="H3762" s="27" t="s">
        <v>704</v>
      </c>
      <c r="I3762" s="27" t="s">
        <v>13</v>
      </c>
    </row>
    <row r="3763" spans="1:9" x14ac:dyDescent="0.3">
      <c r="A3763" s="26">
        <v>45127</v>
      </c>
      <c r="B3763" s="27" t="s">
        <v>121</v>
      </c>
      <c r="C3763" s="27" t="s">
        <v>10</v>
      </c>
      <c r="D3763" s="27" t="s">
        <v>7</v>
      </c>
      <c r="E3763" s="28">
        <v>110187</v>
      </c>
      <c r="F3763" s="28">
        <v>8623</v>
      </c>
      <c r="G3763" s="27" t="s">
        <v>8</v>
      </c>
      <c r="H3763" s="27" t="s">
        <v>813</v>
      </c>
      <c r="I3763" s="27" t="s">
        <v>13</v>
      </c>
    </row>
    <row r="3764" spans="1:9" x14ac:dyDescent="0.3">
      <c r="A3764" s="26">
        <v>45127</v>
      </c>
      <c r="B3764" s="27" t="s">
        <v>121</v>
      </c>
      <c r="C3764" s="27" t="s">
        <v>18</v>
      </c>
      <c r="D3764" s="27" t="s">
        <v>21</v>
      </c>
      <c r="E3764" s="28">
        <v>102144</v>
      </c>
      <c r="F3764" s="28">
        <v>164233</v>
      </c>
      <c r="G3764" s="27" t="s">
        <v>17</v>
      </c>
      <c r="H3764" s="27" t="s">
        <v>876</v>
      </c>
      <c r="I3764" s="27" t="s">
        <v>13</v>
      </c>
    </row>
    <row r="3765" spans="1:9" x14ac:dyDescent="0.3">
      <c r="A3765" s="26">
        <v>45127</v>
      </c>
      <c r="B3765" s="27" t="s">
        <v>121</v>
      </c>
      <c r="C3765" s="27" t="s">
        <v>15</v>
      </c>
      <c r="D3765" s="27" t="s">
        <v>16</v>
      </c>
      <c r="E3765" s="28">
        <v>47621</v>
      </c>
      <c r="F3765" s="28">
        <v>120747</v>
      </c>
      <c r="G3765" s="27" t="s">
        <v>17</v>
      </c>
      <c r="H3765" s="27" t="s">
        <v>1332</v>
      </c>
      <c r="I3765" s="27" t="s">
        <v>13</v>
      </c>
    </row>
    <row r="3766" spans="1:9" x14ac:dyDescent="0.3">
      <c r="A3766" s="26">
        <v>45127</v>
      </c>
      <c r="B3766" s="27" t="s">
        <v>121</v>
      </c>
      <c r="C3766" s="27" t="s">
        <v>14</v>
      </c>
      <c r="D3766" s="27" t="s">
        <v>24</v>
      </c>
      <c r="E3766" s="28">
        <v>93169</v>
      </c>
      <c r="F3766" s="28">
        <v>63991</v>
      </c>
      <c r="G3766" s="27" t="s">
        <v>8</v>
      </c>
      <c r="H3766" s="27" t="s">
        <v>2176</v>
      </c>
      <c r="I3766" s="27" t="s">
        <v>13</v>
      </c>
    </row>
    <row r="3767" spans="1:9" x14ac:dyDescent="0.3">
      <c r="A3767" s="26">
        <v>45127</v>
      </c>
      <c r="B3767" s="27" t="s">
        <v>121</v>
      </c>
      <c r="C3767" s="27" t="s">
        <v>10</v>
      </c>
      <c r="D3767" s="27" t="s">
        <v>24</v>
      </c>
      <c r="E3767" s="28">
        <v>91392</v>
      </c>
      <c r="F3767" s="28">
        <v>112770</v>
      </c>
      <c r="G3767" s="27" t="s">
        <v>17</v>
      </c>
      <c r="H3767" s="27" t="s">
        <v>2893</v>
      </c>
      <c r="I3767" s="27" t="s">
        <v>13</v>
      </c>
    </row>
    <row r="3768" spans="1:9" x14ac:dyDescent="0.3">
      <c r="A3768" s="26">
        <v>45127</v>
      </c>
      <c r="B3768" s="27" t="s">
        <v>121</v>
      </c>
      <c r="C3768" s="27" t="s">
        <v>32</v>
      </c>
      <c r="D3768" s="27" t="s">
        <v>7</v>
      </c>
      <c r="E3768" s="28">
        <v>80913</v>
      </c>
      <c r="F3768" s="28">
        <v>62968</v>
      </c>
      <c r="G3768" s="27" t="s">
        <v>11</v>
      </c>
      <c r="H3768" s="27" t="s">
        <v>3280</v>
      </c>
      <c r="I3768" s="27" t="s">
        <v>13</v>
      </c>
    </row>
    <row r="3769" spans="1:9" x14ac:dyDescent="0.3">
      <c r="A3769" s="26">
        <v>45127</v>
      </c>
      <c r="B3769" s="27" t="s">
        <v>121</v>
      </c>
      <c r="C3769" s="27" t="s">
        <v>6</v>
      </c>
      <c r="D3769" s="27" t="s">
        <v>16</v>
      </c>
      <c r="E3769" s="28">
        <v>120000</v>
      </c>
      <c r="F3769" s="28">
        <v>107900</v>
      </c>
      <c r="G3769" s="27" t="s">
        <v>11</v>
      </c>
      <c r="H3769" s="27" t="s">
        <v>4085</v>
      </c>
      <c r="I3769" s="27" t="s">
        <v>9</v>
      </c>
    </row>
    <row r="3770" spans="1:9" x14ac:dyDescent="0.3">
      <c r="A3770" s="26">
        <v>45127</v>
      </c>
      <c r="B3770" s="27" t="s">
        <v>121</v>
      </c>
      <c r="C3770" s="27" t="s">
        <v>6</v>
      </c>
      <c r="D3770" s="27" t="s">
        <v>7</v>
      </c>
      <c r="E3770" s="28">
        <v>193200</v>
      </c>
      <c r="F3770" s="28">
        <v>142100</v>
      </c>
      <c r="G3770" s="27" t="s">
        <v>22</v>
      </c>
      <c r="H3770" s="27" t="s">
        <v>4194</v>
      </c>
      <c r="I3770" s="27" t="s">
        <v>9</v>
      </c>
    </row>
    <row r="3771" spans="1:9" x14ac:dyDescent="0.3">
      <c r="A3771" s="26">
        <v>45127</v>
      </c>
      <c r="B3771" s="27" t="s">
        <v>121</v>
      </c>
      <c r="C3771" s="27" t="s">
        <v>93</v>
      </c>
      <c r="D3771" s="27" t="s">
        <v>21</v>
      </c>
      <c r="E3771" s="28">
        <v>141400</v>
      </c>
      <c r="F3771" s="28">
        <v>194300</v>
      </c>
      <c r="G3771" s="27" t="s">
        <v>22</v>
      </c>
      <c r="H3771" s="27" t="s">
        <v>4257</v>
      </c>
      <c r="I3771" s="27" t="s">
        <v>9</v>
      </c>
    </row>
    <row r="3772" spans="1:9" x14ac:dyDescent="0.3">
      <c r="A3772" s="26">
        <v>45127</v>
      </c>
      <c r="B3772" s="27" t="s">
        <v>121</v>
      </c>
      <c r="C3772" s="27" t="s">
        <v>6</v>
      </c>
      <c r="D3772" s="27" t="s">
        <v>16</v>
      </c>
      <c r="E3772" s="28">
        <v>70800</v>
      </c>
      <c r="F3772" s="28">
        <v>65600</v>
      </c>
      <c r="G3772" s="27" t="s">
        <v>22</v>
      </c>
      <c r="H3772" s="27" t="s">
        <v>4715</v>
      </c>
      <c r="I3772" s="27" t="s">
        <v>9</v>
      </c>
    </row>
    <row r="3773" spans="1:9" x14ac:dyDescent="0.3">
      <c r="A3773" s="26">
        <v>45127</v>
      </c>
      <c r="B3773" s="27" t="s">
        <v>121</v>
      </c>
      <c r="C3773" s="27" t="s">
        <v>6</v>
      </c>
      <c r="D3773" s="27" t="s">
        <v>24</v>
      </c>
      <c r="E3773" s="28">
        <v>152100</v>
      </c>
      <c r="F3773" s="28">
        <v>175000</v>
      </c>
      <c r="G3773" s="27" t="s">
        <v>11</v>
      </c>
      <c r="H3773" s="27" t="s">
        <v>5561</v>
      </c>
      <c r="I3773" s="27" t="s">
        <v>9</v>
      </c>
    </row>
    <row r="3774" spans="1:9" x14ac:dyDescent="0.3">
      <c r="A3774" s="26">
        <v>45127</v>
      </c>
      <c r="B3774" s="27" t="s">
        <v>121</v>
      </c>
      <c r="C3774" s="27" t="s">
        <v>6</v>
      </c>
      <c r="D3774" s="27" t="s">
        <v>24</v>
      </c>
      <c r="E3774" s="28">
        <v>90700</v>
      </c>
      <c r="F3774" s="28">
        <v>93100</v>
      </c>
      <c r="G3774" s="27" t="s">
        <v>11</v>
      </c>
      <c r="H3774" s="27" t="s">
        <v>6278</v>
      </c>
      <c r="I3774" s="27" t="s">
        <v>9</v>
      </c>
    </row>
    <row r="3775" spans="1:9" x14ac:dyDescent="0.3">
      <c r="A3775" s="26">
        <v>45127</v>
      </c>
      <c r="B3775" s="27" t="s">
        <v>121</v>
      </c>
      <c r="C3775" s="27" t="s">
        <v>93</v>
      </c>
      <c r="D3775" s="27" t="s">
        <v>7</v>
      </c>
      <c r="E3775" s="28">
        <v>96000</v>
      </c>
      <c r="F3775" s="28">
        <v>110800</v>
      </c>
      <c r="G3775" s="27" t="s">
        <v>11</v>
      </c>
      <c r="H3775" s="27" t="s">
        <v>6665</v>
      </c>
      <c r="I3775" s="27" t="s">
        <v>9</v>
      </c>
    </row>
    <row r="3776" spans="1:9" x14ac:dyDescent="0.3">
      <c r="A3776" s="26">
        <v>45128</v>
      </c>
      <c r="B3776" s="27" t="s">
        <v>121</v>
      </c>
      <c r="C3776" s="27" t="s">
        <v>14</v>
      </c>
      <c r="D3776" s="27" t="s">
        <v>21</v>
      </c>
      <c r="E3776" s="28">
        <v>77344</v>
      </c>
      <c r="F3776" s="28">
        <v>62241</v>
      </c>
      <c r="G3776" s="27" t="s">
        <v>17</v>
      </c>
      <c r="H3776" s="27" t="s">
        <v>587</v>
      </c>
      <c r="I3776" s="27" t="s">
        <v>13</v>
      </c>
    </row>
    <row r="3777" spans="1:9" x14ac:dyDescent="0.3">
      <c r="A3777" s="26">
        <v>45128</v>
      </c>
      <c r="B3777" s="27" t="s">
        <v>121</v>
      </c>
      <c r="C3777" s="27" t="s">
        <v>20</v>
      </c>
      <c r="D3777" s="27" t="s">
        <v>19</v>
      </c>
      <c r="E3777" s="28">
        <v>105166</v>
      </c>
      <c r="F3777" s="28">
        <v>166338</v>
      </c>
      <c r="G3777" s="27" t="s">
        <v>11</v>
      </c>
      <c r="H3777" s="27" t="s">
        <v>778</v>
      </c>
      <c r="I3777" s="27" t="s">
        <v>13</v>
      </c>
    </row>
    <row r="3778" spans="1:9" x14ac:dyDescent="0.3">
      <c r="A3778" s="26">
        <v>45128</v>
      </c>
      <c r="B3778" s="27" t="s">
        <v>121</v>
      </c>
      <c r="C3778" s="27" t="s">
        <v>14</v>
      </c>
      <c r="D3778" s="27" t="s">
        <v>16</v>
      </c>
      <c r="E3778" s="28">
        <v>79659</v>
      </c>
      <c r="F3778" s="28">
        <v>65378</v>
      </c>
      <c r="G3778" s="27" t="s">
        <v>11</v>
      </c>
      <c r="H3778" s="27" t="s">
        <v>1225</v>
      </c>
      <c r="I3778" s="27" t="s">
        <v>13</v>
      </c>
    </row>
    <row r="3779" spans="1:9" x14ac:dyDescent="0.3">
      <c r="A3779" s="26">
        <v>45128</v>
      </c>
      <c r="B3779" s="27" t="s">
        <v>121</v>
      </c>
      <c r="C3779" s="27" t="s">
        <v>32</v>
      </c>
      <c r="D3779" s="27" t="s">
        <v>19</v>
      </c>
      <c r="E3779" s="28">
        <v>116371</v>
      </c>
      <c r="F3779" s="28">
        <v>70939</v>
      </c>
      <c r="G3779" s="27" t="s">
        <v>11</v>
      </c>
      <c r="H3779" s="27" t="s">
        <v>1381</v>
      </c>
      <c r="I3779" s="27" t="s">
        <v>13</v>
      </c>
    </row>
    <row r="3780" spans="1:9" x14ac:dyDescent="0.3">
      <c r="A3780" s="26">
        <v>45128</v>
      </c>
      <c r="B3780" s="27" t="s">
        <v>121</v>
      </c>
      <c r="C3780" s="27" t="s">
        <v>20</v>
      </c>
      <c r="D3780" s="27" t="s">
        <v>16</v>
      </c>
      <c r="E3780" s="28">
        <v>120621</v>
      </c>
      <c r="F3780" s="28">
        <v>97309</v>
      </c>
      <c r="G3780" s="27" t="s">
        <v>17</v>
      </c>
      <c r="H3780" s="27" t="s">
        <v>1539</v>
      </c>
      <c r="I3780" s="27" t="s">
        <v>13</v>
      </c>
    </row>
    <row r="3781" spans="1:9" x14ac:dyDescent="0.3">
      <c r="A3781" s="26">
        <v>45128</v>
      </c>
      <c r="B3781" s="27" t="s">
        <v>121</v>
      </c>
      <c r="C3781" s="27" t="s">
        <v>15</v>
      </c>
      <c r="D3781" s="27" t="s">
        <v>19</v>
      </c>
      <c r="E3781" s="28">
        <v>110194</v>
      </c>
      <c r="F3781" s="28">
        <v>148030</v>
      </c>
      <c r="G3781" s="27" t="s">
        <v>8</v>
      </c>
      <c r="H3781" s="27" t="s">
        <v>1999</v>
      </c>
      <c r="I3781" s="27" t="s">
        <v>13</v>
      </c>
    </row>
    <row r="3782" spans="1:9" x14ac:dyDescent="0.3">
      <c r="A3782" s="26">
        <v>45128</v>
      </c>
      <c r="B3782" s="27" t="s">
        <v>121</v>
      </c>
      <c r="C3782" s="27" t="s">
        <v>14</v>
      </c>
      <c r="D3782" s="27" t="s">
        <v>16</v>
      </c>
      <c r="E3782" s="28">
        <v>112291</v>
      </c>
      <c r="F3782" s="28">
        <v>61972</v>
      </c>
      <c r="G3782" s="27" t="s">
        <v>17</v>
      </c>
      <c r="H3782" s="27" t="s">
        <v>2417</v>
      </c>
      <c r="I3782" s="27" t="s">
        <v>13</v>
      </c>
    </row>
    <row r="3783" spans="1:9" x14ac:dyDescent="0.3">
      <c r="A3783" s="26">
        <v>45128</v>
      </c>
      <c r="B3783" s="27" t="s">
        <v>121</v>
      </c>
      <c r="C3783" s="27" t="s">
        <v>10</v>
      </c>
      <c r="D3783" s="27" t="s">
        <v>7</v>
      </c>
      <c r="E3783" s="28">
        <v>81811</v>
      </c>
      <c r="F3783" s="28">
        <v>140839</v>
      </c>
      <c r="G3783" s="27" t="s">
        <v>8</v>
      </c>
      <c r="H3783" s="27" t="s">
        <v>3198</v>
      </c>
      <c r="I3783" s="27" t="s">
        <v>13</v>
      </c>
    </row>
    <row r="3784" spans="1:9" x14ac:dyDescent="0.3">
      <c r="A3784" s="26">
        <v>45128</v>
      </c>
      <c r="B3784" s="27" t="s">
        <v>121</v>
      </c>
      <c r="C3784" s="27" t="s">
        <v>32</v>
      </c>
      <c r="D3784" s="27" t="s">
        <v>19</v>
      </c>
      <c r="E3784" s="28">
        <v>30649</v>
      </c>
      <c r="F3784" s="28">
        <v>161696</v>
      </c>
      <c r="G3784" s="27" t="s">
        <v>17</v>
      </c>
      <c r="H3784" s="27" t="s">
        <v>3375</v>
      </c>
      <c r="I3784" s="27" t="s">
        <v>13</v>
      </c>
    </row>
    <row r="3785" spans="1:9" x14ac:dyDescent="0.3">
      <c r="A3785" s="26">
        <v>45128</v>
      </c>
      <c r="B3785" s="27" t="s">
        <v>121</v>
      </c>
      <c r="C3785" s="27" t="s">
        <v>6</v>
      </c>
      <c r="D3785" s="27" t="s">
        <v>21</v>
      </c>
      <c r="E3785" s="28">
        <v>91000</v>
      </c>
      <c r="F3785" s="28">
        <v>103900</v>
      </c>
      <c r="G3785" s="27" t="s">
        <v>17</v>
      </c>
      <c r="H3785" s="27" t="s">
        <v>3968</v>
      </c>
      <c r="I3785" s="27" t="s">
        <v>9</v>
      </c>
    </row>
    <row r="3786" spans="1:9" x14ac:dyDescent="0.3">
      <c r="A3786" s="26">
        <v>45128</v>
      </c>
      <c r="B3786" s="27" t="s">
        <v>121</v>
      </c>
      <c r="C3786" s="27" t="s">
        <v>6</v>
      </c>
      <c r="D3786" s="27" t="s">
        <v>19</v>
      </c>
      <c r="E3786" s="28">
        <v>74400</v>
      </c>
      <c r="F3786" s="28">
        <v>83200</v>
      </c>
      <c r="G3786" s="27" t="s">
        <v>11</v>
      </c>
      <c r="H3786" s="27" t="s">
        <v>4159</v>
      </c>
      <c r="I3786" s="27" t="s">
        <v>9</v>
      </c>
    </row>
    <row r="3787" spans="1:9" x14ac:dyDescent="0.3">
      <c r="A3787" s="26">
        <v>45128</v>
      </c>
      <c r="B3787" s="27" t="s">
        <v>121</v>
      </c>
      <c r="C3787" s="27" t="s">
        <v>6</v>
      </c>
      <c r="D3787" s="27" t="s">
        <v>16</v>
      </c>
      <c r="E3787" s="28">
        <v>73100</v>
      </c>
      <c r="F3787" s="28">
        <v>72800</v>
      </c>
      <c r="G3787" s="27" t="s">
        <v>17</v>
      </c>
      <c r="H3787" s="27" t="s">
        <v>4608</v>
      </c>
      <c r="I3787" s="27" t="s">
        <v>9</v>
      </c>
    </row>
    <row r="3788" spans="1:9" x14ac:dyDescent="0.3">
      <c r="A3788" s="26">
        <v>45128</v>
      </c>
      <c r="B3788" s="27" t="s">
        <v>121</v>
      </c>
      <c r="C3788" s="27" t="s">
        <v>93</v>
      </c>
      <c r="D3788" s="27" t="s">
        <v>19</v>
      </c>
      <c r="E3788" s="28">
        <v>84700</v>
      </c>
      <c r="F3788" s="28">
        <v>70800</v>
      </c>
      <c r="G3788" s="27" t="s">
        <v>11</v>
      </c>
      <c r="H3788" s="27" t="s">
        <v>4764</v>
      </c>
      <c r="I3788" s="27" t="s">
        <v>9</v>
      </c>
    </row>
    <row r="3789" spans="1:9" x14ac:dyDescent="0.3">
      <c r="A3789" s="26">
        <v>45128</v>
      </c>
      <c r="B3789" s="27" t="s">
        <v>121</v>
      </c>
      <c r="C3789" s="27" t="s">
        <v>6</v>
      </c>
      <c r="D3789" s="27" t="s">
        <v>16</v>
      </c>
      <c r="E3789" s="28">
        <v>623800</v>
      </c>
      <c r="F3789" s="28">
        <v>921700</v>
      </c>
      <c r="G3789" s="27" t="s">
        <v>11</v>
      </c>
      <c r="H3789" s="27" t="s">
        <v>4922</v>
      </c>
      <c r="I3789" s="27" t="s">
        <v>9</v>
      </c>
    </row>
    <row r="3790" spans="1:9" x14ac:dyDescent="0.3">
      <c r="A3790" s="26">
        <v>45128</v>
      </c>
      <c r="B3790" s="27" t="s">
        <v>121</v>
      </c>
      <c r="C3790" s="27" t="s">
        <v>93</v>
      </c>
      <c r="D3790" s="27" t="s">
        <v>19</v>
      </c>
      <c r="E3790" s="28">
        <v>101200</v>
      </c>
      <c r="F3790" s="28">
        <v>116900</v>
      </c>
      <c r="G3790" s="27" t="s">
        <v>22</v>
      </c>
      <c r="H3790" s="27" t="s">
        <v>5383</v>
      </c>
      <c r="I3790" s="27" t="s">
        <v>9</v>
      </c>
    </row>
    <row r="3791" spans="1:9" x14ac:dyDescent="0.3">
      <c r="A3791" s="26">
        <v>45128</v>
      </c>
      <c r="B3791" s="27" t="s">
        <v>121</v>
      </c>
      <c r="C3791" s="27" t="s">
        <v>93</v>
      </c>
      <c r="D3791" s="27" t="s">
        <v>16</v>
      </c>
      <c r="E3791" s="28">
        <v>65800</v>
      </c>
      <c r="F3791" s="28">
        <v>64500</v>
      </c>
      <c r="G3791" s="27" t="s">
        <v>11</v>
      </c>
      <c r="H3791" s="27" t="s">
        <v>5802</v>
      </c>
      <c r="I3791" s="27" t="s">
        <v>9</v>
      </c>
    </row>
    <row r="3792" spans="1:9" x14ac:dyDescent="0.3">
      <c r="A3792" s="26">
        <v>45128</v>
      </c>
      <c r="B3792" s="27" t="s">
        <v>121</v>
      </c>
      <c r="C3792" s="27" t="s">
        <v>93</v>
      </c>
      <c r="D3792" s="27" t="s">
        <v>7</v>
      </c>
      <c r="E3792" s="28">
        <v>155800</v>
      </c>
      <c r="F3792" s="28">
        <v>129700</v>
      </c>
      <c r="G3792" s="27" t="s">
        <v>11</v>
      </c>
      <c r="H3792" s="27" t="s">
        <v>6583</v>
      </c>
      <c r="I3792" s="27" t="s">
        <v>9</v>
      </c>
    </row>
    <row r="3793" spans="1:9" x14ac:dyDescent="0.3">
      <c r="A3793" s="26">
        <v>45128</v>
      </c>
      <c r="B3793" s="27" t="s">
        <v>121</v>
      </c>
      <c r="C3793" s="27" t="s">
        <v>6</v>
      </c>
      <c r="D3793" s="27" t="s">
        <v>19</v>
      </c>
      <c r="E3793" s="28">
        <v>121400</v>
      </c>
      <c r="F3793" s="28">
        <v>123800</v>
      </c>
      <c r="G3793" s="27" t="s">
        <v>22</v>
      </c>
      <c r="H3793" s="27" t="s">
        <v>6760</v>
      </c>
      <c r="I3793" s="27" t="s">
        <v>9</v>
      </c>
    </row>
    <row r="3794" spans="1:9" x14ac:dyDescent="0.3">
      <c r="A3794" s="26">
        <v>45129</v>
      </c>
      <c r="B3794" s="27" t="s">
        <v>121</v>
      </c>
      <c r="C3794" s="27" t="s">
        <v>18</v>
      </c>
      <c r="D3794" s="27" t="s">
        <v>24</v>
      </c>
      <c r="E3794" s="28">
        <v>110957</v>
      </c>
      <c r="F3794" s="28">
        <v>67525</v>
      </c>
      <c r="G3794" s="27" t="s">
        <v>22</v>
      </c>
      <c r="H3794" s="27" t="s">
        <v>946</v>
      </c>
      <c r="I3794" s="27" t="s">
        <v>13</v>
      </c>
    </row>
    <row r="3795" spans="1:9" x14ac:dyDescent="0.3">
      <c r="A3795" s="26">
        <v>45129</v>
      </c>
      <c r="B3795" s="27" t="s">
        <v>121</v>
      </c>
      <c r="C3795" s="27" t="s">
        <v>15</v>
      </c>
      <c r="D3795" s="27" t="s">
        <v>24</v>
      </c>
      <c r="E3795" s="28">
        <v>122123</v>
      </c>
      <c r="F3795" s="28">
        <v>48450</v>
      </c>
      <c r="G3795" s="27" t="s">
        <v>22</v>
      </c>
      <c r="H3795" s="27" t="s">
        <v>3043</v>
      </c>
      <c r="I3795" s="27" t="s">
        <v>13</v>
      </c>
    </row>
    <row r="3796" spans="1:9" x14ac:dyDescent="0.3">
      <c r="A3796" s="26">
        <v>45129</v>
      </c>
      <c r="B3796" s="27" t="s">
        <v>121</v>
      </c>
      <c r="C3796" s="27" t="s">
        <v>32</v>
      </c>
      <c r="D3796" s="27" t="s">
        <v>24</v>
      </c>
      <c r="E3796" s="28">
        <v>84424</v>
      </c>
      <c r="F3796" s="28">
        <v>95259</v>
      </c>
      <c r="G3796" s="27" t="s">
        <v>8</v>
      </c>
      <c r="H3796" s="27" t="s">
        <v>3235</v>
      </c>
      <c r="I3796" s="27" t="s">
        <v>13</v>
      </c>
    </row>
    <row r="3797" spans="1:9" x14ac:dyDescent="0.3">
      <c r="A3797" s="26">
        <v>45129</v>
      </c>
      <c r="B3797" s="27" t="s">
        <v>121</v>
      </c>
      <c r="C3797" s="27" t="s">
        <v>6</v>
      </c>
      <c r="D3797" s="27" t="s">
        <v>24</v>
      </c>
      <c r="E3797" s="28">
        <v>102600</v>
      </c>
      <c r="F3797" s="28">
        <v>101800</v>
      </c>
      <c r="G3797" s="27" t="s">
        <v>22</v>
      </c>
      <c r="H3797" s="27" t="s">
        <v>4327</v>
      </c>
      <c r="I3797" s="27" t="s">
        <v>9</v>
      </c>
    </row>
    <row r="3798" spans="1:9" x14ac:dyDescent="0.3">
      <c r="A3798" s="26">
        <v>45129</v>
      </c>
      <c r="B3798" s="27" t="s">
        <v>121</v>
      </c>
      <c r="C3798" s="27" t="s">
        <v>93</v>
      </c>
      <c r="D3798" s="27" t="s">
        <v>24</v>
      </c>
      <c r="E3798" s="28">
        <v>95500</v>
      </c>
      <c r="F3798" s="28">
        <v>77600</v>
      </c>
      <c r="G3798" s="27" t="s">
        <v>11</v>
      </c>
      <c r="H3798" s="27" t="s">
        <v>6428</v>
      </c>
      <c r="I3798" s="27" t="s">
        <v>9</v>
      </c>
    </row>
    <row r="3799" spans="1:9" x14ac:dyDescent="0.3">
      <c r="A3799" s="26">
        <v>45129</v>
      </c>
      <c r="B3799" s="27" t="s">
        <v>121</v>
      </c>
      <c r="C3799" s="27" t="s">
        <v>6</v>
      </c>
      <c r="D3799" s="27" t="s">
        <v>24</v>
      </c>
      <c r="E3799" s="28">
        <v>146500</v>
      </c>
      <c r="F3799" s="28">
        <v>160100</v>
      </c>
      <c r="G3799" s="27" t="s">
        <v>11</v>
      </c>
      <c r="H3799" s="27" t="s">
        <v>6620</v>
      </c>
      <c r="I3799" s="27" t="s">
        <v>9</v>
      </c>
    </row>
    <row r="3800" spans="1:9" x14ac:dyDescent="0.3">
      <c r="A3800" s="26">
        <v>45130</v>
      </c>
      <c r="B3800" s="27" t="s">
        <v>121</v>
      </c>
      <c r="C3800" s="27" t="s">
        <v>14</v>
      </c>
      <c r="D3800" s="27" t="s">
        <v>19</v>
      </c>
      <c r="E3800" s="28">
        <v>146674</v>
      </c>
      <c r="F3800" s="28">
        <v>108638</v>
      </c>
      <c r="G3800" s="27" t="s">
        <v>22</v>
      </c>
      <c r="H3800" s="27" t="s">
        <v>242</v>
      </c>
      <c r="I3800" s="27" t="s">
        <v>13</v>
      </c>
    </row>
    <row r="3801" spans="1:9" x14ac:dyDescent="0.3">
      <c r="A3801" s="26">
        <v>45130</v>
      </c>
      <c r="B3801" s="27" t="s">
        <v>121</v>
      </c>
      <c r="C3801" s="27" t="s">
        <v>20</v>
      </c>
      <c r="D3801" s="27" t="s">
        <v>16</v>
      </c>
      <c r="E3801" s="28">
        <v>83114</v>
      </c>
      <c r="F3801" s="28">
        <v>55971</v>
      </c>
      <c r="G3801" s="27" t="s">
        <v>8</v>
      </c>
      <c r="H3801" s="27" t="s">
        <v>419</v>
      </c>
      <c r="I3801" s="27" t="s">
        <v>13</v>
      </c>
    </row>
    <row r="3802" spans="1:9" x14ac:dyDescent="0.3">
      <c r="A3802" s="26">
        <v>45130</v>
      </c>
      <c r="B3802" s="27" t="s">
        <v>121</v>
      </c>
      <c r="C3802" s="27" t="s">
        <v>10</v>
      </c>
      <c r="D3802" s="27" t="s">
        <v>24</v>
      </c>
      <c r="E3802" s="28">
        <v>92680</v>
      </c>
      <c r="F3802" s="28">
        <v>84559</v>
      </c>
      <c r="G3802" s="27" t="s">
        <v>11</v>
      </c>
      <c r="H3802" s="27" t="s">
        <v>427</v>
      </c>
      <c r="I3802" s="27" t="s">
        <v>13</v>
      </c>
    </row>
    <row r="3803" spans="1:9" x14ac:dyDescent="0.3">
      <c r="A3803" s="26">
        <v>45130</v>
      </c>
      <c r="B3803" s="27" t="s">
        <v>121</v>
      </c>
      <c r="C3803" s="27" t="s">
        <v>20</v>
      </c>
      <c r="D3803" s="27" t="s">
        <v>21</v>
      </c>
      <c r="E3803" s="28">
        <v>114725</v>
      </c>
      <c r="F3803" s="28">
        <v>137960</v>
      </c>
      <c r="G3803" s="27" t="s">
        <v>8</v>
      </c>
      <c r="H3803" s="27" t="s">
        <v>538</v>
      </c>
      <c r="I3803" s="27" t="s">
        <v>13</v>
      </c>
    </row>
    <row r="3804" spans="1:9" x14ac:dyDescent="0.3">
      <c r="A3804" s="26">
        <v>45130</v>
      </c>
      <c r="B3804" s="27" t="s">
        <v>121</v>
      </c>
      <c r="C3804" s="27" t="s">
        <v>20</v>
      </c>
      <c r="D3804" s="27" t="s">
        <v>7</v>
      </c>
      <c r="E3804" s="28">
        <v>27921</v>
      </c>
      <c r="F3804" s="28">
        <v>17038</v>
      </c>
      <c r="G3804" s="27" t="s">
        <v>8</v>
      </c>
      <c r="H3804" s="27" t="s">
        <v>896</v>
      </c>
      <c r="I3804" s="27" t="s">
        <v>13</v>
      </c>
    </row>
    <row r="3805" spans="1:9" x14ac:dyDescent="0.3">
      <c r="A3805" s="26">
        <v>45130</v>
      </c>
      <c r="B3805" s="27" t="s">
        <v>121</v>
      </c>
      <c r="C3805" s="27" t="s">
        <v>18</v>
      </c>
      <c r="D3805" s="27" t="s">
        <v>19</v>
      </c>
      <c r="E3805" s="28">
        <v>24822</v>
      </c>
      <c r="F3805" s="28">
        <v>25046</v>
      </c>
      <c r="G3805" s="27" t="s">
        <v>11</v>
      </c>
      <c r="H3805" s="27" t="s">
        <v>1201</v>
      </c>
      <c r="I3805" s="27" t="s">
        <v>13</v>
      </c>
    </row>
    <row r="3806" spans="1:9" x14ac:dyDescent="0.3">
      <c r="A3806" s="26">
        <v>45130</v>
      </c>
      <c r="B3806" s="27" t="s">
        <v>121</v>
      </c>
      <c r="C3806" s="27" t="s">
        <v>15</v>
      </c>
      <c r="D3806" s="27" t="s">
        <v>7</v>
      </c>
      <c r="E3806" s="28">
        <v>76214</v>
      </c>
      <c r="F3806" s="28">
        <v>57792</v>
      </c>
      <c r="G3806" s="27" t="s">
        <v>22</v>
      </c>
      <c r="H3806" s="27" t="s">
        <v>2243</v>
      </c>
      <c r="I3806" s="27" t="s">
        <v>13</v>
      </c>
    </row>
    <row r="3807" spans="1:9" x14ac:dyDescent="0.3">
      <c r="A3807" s="26">
        <v>45130</v>
      </c>
      <c r="B3807" s="27" t="s">
        <v>121</v>
      </c>
      <c r="C3807" s="27" t="s">
        <v>20</v>
      </c>
      <c r="D3807" s="27" t="s">
        <v>7</v>
      </c>
      <c r="E3807" s="28">
        <v>14158</v>
      </c>
      <c r="F3807" s="28">
        <v>68086</v>
      </c>
      <c r="G3807" s="27" t="s">
        <v>8</v>
      </c>
      <c r="H3807" s="27" t="s">
        <v>2631</v>
      </c>
      <c r="I3807" s="27" t="s">
        <v>13</v>
      </c>
    </row>
    <row r="3808" spans="1:9" x14ac:dyDescent="0.3">
      <c r="A3808" s="26">
        <v>45130</v>
      </c>
      <c r="B3808" s="27" t="s">
        <v>121</v>
      </c>
      <c r="C3808" s="27" t="s">
        <v>93</v>
      </c>
      <c r="D3808" s="27" t="s">
        <v>19</v>
      </c>
      <c r="E3808" s="28">
        <v>133500</v>
      </c>
      <c r="F3808" s="28">
        <v>127500</v>
      </c>
      <c r="G3808" s="27" t="s">
        <v>17</v>
      </c>
      <c r="H3808" s="27" t="s">
        <v>3623</v>
      </c>
      <c r="I3808" s="27" t="s">
        <v>9</v>
      </c>
    </row>
    <row r="3809" spans="1:9" x14ac:dyDescent="0.3">
      <c r="A3809" s="26">
        <v>45130</v>
      </c>
      <c r="B3809" s="27" t="s">
        <v>121</v>
      </c>
      <c r="C3809" s="27" t="s">
        <v>6</v>
      </c>
      <c r="D3809" s="27" t="s">
        <v>16</v>
      </c>
      <c r="E3809" s="28">
        <v>181500</v>
      </c>
      <c r="F3809" s="28">
        <v>185200</v>
      </c>
      <c r="G3809" s="27" t="s">
        <v>22</v>
      </c>
      <c r="H3809" s="27" t="s">
        <v>3800</v>
      </c>
      <c r="I3809" s="27" t="s">
        <v>9</v>
      </c>
    </row>
    <row r="3810" spans="1:9" x14ac:dyDescent="0.3">
      <c r="A3810" s="26">
        <v>45130</v>
      </c>
      <c r="B3810" s="27" t="s">
        <v>121</v>
      </c>
      <c r="C3810" s="27" t="s">
        <v>93</v>
      </c>
      <c r="D3810" s="27" t="s">
        <v>24</v>
      </c>
      <c r="E3810" s="28">
        <v>143800</v>
      </c>
      <c r="F3810" s="28">
        <v>187500</v>
      </c>
      <c r="G3810" s="27" t="s">
        <v>11</v>
      </c>
      <c r="H3810" s="27" t="s">
        <v>3808</v>
      </c>
      <c r="I3810" s="27" t="s">
        <v>9</v>
      </c>
    </row>
    <row r="3811" spans="1:9" x14ac:dyDescent="0.3">
      <c r="A3811" s="26">
        <v>45130</v>
      </c>
      <c r="B3811" s="27" t="s">
        <v>121</v>
      </c>
      <c r="C3811" s="27" t="s">
        <v>6</v>
      </c>
      <c r="D3811" s="27" t="s">
        <v>21</v>
      </c>
      <c r="E3811" s="28">
        <v>163500</v>
      </c>
      <c r="F3811" s="28">
        <v>134600</v>
      </c>
      <c r="G3811" s="27" t="s">
        <v>11</v>
      </c>
      <c r="H3811" s="27" t="s">
        <v>3919</v>
      </c>
      <c r="I3811" s="27" t="s">
        <v>9</v>
      </c>
    </row>
    <row r="3812" spans="1:9" x14ac:dyDescent="0.3">
      <c r="A3812" s="26">
        <v>45130</v>
      </c>
      <c r="B3812" s="27" t="s">
        <v>121</v>
      </c>
      <c r="C3812" s="27" t="s">
        <v>6</v>
      </c>
      <c r="D3812" s="27" t="s">
        <v>7</v>
      </c>
      <c r="E3812" s="28">
        <v>125700</v>
      </c>
      <c r="F3812" s="28">
        <v>81200</v>
      </c>
      <c r="G3812" s="27" t="s">
        <v>22</v>
      </c>
      <c r="H3812" s="27" t="s">
        <v>4277</v>
      </c>
      <c r="I3812" s="27" t="s">
        <v>9</v>
      </c>
    </row>
    <row r="3813" spans="1:9" x14ac:dyDescent="0.3">
      <c r="A3813" s="26">
        <v>45130</v>
      </c>
      <c r="B3813" s="27" t="s">
        <v>121</v>
      </c>
      <c r="C3813" s="27" t="s">
        <v>6</v>
      </c>
      <c r="D3813" s="27" t="s">
        <v>19</v>
      </c>
      <c r="E3813" s="28">
        <v>114400</v>
      </c>
      <c r="F3813" s="28">
        <v>115500</v>
      </c>
      <c r="G3813" s="27" t="s">
        <v>22</v>
      </c>
      <c r="H3813" s="27" t="s">
        <v>4584</v>
      </c>
      <c r="I3813" s="27" t="s">
        <v>9</v>
      </c>
    </row>
    <row r="3814" spans="1:9" x14ac:dyDescent="0.3">
      <c r="A3814" s="26">
        <v>45130</v>
      </c>
      <c r="B3814" s="27" t="s">
        <v>121</v>
      </c>
      <c r="C3814" s="27" t="s">
        <v>93</v>
      </c>
      <c r="D3814" s="27" t="s">
        <v>7</v>
      </c>
      <c r="E3814" s="28">
        <v>187000</v>
      </c>
      <c r="F3814" s="28">
        <v>212000</v>
      </c>
      <c r="G3814" s="27" t="s">
        <v>11</v>
      </c>
      <c r="H3814" s="27" t="s">
        <v>5628</v>
      </c>
      <c r="I3814" s="27" t="s">
        <v>9</v>
      </c>
    </row>
    <row r="3815" spans="1:9" x14ac:dyDescent="0.3">
      <c r="A3815" s="26">
        <v>45130</v>
      </c>
      <c r="B3815" s="27" t="s">
        <v>121</v>
      </c>
      <c r="C3815" s="27" t="s">
        <v>93</v>
      </c>
      <c r="D3815" s="27" t="s">
        <v>7</v>
      </c>
      <c r="E3815" s="28">
        <v>79100</v>
      </c>
      <c r="F3815" s="28">
        <v>66700</v>
      </c>
      <c r="G3815" s="27" t="s">
        <v>22</v>
      </c>
      <c r="H3815" s="27" t="s">
        <v>6016</v>
      </c>
      <c r="I3815" s="27" t="s">
        <v>9</v>
      </c>
    </row>
    <row r="3816" spans="1:9" x14ac:dyDescent="0.3">
      <c r="A3816" s="26">
        <v>45131</v>
      </c>
      <c r="B3816" s="27" t="s">
        <v>121</v>
      </c>
      <c r="C3816" s="27" t="s">
        <v>32</v>
      </c>
      <c r="D3816" s="27" t="s">
        <v>7</v>
      </c>
      <c r="E3816" s="28">
        <v>124675</v>
      </c>
      <c r="F3816" s="28">
        <v>158266</v>
      </c>
      <c r="G3816" s="27" t="s">
        <v>8</v>
      </c>
      <c r="H3816" s="27" t="s">
        <v>225</v>
      </c>
      <c r="I3816" s="27" t="s">
        <v>13</v>
      </c>
    </row>
    <row r="3817" spans="1:9" x14ac:dyDescent="0.3">
      <c r="A3817" s="26">
        <v>45131</v>
      </c>
      <c r="B3817" s="27" t="s">
        <v>121</v>
      </c>
      <c r="C3817" s="27" t="s">
        <v>14</v>
      </c>
      <c r="D3817" s="27" t="s">
        <v>21</v>
      </c>
      <c r="E3817" s="28">
        <v>81358</v>
      </c>
      <c r="F3817" s="28">
        <v>70586</v>
      </c>
      <c r="G3817" s="27" t="s">
        <v>11</v>
      </c>
      <c r="H3817" s="27" t="s">
        <v>458</v>
      </c>
      <c r="I3817" s="27" t="s">
        <v>13</v>
      </c>
    </row>
    <row r="3818" spans="1:9" x14ac:dyDescent="0.3">
      <c r="A3818" s="26">
        <v>45131</v>
      </c>
      <c r="B3818" s="27" t="s">
        <v>121</v>
      </c>
      <c r="C3818" s="27" t="s">
        <v>20</v>
      </c>
      <c r="D3818" s="27" t="s">
        <v>24</v>
      </c>
      <c r="E3818" s="28">
        <v>136160</v>
      </c>
      <c r="F3818" s="28">
        <v>86245</v>
      </c>
      <c r="G3818" s="27" t="s">
        <v>8</v>
      </c>
      <c r="H3818" s="27" t="s">
        <v>2269</v>
      </c>
      <c r="I3818" s="27" t="s">
        <v>13</v>
      </c>
    </row>
    <row r="3819" spans="1:9" x14ac:dyDescent="0.3">
      <c r="A3819" s="26">
        <v>45131</v>
      </c>
      <c r="B3819" s="27" t="s">
        <v>121</v>
      </c>
      <c r="C3819" s="27" t="s">
        <v>18</v>
      </c>
      <c r="D3819" s="27" t="s">
        <v>24</v>
      </c>
      <c r="E3819" s="28">
        <v>82978</v>
      </c>
      <c r="F3819" s="28">
        <v>153696</v>
      </c>
      <c r="G3819" s="27" t="s">
        <v>22</v>
      </c>
      <c r="H3819" s="27" t="s">
        <v>2720</v>
      </c>
      <c r="I3819" s="27" t="s">
        <v>13</v>
      </c>
    </row>
    <row r="3820" spans="1:9" x14ac:dyDescent="0.3">
      <c r="A3820" s="26">
        <v>45131</v>
      </c>
      <c r="B3820" s="27" t="s">
        <v>121</v>
      </c>
      <c r="C3820" s="27" t="s">
        <v>32</v>
      </c>
      <c r="D3820" s="27" t="s">
        <v>16</v>
      </c>
      <c r="E3820" s="28">
        <v>89222</v>
      </c>
      <c r="F3820" s="28">
        <v>62061</v>
      </c>
      <c r="G3820" s="27" t="s">
        <v>11</v>
      </c>
      <c r="H3820" s="27" t="s">
        <v>2869</v>
      </c>
      <c r="I3820" s="27" t="s">
        <v>13</v>
      </c>
    </row>
    <row r="3821" spans="1:9" x14ac:dyDescent="0.3">
      <c r="A3821" s="26">
        <v>45131</v>
      </c>
      <c r="B3821" s="27" t="s">
        <v>121</v>
      </c>
      <c r="C3821" s="27" t="s">
        <v>20</v>
      </c>
      <c r="D3821" s="27" t="s">
        <v>19</v>
      </c>
      <c r="E3821" s="28">
        <v>23514</v>
      </c>
      <c r="F3821" s="28">
        <v>157099</v>
      </c>
      <c r="G3821" s="27" t="s">
        <v>22</v>
      </c>
      <c r="H3821" s="27" t="s">
        <v>3425</v>
      </c>
      <c r="I3821" s="27" t="s">
        <v>13</v>
      </c>
    </row>
    <row r="3822" spans="1:9" x14ac:dyDescent="0.3">
      <c r="A3822" s="26">
        <v>45131</v>
      </c>
      <c r="B3822" s="27" t="s">
        <v>121</v>
      </c>
      <c r="C3822" s="27" t="s">
        <v>93</v>
      </c>
      <c r="D3822" s="27" t="s">
        <v>7</v>
      </c>
      <c r="E3822" s="28">
        <v>181200</v>
      </c>
      <c r="F3822" s="28">
        <v>137100</v>
      </c>
      <c r="G3822" s="27" t="s">
        <v>11</v>
      </c>
      <c r="H3822" s="27" t="s">
        <v>3606</v>
      </c>
      <c r="I3822" s="27" t="s">
        <v>9</v>
      </c>
    </row>
    <row r="3823" spans="1:9" x14ac:dyDescent="0.3">
      <c r="A3823" s="26">
        <v>45131</v>
      </c>
      <c r="B3823" s="27" t="s">
        <v>121</v>
      </c>
      <c r="C3823" s="27" t="s">
        <v>6</v>
      </c>
      <c r="D3823" s="27" t="s">
        <v>21</v>
      </c>
      <c r="E3823" s="28">
        <v>100000</v>
      </c>
      <c r="F3823" s="28">
        <v>110900</v>
      </c>
      <c r="G3823" s="27" t="s">
        <v>11</v>
      </c>
      <c r="H3823" s="27" t="s">
        <v>3839</v>
      </c>
      <c r="I3823" s="27" t="s">
        <v>9</v>
      </c>
    </row>
    <row r="3824" spans="1:9" x14ac:dyDescent="0.3">
      <c r="A3824" s="26">
        <v>45131</v>
      </c>
      <c r="B3824" s="27" t="s">
        <v>121</v>
      </c>
      <c r="C3824" s="27" t="s">
        <v>6</v>
      </c>
      <c r="D3824" s="27" t="s">
        <v>24</v>
      </c>
      <c r="E3824" s="28">
        <v>110300</v>
      </c>
      <c r="F3824" s="28">
        <v>103100</v>
      </c>
      <c r="G3824" s="27" t="s">
        <v>11</v>
      </c>
      <c r="H3824" s="27" t="s">
        <v>5654</v>
      </c>
      <c r="I3824" s="27" t="s">
        <v>9</v>
      </c>
    </row>
    <row r="3825" spans="1:9" x14ac:dyDescent="0.3">
      <c r="A3825" s="26">
        <v>45131</v>
      </c>
      <c r="B3825" s="27" t="s">
        <v>121</v>
      </c>
      <c r="C3825" s="27" t="s">
        <v>93</v>
      </c>
      <c r="D3825" s="27" t="s">
        <v>24</v>
      </c>
      <c r="E3825" s="28">
        <v>100700</v>
      </c>
      <c r="F3825" s="28">
        <v>99800</v>
      </c>
      <c r="G3825" s="27" t="s">
        <v>22</v>
      </c>
      <c r="H3825" s="27" t="s">
        <v>6105</v>
      </c>
      <c r="I3825" s="27" t="s">
        <v>9</v>
      </c>
    </row>
    <row r="3826" spans="1:9" x14ac:dyDescent="0.3">
      <c r="A3826" s="26">
        <v>45131</v>
      </c>
      <c r="B3826" s="27" t="s">
        <v>121</v>
      </c>
      <c r="C3826" s="27" t="s">
        <v>6</v>
      </c>
      <c r="D3826" s="27" t="s">
        <v>16</v>
      </c>
      <c r="E3826" s="28">
        <v>157500</v>
      </c>
      <c r="F3826" s="28">
        <v>181900</v>
      </c>
      <c r="G3826" s="27" t="s">
        <v>22</v>
      </c>
      <c r="H3826" s="27" t="s">
        <v>6254</v>
      </c>
      <c r="I3826" s="27" t="s">
        <v>9</v>
      </c>
    </row>
    <row r="3827" spans="1:9" x14ac:dyDescent="0.3">
      <c r="A3827" s="26">
        <v>45131</v>
      </c>
      <c r="B3827" s="27" t="s">
        <v>121</v>
      </c>
      <c r="C3827" s="27" t="s">
        <v>6</v>
      </c>
      <c r="D3827" s="27" t="s">
        <v>19</v>
      </c>
      <c r="E3827" s="28">
        <v>74300</v>
      </c>
      <c r="F3827" s="28">
        <v>78000</v>
      </c>
      <c r="G3827" s="27" t="s">
        <v>22</v>
      </c>
      <c r="H3827" s="27" t="s">
        <v>6810</v>
      </c>
      <c r="I3827" s="27" t="s">
        <v>9</v>
      </c>
    </row>
    <row r="3828" spans="1:9" x14ac:dyDescent="0.3">
      <c r="A3828" s="26">
        <v>45132</v>
      </c>
      <c r="B3828" s="27" t="s">
        <v>121</v>
      </c>
      <c r="C3828" s="27" t="s">
        <v>18</v>
      </c>
      <c r="D3828" s="27" t="s">
        <v>16</v>
      </c>
      <c r="E3828" s="28">
        <v>134463</v>
      </c>
      <c r="F3828" s="28">
        <v>121305</v>
      </c>
      <c r="G3828" s="27" t="s">
        <v>17</v>
      </c>
      <c r="H3828" s="27" t="s">
        <v>173</v>
      </c>
      <c r="I3828" s="27" t="s">
        <v>13</v>
      </c>
    </row>
    <row r="3829" spans="1:9" x14ac:dyDescent="0.3">
      <c r="A3829" s="26">
        <v>45132</v>
      </c>
      <c r="B3829" s="27" t="s">
        <v>121</v>
      </c>
      <c r="C3829" s="27" t="s">
        <v>10</v>
      </c>
      <c r="D3829" s="27" t="s">
        <v>24</v>
      </c>
      <c r="E3829" s="28">
        <v>126265</v>
      </c>
      <c r="F3829" s="28">
        <v>71826</v>
      </c>
      <c r="G3829" s="27" t="s">
        <v>11</v>
      </c>
      <c r="H3829" s="27" t="s">
        <v>378</v>
      </c>
      <c r="I3829" s="27" t="s">
        <v>13</v>
      </c>
    </row>
    <row r="3830" spans="1:9" x14ac:dyDescent="0.3">
      <c r="A3830" s="26">
        <v>45132</v>
      </c>
      <c r="B3830" s="27" t="s">
        <v>121</v>
      </c>
      <c r="C3830" s="27" t="s">
        <v>32</v>
      </c>
      <c r="D3830" s="27" t="s">
        <v>19</v>
      </c>
      <c r="E3830" s="28">
        <v>136023</v>
      </c>
      <c r="F3830" s="28">
        <v>158651</v>
      </c>
      <c r="G3830" s="27" t="s">
        <v>11</v>
      </c>
      <c r="H3830" s="27" t="s">
        <v>462</v>
      </c>
      <c r="I3830" s="27" t="s">
        <v>13</v>
      </c>
    </row>
    <row r="3831" spans="1:9" x14ac:dyDescent="0.3">
      <c r="A3831" s="26">
        <v>45132</v>
      </c>
      <c r="B3831" s="27" t="s">
        <v>121</v>
      </c>
      <c r="C3831" s="27" t="s">
        <v>10</v>
      </c>
      <c r="D3831" s="27" t="s">
        <v>16</v>
      </c>
      <c r="E3831" s="28">
        <v>18594</v>
      </c>
      <c r="F3831" s="28">
        <v>156217</v>
      </c>
      <c r="G3831" s="27" t="s">
        <v>11</v>
      </c>
      <c r="H3831" s="27" t="s">
        <v>557</v>
      </c>
      <c r="I3831" s="27" t="s">
        <v>13</v>
      </c>
    </row>
    <row r="3832" spans="1:9" x14ac:dyDescent="0.3">
      <c r="A3832" s="26">
        <v>45132</v>
      </c>
      <c r="B3832" s="27" t="s">
        <v>121</v>
      </c>
      <c r="C3832" s="27" t="s">
        <v>32</v>
      </c>
      <c r="D3832" s="27" t="s">
        <v>16</v>
      </c>
      <c r="E3832" s="28">
        <v>56543</v>
      </c>
      <c r="F3832" s="28">
        <v>164236</v>
      </c>
      <c r="G3832" s="27" t="s">
        <v>22</v>
      </c>
      <c r="H3832" s="27" t="s">
        <v>760</v>
      </c>
      <c r="I3832" s="27" t="s">
        <v>13</v>
      </c>
    </row>
    <row r="3833" spans="1:9" x14ac:dyDescent="0.3">
      <c r="A3833" s="26">
        <v>45132</v>
      </c>
      <c r="B3833" s="27" t="s">
        <v>121</v>
      </c>
      <c r="C3833" s="27" t="s">
        <v>18</v>
      </c>
      <c r="D3833" s="27" t="s">
        <v>16</v>
      </c>
      <c r="E3833" s="28">
        <v>78335</v>
      </c>
      <c r="F3833" s="28">
        <v>58472</v>
      </c>
      <c r="G3833" s="27" t="s">
        <v>17</v>
      </c>
      <c r="H3833" s="27" t="s">
        <v>879</v>
      </c>
      <c r="I3833" s="27" t="s">
        <v>13</v>
      </c>
    </row>
    <row r="3834" spans="1:9" x14ac:dyDescent="0.3">
      <c r="A3834" s="26">
        <v>45132</v>
      </c>
      <c r="B3834" s="27" t="s">
        <v>121</v>
      </c>
      <c r="C3834" s="27" t="s">
        <v>15</v>
      </c>
      <c r="D3834" s="27" t="s">
        <v>19</v>
      </c>
      <c r="E3834" s="28">
        <v>13243</v>
      </c>
      <c r="F3834" s="28">
        <v>71444</v>
      </c>
      <c r="G3834" s="27" t="s">
        <v>22</v>
      </c>
      <c r="H3834" s="27" t="s">
        <v>897</v>
      </c>
      <c r="I3834" s="27" t="s">
        <v>13</v>
      </c>
    </row>
    <row r="3835" spans="1:9" x14ac:dyDescent="0.3">
      <c r="A3835" s="26">
        <v>45132</v>
      </c>
      <c r="B3835" s="27" t="s">
        <v>121</v>
      </c>
      <c r="C3835" s="27" t="s">
        <v>20</v>
      </c>
      <c r="D3835" s="27" t="s">
        <v>19</v>
      </c>
      <c r="E3835" s="28">
        <v>84469</v>
      </c>
      <c r="F3835" s="28">
        <v>23773</v>
      </c>
      <c r="G3835" s="27" t="s">
        <v>8</v>
      </c>
      <c r="H3835" s="27" t="s">
        <v>936</v>
      </c>
      <c r="I3835" s="27" t="s">
        <v>13</v>
      </c>
    </row>
    <row r="3836" spans="1:9" x14ac:dyDescent="0.3">
      <c r="A3836" s="26">
        <v>45132</v>
      </c>
      <c r="B3836" s="27" t="s">
        <v>121</v>
      </c>
      <c r="C3836" s="27" t="s">
        <v>15</v>
      </c>
      <c r="D3836" s="27" t="s">
        <v>24</v>
      </c>
      <c r="E3836" s="28">
        <v>65828</v>
      </c>
      <c r="F3836" s="28">
        <v>119590</v>
      </c>
      <c r="G3836" s="27" t="s">
        <v>17</v>
      </c>
      <c r="H3836" s="27" t="s">
        <v>1003</v>
      </c>
      <c r="I3836" s="27" t="s">
        <v>13</v>
      </c>
    </row>
    <row r="3837" spans="1:9" x14ac:dyDescent="0.3">
      <c r="A3837" s="26">
        <v>45132</v>
      </c>
      <c r="B3837" s="27" t="s">
        <v>121</v>
      </c>
      <c r="C3837" s="27" t="s">
        <v>18</v>
      </c>
      <c r="D3837" s="27" t="s">
        <v>7</v>
      </c>
      <c r="E3837" s="28">
        <v>76278</v>
      </c>
      <c r="F3837" s="28">
        <v>83810</v>
      </c>
      <c r="G3837" s="27" t="s">
        <v>11</v>
      </c>
      <c r="H3837" s="27" t="s">
        <v>1357</v>
      </c>
      <c r="I3837" s="27" t="s">
        <v>13</v>
      </c>
    </row>
    <row r="3838" spans="1:9" x14ac:dyDescent="0.3">
      <c r="A3838" s="26">
        <v>45132</v>
      </c>
      <c r="B3838" s="27" t="s">
        <v>121</v>
      </c>
      <c r="C3838" s="27" t="s">
        <v>20</v>
      </c>
      <c r="D3838" s="27" t="s">
        <v>21</v>
      </c>
      <c r="E3838" s="28">
        <v>32562</v>
      </c>
      <c r="F3838" s="28">
        <v>72731</v>
      </c>
      <c r="G3838" s="27" t="s">
        <v>8</v>
      </c>
      <c r="H3838" s="27" t="s">
        <v>1392</v>
      </c>
      <c r="I3838" s="27" t="s">
        <v>13</v>
      </c>
    </row>
    <row r="3839" spans="1:9" x14ac:dyDescent="0.3">
      <c r="A3839" s="26">
        <v>45132</v>
      </c>
      <c r="B3839" s="27" t="s">
        <v>121</v>
      </c>
      <c r="C3839" s="27" t="s">
        <v>14</v>
      </c>
      <c r="D3839" s="27" t="s">
        <v>16</v>
      </c>
      <c r="E3839" s="28">
        <v>74156</v>
      </c>
      <c r="F3839" s="28">
        <v>37581</v>
      </c>
      <c r="G3839" s="27" t="s">
        <v>17</v>
      </c>
      <c r="H3839" s="27" t="s">
        <v>1578</v>
      </c>
      <c r="I3839" s="27" t="s">
        <v>13</v>
      </c>
    </row>
    <row r="3840" spans="1:9" x14ac:dyDescent="0.3">
      <c r="A3840" s="26">
        <v>45132</v>
      </c>
      <c r="B3840" s="27" t="s">
        <v>121</v>
      </c>
      <c r="C3840" s="27" t="s">
        <v>32</v>
      </c>
      <c r="D3840" s="27" t="s">
        <v>21</v>
      </c>
      <c r="E3840" s="28">
        <v>83334</v>
      </c>
      <c r="F3840" s="28">
        <v>55759</v>
      </c>
      <c r="G3840" s="27" t="s">
        <v>8</v>
      </c>
      <c r="H3840" s="27" t="s">
        <v>1907</v>
      </c>
      <c r="I3840" s="27" t="s">
        <v>13</v>
      </c>
    </row>
    <row r="3841" spans="1:9" x14ac:dyDescent="0.3">
      <c r="A3841" s="26">
        <v>45132</v>
      </c>
      <c r="B3841" s="27" t="s">
        <v>121</v>
      </c>
      <c r="C3841" s="27" t="s">
        <v>15</v>
      </c>
      <c r="D3841" s="27" t="s">
        <v>16</v>
      </c>
      <c r="E3841" s="28">
        <v>16243</v>
      </c>
      <c r="F3841" s="28">
        <v>100874</v>
      </c>
      <c r="G3841" s="27" t="s">
        <v>8</v>
      </c>
      <c r="H3841" s="27" t="s">
        <v>2296</v>
      </c>
      <c r="I3841" s="27" t="s">
        <v>13</v>
      </c>
    </row>
    <row r="3842" spans="1:9" x14ac:dyDescent="0.3">
      <c r="A3842" s="26">
        <v>45132</v>
      </c>
      <c r="B3842" s="27" t="s">
        <v>121</v>
      </c>
      <c r="C3842" s="27" t="s">
        <v>15</v>
      </c>
      <c r="D3842" s="27" t="s">
        <v>7</v>
      </c>
      <c r="E3842" s="28">
        <v>57986</v>
      </c>
      <c r="F3842" s="28">
        <v>95835</v>
      </c>
      <c r="G3842" s="27" t="s">
        <v>11</v>
      </c>
      <c r="H3842" s="27" t="s">
        <v>3085</v>
      </c>
      <c r="I3842" s="27" t="s">
        <v>13</v>
      </c>
    </row>
    <row r="3843" spans="1:9" x14ac:dyDescent="0.3">
      <c r="A3843" s="26">
        <v>45132</v>
      </c>
      <c r="B3843" s="27" t="s">
        <v>121</v>
      </c>
      <c r="C3843" s="27" t="s">
        <v>93</v>
      </c>
      <c r="D3843" s="27" t="s">
        <v>16</v>
      </c>
      <c r="E3843" s="28">
        <v>64000</v>
      </c>
      <c r="F3843" s="28">
        <v>55200</v>
      </c>
      <c r="G3843" s="27" t="s">
        <v>11</v>
      </c>
      <c r="H3843" s="27" t="s">
        <v>3554</v>
      </c>
      <c r="I3843" s="27" t="s">
        <v>9</v>
      </c>
    </row>
    <row r="3844" spans="1:9" x14ac:dyDescent="0.3">
      <c r="A3844" s="26">
        <v>45132</v>
      </c>
      <c r="B3844" s="27" t="s">
        <v>121</v>
      </c>
      <c r="C3844" s="27" t="s">
        <v>93</v>
      </c>
      <c r="D3844" s="27" t="s">
        <v>24</v>
      </c>
      <c r="E3844" s="28">
        <v>83700</v>
      </c>
      <c r="F3844" s="28">
        <v>103400</v>
      </c>
      <c r="G3844" s="27" t="s">
        <v>22</v>
      </c>
      <c r="H3844" s="27" t="s">
        <v>3759</v>
      </c>
      <c r="I3844" s="27" t="s">
        <v>9</v>
      </c>
    </row>
    <row r="3845" spans="1:9" x14ac:dyDescent="0.3">
      <c r="A3845" s="26">
        <v>45132</v>
      </c>
      <c r="B3845" s="27" t="s">
        <v>121</v>
      </c>
      <c r="C3845" s="27" t="s">
        <v>93</v>
      </c>
      <c r="D3845" s="27" t="s">
        <v>19</v>
      </c>
      <c r="E3845" s="28">
        <v>97200</v>
      </c>
      <c r="F3845" s="28">
        <v>76200</v>
      </c>
      <c r="G3845" s="27" t="s">
        <v>11</v>
      </c>
      <c r="H3845" s="27" t="s">
        <v>3843</v>
      </c>
      <c r="I3845" s="27" t="s">
        <v>9</v>
      </c>
    </row>
    <row r="3846" spans="1:9" x14ac:dyDescent="0.3">
      <c r="A3846" s="26">
        <v>45132</v>
      </c>
      <c r="B3846" s="27" t="s">
        <v>121</v>
      </c>
      <c r="C3846" s="27" t="s">
        <v>6</v>
      </c>
      <c r="D3846" s="27" t="s">
        <v>16</v>
      </c>
      <c r="E3846" s="28">
        <v>132900</v>
      </c>
      <c r="F3846" s="28">
        <v>126900</v>
      </c>
      <c r="G3846" s="27" t="s">
        <v>22</v>
      </c>
      <c r="H3846" s="27" t="s">
        <v>3938</v>
      </c>
      <c r="I3846" s="27" t="s">
        <v>9</v>
      </c>
    </row>
    <row r="3847" spans="1:9" x14ac:dyDescent="0.3">
      <c r="A3847" s="26">
        <v>45132</v>
      </c>
      <c r="B3847" s="27" t="s">
        <v>121</v>
      </c>
      <c r="C3847" s="27" t="s">
        <v>6</v>
      </c>
      <c r="D3847" s="27" t="s">
        <v>16</v>
      </c>
      <c r="E3847" s="28">
        <v>80300</v>
      </c>
      <c r="F3847" s="28">
        <v>92800</v>
      </c>
      <c r="G3847" s="27" t="s">
        <v>22</v>
      </c>
      <c r="H3847" s="27" t="s">
        <v>4141</v>
      </c>
      <c r="I3847" s="27" t="s">
        <v>9</v>
      </c>
    </row>
    <row r="3848" spans="1:9" x14ac:dyDescent="0.3">
      <c r="A3848" s="26">
        <v>45132</v>
      </c>
      <c r="B3848" s="27" t="s">
        <v>121</v>
      </c>
      <c r="C3848" s="27" t="s">
        <v>6</v>
      </c>
      <c r="D3848" s="27" t="s">
        <v>16</v>
      </c>
      <c r="E3848" s="28">
        <v>178600</v>
      </c>
      <c r="F3848" s="28">
        <v>154600</v>
      </c>
      <c r="G3848" s="27" t="s">
        <v>11</v>
      </c>
      <c r="H3848" s="27" t="s">
        <v>4260</v>
      </c>
      <c r="I3848" s="27" t="s">
        <v>9</v>
      </c>
    </row>
    <row r="3849" spans="1:9" x14ac:dyDescent="0.3">
      <c r="A3849" s="26">
        <v>45132</v>
      </c>
      <c r="B3849" s="27" t="s">
        <v>121</v>
      </c>
      <c r="C3849" s="27" t="s">
        <v>6</v>
      </c>
      <c r="D3849" s="27" t="s">
        <v>19</v>
      </c>
      <c r="E3849" s="28">
        <v>194200</v>
      </c>
      <c r="F3849" s="28">
        <v>193700</v>
      </c>
      <c r="G3849" s="27" t="s">
        <v>11</v>
      </c>
      <c r="H3849" s="27" t="s">
        <v>4278</v>
      </c>
      <c r="I3849" s="27" t="s">
        <v>9</v>
      </c>
    </row>
    <row r="3850" spans="1:9" x14ac:dyDescent="0.3">
      <c r="A3850" s="26">
        <v>45132</v>
      </c>
      <c r="B3850" s="27" t="s">
        <v>121</v>
      </c>
      <c r="C3850" s="27" t="s">
        <v>93</v>
      </c>
      <c r="D3850" s="27" t="s">
        <v>19</v>
      </c>
      <c r="E3850" s="28">
        <v>139800</v>
      </c>
      <c r="F3850" s="28">
        <v>103100</v>
      </c>
      <c r="G3850" s="27" t="s">
        <v>11</v>
      </c>
      <c r="H3850" s="27" t="s">
        <v>4317</v>
      </c>
      <c r="I3850" s="27" t="s">
        <v>9</v>
      </c>
    </row>
    <row r="3851" spans="1:9" x14ac:dyDescent="0.3">
      <c r="A3851" s="26">
        <v>45132</v>
      </c>
      <c r="B3851" s="27" t="s">
        <v>121</v>
      </c>
      <c r="C3851" s="27" t="s">
        <v>6</v>
      </c>
      <c r="D3851" s="27" t="s">
        <v>24</v>
      </c>
      <c r="E3851" s="28">
        <v>152400</v>
      </c>
      <c r="F3851" s="28">
        <v>213200</v>
      </c>
      <c r="G3851" s="27" t="s">
        <v>11</v>
      </c>
      <c r="H3851" s="27" t="s">
        <v>4384</v>
      </c>
      <c r="I3851" s="27" t="s">
        <v>9</v>
      </c>
    </row>
    <row r="3852" spans="1:9" x14ac:dyDescent="0.3">
      <c r="A3852" s="26">
        <v>45132</v>
      </c>
      <c r="B3852" s="27" t="s">
        <v>121</v>
      </c>
      <c r="C3852" s="27" t="s">
        <v>6</v>
      </c>
      <c r="D3852" s="27" t="s">
        <v>7</v>
      </c>
      <c r="E3852" s="28">
        <v>39600</v>
      </c>
      <c r="F3852" s="28">
        <v>36000</v>
      </c>
      <c r="G3852" s="27" t="s">
        <v>11</v>
      </c>
      <c r="H3852" s="27" t="s">
        <v>4740</v>
      </c>
      <c r="I3852" s="27" t="s">
        <v>9</v>
      </c>
    </row>
    <row r="3853" spans="1:9" x14ac:dyDescent="0.3">
      <c r="A3853" s="26">
        <v>45132</v>
      </c>
      <c r="B3853" s="27" t="s">
        <v>121</v>
      </c>
      <c r="C3853" s="27" t="s">
        <v>6</v>
      </c>
      <c r="D3853" s="27" t="s">
        <v>21</v>
      </c>
      <c r="E3853" s="28">
        <v>108300</v>
      </c>
      <c r="F3853" s="28">
        <v>127500</v>
      </c>
      <c r="G3853" s="27" t="s">
        <v>11</v>
      </c>
      <c r="H3853" s="27" t="s">
        <v>4775</v>
      </c>
      <c r="I3853" s="27" t="s">
        <v>9</v>
      </c>
    </row>
    <row r="3854" spans="1:9" x14ac:dyDescent="0.3">
      <c r="A3854" s="26">
        <v>45132</v>
      </c>
      <c r="B3854" s="27" t="s">
        <v>121</v>
      </c>
      <c r="C3854" s="27" t="s">
        <v>93</v>
      </c>
      <c r="D3854" s="27" t="s">
        <v>16</v>
      </c>
      <c r="E3854" s="28">
        <v>81600</v>
      </c>
      <c r="F3854" s="28">
        <v>89900</v>
      </c>
      <c r="G3854" s="27" t="s">
        <v>22</v>
      </c>
      <c r="H3854" s="27" t="s">
        <v>4961</v>
      </c>
      <c r="I3854" s="27" t="s">
        <v>9</v>
      </c>
    </row>
    <row r="3855" spans="1:9" x14ac:dyDescent="0.3">
      <c r="A3855" s="26">
        <v>45132</v>
      </c>
      <c r="B3855" s="27" t="s">
        <v>121</v>
      </c>
      <c r="C3855" s="27" t="s">
        <v>6</v>
      </c>
      <c r="D3855" s="27" t="s">
        <v>21</v>
      </c>
      <c r="E3855" s="28">
        <v>91900</v>
      </c>
      <c r="F3855" s="28">
        <v>99100</v>
      </c>
      <c r="G3855" s="27" t="s">
        <v>17</v>
      </c>
      <c r="H3855" s="27" t="s">
        <v>5291</v>
      </c>
      <c r="I3855" s="27" t="s">
        <v>9</v>
      </c>
    </row>
    <row r="3856" spans="1:9" x14ac:dyDescent="0.3">
      <c r="A3856" s="26">
        <v>45132</v>
      </c>
      <c r="B3856" s="27" t="s">
        <v>121</v>
      </c>
      <c r="C3856" s="27" t="s">
        <v>6</v>
      </c>
      <c r="D3856" s="27" t="s">
        <v>16</v>
      </c>
      <c r="E3856" s="28">
        <v>193100</v>
      </c>
      <c r="F3856" s="28">
        <v>202700</v>
      </c>
      <c r="G3856" s="27" t="s">
        <v>22</v>
      </c>
      <c r="H3856" s="27" t="s">
        <v>5681</v>
      </c>
      <c r="I3856" s="27" t="s">
        <v>9</v>
      </c>
    </row>
    <row r="3857" spans="1:9" x14ac:dyDescent="0.3">
      <c r="A3857" s="26">
        <v>45132</v>
      </c>
      <c r="B3857" s="27" t="s">
        <v>121</v>
      </c>
      <c r="C3857" s="27" t="s">
        <v>6</v>
      </c>
      <c r="D3857" s="27" t="s">
        <v>7</v>
      </c>
      <c r="E3857" s="28">
        <v>143600</v>
      </c>
      <c r="F3857" s="28">
        <v>175000</v>
      </c>
      <c r="G3857" s="27" t="s">
        <v>22</v>
      </c>
      <c r="H3857" s="27" t="s">
        <v>6470</v>
      </c>
      <c r="I3857" s="27" t="s">
        <v>9</v>
      </c>
    </row>
    <row r="3858" spans="1:9" x14ac:dyDescent="0.3">
      <c r="A3858" s="26">
        <v>45133</v>
      </c>
      <c r="B3858" s="27" t="s">
        <v>121</v>
      </c>
      <c r="C3858" s="27" t="s">
        <v>14</v>
      </c>
      <c r="D3858" s="27" t="s">
        <v>24</v>
      </c>
      <c r="E3858" s="28">
        <v>27619</v>
      </c>
      <c r="F3858" s="28">
        <v>137149</v>
      </c>
      <c r="G3858" s="27" t="s">
        <v>22</v>
      </c>
      <c r="H3858" s="27" t="s">
        <v>380</v>
      </c>
      <c r="I3858" s="27" t="s">
        <v>13</v>
      </c>
    </row>
    <row r="3859" spans="1:9" x14ac:dyDescent="0.3">
      <c r="A3859" s="26">
        <v>45133</v>
      </c>
      <c r="B3859" s="27" t="s">
        <v>121</v>
      </c>
      <c r="C3859" s="27" t="s">
        <v>14</v>
      </c>
      <c r="D3859" s="27" t="s">
        <v>7</v>
      </c>
      <c r="E3859" s="28">
        <v>18087</v>
      </c>
      <c r="F3859" s="28">
        <v>73344</v>
      </c>
      <c r="G3859" s="27" t="s">
        <v>22</v>
      </c>
      <c r="H3859" s="27" t="s">
        <v>485</v>
      </c>
      <c r="I3859" s="27" t="s">
        <v>13</v>
      </c>
    </row>
    <row r="3860" spans="1:9" x14ac:dyDescent="0.3">
      <c r="A3860" s="26">
        <v>45133</v>
      </c>
      <c r="B3860" s="27" t="s">
        <v>121</v>
      </c>
      <c r="C3860" s="27" t="s">
        <v>15</v>
      </c>
      <c r="D3860" s="27" t="s">
        <v>7</v>
      </c>
      <c r="E3860" s="28">
        <v>126539</v>
      </c>
      <c r="F3860" s="28">
        <v>129250</v>
      </c>
      <c r="G3860" s="27" t="s">
        <v>17</v>
      </c>
      <c r="H3860" s="27" t="s">
        <v>776</v>
      </c>
      <c r="I3860" s="27" t="s">
        <v>13</v>
      </c>
    </row>
    <row r="3861" spans="1:9" x14ac:dyDescent="0.3">
      <c r="A3861" s="26">
        <v>45133</v>
      </c>
      <c r="B3861" s="27" t="s">
        <v>121</v>
      </c>
      <c r="C3861" s="27" t="s">
        <v>20</v>
      </c>
      <c r="D3861" s="27" t="s">
        <v>19</v>
      </c>
      <c r="E3861" s="28">
        <v>75587</v>
      </c>
      <c r="F3861" s="28">
        <v>82233</v>
      </c>
      <c r="G3861" s="27" t="s">
        <v>11</v>
      </c>
      <c r="H3861" s="27" t="s">
        <v>1640</v>
      </c>
      <c r="I3861" s="27" t="s">
        <v>13</v>
      </c>
    </row>
    <row r="3862" spans="1:9" x14ac:dyDescent="0.3">
      <c r="A3862" s="26">
        <v>45133</v>
      </c>
      <c r="B3862" s="27" t="s">
        <v>121</v>
      </c>
      <c r="C3862" s="27" t="s">
        <v>32</v>
      </c>
      <c r="D3862" s="27" t="s">
        <v>19</v>
      </c>
      <c r="E3862" s="28">
        <v>56403</v>
      </c>
      <c r="F3862" s="28">
        <v>104116</v>
      </c>
      <c r="G3862" s="27" t="s">
        <v>22</v>
      </c>
      <c r="H3862" s="27" t="s">
        <v>1674</v>
      </c>
      <c r="I3862" s="27" t="s">
        <v>13</v>
      </c>
    </row>
    <row r="3863" spans="1:9" x14ac:dyDescent="0.3">
      <c r="A3863" s="26">
        <v>45133</v>
      </c>
      <c r="B3863" s="27" t="s">
        <v>121</v>
      </c>
      <c r="C3863" s="27" t="s">
        <v>18</v>
      </c>
      <c r="D3863" s="27" t="s">
        <v>7</v>
      </c>
      <c r="E3863" s="28">
        <v>100358</v>
      </c>
      <c r="F3863" s="28">
        <v>134229</v>
      </c>
      <c r="G3863" s="27" t="s">
        <v>22</v>
      </c>
      <c r="H3863" s="27" t="s">
        <v>3058</v>
      </c>
      <c r="I3863" s="27" t="s">
        <v>13</v>
      </c>
    </row>
    <row r="3864" spans="1:9" x14ac:dyDescent="0.3">
      <c r="A3864" s="26">
        <v>45133</v>
      </c>
      <c r="B3864" s="27" t="s">
        <v>121</v>
      </c>
      <c r="C3864" s="27" t="s">
        <v>15</v>
      </c>
      <c r="D3864" s="27" t="s">
        <v>24</v>
      </c>
      <c r="E3864" s="28">
        <v>69924</v>
      </c>
      <c r="F3864" s="28">
        <v>134821</v>
      </c>
      <c r="G3864" s="27" t="s">
        <v>8</v>
      </c>
      <c r="H3864" s="27" t="s">
        <v>3082</v>
      </c>
      <c r="I3864" s="27" t="s">
        <v>13</v>
      </c>
    </row>
    <row r="3865" spans="1:9" x14ac:dyDescent="0.3">
      <c r="A3865" s="26">
        <v>45133</v>
      </c>
      <c r="B3865" s="27" t="s">
        <v>121</v>
      </c>
      <c r="C3865" s="27" t="s">
        <v>6</v>
      </c>
      <c r="D3865" s="27" t="s">
        <v>24</v>
      </c>
      <c r="E3865" s="28">
        <v>63800</v>
      </c>
      <c r="F3865" s="28">
        <v>72900</v>
      </c>
      <c r="G3865" s="27" t="s">
        <v>22</v>
      </c>
      <c r="H3865" s="27" t="s">
        <v>3761</v>
      </c>
      <c r="I3865" s="27" t="s">
        <v>9</v>
      </c>
    </row>
    <row r="3866" spans="1:9" x14ac:dyDescent="0.3">
      <c r="A3866" s="26">
        <v>45133</v>
      </c>
      <c r="B3866" s="27" t="s">
        <v>121</v>
      </c>
      <c r="C3866" s="27" t="s">
        <v>93</v>
      </c>
      <c r="D3866" s="27" t="s">
        <v>7</v>
      </c>
      <c r="E3866" s="28">
        <v>69100</v>
      </c>
      <c r="F3866" s="28">
        <v>82900</v>
      </c>
      <c r="G3866" s="27" t="s">
        <v>22</v>
      </c>
      <c r="H3866" s="27" t="s">
        <v>3866</v>
      </c>
      <c r="I3866" s="27" t="s">
        <v>9</v>
      </c>
    </row>
    <row r="3867" spans="1:9" x14ac:dyDescent="0.3">
      <c r="A3867" s="26">
        <v>45133</v>
      </c>
      <c r="B3867" s="27" t="s">
        <v>121</v>
      </c>
      <c r="C3867" s="27" t="s">
        <v>93</v>
      </c>
      <c r="D3867" s="27" t="s">
        <v>7</v>
      </c>
      <c r="E3867" s="28">
        <v>152600</v>
      </c>
      <c r="F3867" s="28">
        <v>172300</v>
      </c>
      <c r="G3867" s="27" t="s">
        <v>11</v>
      </c>
      <c r="H3867" s="27" t="s">
        <v>4157</v>
      </c>
      <c r="I3867" s="27" t="s">
        <v>9</v>
      </c>
    </row>
    <row r="3868" spans="1:9" x14ac:dyDescent="0.3">
      <c r="A3868" s="26">
        <v>45133</v>
      </c>
      <c r="B3868" s="27" t="s">
        <v>121</v>
      </c>
      <c r="C3868" s="27" t="s">
        <v>93</v>
      </c>
      <c r="D3868" s="27" t="s">
        <v>19</v>
      </c>
      <c r="E3868" s="28">
        <v>145600</v>
      </c>
      <c r="F3868" s="28">
        <v>129400</v>
      </c>
      <c r="G3868" s="27" t="s">
        <v>11</v>
      </c>
      <c r="H3868" s="27" t="s">
        <v>5023</v>
      </c>
      <c r="I3868" s="27" t="s">
        <v>9</v>
      </c>
    </row>
    <row r="3869" spans="1:9" x14ac:dyDescent="0.3">
      <c r="A3869" s="26">
        <v>45133</v>
      </c>
      <c r="B3869" s="27" t="s">
        <v>121</v>
      </c>
      <c r="C3869" s="27" t="s">
        <v>93</v>
      </c>
      <c r="D3869" s="27" t="s">
        <v>19</v>
      </c>
      <c r="E3869" s="28">
        <v>146500</v>
      </c>
      <c r="F3869" s="28">
        <v>161600</v>
      </c>
      <c r="G3869" s="27" t="s">
        <v>11</v>
      </c>
      <c r="H3869" s="27" t="s">
        <v>5057</v>
      </c>
      <c r="I3869" s="27" t="s">
        <v>9</v>
      </c>
    </row>
    <row r="3870" spans="1:9" x14ac:dyDescent="0.3">
      <c r="A3870" s="26">
        <v>45133</v>
      </c>
      <c r="B3870" s="27" t="s">
        <v>121</v>
      </c>
      <c r="C3870" s="27" t="s">
        <v>6</v>
      </c>
      <c r="D3870" s="27" t="s">
        <v>7</v>
      </c>
      <c r="E3870" s="28">
        <v>159600</v>
      </c>
      <c r="F3870" s="28">
        <v>185400</v>
      </c>
      <c r="G3870" s="27" t="s">
        <v>11</v>
      </c>
      <c r="H3870" s="27" t="s">
        <v>6443</v>
      </c>
      <c r="I3870" s="27" t="s">
        <v>9</v>
      </c>
    </row>
    <row r="3871" spans="1:9" x14ac:dyDescent="0.3">
      <c r="A3871" s="26">
        <v>45133</v>
      </c>
      <c r="B3871" s="27" t="s">
        <v>121</v>
      </c>
      <c r="C3871" s="27" t="s">
        <v>93</v>
      </c>
      <c r="D3871" s="27" t="s">
        <v>24</v>
      </c>
      <c r="E3871" s="28">
        <v>82800</v>
      </c>
      <c r="F3871" s="28">
        <v>84200</v>
      </c>
      <c r="G3871" s="27" t="s">
        <v>17</v>
      </c>
      <c r="H3871" s="27" t="s">
        <v>6467</v>
      </c>
      <c r="I3871" s="27" t="s">
        <v>9</v>
      </c>
    </row>
    <row r="3872" spans="1:9" x14ac:dyDescent="0.3">
      <c r="A3872" s="26">
        <v>45134</v>
      </c>
      <c r="B3872" s="27" t="s">
        <v>121</v>
      </c>
      <c r="C3872" s="27" t="s">
        <v>10</v>
      </c>
      <c r="D3872" s="27" t="s">
        <v>16</v>
      </c>
      <c r="E3872" s="28">
        <v>56264</v>
      </c>
      <c r="F3872" s="28">
        <v>26276</v>
      </c>
      <c r="G3872" s="27" t="s">
        <v>17</v>
      </c>
      <c r="H3872" s="27" t="s">
        <v>1120</v>
      </c>
      <c r="I3872" s="27" t="s">
        <v>13</v>
      </c>
    </row>
    <row r="3873" spans="1:9" x14ac:dyDescent="0.3">
      <c r="A3873" s="26">
        <v>45134</v>
      </c>
      <c r="B3873" s="27" t="s">
        <v>121</v>
      </c>
      <c r="C3873" s="27" t="s">
        <v>32</v>
      </c>
      <c r="D3873" s="27" t="s">
        <v>7</v>
      </c>
      <c r="E3873" s="28">
        <v>132099</v>
      </c>
      <c r="F3873" s="28">
        <v>141820</v>
      </c>
      <c r="G3873" s="27" t="s">
        <v>11</v>
      </c>
      <c r="H3873" s="27" t="s">
        <v>1222</v>
      </c>
      <c r="I3873" s="27" t="s">
        <v>13</v>
      </c>
    </row>
    <row r="3874" spans="1:9" x14ac:dyDescent="0.3">
      <c r="A3874" s="26">
        <v>45134</v>
      </c>
      <c r="B3874" s="27" t="s">
        <v>121</v>
      </c>
      <c r="C3874" s="27" t="s">
        <v>10</v>
      </c>
      <c r="D3874" s="27" t="s">
        <v>7</v>
      </c>
      <c r="E3874" s="28">
        <v>127553</v>
      </c>
      <c r="F3874" s="28">
        <v>76640</v>
      </c>
      <c r="G3874" s="27" t="s">
        <v>11</v>
      </c>
      <c r="H3874" s="27" t="s">
        <v>1262</v>
      </c>
      <c r="I3874" s="27" t="s">
        <v>13</v>
      </c>
    </row>
    <row r="3875" spans="1:9" x14ac:dyDescent="0.3">
      <c r="A3875" s="26">
        <v>45134</v>
      </c>
      <c r="B3875" s="27" t="s">
        <v>121</v>
      </c>
      <c r="C3875" s="27" t="s">
        <v>10</v>
      </c>
      <c r="D3875" s="27" t="s">
        <v>21</v>
      </c>
      <c r="E3875" s="28">
        <v>91718</v>
      </c>
      <c r="F3875" s="28">
        <v>58201</v>
      </c>
      <c r="G3875" s="27" t="s">
        <v>22</v>
      </c>
      <c r="H3875" s="27" t="s">
        <v>1380</v>
      </c>
      <c r="I3875" s="27" t="s">
        <v>13</v>
      </c>
    </row>
    <row r="3876" spans="1:9" x14ac:dyDescent="0.3">
      <c r="A3876" s="26">
        <v>45134</v>
      </c>
      <c r="B3876" s="27" t="s">
        <v>121</v>
      </c>
      <c r="C3876" s="27" t="s">
        <v>14</v>
      </c>
      <c r="D3876" s="27" t="s">
        <v>21</v>
      </c>
      <c r="E3876" s="28">
        <v>50033</v>
      </c>
      <c r="F3876" s="28">
        <v>26935</v>
      </c>
      <c r="G3876" s="27" t="s">
        <v>11</v>
      </c>
      <c r="H3876" s="27" t="s">
        <v>1695</v>
      </c>
      <c r="I3876" s="27" t="s">
        <v>13</v>
      </c>
    </row>
    <row r="3877" spans="1:9" x14ac:dyDescent="0.3">
      <c r="A3877" s="26">
        <v>45134</v>
      </c>
      <c r="B3877" s="27" t="s">
        <v>121</v>
      </c>
      <c r="C3877" s="27" t="s">
        <v>10</v>
      </c>
      <c r="D3877" s="27" t="s">
        <v>24</v>
      </c>
      <c r="E3877" s="28">
        <v>125513</v>
      </c>
      <c r="F3877" s="28">
        <v>121646</v>
      </c>
      <c r="G3877" s="27" t="s">
        <v>11</v>
      </c>
      <c r="H3877" s="27" t="s">
        <v>1856</v>
      </c>
      <c r="I3877" s="27" t="s">
        <v>13</v>
      </c>
    </row>
    <row r="3878" spans="1:9" x14ac:dyDescent="0.3">
      <c r="A3878" s="26">
        <v>45134</v>
      </c>
      <c r="B3878" s="27" t="s">
        <v>121</v>
      </c>
      <c r="C3878" s="27" t="s">
        <v>14</v>
      </c>
      <c r="D3878" s="27" t="s">
        <v>7</v>
      </c>
      <c r="E3878" s="28">
        <v>63797</v>
      </c>
      <c r="F3878" s="28">
        <v>88894</v>
      </c>
      <c r="G3878" s="27" t="s">
        <v>22</v>
      </c>
      <c r="H3878" s="27" t="s">
        <v>2679</v>
      </c>
      <c r="I3878" s="27" t="s">
        <v>13</v>
      </c>
    </row>
    <row r="3879" spans="1:9" x14ac:dyDescent="0.3">
      <c r="A3879" s="26">
        <v>45134</v>
      </c>
      <c r="B3879" s="27" t="s">
        <v>121</v>
      </c>
      <c r="C3879" s="27" t="s">
        <v>20</v>
      </c>
      <c r="D3879" s="27" t="s">
        <v>21</v>
      </c>
      <c r="E3879" s="28">
        <v>63192</v>
      </c>
      <c r="F3879" s="28">
        <v>105964</v>
      </c>
      <c r="G3879" s="27" t="s">
        <v>11</v>
      </c>
      <c r="H3879" s="27" t="s">
        <v>3345</v>
      </c>
      <c r="I3879" s="27" t="s">
        <v>13</v>
      </c>
    </row>
    <row r="3880" spans="1:9" x14ac:dyDescent="0.3">
      <c r="A3880" s="26">
        <v>45134</v>
      </c>
      <c r="B3880" s="27" t="s">
        <v>121</v>
      </c>
      <c r="C3880" s="27" t="s">
        <v>6</v>
      </c>
      <c r="D3880" s="27" t="s">
        <v>16</v>
      </c>
      <c r="E3880" s="28">
        <v>177700</v>
      </c>
      <c r="F3880" s="28">
        <v>153300</v>
      </c>
      <c r="G3880" s="27" t="s">
        <v>22</v>
      </c>
      <c r="H3880" s="27" t="s">
        <v>4503</v>
      </c>
      <c r="I3880" s="27" t="s">
        <v>9</v>
      </c>
    </row>
    <row r="3881" spans="1:9" x14ac:dyDescent="0.3">
      <c r="A3881" s="26">
        <v>45134</v>
      </c>
      <c r="B3881" s="27" t="s">
        <v>121</v>
      </c>
      <c r="C3881" s="27" t="s">
        <v>93</v>
      </c>
      <c r="D3881" s="27" t="s">
        <v>7</v>
      </c>
      <c r="E3881" s="28">
        <v>110600</v>
      </c>
      <c r="F3881" s="28">
        <v>98300</v>
      </c>
      <c r="G3881" s="27" t="s">
        <v>22</v>
      </c>
      <c r="H3881" s="27" t="s">
        <v>4605</v>
      </c>
      <c r="I3881" s="27" t="s">
        <v>9</v>
      </c>
    </row>
    <row r="3882" spans="1:9" x14ac:dyDescent="0.3">
      <c r="A3882" s="26">
        <v>45134</v>
      </c>
      <c r="B3882" s="27" t="s">
        <v>121</v>
      </c>
      <c r="C3882" s="27" t="s">
        <v>93</v>
      </c>
      <c r="D3882" s="27" t="s">
        <v>7</v>
      </c>
      <c r="E3882" s="28">
        <v>88300</v>
      </c>
      <c r="F3882" s="28">
        <v>77100</v>
      </c>
      <c r="G3882" s="27" t="s">
        <v>11</v>
      </c>
      <c r="H3882" s="27" t="s">
        <v>4645</v>
      </c>
      <c r="I3882" s="27" t="s">
        <v>9</v>
      </c>
    </row>
    <row r="3883" spans="1:9" x14ac:dyDescent="0.3">
      <c r="A3883" s="26">
        <v>45134</v>
      </c>
      <c r="B3883" s="27" t="s">
        <v>121</v>
      </c>
      <c r="C3883" s="27" t="s">
        <v>6</v>
      </c>
      <c r="D3883" s="27" t="s">
        <v>21</v>
      </c>
      <c r="E3883" s="28">
        <v>167700</v>
      </c>
      <c r="F3883" s="28">
        <v>125300</v>
      </c>
      <c r="G3883" s="27" t="s">
        <v>11</v>
      </c>
      <c r="H3883" s="27" t="s">
        <v>4763</v>
      </c>
      <c r="I3883" s="27" t="s">
        <v>9</v>
      </c>
    </row>
    <row r="3884" spans="1:9" x14ac:dyDescent="0.3">
      <c r="A3884" s="26">
        <v>45134</v>
      </c>
      <c r="B3884" s="27" t="s">
        <v>121</v>
      </c>
      <c r="C3884" s="27" t="s">
        <v>93</v>
      </c>
      <c r="D3884" s="27" t="s">
        <v>21</v>
      </c>
      <c r="E3884" s="28">
        <v>71300</v>
      </c>
      <c r="F3884" s="28">
        <v>83400</v>
      </c>
      <c r="G3884" s="27" t="s">
        <v>11</v>
      </c>
      <c r="H3884" s="27" t="s">
        <v>5078</v>
      </c>
      <c r="I3884" s="27" t="s">
        <v>9</v>
      </c>
    </row>
    <row r="3885" spans="1:9" x14ac:dyDescent="0.3">
      <c r="A3885" s="26">
        <v>45134</v>
      </c>
      <c r="B3885" s="27" t="s">
        <v>121</v>
      </c>
      <c r="C3885" s="27" t="s">
        <v>93</v>
      </c>
      <c r="D3885" s="27" t="s">
        <v>24</v>
      </c>
      <c r="E3885" s="28">
        <v>110800</v>
      </c>
      <c r="F3885" s="28">
        <v>114200</v>
      </c>
      <c r="G3885" s="27" t="s">
        <v>11</v>
      </c>
      <c r="H3885" s="27" t="s">
        <v>5240</v>
      </c>
      <c r="I3885" s="27" t="s">
        <v>9</v>
      </c>
    </row>
    <row r="3886" spans="1:9" x14ac:dyDescent="0.3">
      <c r="A3886" s="26">
        <v>45134</v>
      </c>
      <c r="B3886" s="27" t="s">
        <v>121</v>
      </c>
      <c r="C3886" s="27" t="s">
        <v>6</v>
      </c>
      <c r="D3886" s="27" t="s">
        <v>7</v>
      </c>
      <c r="E3886" s="28">
        <v>45400</v>
      </c>
      <c r="F3886" s="28">
        <v>41300</v>
      </c>
      <c r="G3886" s="27" t="s">
        <v>17</v>
      </c>
      <c r="H3886" s="27" t="s">
        <v>6064</v>
      </c>
      <c r="I3886" s="27" t="s">
        <v>9</v>
      </c>
    </row>
    <row r="3887" spans="1:9" x14ac:dyDescent="0.3">
      <c r="A3887" s="26">
        <v>45134</v>
      </c>
      <c r="B3887" s="27" t="s">
        <v>121</v>
      </c>
      <c r="C3887" s="27" t="s">
        <v>93</v>
      </c>
      <c r="D3887" s="27" t="s">
        <v>21</v>
      </c>
      <c r="E3887" s="28">
        <v>91300</v>
      </c>
      <c r="F3887" s="28">
        <v>108600</v>
      </c>
      <c r="G3887" s="27" t="s">
        <v>11</v>
      </c>
      <c r="H3887" s="27" t="s">
        <v>6730</v>
      </c>
      <c r="I3887" s="27" t="s">
        <v>9</v>
      </c>
    </row>
    <row r="3888" spans="1:9" x14ac:dyDescent="0.3">
      <c r="A3888" s="26">
        <v>45135</v>
      </c>
      <c r="B3888" s="27" t="s">
        <v>121</v>
      </c>
      <c r="C3888" s="27" t="s">
        <v>20</v>
      </c>
      <c r="D3888" s="27" t="s">
        <v>21</v>
      </c>
      <c r="E3888" s="28">
        <v>143539</v>
      </c>
      <c r="F3888" s="28">
        <v>163360</v>
      </c>
      <c r="G3888" s="27" t="s">
        <v>8</v>
      </c>
      <c r="H3888" s="27" t="s">
        <v>381</v>
      </c>
      <c r="I3888" s="27" t="s">
        <v>13</v>
      </c>
    </row>
    <row r="3889" spans="1:9" x14ac:dyDescent="0.3">
      <c r="A3889" s="26">
        <v>45135</v>
      </c>
      <c r="B3889" s="27" t="s">
        <v>121</v>
      </c>
      <c r="C3889" s="27" t="s">
        <v>15</v>
      </c>
      <c r="D3889" s="27" t="s">
        <v>24</v>
      </c>
      <c r="E3889" s="28">
        <v>46395</v>
      </c>
      <c r="F3889" s="28">
        <v>118131</v>
      </c>
      <c r="G3889" s="27" t="s">
        <v>17</v>
      </c>
      <c r="H3889" s="27" t="s">
        <v>444</v>
      </c>
      <c r="I3889" s="27" t="s">
        <v>13</v>
      </c>
    </row>
    <row r="3890" spans="1:9" x14ac:dyDescent="0.3">
      <c r="A3890" s="26">
        <v>45135</v>
      </c>
      <c r="B3890" s="27" t="s">
        <v>121</v>
      </c>
      <c r="C3890" s="27" t="s">
        <v>18</v>
      </c>
      <c r="D3890" s="27" t="s">
        <v>7</v>
      </c>
      <c r="E3890" s="28">
        <v>95105</v>
      </c>
      <c r="F3890" s="28">
        <v>113442</v>
      </c>
      <c r="G3890" s="27" t="s">
        <v>8</v>
      </c>
      <c r="H3890" s="27" t="s">
        <v>479</v>
      </c>
      <c r="I3890" s="27" t="s">
        <v>13</v>
      </c>
    </row>
    <row r="3891" spans="1:9" x14ac:dyDescent="0.3">
      <c r="A3891" s="26">
        <v>45135</v>
      </c>
      <c r="B3891" s="27" t="s">
        <v>121</v>
      </c>
      <c r="C3891" s="27" t="s">
        <v>32</v>
      </c>
      <c r="D3891" s="27" t="s">
        <v>24</v>
      </c>
      <c r="E3891" s="28">
        <v>83101</v>
      </c>
      <c r="F3891" s="28">
        <v>67225</v>
      </c>
      <c r="G3891" s="27" t="s">
        <v>17</v>
      </c>
      <c r="H3891" s="27" t="s">
        <v>1296</v>
      </c>
      <c r="I3891" s="27" t="s">
        <v>13</v>
      </c>
    </row>
    <row r="3892" spans="1:9" x14ac:dyDescent="0.3">
      <c r="A3892" s="26">
        <v>45135</v>
      </c>
      <c r="B3892" s="27" t="s">
        <v>121</v>
      </c>
      <c r="C3892" s="27" t="s">
        <v>10</v>
      </c>
      <c r="D3892" s="27" t="s">
        <v>24</v>
      </c>
      <c r="E3892" s="28">
        <v>144438</v>
      </c>
      <c r="F3892" s="28">
        <v>100146</v>
      </c>
      <c r="G3892" s="27" t="s">
        <v>17</v>
      </c>
      <c r="H3892" s="27" t="s">
        <v>1660</v>
      </c>
      <c r="I3892" s="27" t="s">
        <v>13</v>
      </c>
    </row>
    <row r="3893" spans="1:9" x14ac:dyDescent="0.3">
      <c r="A3893" s="26">
        <v>45135</v>
      </c>
      <c r="B3893" s="27" t="s">
        <v>121</v>
      </c>
      <c r="C3893" s="27" t="s">
        <v>18</v>
      </c>
      <c r="D3893" s="27" t="s">
        <v>7</v>
      </c>
      <c r="E3893" s="28">
        <v>148126</v>
      </c>
      <c r="F3893" s="28">
        <v>57338</v>
      </c>
      <c r="G3893" s="27" t="s">
        <v>8</v>
      </c>
      <c r="H3893" s="27" t="s">
        <v>1668</v>
      </c>
      <c r="I3893" s="27" t="s">
        <v>13</v>
      </c>
    </row>
    <row r="3894" spans="1:9" x14ac:dyDescent="0.3">
      <c r="A3894" s="26">
        <v>45135</v>
      </c>
      <c r="B3894" s="27" t="s">
        <v>121</v>
      </c>
      <c r="C3894" s="27" t="s">
        <v>32</v>
      </c>
      <c r="D3894" s="27" t="s">
        <v>16</v>
      </c>
      <c r="E3894" s="28">
        <v>136948</v>
      </c>
      <c r="F3894" s="28">
        <v>31788</v>
      </c>
      <c r="G3894" s="27" t="s">
        <v>11</v>
      </c>
      <c r="H3894" s="27" t="s">
        <v>1745</v>
      </c>
      <c r="I3894" s="27" t="s">
        <v>13</v>
      </c>
    </row>
    <row r="3895" spans="1:9" x14ac:dyDescent="0.3">
      <c r="A3895" s="26">
        <v>45135</v>
      </c>
      <c r="B3895" s="27" t="s">
        <v>121</v>
      </c>
      <c r="C3895" s="27" t="s">
        <v>15</v>
      </c>
      <c r="D3895" s="27" t="s">
        <v>16</v>
      </c>
      <c r="E3895" s="28">
        <v>77011</v>
      </c>
      <c r="F3895" s="28">
        <v>94879</v>
      </c>
      <c r="G3895" s="27" t="s">
        <v>8</v>
      </c>
      <c r="H3895" s="27" t="s">
        <v>1933</v>
      </c>
      <c r="I3895" s="27" t="s">
        <v>13</v>
      </c>
    </row>
    <row r="3896" spans="1:9" x14ac:dyDescent="0.3">
      <c r="A3896" s="26">
        <v>45135</v>
      </c>
      <c r="B3896" s="27" t="s">
        <v>121</v>
      </c>
      <c r="C3896" s="27" t="s">
        <v>20</v>
      </c>
      <c r="D3896" s="27" t="s">
        <v>16</v>
      </c>
      <c r="E3896" s="28">
        <v>29500</v>
      </c>
      <c r="F3896" s="28">
        <v>91798</v>
      </c>
      <c r="G3896" s="27" t="s">
        <v>11</v>
      </c>
      <c r="H3896" s="27" t="s">
        <v>2261</v>
      </c>
      <c r="I3896" s="27" t="s">
        <v>13</v>
      </c>
    </row>
    <row r="3897" spans="1:9" x14ac:dyDescent="0.3">
      <c r="A3897" s="26">
        <v>45135</v>
      </c>
      <c r="B3897" s="27" t="s">
        <v>121</v>
      </c>
      <c r="C3897" s="27" t="s">
        <v>32</v>
      </c>
      <c r="D3897" s="27" t="s">
        <v>24</v>
      </c>
      <c r="E3897" s="28">
        <v>78800</v>
      </c>
      <c r="F3897" s="28">
        <v>13434</v>
      </c>
      <c r="G3897" s="27" t="s">
        <v>17</v>
      </c>
      <c r="H3897" s="27" t="s">
        <v>2428</v>
      </c>
      <c r="I3897" s="27" t="s">
        <v>13</v>
      </c>
    </row>
    <row r="3898" spans="1:9" x14ac:dyDescent="0.3">
      <c r="A3898" s="26">
        <v>45135</v>
      </c>
      <c r="B3898" s="27" t="s">
        <v>121</v>
      </c>
      <c r="C3898" s="27" t="s">
        <v>32</v>
      </c>
      <c r="D3898" s="27" t="s">
        <v>16</v>
      </c>
      <c r="E3898" s="28">
        <v>53331</v>
      </c>
      <c r="F3898" s="28">
        <v>139971</v>
      </c>
      <c r="G3898" s="27" t="s">
        <v>11</v>
      </c>
      <c r="H3898" s="27" t="s">
        <v>2461</v>
      </c>
      <c r="I3898" s="27" t="s">
        <v>13</v>
      </c>
    </row>
    <row r="3899" spans="1:9" x14ac:dyDescent="0.3">
      <c r="A3899" s="26">
        <v>45135</v>
      </c>
      <c r="B3899" s="27" t="s">
        <v>121</v>
      </c>
      <c r="C3899" s="27" t="s">
        <v>20</v>
      </c>
      <c r="D3899" s="27" t="s">
        <v>16</v>
      </c>
      <c r="E3899" s="28">
        <v>15751</v>
      </c>
      <c r="F3899" s="28">
        <v>23677</v>
      </c>
      <c r="G3899" s="27" t="s">
        <v>8</v>
      </c>
      <c r="H3899" s="27" t="s">
        <v>3257</v>
      </c>
      <c r="I3899" s="27" t="s">
        <v>13</v>
      </c>
    </row>
    <row r="3900" spans="1:9" x14ac:dyDescent="0.3">
      <c r="A3900" s="26">
        <v>45135</v>
      </c>
      <c r="B3900" s="27" t="s">
        <v>121</v>
      </c>
      <c r="C3900" s="27" t="s">
        <v>15</v>
      </c>
      <c r="D3900" s="27" t="s">
        <v>7</v>
      </c>
      <c r="E3900" s="28">
        <v>133499</v>
      </c>
      <c r="F3900" s="28">
        <v>162607</v>
      </c>
      <c r="G3900" s="27" t="s">
        <v>17</v>
      </c>
      <c r="H3900" s="27" t="s">
        <v>3377</v>
      </c>
      <c r="I3900" s="27" t="s">
        <v>13</v>
      </c>
    </row>
    <row r="3901" spans="1:9" x14ac:dyDescent="0.3">
      <c r="A3901" s="26">
        <v>45135</v>
      </c>
      <c r="B3901" s="27" t="s">
        <v>121</v>
      </c>
      <c r="C3901" s="27" t="s">
        <v>6</v>
      </c>
      <c r="D3901" s="27" t="s">
        <v>21</v>
      </c>
      <c r="E3901" s="28">
        <v>161800</v>
      </c>
      <c r="F3901" s="28">
        <v>177900</v>
      </c>
      <c r="G3901" s="27" t="s">
        <v>11</v>
      </c>
      <c r="H3901" s="27" t="s">
        <v>3762</v>
      </c>
      <c r="I3901" s="27" t="s">
        <v>9</v>
      </c>
    </row>
    <row r="3902" spans="1:9" x14ac:dyDescent="0.3">
      <c r="A3902" s="26">
        <v>45135</v>
      </c>
      <c r="B3902" s="27" t="s">
        <v>121</v>
      </c>
      <c r="C3902" s="27" t="s">
        <v>93</v>
      </c>
      <c r="D3902" s="27" t="s">
        <v>24</v>
      </c>
      <c r="E3902" s="28">
        <v>154100</v>
      </c>
      <c r="F3902" s="28">
        <v>207700</v>
      </c>
      <c r="G3902" s="27" t="s">
        <v>22</v>
      </c>
      <c r="H3902" s="27" t="s">
        <v>3825</v>
      </c>
      <c r="I3902" s="27" t="s">
        <v>9</v>
      </c>
    </row>
    <row r="3903" spans="1:9" x14ac:dyDescent="0.3">
      <c r="A3903" s="26">
        <v>45135</v>
      </c>
      <c r="B3903" s="27" t="s">
        <v>121</v>
      </c>
      <c r="C3903" s="27" t="s">
        <v>6</v>
      </c>
      <c r="D3903" s="27" t="s">
        <v>7</v>
      </c>
      <c r="E3903" s="28">
        <v>142300</v>
      </c>
      <c r="F3903" s="28">
        <v>139800</v>
      </c>
      <c r="G3903" s="27" t="s">
        <v>17</v>
      </c>
      <c r="H3903" s="27" t="s">
        <v>3860</v>
      </c>
      <c r="I3903" s="27" t="s">
        <v>9</v>
      </c>
    </row>
    <row r="3904" spans="1:9" x14ac:dyDescent="0.3">
      <c r="A3904" s="26">
        <v>45135</v>
      </c>
      <c r="B3904" s="27" t="s">
        <v>121</v>
      </c>
      <c r="C3904" s="27" t="s">
        <v>93</v>
      </c>
      <c r="D3904" s="27" t="s">
        <v>24</v>
      </c>
      <c r="E3904" s="28">
        <v>61300</v>
      </c>
      <c r="F3904" s="28">
        <v>58000</v>
      </c>
      <c r="G3904" s="27" t="s">
        <v>11</v>
      </c>
      <c r="H3904" s="27" t="s">
        <v>4679</v>
      </c>
      <c r="I3904" s="27" t="s">
        <v>9</v>
      </c>
    </row>
    <row r="3905" spans="1:9" x14ac:dyDescent="0.3">
      <c r="A3905" s="26">
        <v>45135</v>
      </c>
      <c r="B3905" s="27" t="s">
        <v>121</v>
      </c>
      <c r="C3905" s="27" t="s">
        <v>6</v>
      </c>
      <c r="D3905" s="27" t="s">
        <v>24</v>
      </c>
      <c r="E3905" s="28">
        <v>147400</v>
      </c>
      <c r="F3905" s="28">
        <v>154900</v>
      </c>
      <c r="G3905" s="27" t="s">
        <v>17</v>
      </c>
      <c r="H3905" s="27" t="s">
        <v>5043</v>
      </c>
      <c r="I3905" s="27" t="s">
        <v>9</v>
      </c>
    </row>
    <row r="3906" spans="1:9" x14ac:dyDescent="0.3">
      <c r="A3906" s="26">
        <v>45135</v>
      </c>
      <c r="B3906" s="27" t="s">
        <v>121</v>
      </c>
      <c r="C3906" s="27" t="s">
        <v>93</v>
      </c>
      <c r="D3906" s="27" t="s">
        <v>7</v>
      </c>
      <c r="E3906" s="28">
        <v>67900</v>
      </c>
      <c r="F3906" s="28">
        <v>76600</v>
      </c>
      <c r="G3906" s="27" t="s">
        <v>11</v>
      </c>
      <c r="H3906" s="27" t="s">
        <v>5051</v>
      </c>
      <c r="I3906" s="27" t="s">
        <v>9</v>
      </c>
    </row>
    <row r="3907" spans="1:9" x14ac:dyDescent="0.3">
      <c r="A3907" s="26">
        <v>45135</v>
      </c>
      <c r="B3907" s="27" t="s">
        <v>121</v>
      </c>
      <c r="C3907" s="27" t="s">
        <v>6</v>
      </c>
      <c r="D3907" s="27" t="s">
        <v>16</v>
      </c>
      <c r="E3907" s="28">
        <v>102800</v>
      </c>
      <c r="F3907" s="28">
        <v>96800</v>
      </c>
      <c r="G3907" s="27" t="s">
        <v>22</v>
      </c>
      <c r="H3907" s="27" t="s">
        <v>5128</v>
      </c>
      <c r="I3907" s="27" t="s">
        <v>9</v>
      </c>
    </row>
    <row r="3908" spans="1:9" x14ac:dyDescent="0.3">
      <c r="A3908" s="26">
        <v>45135</v>
      </c>
      <c r="B3908" s="27" t="s">
        <v>121</v>
      </c>
      <c r="C3908" s="27" t="s">
        <v>6</v>
      </c>
      <c r="D3908" s="27" t="s">
        <v>16</v>
      </c>
      <c r="E3908" s="28">
        <v>109500</v>
      </c>
      <c r="F3908" s="28">
        <v>128600</v>
      </c>
      <c r="G3908" s="27" t="s">
        <v>22</v>
      </c>
      <c r="H3908" s="27" t="s">
        <v>5317</v>
      </c>
      <c r="I3908" s="27" t="s">
        <v>9</v>
      </c>
    </row>
    <row r="3909" spans="1:9" x14ac:dyDescent="0.3">
      <c r="A3909" s="26">
        <v>45135</v>
      </c>
      <c r="B3909" s="27" t="s">
        <v>121</v>
      </c>
      <c r="C3909" s="27" t="s">
        <v>6</v>
      </c>
      <c r="D3909" s="27" t="s">
        <v>16</v>
      </c>
      <c r="E3909" s="28">
        <v>95200</v>
      </c>
      <c r="F3909" s="28">
        <v>71200</v>
      </c>
      <c r="G3909" s="27" t="s">
        <v>17</v>
      </c>
      <c r="H3909" s="27" t="s">
        <v>5646</v>
      </c>
      <c r="I3909" s="27" t="s">
        <v>9</v>
      </c>
    </row>
    <row r="3910" spans="1:9" x14ac:dyDescent="0.3">
      <c r="A3910" s="26">
        <v>45135</v>
      </c>
      <c r="B3910" s="27" t="s">
        <v>121</v>
      </c>
      <c r="C3910" s="27" t="s">
        <v>6</v>
      </c>
      <c r="D3910" s="27" t="s">
        <v>24</v>
      </c>
      <c r="E3910" s="28">
        <v>46500</v>
      </c>
      <c r="F3910" s="28">
        <v>37700</v>
      </c>
      <c r="G3910" s="27" t="s">
        <v>22</v>
      </c>
      <c r="H3910" s="27" t="s">
        <v>5813</v>
      </c>
      <c r="I3910" s="27" t="s">
        <v>9</v>
      </c>
    </row>
    <row r="3911" spans="1:9" x14ac:dyDescent="0.3">
      <c r="A3911" s="26">
        <v>45135</v>
      </c>
      <c r="B3911" s="27" t="s">
        <v>121</v>
      </c>
      <c r="C3911" s="27" t="s">
        <v>6</v>
      </c>
      <c r="D3911" s="27" t="s">
        <v>16</v>
      </c>
      <c r="E3911" s="28">
        <v>105800</v>
      </c>
      <c r="F3911" s="28">
        <v>119800</v>
      </c>
      <c r="G3911" s="27" t="s">
        <v>11</v>
      </c>
      <c r="H3911" s="27" t="s">
        <v>5846</v>
      </c>
      <c r="I3911" s="27" t="s">
        <v>9</v>
      </c>
    </row>
    <row r="3912" spans="1:9" x14ac:dyDescent="0.3">
      <c r="A3912" s="26">
        <v>45135</v>
      </c>
      <c r="B3912" s="27" t="s">
        <v>121</v>
      </c>
      <c r="C3912" s="27" t="s">
        <v>93</v>
      </c>
      <c r="D3912" s="27" t="s">
        <v>16</v>
      </c>
      <c r="E3912" s="28">
        <v>61200</v>
      </c>
      <c r="F3912" s="28">
        <v>53900</v>
      </c>
      <c r="G3912" s="27" t="s">
        <v>11</v>
      </c>
      <c r="H3912" s="27" t="s">
        <v>6642</v>
      </c>
      <c r="I3912" s="27" t="s">
        <v>9</v>
      </c>
    </row>
    <row r="3913" spans="1:9" x14ac:dyDescent="0.3">
      <c r="A3913" s="26">
        <v>45135</v>
      </c>
      <c r="B3913" s="27" t="s">
        <v>121</v>
      </c>
      <c r="C3913" s="27" t="s">
        <v>93</v>
      </c>
      <c r="D3913" s="27" t="s">
        <v>7</v>
      </c>
      <c r="E3913" s="28">
        <v>150800</v>
      </c>
      <c r="F3913" s="28">
        <v>148000</v>
      </c>
      <c r="G3913" s="27" t="s">
        <v>22</v>
      </c>
      <c r="H3913" s="27" t="s">
        <v>6762</v>
      </c>
      <c r="I3913" s="27" t="s">
        <v>9</v>
      </c>
    </row>
    <row r="3914" spans="1:9" x14ac:dyDescent="0.3">
      <c r="A3914" s="26">
        <v>45136</v>
      </c>
      <c r="B3914" s="27" t="s">
        <v>121</v>
      </c>
      <c r="C3914" s="27" t="s">
        <v>18</v>
      </c>
      <c r="D3914" s="27" t="s">
        <v>7</v>
      </c>
      <c r="E3914" s="28">
        <v>33185</v>
      </c>
      <c r="F3914" s="28">
        <v>146043</v>
      </c>
      <c r="G3914" s="27" t="s">
        <v>11</v>
      </c>
      <c r="H3914" s="27" t="s">
        <v>422</v>
      </c>
      <c r="I3914" s="27" t="s">
        <v>13</v>
      </c>
    </row>
    <row r="3915" spans="1:9" x14ac:dyDescent="0.3">
      <c r="A3915" s="26">
        <v>45136</v>
      </c>
      <c r="B3915" s="27" t="s">
        <v>121</v>
      </c>
      <c r="C3915" s="27" t="s">
        <v>20</v>
      </c>
      <c r="D3915" s="27" t="s">
        <v>24</v>
      </c>
      <c r="E3915" s="28">
        <v>29744</v>
      </c>
      <c r="F3915" s="28">
        <v>107379</v>
      </c>
      <c r="G3915" s="27" t="s">
        <v>8</v>
      </c>
      <c r="H3915" s="27" t="s">
        <v>593</v>
      </c>
      <c r="I3915" s="27" t="s">
        <v>13</v>
      </c>
    </row>
    <row r="3916" spans="1:9" x14ac:dyDescent="0.3">
      <c r="A3916" s="26">
        <v>45136</v>
      </c>
      <c r="B3916" s="27" t="s">
        <v>121</v>
      </c>
      <c r="C3916" s="27" t="s">
        <v>15</v>
      </c>
      <c r="D3916" s="27" t="s">
        <v>21</v>
      </c>
      <c r="E3916" s="28">
        <v>12716</v>
      </c>
      <c r="F3916" s="28">
        <v>117785</v>
      </c>
      <c r="G3916" s="27" t="s">
        <v>8</v>
      </c>
      <c r="H3916" s="27" t="s">
        <v>744</v>
      </c>
      <c r="I3916" s="27" t="s">
        <v>13</v>
      </c>
    </row>
    <row r="3917" spans="1:9" x14ac:dyDescent="0.3">
      <c r="A3917" s="26">
        <v>45136</v>
      </c>
      <c r="B3917" s="27" t="s">
        <v>121</v>
      </c>
      <c r="C3917" s="27" t="s">
        <v>20</v>
      </c>
      <c r="D3917" s="27" t="s">
        <v>7</v>
      </c>
      <c r="E3917" s="28">
        <v>93511</v>
      </c>
      <c r="F3917" s="28">
        <v>62439</v>
      </c>
      <c r="G3917" s="27" t="s">
        <v>8</v>
      </c>
      <c r="H3917" s="27" t="s">
        <v>1026</v>
      </c>
      <c r="I3917" s="27" t="s">
        <v>13</v>
      </c>
    </row>
    <row r="3918" spans="1:9" x14ac:dyDescent="0.3">
      <c r="A3918" s="26">
        <v>45136</v>
      </c>
      <c r="B3918" s="27" t="s">
        <v>121</v>
      </c>
      <c r="C3918" s="27" t="s">
        <v>20</v>
      </c>
      <c r="D3918" s="27" t="s">
        <v>24</v>
      </c>
      <c r="E3918" s="28">
        <v>50043</v>
      </c>
      <c r="F3918" s="28">
        <v>108576</v>
      </c>
      <c r="G3918" s="27" t="s">
        <v>17</v>
      </c>
      <c r="H3918" s="27" t="s">
        <v>1050</v>
      </c>
      <c r="I3918" s="27" t="s">
        <v>13</v>
      </c>
    </row>
    <row r="3919" spans="1:9" x14ac:dyDescent="0.3">
      <c r="A3919" s="26">
        <v>45136</v>
      </c>
      <c r="B3919" s="27" t="s">
        <v>121</v>
      </c>
      <c r="C3919" s="27" t="s">
        <v>20</v>
      </c>
      <c r="D3919" s="27" t="s">
        <v>19</v>
      </c>
      <c r="E3919" s="28">
        <v>65076</v>
      </c>
      <c r="F3919" s="28">
        <v>24149</v>
      </c>
      <c r="G3919" s="27" t="s">
        <v>17</v>
      </c>
      <c r="H3919" s="27" t="s">
        <v>1305</v>
      </c>
      <c r="I3919" s="27" t="s">
        <v>13</v>
      </c>
    </row>
    <row r="3920" spans="1:9" x14ac:dyDescent="0.3">
      <c r="A3920" s="26">
        <v>45136</v>
      </c>
      <c r="B3920" s="27" t="s">
        <v>121</v>
      </c>
      <c r="C3920" s="27" t="s">
        <v>14</v>
      </c>
      <c r="D3920" s="27" t="s">
        <v>16</v>
      </c>
      <c r="E3920" s="28">
        <v>44888</v>
      </c>
      <c r="F3920" s="28">
        <v>33503</v>
      </c>
      <c r="G3920" s="27" t="s">
        <v>17</v>
      </c>
      <c r="H3920" s="27" t="s">
        <v>1581</v>
      </c>
      <c r="I3920" s="27" t="s">
        <v>13</v>
      </c>
    </row>
    <row r="3921" spans="1:9" x14ac:dyDescent="0.3">
      <c r="A3921" s="26">
        <v>45136</v>
      </c>
      <c r="B3921" s="27" t="s">
        <v>121</v>
      </c>
      <c r="C3921" s="27" t="s">
        <v>10</v>
      </c>
      <c r="D3921" s="27" t="s">
        <v>21</v>
      </c>
      <c r="E3921" s="28">
        <v>15976</v>
      </c>
      <c r="F3921" s="28">
        <v>169799</v>
      </c>
      <c r="G3921" s="27" t="s">
        <v>22</v>
      </c>
      <c r="H3921" s="27" t="s">
        <v>1672</v>
      </c>
      <c r="I3921" s="27" t="s">
        <v>13</v>
      </c>
    </row>
    <row r="3922" spans="1:9" x14ac:dyDescent="0.3">
      <c r="A3922" s="26">
        <v>45136</v>
      </c>
      <c r="B3922" s="27" t="s">
        <v>121</v>
      </c>
      <c r="C3922" s="27" t="s">
        <v>20</v>
      </c>
      <c r="D3922" s="27" t="s">
        <v>16</v>
      </c>
      <c r="E3922" s="28">
        <v>71986</v>
      </c>
      <c r="F3922" s="28">
        <v>139787</v>
      </c>
      <c r="G3922" s="27" t="s">
        <v>8</v>
      </c>
      <c r="H3922" s="27" t="s">
        <v>2407</v>
      </c>
      <c r="I3922" s="27" t="s">
        <v>13</v>
      </c>
    </row>
    <row r="3923" spans="1:9" x14ac:dyDescent="0.3">
      <c r="A3923" s="26">
        <v>45136</v>
      </c>
      <c r="B3923" s="27" t="s">
        <v>121</v>
      </c>
      <c r="C3923" s="27" t="s">
        <v>20</v>
      </c>
      <c r="D3923" s="27" t="s">
        <v>24</v>
      </c>
      <c r="E3923" s="28">
        <v>105504</v>
      </c>
      <c r="F3923" s="28">
        <v>156232</v>
      </c>
      <c r="G3923" s="27" t="s">
        <v>22</v>
      </c>
      <c r="H3923" s="27" t="s">
        <v>2516</v>
      </c>
      <c r="I3923" s="27" t="s">
        <v>13</v>
      </c>
    </row>
    <row r="3924" spans="1:9" x14ac:dyDescent="0.3">
      <c r="A3924" s="26">
        <v>45136</v>
      </c>
      <c r="B3924" s="27" t="s">
        <v>121</v>
      </c>
      <c r="C3924" s="27" t="s">
        <v>32</v>
      </c>
      <c r="D3924" s="27" t="s">
        <v>24</v>
      </c>
      <c r="E3924" s="28">
        <v>27829</v>
      </c>
      <c r="F3924" s="28">
        <v>60904</v>
      </c>
      <c r="G3924" s="27" t="s">
        <v>22</v>
      </c>
      <c r="H3924" s="27" t="s">
        <v>2541</v>
      </c>
      <c r="I3924" s="27" t="s">
        <v>13</v>
      </c>
    </row>
    <row r="3925" spans="1:9" x14ac:dyDescent="0.3">
      <c r="A3925" s="26">
        <v>45136</v>
      </c>
      <c r="B3925" s="27" t="s">
        <v>121</v>
      </c>
      <c r="C3925" s="27" t="s">
        <v>14</v>
      </c>
      <c r="D3925" s="27" t="s">
        <v>16</v>
      </c>
      <c r="E3925" s="28">
        <v>30459</v>
      </c>
      <c r="F3925" s="28">
        <v>58214</v>
      </c>
      <c r="G3925" s="27" t="s">
        <v>11</v>
      </c>
      <c r="H3925" s="27" t="s">
        <v>2564</v>
      </c>
      <c r="I3925" s="27" t="s">
        <v>13</v>
      </c>
    </row>
    <row r="3926" spans="1:9" x14ac:dyDescent="0.3">
      <c r="A3926" s="26">
        <v>45136</v>
      </c>
      <c r="B3926" s="27" t="s">
        <v>121</v>
      </c>
      <c r="C3926" s="27" t="s">
        <v>15</v>
      </c>
      <c r="D3926" s="27" t="s">
        <v>21</v>
      </c>
      <c r="E3926" s="28">
        <v>12921</v>
      </c>
      <c r="F3926" s="28">
        <v>77794</v>
      </c>
      <c r="G3926" s="27" t="s">
        <v>17</v>
      </c>
      <c r="H3926" s="27" t="s">
        <v>2605</v>
      </c>
      <c r="I3926" s="27" t="s">
        <v>13</v>
      </c>
    </row>
    <row r="3927" spans="1:9" x14ac:dyDescent="0.3">
      <c r="A3927" s="26">
        <v>45136</v>
      </c>
      <c r="B3927" s="27" t="s">
        <v>121</v>
      </c>
      <c r="C3927" s="27" t="s">
        <v>10</v>
      </c>
      <c r="D3927" s="27" t="s">
        <v>21</v>
      </c>
      <c r="E3927" s="28">
        <v>148155</v>
      </c>
      <c r="F3927" s="28">
        <v>144366</v>
      </c>
      <c r="G3927" s="27" t="s">
        <v>11</v>
      </c>
      <c r="H3927" s="27" t="s">
        <v>2785</v>
      </c>
      <c r="I3927" s="27" t="s">
        <v>13</v>
      </c>
    </row>
    <row r="3928" spans="1:9" x14ac:dyDescent="0.3">
      <c r="A3928" s="26">
        <v>45136</v>
      </c>
      <c r="B3928" s="27" t="s">
        <v>121</v>
      </c>
      <c r="C3928" s="27" t="s">
        <v>14</v>
      </c>
      <c r="D3928" s="27" t="s">
        <v>16</v>
      </c>
      <c r="E3928" s="28">
        <v>115539</v>
      </c>
      <c r="F3928" s="28">
        <v>32482</v>
      </c>
      <c r="G3928" s="27" t="s">
        <v>11</v>
      </c>
      <c r="H3928" s="27" t="s">
        <v>3211</v>
      </c>
      <c r="I3928" s="27" t="s">
        <v>13</v>
      </c>
    </row>
    <row r="3929" spans="1:9" x14ac:dyDescent="0.3">
      <c r="A3929" s="26">
        <v>45136</v>
      </c>
      <c r="B3929" s="27" t="s">
        <v>121</v>
      </c>
      <c r="C3929" s="27" t="s">
        <v>93</v>
      </c>
      <c r="D3929" s="27" t="s">
        <v>7</v>
      </c>
      <c r="E3929" s="28">
        <v>70400</v>
      </c>
      <c r="F3929" s="28">
        <v>51500</v>
      </c>
      <c r="G3929" s="27" t="s">
        <v>22</v>
      </c>
      <c r="H3929" s="27" t="s">
        <v>3803</v>
      </c>
      <c r="I3929" s="27" t="s">
        <v>9</v>
      </c>
    </row>
    <row r="3930" spans="1:9" x14ac:dyDescent="0.3">
      <c r="A3930" s="26">
        <v>45136</v>
      </c>
      <c r="B3930" s="27" t="s">
        <v>121</v>
      </c>
      <c r="C3930" s="27" t="s">
        <v>6</v>
      </c>
      <c r="D3930" s="27" t="s">
        <v>24</v>
      </c>
      <c r="E3930" s="28">
        <v>168500</v>
      </c>
      <c r="F3930" s="28">
        <v>163400</v>
      </c>
      <c r="G3930" s="27" t="s">
        <v>22</v>
      </c>
      <c r="H3930" s="27" t="s">
        <v>3974</v>
      </c>
      <c r="I3930" s="27" t="s">
        <v>9</v>
      </c>
    </row>
    <row r="3931" spans="1:9" x14ac:dyDescent="0.3">
      <c r="A3931" s="26">
        <v>45136</v>
      </c>
      <c r="B3931" s="27" t="s">
        <v>121</v>
      </c>
      <c r="C3931" s="27" t="s">
        <v>6</v>
      </c>
      <c r="D3931" s="27" t="s">
        <v>21</v>
      </c>
      <c r="E3931" s="28">
        <v>80200</v>
      </c>
      <c r="F3931" s="28">
        <v>83100</v>
      </c>
      <c r="G3931" s="27" t="s">
        <v>17</v>
      </c>
      <c r="H3931" s="27" t="s">
        <v>4125</v>
      </c>
      <c r="I3931" s="27" t="s">
        <v>9</v>
      </c>
    </row>
    <row r="3932" spans="1:9" x14ac:dyDescent="0.3">
      <c r="A3932" s="26">
        <v>45136</v>
      </c>
      <c r="B3932" s="27" t="s">
        <v>121</v>
      </c>
      <c r="C3932" s="27" t="s">
        <v>6</v>
      </c>
      <c r="D3932" s="27" t="s">
        <v>7</v>
      </c>
      <c r="E3932" s="28">
        <v>113900</v>
      </c>
      <c r="F3932" s="28">
        <v>133400</v>
      </c>
      <c r="G3932" s="27" t="s">
        <v>22</v>
      </c>
      <c r="H3932" s="27" t="s">
        <v>4408</v>
      </c>
      <c r="I3932" s="27" t="s">
        <v>9</v>
      </c>
    </row>
    <row r="3933" spans="1:9" x14ac:dyDescent="0.3">
      <c r="A3933" s="26">
        <v>45136</v>
      </c>
      <c r="B3933" s="27" t="s">
        <v>121</v>
      </c>
      <c r="C3933" s="27" t="s">
        <v>6</v>
      </c>
      <c r="D3933" s="27" t="s">
        <v>24</v>
      </c>
      <c r="E3933" s="28">
        <v>61700</v>
      </c>
      <c r="F3933" s="28">
        <v>54200</v>
      </c>
      <c r="G3933" s="27" t="s">
        <v>17</v>
      </c>
      <c r="H3933" s="27" t="s">
        <v>4432</v>
      </c>
      <c r="I3933" s="27" t="s">
        <v>9</v>
      </c>
    </row>
    <row r="3934" spans="1:9" x14ac:dyDescent="0.3">
      <c r="A3934" s="26">
        <v>45136</v>
      </c>
      <c r="B3934" s="27" t="s">
        <v>121</v>
      </c>
      <c r="C3934" s="27" t="s">
        <v>93</v>
      </c>
      <c r="D3934" s="27" t="s">
        <v>19</v>
      </c>
      <c r="E3934" s="28">
        <v>115600</v>
      </c>
      <c r="F3934" s="28">
        <v>79800</v>
      </c>
      <c r="G3934" s="27" t="s">
        <v>11</v>
      </c>
      <c r="H3934" s="27" t="s">
        <v>4688</v>
      </c>
      <c r="I3934" s="27" t="s">
        <v>9</v>
      </c>
    </row>
    <row r="3935" spans="1:9" x14ac:dyDescent="0.3">
      <c r="A3935" s="26">
        <v>45136</v>
      </c>
      <c r="B3935" s="27" t="s">
        <v>121</v>
      </c>
      <c r="C3935" s="27" t="s">
        <v>6</v>
      </c>
      <c r="D3935" s="27" t="s">
        <v>16</v>
      </c>
      <c r="E3935" s="28">
        <v>76800</v>
      </c>
      <c r="F3935" s="28">
        <v>74400</v>
      </c>
      <c r="G3935" s="27" t="s">
        <v>11</v>
      </c>
      <c r="H3935" s="27" t="s">
        <v>4964</v>
      </c>
      <c r="I3935" s="27" t="s">
        <v>9</v>
      </c>
    </row>
    <row r="3936" spans="1:9" x14ac:dyDescent="0.3">
      <c r="A3936" s="26">
        <v>45136</v>
      </c>
      <c r="B3936" s="27" t="s">
        <v>121</v>
      </c>
      <c r="C3936" s="27" t="s">
        <v>6</v>
      </c>
      <c r="D3936" s="27" t="s">
        <v>21</v>
      </c>
      <c r="E3936" s="28">
        <v>168300</v>
      </c>
      <c r="F3936" s="28">
        <v>224200</v>
      </c>
      <c r="G3936" s="27" t="s">
        <v>11</v>
      </c>
      <c r="H3936" s="27" t="s">
        <v>5055</v>
      </c>
      <c r="I3936" s="27" t="s">
        <v>9</v>
      </c>
    </row>
    <row r="3937" spans="1:9" x14ac:dyDescent="0.3">
      <c r="A3937" s="26">
        <v>45136</v>
      </c>
      <c r="B3937" s="27" t="s">
        <v>121</v>
      </c>
      <c r="C3937" s="27" t="s">
        <v>6</v>
      </c>
      <c r="D3937" s="27" t="s">
        <v>16</v>
      </c>
      <c r="E3937" s="28">
        <v>134000</v>
      </c>
      <c r="F3937" s="28">
        <v>109000</v>
      </c>
      <c r="G3937" s="27" t="s">
        <v>11</v>
      </c>
      <c r="H3937" s="27" t="s">
        <v>5792</v>
      </c>
      <c r="I3937" s="27" t="s">
        <v>9</v>
      </c>
    </row>
    <row r="3938" spans="1:9" x14ac:dyDescent="0.3">
      <c r="A3938" s="26">
        <v>45136</v>
      </c>
      <c r="B3938" s="27" t="s">
        <v>121</v>
      </c>
      <c r="C3938" s="27" t="s">
        <v>6</v>
      </c>
      <c r="D3938" s="27" t="s">
        <v>24</v>
      </c>
      <c r="E3938" s="28">
        <v>162500</v>
      </c>
      <c r="F3938" s="28">
        <v>167100</v>
      </c>
      <c r="G3938" s="27" t="s">
        <v>17</v>
      </c>
      <c r="H3938" s="27" t="s">
        <v>5901</v>
      </c>
      <c r="I3938" s="27" t="s">
        <v>9</v>
      </c>
    </row>
    <row r="3939" spans="1:9" x14ac:dyDescent="0.3">
      <c r="A3939" s="26">
        <v>45136</v>
      </c>
      <c r="B3939" s="27" t="s">
        <v>121</v>
      </c>
      <c r="C3939" s="27" t="s">
        <v>93</v>
      </c>
      <c r="D3939" s="27" t="s">
        <v>24</v>
      </c>
      <c r="E3939" s="28">
        <v>64800</v>
      </c>
      <c r="F3939" s="28">
        <v>70300</v>
      </c>
      <c r="G3939" s="27" t="s">
        <v>11</v>
      </c>
      <c r="H3939" s="27" t="s">
        <v>5926</v>
      </c>
      <c r="I3939" s="27" t="s">
        <v>9</v>
      </c>
    </row>
    <row r="3940" spans="1:9" x14ac:dyDescent="0.3">
      <c r="A3940" s="26">
        <v>45136</v>
      </c>
      <c r="B3940" s="27" t="s">
        <v>121</v>
      </c>
      <c r="C3940" s="27" t="s">
        <v>6</v>
      </c>
      <c r="D3940" s="27" t="s">
        <v>16</v>
      </c>
      <c r="E3940" s="28">
        <v>111700</v>
      </c>
      <c r="F3940" s="28">
        <v>106900</v>
      </c>
      <c r="G3940" s="27" t="s">
        <v>11</v>
      </c>
      <c r="H3940" s="27" t="s">
        <v>5949</v>
      </c>
      <c r="I3940" s="27" t="s">
        <v>9</v>
      </c>
    </row>
    <row r="3941" spans="1:9" x14ac:dyDescent="0.3">
      <c r="A3941" s="26">
        <v>45136</v>
      </c>
      <c r="B3941" s="27" t="s">
        <v>121</v>
      </c>
      <c r="C3941" s="27" t="s">
        <v>6</v>
      </c>
      <c r="D3941" s="27" t="s">
        <v>21</v>
      </c>
      <c r="E3941" s="28">
        <v>197000</v>
      </c>
      <c r="F3941" s="28">
        <v>168500</v>
      </c>
      <c r="G3941" s="27" t="s">
        <v>22</v>
      </c>
      <c r="H3941" s="27" t="s">
        <v>5990</v>
      </c>
      <c r="I3941" s="27" t="s">
        <v>9</v>
      </c>
    </row>
    <row r="3942" spans="1:9" x14ac:dyDescent="0.3">
      <c r="A3942" s="26">
        <v>45136</v>
      </c>
      <c r="B3942" s="27" t="s">
        <v>121</v>
      </c>
      <c r="C3942" s="27" t="s">
        <v>6</v>
      </c>
      <c r="D3942" s="27" t="s">
        <v>21</v>
      </c>
      <c r="E3942" s="28">
        <v>130700</v>
      </c>
      <c r="F3942" s="28">
        <v>134500</v>
      </c>
      <c r="G3942" s="27" t="s">
        <v>11</v>
      </c>
      <c r="H3942" s="27" t="s">
        <v>6170</v>
      </c>
      <c r="I3942" s="27" t="s">
        <v>9</v>
      </c>
    </row>
    <row r="3943" spans="1:9" x14ac:dyDescent="0.3">
      <c r="A3943" s="26">
        <v>45136</v>
      </c>
      <c r="B3943" s="27" t="s">
        <v>121</v>
      </c>
      <c r="C3943" s="27" t="s">
        <v>6</v>
      </c>
      <c r="D3943" s="27" t="s">
        <v>16</v>
      </c>
      <c r="E3943" s="28">
        <v>68900</v>
      </c>
      <c r="F3943" s="28">
        <v>71500</v>
      </c>
      <c r="G3943" s="27" t="s">
        <v>17</v>
      </c>
      <c r="H3943" s="27" t="s">
        <v>6596</v>
      </c>
      <c r="I3943" s="27" t="s">
        <v>9</v>
      </c>
    </row>
    <row r="3944" spans="1:9" x14ac:dyDescent="0.3">
      <c r="A3944" s="26">
        <v>45137</v>
      </c>
      <c r="B3944" s="27" t="s">
        <v>121</v>
      </c>
      <c r="C3944" s="27" t="s">
        <v>15</v>
      </c>
      <c r="D3944" s="27" t="s">
        <v>21</v>
      </c>
      <c r="E3944" s="28">
        <v>61313</v>
      </c>
      <c r="F3944" s="28">
        <v>122090</v>
      </c>
      <c r="G3944" s="27" t="s">
        <v>17</v>
      </c>
      <c r="H3944" s="27" t="s">
        <v>790</v>
      </c>
      <c r="I3944" s="27" t="s">
        <v>13</v>
      </c>
    </row>
    <row r="3945" spans="1:9" x14ac:dyDescent="0.3">
      <c r="A3945" s="26">
        <v>45137</v>
      </c>
      <c r="B3945" s="27" t="s">
        <v>121</v>
      </c>
      <c r="C3945" s="27" t="s">
        <v>32</v>
      </c>
      <c r="D3945" s="27" t="s">
        <v>24</v>
      </c>
      <c r="E3945" s="28">
        <v>53403</v>
      </c>
      <c r="F3945" s="28">
        <v>88665</v>
      </c>
      <c r="G3945" s="27" t="s">
        <v>11</v>
      </c>
      <c r="H3945" s="27" t="s">
        <v>988</v>
      </c>
      <c r="I3945" s="27" t="s">
        <v>13</v>
      </c>
    </row>
    <row r="3946" spans="1:9" x14ac:dyDescent="0.3">
      <c r="A3946" s="26">
        <v>45137</v>
      </c>
      <c r="B3946" s="27" t="s">
        <v>121</v>
      </c>
      <c r="C3946" s="27" t="s">
        <v>15</v>
      </c>
      <c r="D3946" s="27" t="s">
        <v>21</v>
      </c>
      <c r="E3946" s="28">
        <v>28202</v>
      </c>
      <c r="F3946" s="28">
        <v>104240</v>
      </c>
      <c r="G3946" s="27" t="s">
        <v>22</v>
      </c>
      <c r="H3946" s="27" t="s">
        <v>1568</v>
      </c>
      <c r="I3946" s="27" t="s">
        <v>13</v>
      </c>
    </row>
    <row r="3947" spans="1:9" x14ac:dyDescent="0.3">
      <c r="A3947" s="26">
        <v>45137</v>
      </c>
      <c r="B3947" s="27" t="s">
        <v>121</v>
      </c>
      <c r="C3947" s="27" t="s">
        <v>14</v>
      </c>
      <c r="D3947" s="27" t="s">
        <v>19</v>
      </c>
      <c r="E3947" s="28">
        <v>20987</v>
      </c>
      <c r="F3947" s="28">
        <v>45436</v>
      </c>
      <c r="G3947" s="27" t="s">
        <v>22</v>
      </c>
      <c r="H3947" s="27" t="s">
        <v>2200</v>
      </c>
      <c r="I3947" s="27" t="s">
        <v>13</v>
      </c>
    </row>
    <row r="3948" spans="1:9" x14ac:dyDescent="0.3">
      <c r="A3948" s="26">
        <v>45137</v>
      </c>
      <c r="B3948" s="27" t="s">
        <v>121</v>
      </c>
      <c r="C3948" s="27" t="s">
        <v>18</v>
      </c>
      <c r="D3948" s="27" t="s">
        <v>16</v>
      </c>
      <c r="E3948" s="28">
        <v>119710</v>
      </c>
      <c r="F3948" s="28">
        <v>82240</v>
      </c>
      <c r="G3948" s="27" t="s">
        <v>8</v>
      </c>
      <c r="H3948" s="27" t="s">
        <v>3034</v>
      </c>
      <c r="I3948" s="27" t="s">
        <v>13</v>
      </c>
    </row>
    <row r="3949" spans="1:9" x14ac:dyDescent="0.3">
      <c r="A3949" s="26">
        <v>45137</v>
      </c>
      <c r="B3949" s="27" t="s">
        <v>121</v>
      </c>
      <c r="C3949" s="27" t="s">
        <v>6</v>
      </c>
      <c r="D3949" s="27" t="s">
        <v>21</v>
      </c>
      <c r="E3949" s="28">
        <v>68600</v>
      </c>
      <c r="F3949" s="28">
        <v>58700</v>
      </c>
      <c r="G3949" s="27" t="s">
        <v>22</v>
      </c>
      <c r="H3949" s="27" t="s">
        <v>4171</v>
      </c>
      <c r="I3949" s="27" t="s">
        <v>9</v>
      </c>
    </row>
    <row r="3950" spans="1:9" x14ac:dyDescent="0.3">
      <c r="A3950" s="26">
        <v>45137</v>
      </c>
      <c r="B3950" s="27" t="s">
        <v>121</v>
      </c>
      <c r="C3950" s="27" t="s">
        <v>6</v>
      </c>
      <c r="D3950" s="27" t="s">
        <v>24</v>
      </c>
      <c r="E3950" s="28">
        <v>66600</v>
      </c>
      <c r="F3950" s="28">
        <v>72600</v>
      </c>
      <c r="G3950" s="27" t="s">
        <v>22</v>
      </c>
      <c r="H3950" s="27" t="s">
        <v>4369</v>
      </c>
      <c r="I3950" s="27" t="s">
        <v>9</v>
      </c>
    </row>
    <row r="3951" spans="1:9" x14ac:dyDescent="0.3">
      <c r="A3951" s="26">
        <v>45137</v>
      </c>
      <c r="B3951" s="27" t="s">
        <v>121</v>
      </c>
      <c r="C3951" s="27" t="s">
        <v>93</v>
      </c>
      <c r="D3951" s="27" t="s">
        <v>21</v>
      </c>
      <c r="E3951" s="28">
        <v>127900</v>
      </c>
      <c r="F3951" s="28">
        <v>120200</v>
      </c>
      <c r="G3951" s="27" t="s">
        <v>11</v>
      </c>
      <c r="H3951" s="27" t="s">
        <v>4951</v>
      </c>
      <c r="I3951" s="27" t="s">
        <v>9</v>
      </c>
    </row>
    <row r="3952" spans="1:9" x14ac:dyDescent="0.3">
      <c r="A3952" s="26">
        <v>45137</v>
      </c>
      <c r="B3952" s="27" t="s">
        <v>121</v>
      </c>
      <c r="C3952" s="27" t="s">
        <v>6</v>
      </c>
      <c r="D3952" s="27" t="s">
        <v>19</v>
      </c>
      <c r="E3952" s="28">
        <v>165300</v>
      </c>
      <c r="F3952" s="28">
        <v>144800</v>
      </c>
      <c r="G3952" s="27" t="s">
        <v>11</v>
      </c>
      <c r="H3952" s="27" t="s">
        <v>5585</v>
      </c>
      <c r="I3952" s="27" t="s">
        <v>9</v>
      </c>
    </row>
    <row r="3953" spans="1:9" x14ac:dyDescent="0.3">
      <c r="A3953" s="26">
        <v>45137</v>
      </c>
      <c r="B3953" s="27" t="s">
        <v>121</v>
      </c>
      <c r="C3953" s="27" t="s">
        <v>93</v>
      </c>
      <c r="D3953" s="27" t="s">
        <v>16</v>
      </c>
      <c r="E3953" s="28">
        <v>117700</v>
      </c>
      <c r="F3953" s="28">
        <v>128800</v>
      </c>
      <c r="G3953" s="27" t="s">
        <v>11</v>
      </c>
      <c r="H3953" s="27" t="s">
        <v>6419</v>
      </c>
      <c r="I3953" s="27" t="s">
        <v>9</v>
      </c>
    </row>
    <row r="3954" spans="1:9" x14ac:dyDescent="0.3">
      <c r="A3954" s="26">
        <v>45138</v>
      </c>
      <c r="B3954" s="27" t="s">
        <v>121</v>
      </c>
      <c r="C3954" s="27" t="s">
        <v>20</v>
      </c>
      <c r="D3954" s="27" t="s">
        <v>21</v>
      </c>
      <c r="E3954" s="28">
        <v>118381</v>
      </c>
      <c r="F3954" s="28">
        <v>29610</v>
      </c>
      <c r="G3954" s="27" t="s">
        <v>8</v>
      </c>
      <c r="H3954" s="27" t="s">
        <v>642</v>
      </c>
      <c r="I3954" s="27" t="s">
        <v>13</v>
      </c>
    </row>
    <row r="3955" spans="1:9" x14ac:dyDescent="0.3">
      <c r="A3955" s="26">
        <v>45138</v>
      </c>
      <c r="B3955" s="27" t="s">
        <v>121</v>
      </c>
      <c r="C3955" s="27" t="s">
        <v>10</v>
      </c>
      <c r="D3955" s="27" t="s">
        <v>19</v>
      </c>
      <c r="E3955" s="28">
        <v>77432</v>
      </c>
      <c r="F3955" s="28">
        <v>95680</v>
      </c>
      <c r="G3955" s="27" t="s">
        <v>8</v>
      </c>
      <c r="H3955" s="27" t="s">
        <v>788</v>
      </c>
      <c r="I3955" s="27" t="s">
        <v>13</v>
      </c>
    </row>
    <row r="3956" spans="1:9" x14ac:dyDescent="0.3">
      <c r="A3956" s="26">
        <v>45138</v>
      </c>
      <c r="B3956" s="27" t="s">
        <v>121</v>
      </c>
      <c r="C3956" s="27" t="s">
        <v>18</v>
      </c>
      <c r="D3956" s="27" t="s">
        <v>24</v>
      </c>
      <c r="E3956" s="28">
        <v>134370</v>
      </c>
      <c r="F3956" s="28">
        <v>33443</v>
      </c>
      <c r="G3956" s="27" t="s">
        <v>11</v>
      </c>
      <c r="H3956" s="27" t="s">
        <v>967</v>
      </c>
      <c r="I3956" s="27" t="s">
        <v>13</v>
      </c>
    </row>
    <row r="3957" spans="1:9" x14ac:dyDescent="0.3">
      <c r="A3957" s="26">
        <v>45138</v>
      </c>
      <c r="B3957" s="27" t="s">
        <v>121</v>
      </c>
      <c r="C3957" s="27" t="s">
        <v>10</v>
      </c>
      <c r="D3957" s="27" t="s">
        <v>24</v>
      </c>
      <c r="E3957" s="28">
        <v>129340</v>
      </c>
      <c r="F3957" s="28">
        <v>126164</v>
      </c>
      <c r="G3957" s="27" t="s">
        <v>8</v>
      </c>
      <c r="H3957" s="27" t="s">
        <v>1000</v>
      </c>
      <c r="I3957" s="27" t="s">
        <v>13</v>
      </c>
    </row>
    <row r="3958" spans="1:9" x14ac:dyDescent="0.3">
      <c r="A3958" s="26">
        <v>45138</v>
      </c>
      <c r="B3958" s="27" t="s">
        <v>121</v>
      </c>
      <c r="C3958" s="27" t="s">
        <v>20</v>
      </c>
      <c r="D3958" s="27" t="s">
        <v>7</v>
      </c>
      <c r="E3958" s="28">
        <v>136239</v>
      </c>
      <c r="F3958" s="28">
        <v>121385</v>
      </c>
      <c r="G3958" s="27" t="s">
        <v>8</v>
      </c>
      <c r="H3958" s="27" t="s">
        <v>1243</v>
      </c>
      <c r="I3958" s="27" t="s">
        <v>13</v>
      </c>
    </row>
    <row r="3959" spans="1:9" x14ac:dyDescent="0.3">
      <c r="A3959" s="26">
        <v>45138</v>
      </c>
      <c r="B3959" s="27" t="s">
        <v>121</v>
      </c>
      <c r="C3959" s="27" t="s">
        <v>20</v>
      </c>
      <c r="D3959" s="27" t="s">
        <v>19</v>
      </c>
      <c r="E3959" s="28">
        <v>54906</v>
      </c>
      <c r="F3959" s="28">
        <v>59736</v>
      </c>
      <c r="G3959" s="27" t="s">
        <v>11</v>
      </c>
      <c r="H3959" s="27" t="s">
        <v>1325</v>
      </c>
      <c r="I3959" s="27" t="s">
        <v>13</v>
      </c>
    </row>
    <row r="3960" spans="1:9" x14ac:dyDescent="0.3">
      <c r="A3960" s="26">
        <v>45138</v>
      </c>
      <c r="B3960" s="27" t="s">
        <v>121</v>
      </c>
      <c r="C3960" s="27" t="s">
        <v>18</v>
      </c>
      <c r="D3960" s="27" t="s">
        <v>19</v>
      </c>
      <c r="E3960" s="28">
        <v>38836</v>
      </c>
      <c r="F3960" s="28">
        <v>138309</v>
      </c>
      <c r="G3960" s="27" t="s">
        <v>11</v>
      </c>
      <c r="H3960" s="27" t="s">
        <v>1596</v>
      </c>
      <c r="I3960" s="27" t="s">
        <v>13</v>
      </c>
    </row>
    <row r="3961" spans="1:9" x14ac:dyDescent="0.3">
      <c r="A3961" s="26">
        <v>45138</v>
      </c>
      <c r="B3961" s="27" t="s">
        <v>121</v>
      </c>
      <c r="C3961" s="27" t="s">
        <v>10</v>
      </c>
      <c r="D3961" s="27" t="s">
        <v>16</v>
      </c>
      <c r="E3961" s="28">
        <v>89075</v>
      </c>
      <c r="F3961" s="28">
        <v>94076</v>
      </c>
      <c r="G3961" s="27" t="s">
        <v>8</v>
      </c>
      <c r="H3961" s="27" t="s">
        <v>1616</v>
      </c>
      <c r="I3961" s="27" t="s">
        <v>13</v>
      </c>
    </row>
    <row r="3962" spans="1:9" x14ac:dyDescent="0.3">
      <c r="A3962" s="26">
        <v>45138</v>
      </c>
      <c r="B3962" s="27" t="s">
        <v>121</v>
      </c>
      <c r="C3962" s="27" t="s">
        <v>10</v>
      </c>
      <c r="D3962" s="27" t="s">
        <v>16</v>
      </c>
      <c r="E3962" s="28">
        <v>109774</v>
      </c>
      <c r="F3962" s="28">
        <v>109095</v>
      </c>
      <c r="G3962" s="27" t="s">
        <v>22</v>
      </c>
      <c r="H3962" s="27" t="s">
        <v>2214</v>
      </c>
      <c r="I3962" s="27" t="s">
        <v>13</v>
      </c>
    </row>
    <row r="3963" spans="1:9" x14ac:dyDescent="0.3">
      <c r="A3963" s="26">
        <v>45138</v>
      </c>
      <c r="B3963" s="27" t="s">
        <v>121</v>
      </c>
      <c r="C3963" s="27" t="s">
        <v>20</v>
      </c>
      <c r="D3963" s="27" t="s">
        <v>16</v>
      </c>
      <c r="E3963" s="28">
        <v>58241</v>
      </c>
      <c r="F3963" s="28">
        <v>111419</v>
      </c>
      <c r="G3963" s="27" t="s">
        <v>17</v>
      </c>
      <c r="H3963" s="27" t="s">
        <v>2324</v>
      </c>
      <c r="I3963" s="27" t="s">
        <v>13</v>
      </c>
    </row>
    <row r="3964" spans="1:9" x14ac:dyDescent="0.3">
      <c r="A3964" s="26">
        <v>45138</v>
      </c>
      <c r="B3964" s="27" t="s">
        <v>121</v>
      </c>
      <c r="C3964" s="27" t="s">
        <v>20</v>
      </c>
      <c r="D3964" s="27" t="s">
        <v>24</v>
      </c>
      <c r="E3964" s="28">
        <v>59652</v>
      </c>
      <c r="F3964" s="28">
        <v>146594</v>
      </c>
      <c r="G3964" s="27" t="s">
        <v>17</v>
      </c>
      <c r="H3964" s="27" t="s">
        <v>2563</v>
      </c>
      <c r="I3964" s="27" t="s">
        <v>13</v>
      </c>
    </row>
    <row r="3965" spans="1:9" x14ac:dyDescent="0.3">
      <c r="A3965" s="26">
        <v>45138</v>
      </c>
      <c r="B3965" s="27" t="s">
        <v>121</v>
      </c>
      <c r="C3965" s="27" t="s">
        <v>15</v>
      </c>
      <c r="D3965" s="27" t="s">
        <v>21</v>
      </c>
      <c r="E3965" s="28">
        <v>105402</v>
      </c>
      <c r="F3965" s="28">
        <v>37117</v>
      </c>
      <c r="G3965" s="27" t="s">
        <v>8</v>
      </c>
      <c r="H3965" s="27" t="s">
        <v>3091</v>
      </c>
      <c r="I3965" s="27" t="s">
        <v>13</v>
      </c>
    </row>
    <row r="3966" spans="1:9" x14ac:dyDescent="0.3">
      <c r="A3966" s="26">
        <v>45138</v>
      </c>
      <c r="B3966" s="27" t="s">
        <v>121</v>
      </c>
      <c r="C3966" s="27" t="s">
        <v>14</v>
      </c>
      <c r="D3966" s="27" t="s">
        <v>21</v>
      </c>
      <c r="E3966" s="28">
        <v>90990</v>
      </c>
      <c r="F3966" s="28">
        <v>15474</v>
      </c>
      <c r="G3966" s="27" t="s">
        <v>8</v>
      </c>
      <c r="H3966" s="27" t="s">
        <v>3128</v>
      </c>
      <c r="I3966" s="27" t="s">
        <v>13</v>
      </c>
    </row>
    <row r="3967" spans="1:9" x14ac:dyDescent="0.3">
      <c r="A3967" s="26">
        <v>45138</v>
      </c>
      <c r="B3967" s="27" t="s">
        <v>121</v>
      </c>
      <c r="C3967" s="27" t="s">
        <v>93</v>
      </c>
      <c r="D3967" s="27" t="s">
        <v>21</v>
      </c>
      <c r="E3967" s="28">
        <v>176200</v>
      </c>
      <c r="F3967" s="28">
        <v>198700</v>
      </c>
      <c r="G3967" s="27" t="s">
        <v>11</v>
      </c>
      <c r="H3967" s="27" t="s">
        <v>4023</v>
      </c>
      <c r="I3967" s="27" t="s">
        <v>9</v>
      </c>
    </row>
    <row r="3968" spans="1:9" x14ac:dyDescent="0.3">
      <c r="A3968" s="26">
        <v>45138</v>
      </c>
      <c r="B3968" s="27" t="s">
        <v>121</v>
      </c>
      <c r="C3968" s="27" t="s">
        <v>6</v>
      </c>
      <c r="D3968" s="27" t="s">
        <v>19</v>
      </c>
      <c r="E3968" s="28">
        <v>93800</v>
      </c>
      <c r="F3968" s="28">
        <v>99900</v>
      </c>
      <c r="G3968" s="27" t="s">
        <v>22</v>
      </c>
      <c r="H3968" s="27" t="s">
        <v>4169</v>
      </c>
      <c r="I3968" s="27" t="s">
        <v>9</v>
      </c>
    </row>
    <row r="3969" spans="1:9" x14ac:dyDescent="0.3">
      <c r="A3969" s="26">
        <v>45138</v>
      </c>
      <c r="B3969" s="27" t="s">
        <v>121</v>
      </c>
      <c r="C3969" s="27" t="s">
        <v>6</v>
      </c>
      <c r="D3969" s="27" t="s">
        <v>24</v>
      </c>
      <c r="E3969" s="28">
        <v>107000</v>
      </c>
      <c r="F3969" s="28">
        <v>96600</v>
      </c>
      <c r="G3969" s="27" t="s">
        <v>11</v>
      </c>
      <c r="H3969" s="27" t="s">
        <v>4348</v>
      </c>
      <c r="I3969" s="27" t="s">
        <v>9</v>
      </c>
    </row>
    <row r="3970" spans="1:9" x14ac:dyDescent="0.3">
      <c r="A3970" s="26">
        <v>45138</v>
      </c>
      <c r="B3970" s="27" t="s">
        <v>121</v>
      </c>
      <c r="C3970" s="27" t="s">
        <v>6</v>
      </c>
      <c r="D3970" s="27" t="s">
        <v>24</v>
      </c>
      <c r="E3970" s="28">
        <v>129100</v>
      </c>
      <c r="F3970" s="28">
        <v>143800</v>
      </c>
      <c r="G3970" s="27" t="s">
        <v>22</v>
      </c>
      <c r="H3970" s="27" t="s">
        <v>4381</v>
      </c>
      <c r="I3970" s="27" t="s">
        <v>9</v>
      </c>
    </row>
    <row r="3971" spans="1:9" x14ac:dyDescent="0.3">
      <c r="A3971" s="26">
        <v>45138</v>
      </c>
      <c r="B3971" s="27" t="s">
        <v>121</v>
      </c>
      <c r="C3971" s="27" t="s">
        <v>93</v>
      </c>
      <c r="D3971" s="27" t="s">
        <v>7</v>
      </c>
      <c r="E3971" s="28">
        <v>69600</v>
      </c>
      <c r="F3971" s="28">
        <v>68700</v>
      </c>
      <c r="G3971" s="27" t="s">
        <v>11</v>
      </c>
      <c r="H3971" s="27" t="s">
        <v>4626</v>
      </c>
      <c r="I3971" s="27" t="s">
        <v>9</v>
      </c>
    </row>
    <row r="3972" spans="1:9" x14ac:dyDescent="0.3">
      <c r="A3972" s="26">
        <v>45138</v>
      </c>
      <c r="B3972" s="27" t="s">
        <v>121</v>
      </c>
      <c r="C3972" s="27" t="s">
        <v>6</v>
      </c>
      <c r="D3972" s="27" t="s">
        <v>19</v>
      </c>
      <c r="E3972" s="28">
        <v>143000</v>
      </c>
      <c r="F3972" s="28">
        <v>166900</v>
      </c>
      <c r="G3972" s="27" t="s">
        <v>11</v>
      </c>
      <c r="H3972" s="27" t="s">
        <v>4708</v>
      </c>
      <c r="I3972" s="27" t="s">
        <v>9</v>
      </c>
    </row>
    <row r="3973" spans="1:9" x14ac:dyDescent="0.3">
      <c r="A3973" s="26">
        <v>45138</v>
      </c>
      <c r="B3973" s="27" t="s">
        <v>121</v>
      </c>
      <c r="C3973" s="27" t="s">
        <v>93</v>
      </c>
      <c r="D3973" s="27" t="s">
        <v>19</v>
      </c>
      <c r="E3973" s="28">
        <v>138600</v>
      </c>
      <c r="F3973" s="28">
        <v>145600</v>
      </c>
      <c r="G3973" s="27" t="s">
        <v>11</v>
      </c>
      <c r="H3973" s="27" t="s">
        <v>4979</v>
      </c>
      <c r="I3973" s="27" t="s">
        <v>9</v>
      </c>
    </row>
    <row r="3974" spans="1:9" x14ac:dyDescent="0.3">
      <c r="A3974" s="26">
        <v>45138</v>
      </c>
      <c r="B3974" s="27" t="s">
        <v>121</v>
      </c>
      <c r="C3974" s="27" t="s">
        <v>93</v>
      </c>
      <c r="D3974" s="27" t="s">
        <v>16</v>
      </c>
      <c r="E3974" s="28">
        <v>64900</v>
      </c>
      <c r="F3974" s="28">
        <v>79100</v>
      </c>
      <c r="G3974" s="27" t="s">
        <v>11</v>
      </c>
      <c r="H3974" s="27" t="s">
        <v>4999</v>
      </c>
      <c r="I3974" s="27" t="s">
        <v>9</v>
      </c>
    </row>
    <row r="3975" spans="1:9" x14ac:dyDescent="0.3">
      <c r="A3975" s="26">
        <v>45138</v>
      </c>
      <c r="B3975" s="27" t="s">
        <v>121</v>
      </c>
      <c r="C3975" s="27" t="s">
        <v>6</v>
      </c>
      <c r="D3975" s="27" t="s">
        <v>16</v>
      </c>
      <c r="E3975" s="28">
        <v>93000</v>
      </c>
      <c r="F3975" s="28">
        <v>92600</v>
      </c>
      <c r="G3975" s="27" t="s">
        <v>11</v>
      </c>
      <c r="H3975" s="27" t="s">
        <v>5599</v>
      </c>
      <c r="I3975" s="27" t="s">
        <v>9</v>
      </c>
    </row>
    <row r="3976" spans="1:9" x14ac:dyDescent="0.3">
      <c r="A3976" s="26">
        <v>45138</v>
      </c>
      <c r="B3976" s="27" t="s">
        <v>121</v>
      </c>
      <c r="C3976" s="27" t="s">
        <v>93</v>
      </c>
      <c r="D3976" s="27" t="s">
        <v>16</v>
      </c>
      <c r="E3976" s="28">
        <v>94500</v>
      </c>
      <c r="F3976" s="28">
        <v>93400</v>
      </c>
      <c r="G3976" s="27" t="s">
        <v>17</v>
      </c>
      <c r="H3976" s="27" t="s">
        <v>5709</v>
      </c>
      <c r="I3976" s="27" t="s">
        <v>9</v>
      </c>
    </row>
    <row r="3977" spans="1:9" x14ac:dyDescent="0.3">
      <c r="A3977" s="26">
        <v>45138</v>
      </c>
      <c r="B3977" s="27" t="s">
        <v>121</v>
      </c>
      <c r="C3977" s="27" t="s">
        <v>93</v>
      </c>
      <c r="D3977" s="27" t="s">
        <v>24</v>
      </c>
      <c r="E3977" s="28">
        <v>30100</v>
      </c>
      <c r="F3977" s="28">
        <v>28100</v>
      </c>
      <c r="G3977" s="27" t="s">
        <v>22</v>
      </c>
      <c r="H3977" s="27" t="s">
        <v>5948</v>
      </c>
      <c r="I3977" s="27" t="s">
        <v>9</v>
      </c>
    </row>
    <row r="3978" spans="1:9" x14ac:dyDescent="0.3">
      <c r="A3978" s="26">
        <v>45138</v>
      </c>
      <c r="B3978" s="27" t="s">
        <v>121</v>
      </c>
      <c r="C3978" s="27" t="s">
        <v>6</v>
      </c>
      <c r="D3978" s="27" t="s">
        <v>21</v>
      </c>
      <c r="E3978" s="28">
        <v>71500</v>
      </c>
      <c r="F3978" s="28">
        <v>84700</v>
      </c>
      <c r="G3978" s="27" t="s">
        <v>11</v>
      </c>
      <c r="H3978" s="27" t="s">
        <v>6476</v>
      </c>
      <c r="I3978" s="27" t="s">
        <v>9</v>
      </c>
    </row>
    <row r="3979" spans="1:9" x14ac:dyDescent="0.3">
      <c r="A3979" s="26">
        <v>45138</v>
      </c>
      <c r="B3979" s="27" t="s">
        <v>121</v>
      </c>
      <c r="C3979" s="27" t="s">
        <v>93</v>
      </c>
      <c r="D3979" s="27" t="s">
        <v>21</v>
      </c>
      <c r="E3979" s="28">
        <v>116200</v>
      </c>
      <c r="F3979" s="28">
        <v>111500</v>
      </c>
      <c r="G3979" s="27" t="s">
        <v>17</v>
      </c>
      <c r="H3979" s="27" t="s">
        <v>6513</v>
      </c>
      <c r="I3979" s="27" t="s">
        <v>9</v>
      </c>
    </row>
    <row r="3980" spans="1:9" x14ac:dyDescent="0.3">
      <c r="A3980" s="26">
        <v>45139</v>
      </c>
      <c r="B3980" s="27" t="s">
        <v>120</v>
      </c>
      <c r="C3980" s="27" t="s">
        <v>10</v>
      </c>
      <c r="D3980" s="27" t="s">
        <v>7</v>
      </c>
      <c r="E3980" s="28">
        <v>122301</v>
      </c>
      <c r="F3980" s="28">
        <v>42343</v>
      </c>
      <c r="G3980" s="27" t="s">
        <v>8</v>
      </c>
      <c r="H3980" s="27" t="s">
        <v>766</v>
      </c>
      <c r="I3980" s="27" t="s">
        <v>13</v>
      </c>
    </row>
    <row r="3981" spans="1:9" x14ac:dyDescent="0.3">
      <c r="A3981" s="26">
        <v>45139</v>
      </c>
      <c r="B3981" s="27" t="s">
        <v>120</v>
      </c>
      <c r="C3981" s="27" t="s">
        <v>15</v>
      </c>
      <c r="D3981" s="27" t="s">
        <v>19</v>
      </c>
      <c r="E3981" s="28">
        <v>60184</v>
      </c>
      <c r="F3981" s="28">
        <v>33558</v>
      </c>
      <c r="G3981" s="27" t="s">
        <v>22</v>
      </c>
      <c r="H3981" s="27" t="s">
        <v>867</v>
      </c>
      <c r="I3981" s="27" t="s">
        <v>13</v>
      </c>
    </row>
    <row r="3982" spans="1:9" x14ac:dyDescent="0.3">
      <c r="A3982" s="26">
        <v>45139</v>
      </c>
      <c r="B3982" s="27" t="s">
        <v>120</v>
      </c>
      <c r="C3982" s="27" t="s">
        <v>32</v>
      </c>
      <c r="D3982" s="27" t="s">
        <v>24</v>
      </c>
      <c r="E3982" s="28">
        <v>30122</v>
      </c>
      <c r="F3982" s="28">
        <v>46880</v>
      </c>
      <c r="G3982" s="27" t="s">
        <v>22</v>
      </c>
      <c r="H3982" s="27" t="s">
        <v>871</v>
      </c>
      <c r="I3982" s="27" t="s">
        <v>13</v>
      </c>
    </row>
    <row r="3983" spans="1:9" x14ac:dyDescent="0.3">
      <c r="A3983" s="26">
        <v>45139</v>
      </c>
      <c r="B3983" s="27" t="s">
        <v>120</v>
      </c>
      <c r="C3983" s="27" t="s">
        <v>10</v>
      </c>
      <c r="D3983" s="27" t="s">
        <v>16</v>
      </c>
      <c r="E3983" s="28">
        <v>46499</v>
      </c>
      <c r="F3983" s="28">
        <v>91518</v>
      </c>
      <c r="G3983" s="27" t="s">
        <v>22</v>
      </c>
      <c r="H3983" s="27" t="s">
        <v>894</v>
      </c>
      <c r="I3983" s="27" t="s">
        <v>13</v>
      </c>
    </row>
    <row r="3984" spans="1:9" x14ac:dyDescent="0.3">
      <c r="A3984" s="26">
        <v>45139</v>
      </c>
      <c r="B3984" s="27" t="s">
        <v>120</v>
      </c>
      <c r="C3984" s="27" t="s">
        <v>20</v>
      </c>
      <c r="D3984" s="27" t="s">
        <v>16</v>
      </c>
      <c r="E3984" s="28">
        <v>20250</v>
      </c>
      <c r="F3984" s="28">
        <v>86901</v>
      </c>
      <c r="G3984" s="27" t="s">
        <v>17</v>
      </c>
      <c r="H3984" s="27" t="s">
        <v>994</v>
      </c>
      <c r="I3984" s="27" t="s">
        <v>13</v>
      </c>
    </row>
    <row r="3985" spans="1:9" x14ac:dyDescent="0.3">
      <c r="A3985" s="26">
        <v>45139</v>
      </c>
      <c r="B3985" s="27" t="s">
        <v>120</v>
      </c>
      <c r="C3985" s="27" t="s">
        <v>32</v>
      </c>
      <c r="D3985" s="27" t="s">
        <v>19</v>
      </c>
      <c r="E3985" s="28">
        <v>61973</v>
      </c>
      <c r="F3985" s="28">
        <v>25898</v>
      </c>
      <c r="G3985" s="27" t="s">
        <v>11</v>
      </c>
      <c r="H3985" s="27" t="s">
        <v>1312</v>
      </c>
      <c r="I3985" s="27" t="s">
        <v>13</v>
      </c>
    </row>
    <row r="3986" spans="1:9" x14ac:dyDescent="0.3">
      <c r="A3986" s="26">
        <v>45139</v>
      </c>
      <c r="B3986" s="27" t="s">
        <v>120</v>
      </c>
      <c r="C3986" s="27" t="s">
        <v>18</v>
      </c>
      <c r="D3986" s="27" t="s">
        <v>7</v>
      </c>
      <c r="E3986" s="28">
        <v>49029</v>
      </c>
      <c r="F3986" s="28">
        <v>67831</v>
      </c>
      <c r="G3986" s="27" t="s">
        <v>17</v>
      </c>
      <c r="H3986" s="27" t="s">
        <v>1890</v>
      </c>
      <c r="I3986" s="27" t="s">
        <v>13</v>
      </c>
    </row>
    <row r="3987" spans="1:9" x14ac:dyDescent="0.3">
      <c r="A3987" s="26">
        <v>45139</v>
      </c>
      <c r="B3987" s="27" t="s">
        <v>120</v>
      </c>
      <c r="C3987" s="27" t="s">
        <v>15</v>
      </c>
      <c r="D3987" s="27" t="s">
        <v>19</v>
      </c>
      <c r="E3987" s="28">
        <v>32425</v>
      </c>
      <c r="F3987" s="28">
        <v>129171</v>
      </c>
      <c r="G3987" s="27" t="s">
        <v>8</v>
      </c>
      <c r="H3987" s="27" t="s">
        <v>1982</v>
      </c>
      <c r="I3987" s="27" t="s">
        <v>13</v>
      </c>
    </row>
    <row r="3988" spans="1:9" x14ac:dyDescent="0.3">
      <c r="A3988" s="26">
        <v>45139</v>
      </c>
      <c r="B3988" s="27" t="s">
        <v>120</v>
      </c>
      <c r="C3988" s="27" t="s">
        <v>15</v>
      </c>
      <c r="D3988" s="27" t="s">
        <v>16</v>
      </c>
      <c r="E3988" s="28">
        <v>67083</v>
      </c>
      <c r="F3988" s="28">
        <v>78311</v>
      </c>
      <c r="G3988" s="27" t="s">
        <v>11</v>
      </c>
      <c r="H3988" s="27" t="s">
        <v>2247</v>
      </c>
      <c r="I3988" s="27" t="s">
        <v>13</v>
      </c>
    </row>
    <row r="3989" spans="1:9" x14ac:dyDescent="0.3">
      <c r="A3989" s="26">
        <v>45139</v>
      </c>
      <c r="B3989" s="27" t="s">
        <v>120</v>
      </c>
      <c r="C3989" s="27" t="s">
        <v>20</v>
      </c>
      <c r="D3989" s="27" t="s">
        <v>21</v>
      </c>
      <c r="E3989" s="28">
        <v>129190</v>
      </c>
      <c r="F3989" s="28">
        <v>125145</v>
      </c>
      <c r="G3989" s="27" t="s">
        <v>17</v>
      </c>
      <c r="H3989" s="27" t="s">
        <v>2529</v>
      </c>
      <c r="I3989" s="27" t="s">
        <v>13</v>
      </c>
    </row>
    <row r="3990" spans="1:9" x14ac:dyDescent="0.3">
      <c r="A3990" s="26">
        <v>45139</v>
      </c>
      <c r="B3990" s="27" t="s">
        <v>120</v>
      </c>
      <c r="C3990" s="27" t="s">
        <v>32</v>
      </c>
      <c r="D3990" s="27" t="s">
        <v>24</v>
      </c>
      <c r="E3990" s="28">
        <v>104832</v>
      </c>
      <c r="F3990" s="28">
        <v>133506</v>
      </c>
      <c r="G3990" s="27" t="s">
        <v>11</v>
      </c>
      <c r="H3990" s="27" t="s">
        <v>2588</v>
      </c>
      <c r="I3990" s="27" t="s">
        <v>13</v>
      </c>
    </row>
    <row r="3991" spans="1:9" x14ac:dyDescent="0.3">
      <c r="A3991" s="26">
        <v>45139</v>
      </c>
      <c r="B3991" s="27" t="s">
        <v>120</v>
      </c>
      <c r="C3991" s="27" t="s">
        <v>15</v>
      </c>
      <c r="D3991" s="27" t="s">
        <v>21</v>
      </c>
      <c r="E3991" s="28">
        <v>110155</v>
      </c>
      <c r="F3991" s="28">
        <v>105078</v>
      </c>
      <c r="G3991" s="27" t="s">
        <v>17</v>
      </c>
      <c r="H3991" s="27" t="s">
        <v>3327</v>
      </c>
      <c r="I3991" s="27" t="s">
        <v>13</v>
      </c>
    </row>
    <row r="3992" spans="1:9" x14ac:dyDescent="0.3">
      <c r="A3992" s="26">
        <v>45139</v>
      </c>
      <c r="B3992" s="27" t="s">
        <v>120</v>
      </c>
      <c r="C3992" s="27" t="s">
        <v>6</v>
      </c>
      <c r="D3992" s="27" t="s">
        <v>7</v>
      </c>
      <c r="E3992" s="28">
        <v>69000</v>
      </c>
      <c r="F3992" s="28">
        <v>83900</v>
      </c>
      <c r="G3992" s="27" t="s">
        <v>22</v>
      </c>
      <c r="H3992" s="27" t="s">
        <v>4147</v>
      </c>
      <c r="I3992" s="27" t="s">
        <v>9</v>
      </c>
    </row>
    <row r="3993" spans="1:9" x14ac:dyDescent="0.3">
      <c r="A3993" s="26">
        <v>45139</v>
      </c>
      <c r="B3993" s="27" t="s">
        <v>120</v>
      </c>
      <c r="C3993" s="27" t="s">
        <v>93</v>
      </c>
      <c r="D3993" s="27" t="s">
        <v>19</v>
      </c>
      <c r="E3993" s="28">
        <v>83800</v>
      </c>
      <c r="F3993" s="28">
        <v>69800</v>
      </c>
      <c r="G3993" s="27" t="s">
        <v>22</v>
      </c>
      <c r="H3993" s="27" t="s">
        <v>4248</v>
      </c>
      <c r="I3993" s="27" t="s">
        <v>9</v>
      </c>
    </row>
    <row r="3994" spans="1:9" x14ac:dyDescent="0.3">
      <c r="A3994" s="26">
        <v>45139</v>
      </c>
      <c r="B3994" s="27" t="s">
        <v>120</v>
      </c>
      <c r="C3994" s="27" t="s">
        <v>6</v>
      </c>
      <c r="D3994" s="27" t="s">
        <v>24</v>
      </c>
      <c r="E3994" s="28">
        <v>108000</v>
      </c>
      <c r="F3994" s="28">
        <v>114500</v>
      </c>
      <c r="G3994" s="27" t="s">
        <v>11</v>
      </c>
      <c r="H3994" s="27" t="s">
        <v>4252</v>
      </c>
      <c r="I3994" s="27" t="s">
        <v>9</v>
      </c>
    </row>
    <row r="3995" spans="1:9" x14ac:dyDescent="0.3">
      <c r="A3995" s="26">
        <v>45139</v>
      </c>
      <c r="B3995" s="27" t="s">
        <v>120</v>
      </c>
      <c r="C3995" s="27" t="s">
        <v>93</v>
      </c>
      <c r="D3995" s="27" t="s">
        <v>16</v>
      </c>
      <c r="E3995" s="28">
        <v>109800</v>
      </c>
      <c r="F3995" s="28">
        <v>97400</v>
      </c>
      <c r="G3995" s="27" t="s">
        <v>17</v>
      </c>
      <c r="H3995" s="27" t="s">
        <v>4275</v>
      </c>
      <c r="I3995" s="27" t="s">
        <v>9</v>
      </c>
    </row>
    <row r="3996" spans="1:9" x14ac:dyDescent="0.3">
      <c r="A3996" s="26">
        <v>45139</v>
      </c>
      <c r="B3996" s="27" t="s">
        <v>120</v>
      </c>
      <c r="C3996" s="27" t="s">
        <v>93</v>
      </c>
      <c r="D3996" s="27" t="s">
        <v>16</v>
      </c>
      <c r="E3996" s="28">
        <v>64100</v>
      </c>
      <c r="F3996" s="28">
        <v>58300</v>
      </c>
      <c r="G3996" s="27" t="s">
        <v>22</v>
      </c>
      <c r="H3996" s="27" t="s">
        <v>4375</v>
      </c>
      <c r="I3996" s="27" t="s">
        <v>9</v>
      </c>
    </row>
    <row r="3997" spans="1:9" x14ac:dyDescent="0.3">
      <c r="A3997" s="26">
        <v>45139</v>
      </c>
      <c r="B3997" s="27" t="s">
        <v>120</v>
      </c>
      <c r="C3997" s="27" t="s">
        <v>93</v>
      </c>
      <c r="D3997" s="27" t="s">
        <v>19</v>
      </c>
      <c r="E3997" s="28">
        <v>68600</v>
      </c>
      <c r="F3997" s="28">
        <v>76800</v>
      </c>
      <c r="G3997" s="27" t="s">
        <v>17</v>
      </c>
      <c r="H3997" s="27" t="s">
        <v>4695</v>
      </c>
      <c r="I3997" s="27" t="s">
        <v>9</v>
      </c>
    </row>
    <row r="3998" spans="1:9" x14ac:dyDescent="0.3">
      <c r="A3998" s="26">
        <v>45139</v>
      </c>
      <c r="B3998" s="27" t="s">
        <v>120</v>
      </c>
      <c r="C3998" s="27" t="s">
        <v>6</v>
      </c>
      <c r="D3998" s="27" t="s">
        <v>7</v>
      </c>
      <c r="E3998" s="28">
        <v>128500</v>
      </c>
      <c r="F3998" s="28">
        <v>87800</v>
      </c>
      <c r="G3998" s="27" t="s">
        <v>11</v>
      </c>
      <c r="H3998" s="27" t="s">
        <v>5274</v>
      </c>
      <c r="I3998" s="27" t="s">
        <v>9</v>
      </c>
    </row>
    <row r="3999" spans="1:9" x14ac:dyDescent="0.3">
      <c r="A3999" s="26">
        <v>45139</v>
      </c>
      <c r="B3999" s="27" t="s">
        <v>120</v>
      </c>
      <c r="C3999" s="27" t="s">
        <v>93</v>
      </c>
      <c r="D3999" s="27" t="s">
        <v>19</v>
      </c>
      <c r="E3999" s="28">
        <v>90300</v>
      </c>
      <c r="F3999" s="28">
        <v>97200</v>
      </c>
      <c r="G3999" s="27" t="s">
        <v>22</v>
      </c>
      <c r="H3999" s="27" t="s">
        <v>5366</v>
      </c>
      <c r="I3999" s="27" t="s">
        <v>9</v>
      </c>
    </row>
    <row r="4000" spans="1:9" x14ac:dyDescent="0.3">
      <c r="A4000" s="26">
        <v>45139</v>
      </c>
      <c r="B4000" s="27" t="s">
        <v>120</v>
      </c>
      <c r="C4000" s="27" t="s">
        <v>6</v>
      </c>
      <c r="D4000" s="27" t="s">
        <v>16</v>
      </c>
      <c r="E4000" s="28">
        <v>162000</v>
      </c>
      <c r="F4000" s="28">
        <v>134600</v>
      </c>
      <c r="G4000" s="27" t="s">
        <v>11</v>
      </c>
      <c r="H4000" s="27" t="s">
        <v>5632</v>
      </c>
      <c r="I4000" s="27" t="s">
        <v>9</v>
      </c>
    </row>
    <row r="4001" spans="1:9" x14ac:dyDescent="0.3">
      <c r="A4001" s="26">
        <v>45139</v>
      </c>
      <c r="B4001" s="27" t="s">
        <v>120</v>
      </c>
      <c r="C4001" s="27" t="s">
        <v>6</v>
      </c>
      <c r="D4001" s="27" t="s">
        <v>21</v>
      </c>
      <c r="E4001" s="28">
        <v>252700</v>
      </c>
      <c r="F4001" s="28">
        <v>310600</v>
      </c>
      <c r="G4001" s="27" t="s">
        <v>11</v>
      </c>
      <c r="H4001" s="27" t="s">
        <v>5914</v>
      </c>
      <c r="I4001" s="27" t="s">
        <v>9</v>
      </c>
    </row>
    <row r="4002" spans="1:9" x14ac:dyDescent="0.3">
      <c r="A4002" s="26">
        <v>45139</v>
      </c>
      <c r="B4002" s="27" t="s">
        <v>120</v>
      </c>
      <c r="C4002" s="27" t="s">
        <v>93</v>
      </c>
      <c r="D4002" s="27" t="s">
        <v>24</v>
      </c>
      <c r="E4002" s="28">
        <v>54200</v>
      </c>
      <c r="F4002" s="28">
        <v>68300</v>
      </c>
      <c r="G4002" s="27" t="s">
        <v>17</v>
      </c>
      <c r="H4002" s="27" t="s">
        <v>5973</v>
      </c>
      <c r="I4002" s="27" t="s">
        <v>9</v>
      </c>
    </row>
    <row r="4003" spans="1:9" x14ac:dyDescent="0.3">
      <c r="A4003" s="26">
        <v>45139</v>
      </c>
      <c r="B4003" s="27" t="s">
        <v>120</v>
      </c>
      <c r="C4003" s="27" t="s">
        <v>93</v>
      </c>
      <c r="D4003" s="27" t="s">
        <v>21</v>
      </c>
      <c r="E4003" s="28">
        <v>126900</v>
      </c>
      <c r="F4003" s="28">
        <v>133500</v>
      </c>
      <c r="G4003" s="27" t="s">
        <v>22</v>
      </c>
      <c r="H4003" s="27" t="s">
        <v>6712</v>
      </c>
      <c r="I4003" s="27" t="s">
        <v>9</v>
      </c>
    </row>
    <row r="4004" spans="1:9" x14ac:dyDescent="0.3">
      <c r="A4004" s="26">
        <v>45140</v>
      </c>
      <c r="B4004" s="27" t="s">
        <v>120</v>
      </c>
      <c r="C4004" s="27" t="s">
        <v>18</v>
      </c>
      <c r="D4004" s="27" t="s">
        <v>16</v>
      </c>
      <c r="E4004" s="28">
        <v>24842</v>
      </c>
      <c r="F4004" s="28">
        <v>63671</v>
      </c>
      <c r="G4004" s="27" t="s">
        <v>17</v>
      </c>
      <c r="H4004" s="27" t="s">
        <v>412</v>
      </c>
      <c r="I4004" s="27" t="s">
        <v>13</v>
      </c>
    </row>
    <row r="4005" spans="1:9" x14ac:dyDescent="0.3">
      <c r="A4005" s="26">
        <v>45140</v>
      </c>
      <c r="B4005" s="27" t="s">
        <v>120</v>
      </c>
      <c r="C4005" s="27" t="s">
        <v>32</v>
      </c>
      <c r="D4005" s="27" t="s">
        <v>19</v>
      </c>
      <c r="E4005" s="28">
        <v>96034</v>
      </c>
      <c r="F4005" s="28">
        <v>72849</v>
      </c>
      <c r="G4005" s="27" t="s">
        <v>17</v>
      </c>
      <c r="H4005" s="27" t="s">
        <v>647</v>
      </c>
      <c r="I4005" s="27" t="s">
        <v>13</v>
      </c>
    </row>
    <row r="4006" spans="1:9" x14ac:dyDescent="0.3">
      <c r="A4006" s="26">
        <v>45140</v>
      </c>
      <c r="B4006" s="27" t="s">
        <v>120</v>
      </c>
      <c r="C4006" s="27" t="s">
        <v>18</v>
      </c>
      <c r="D4006" s="27" t="s">
        <v>7</v>
      </c>
      <c r="E4006" s="28">
        <v>48649</v>
      </c>
      <c r="F4006" s="28">
        <v>38254</v>
      </c>
      <c r="G4006" s="27" t="s">
        <v>8</v>
      </c>
      <c r="H4006" s="27" t="s">
        <v>824</v>
      </c>
      <c r="I4006" s="27" t="s">
        <v>13</v>
      </c>
    </row>
    <row r="4007" spans="1:9" x14ac:dyDescent="0.3">
      <c r="A4007" s="26">
        <v>45140</v>
      </c>
      <c r="B4007" s="27" t="s">
        <v>120</v>
      </c>
      <c r="C4007" s="27" t="s">
        <v>20</v>
      </c>
      <c r="D4007" s="27" t="s">
        <v>16</v>
      </c>
      <c r="E4007" s="28">
        <v>55985</v>
      </c>
      <c r="F4007" s="28">
        <v>100270</v>
      </c>
      <c r="G4007" s="27" t="s">
        <v>8</v>
      </c>
      <c r="H4007" s="27" t="s">
        <v>1090</v>
      </c>
      <c r="I4007" s="27" t="s">
        <v>13</v>
      </c>
    </row>
    <row r="4008" spans="1:9" x14ac:dyDescent="0.3">
      <c r="A4008" s="26">
        <v>45140</v>
      </c>
      <c r="B4008" s="27" t="s">
        <v>120</v>
      </c>
      <c r="C4008" s="27" t="s">
        <v>14</v>
      </c>
      <c r="D4008" s="27" t="s">
        <v>16</v>
      </c>
      <c r="E4008" s="28">
        <v>14455</v>
      </c>
      <c r="F4008" s="28">
        <v>103607</v>
      </c>
      <c r="G4008" s="27" t="s">
        <v>8</v>
      </c>
      <c r="H4008" s="27" t="s">
        <v>1182</v>
      </c>
      <c r="I4008" s="27" t="s">
        <v>13</v>
      </c>
    </row>
    <row r="4009" spans="1:9" x14ac:dyDescent="0.3">
      <c r="A4009" s="26">
        <v>45140</v>
      </c>
      <c r="B4009" s="27" t="s">
        <v>120</v>
      </c>
      <c r="C4009" s="27" t="s">
        <v>18</v>
      </c>
      <c r="D4009" s="27" t="s">
        <v>7</v>
      </c>
      <c r="E4009" s="28">
        <v>61754</v>
      </c>
      <c r="F4009" s="28">
        <v>147039</v>
      </c>
      <c r="G4009" s="27" t="s">
        <v>17</v>
      </c>
      <c r="H4009" s="27" t="s">
        <v>1331</v>
      </c>
      <c r="I4009" s="27" t="s">
        <v>13</v>
      </c>
    </row>
    <row r="4010" spans="1:9" x14ac:dyDescent="0.3">
      <c r="A4010" s="26">
        <v>45140</v>
      </c>
      <c r="B4010" s="27" t="s">
        <v>120</v>
      </c>
      <c r="C4010" s="27" t="s">
        <v>20</v>
      </c>
      <c r="D4010" s="27" t="s">
        <v>7</v>
      </c>
      <c r="E4010" s="28">
        <v>95120</v>
      </c>
      <c r="F4010" s="28">
        <v>99414</v>
      </c>
      <c r="G4010" s="27" t="s">
        <v>17</v>
      </c>
      <c r="H4010" s="27" t="s">
        <v>2159</v>
      </c>
      <c r="I4010" s="27" t="s">
        <v>13</v>
      </c>
    </row>
    <row r="4011" spans="1:9" x14ac:dyDescent="0.3">
      <c r="A4011" s="26">
        <v>45140</v>
      </c>
      <c r="B4011" s="27" t="s">
        <v>120</v>
      </c>
      <c r="C4011" s="27" t="s">
        <v>10</v>
      </c>
      <c r="D4011" s="27" t="s">
        <v>19</v>
      </c>
      <c r="E4011" s="28">
        <v>60711</v>
      </c>
      <c r="F4011" s="28">
        <v>120655</v>
      </c>
      <c r="G4011" s="27" t="s">
        <v>22</v>
      </c>
      <c r="H4011" s="27" t="s">
        <v>2174</v>
      </c>
      <c r="I4011" s="27" t="s">
        <v>13</v>
      </c>
    </row>
    <row r="4012" spans="1:9" x14ac:dyDescent="0.3">
      <c r="A4012" s="26">
        <v>45140</v>
      </c>
      <c r="B4012" s="27" t="s">
        <v>120</v>
      </c>
      <c r="C4012" s="27" t="s">
        <v>32</v>
      </c>
      <c r="D4012" s="27" t="s">
        <v>24</v>
      </c>
      <c r="E4012" s="28">
        <v>60971</v>
      </c>
      <c r="F4012" s="28">
        <v>24698</v>
      </c>
      <c r="G4012" s="27" t="s">
        <v>22</v>
      </c>
      <c r="H4012" s="27" t="s">
        <v>2395</v>
      </c>
      <c r="I4012" s="27" t="s">
        <v>13</v>
      </c>
    </row>
    <row r="4013" spans="1:9" x14ac:dyDescent="0.3">
      <c r="A4013" s="26">
        <v>45140</v>
      </c>
      <c r="B4013" s="27" t="s">
        <v>120</v>
      </c>
      <c r="C4013" s="27" t="s">
        <v>20</v>
      </c>
      <c r="D4013" s="27" t="s">
        <v>21</v>
      </c>
      <c r="E4013" s="28">
        <v>107203</v>
      </c>
      <c r="F4013" s="28">
        <v>92663</v>
      </c>
      <c r="G4013" s="27" t="s">
        <v>17</v>
      </c>
      <c r="H4013" s="27" t="s">
        <v>3163</v>
      </c>
      <c r="I4013" s="27" t="s">
        <v>13</v>
      </c>
    </row>
    <row r="4014" spans="1:9" x14ac:dyDescent="0.3">
      <c r="A4014" s="26">
        <v>45140</v>
      </c>
      <c r="B4014" s="27" t="s">
        <v>120</v>
      </c>
      <c r="C4014" s="27" t="s">
        <v>6</v>
      </c>
      <c r="D4014" s="27" t="s">
        <v>16</v>
      </c>
      <c r="E4014" s="28">
        <v>104800</v>
      </c>
      <c r="F4014" s="28">
        <v>95200</v>
      </c>
      <c r="G4014" s="27" t="s">
        <v>11</v>
      </c>
      <c r="H4014" s="27" t="s">
        <v>3793</v>
      </c>
      <c r="I4014" s="27" t="s">
        <v>9</v>
      </c>
    </row>
    <row r="4015" spans="1:9" x14ac:dyDescent="0.3">
      <c r="A4015" s="26">
        <v>45140</v>
      </c>
      <c r="B4015" s="27" t="s">
        <v>120</v>
      </c>
      <c r="C4015" s="27" t="s">
        <v>6</v>
      </c>
      <c r="D4015" s="27" t="s">
        <v>19</v>
      </c>
      <c r="E4015" s="28">
        <v>106300</v>
      </c>
      <c r="F4015" s="28">
        <v>121500</v>
      </c>
      <c r="G4015" s="27" t="s">
        <v>11</v>
      </c>
      <c r="H4015" s="27" t="s">
        <v>4028</v>
      </c>
      <c r="I4015" s="27" t="s">
        <v>9</v>
      </c>
    </row>
    <row r="4016" spans="1:9" x14ac:dyDescent="0.3">
      <c r="A4016" s="26">
        <v>45140</v>
      </c>
      <c r="B4016" s="27" t="s">
        <v>120</v>
      </c>
      <c r="C4016" s="27" t="s">
        <v>6</v>
      </c>
      <c r="D4016" s="27" t="s">
        <v>7</v>
      </c>
      <c r="E4016" s="28">
        <v>105500</v>
      </c>
      <c r="F4016" s="28">
        <v>115300</v>
      </c>
      <c r="G4016" s="27" t="s">
        <v>11</v>
      </c>
      <c r="H4016" s="27" t="s">
        <v>4205</v>
      </c>
      <c r="I4016" s="27" t="s">
        <v>9</v>
      </c>
    </row>
    <row r="4017" spans="1:9" x14ac:dyDescent="0.3">
      <c r="A4017" s="26">
        <v>45140</v>
      </c>
      <c r="B4017" s="27" t="s">
        <v>120</v>
      </c>
      <c r="C4017" s="27" t="s">
        <v>93</v>
      </c>
      <c r="D4017" s="27" t="s">
        <v>16</v>
      </c>
      <c r="E4017" s="28">
        <v>165000</v>
      </c>
      <c r="F4017" s="28">
        <v>209800</v>
      </c>
      <c r="G4017" s="27" t="s">
        <v>22</v>
      </c>
      <c r="H4017" s="27" t="s">
        <v>4472</v>
      </c>
      <c r="I4017" s="27" t="s">
        <v>9</v>
      </c>
    </row>
    <row r="4018" spans="1:9" x14ac:dyDescent="0.3">
      <c r="A4018" s="26">
        <v>45140</v>
      </c>
      <c r="B4018" s="27" t="s">
        <v>120</v>
      </c>
      <c r="C4018" s="27" t="s">
        <v>6</v>
      </c>
      <c r="D4018" s="27" t="s">
        <v>16</v>
      </c>
      <c r="E4018" s="28">
        <v>216500</v>
      </c>
      <c r="F4018" s="28">
        <v>213400</v>
      </c>
      <c r="G4018" s="27" t="s">
        <v>11</v>
      </c>
      <c r="H4018" s="27" t="s">
        <v>4565</v>
      </c>
      <c r="I4018" s="27" t="s">
        <v>9</v>
      </c>
    </row>
    <row r="4019" spans="1:9" x14ac:dyDescent="0.3">
      <c r="A4019" s="26">
        <v>45140</v>
      </c>
      <c r="B4019" s="27" t="s">
        <v>120</v>
      </c>
      <c r="C4019" s="27" t="s">
        <v>6</v>
      </c>
      <c r="D4019" s="27" t="s">
        <v>7</v>
      </c>
      <c r="E4019" s="28">
        <v>217800</v>
      </c>
      <c r="F4019" s="28">
        <v>256700</v>
      </c>
      <c r="G4019" s="27" t="s">
        <v>17</v>
      </c>
      <c r="H4019" s="27" t="s">
        <v>4714</v>
      </c>
      <c r="I4019" s="27" t="s">
        <v>9</v>
      </c>
    </row>
    <row r="4020" spans="1:9" x14ac:dyDescent="0.3">
      <c r="A4020" s="26">
        <v>45140</v>
      </c>
      <c r="B4020" s="27" t="s">
        <v>120</v>
      </c>
      <c r="C4020" s="27" t="s">
        <v>93</v>
      </c>
      <c r="D4020" s="27" t="s">
        <v>7</v>
      </c>
      <c r="E4020" s="28">
        <v>119500</v>
      </c>
      <c r="F4020" s="28">
        <v>123000</v>
      </c>
      <c r="G4020" s="27" t="s">
        <v>11</v>
      </c>
      <c r="H4020" s="27" t="s">
        <v>5544</v>
      </c>
      <c r="I4020" s="27" t="s">
        <v>9</v>
      </c>
    </row>
    <row r="4021" spans="1:9" x14ac:dyDescent="0.3">
      <c r="A4021" s="26">
        <v>45140</v>
      </c>
      <c r="B4021" s="27" t="s">
        <v>120</v>
      </c>
      <c r="C4021" s="27" t="s">
        <v>6</v>
      </c>
      <c r="D4021" s="27" t="s">
        <v>19</v>
      </c>
      <c r="E4021" s="28">
        <v>131500</v>
      </c>
      <c r="F4021" s="28">
        <v>100100</v>
      </c>
      <c r="G4021" s="27" t="s">
        <v>17</v>
      </c>
      <c r="H4021" s="27" t="s">
        <v>5559</v>
      </c>
      <c r="I4021" s="27" t="s">
        <v>9</v>
      </c>
    </row>
    <row r="4022" spans="1:9" x14ac:dyDescent="0.3">
      <c r="A4022" s="26">
        <v>45140</v>
      </c>
      <c r="B4022" s="27" t="s">
        <v>120</v>
      </c>
      <c r="C4022" s="27" t="s">
        <v>6</v>
      </c>
      <c r="D4022" s="27" t="s">
        <v>24</v>
      </c>
      <c r="E4022" s="28">
        <v>186600</v>
      </c>
      <c r="F4022" s="28">
        <v>187600</v>
      </c>
      <c r="G4022" s="27" t="s">
        <v>17</v>
      </c>
      <c r="H4022" s="27" t="s">
        <v>5780</v>
      </c>
      <c r="I4022" s="27" t="s">
        <v>9</v>
      </c>
    </row>
    <row r="4023" spans="1:9" x14ac:dyDescent="0.3">
      <c r="A4023" s="26">
        <v>45140</v>
      </c>
      <c r="B4023" s="27" t="s">
        <v>120</v>
      </c>
      <c r="C4023" s="27" t="s">
        <v>93</v>
      </c>
      <c r="D4023" s="27" t="s">
        <v>21</v>
      </c>
      <c r="E4023" s="28">
        <v>110600</v>
      </c>
      <c r="F4023" s="28">
        <v>143300</v>
      </c>
      <c r="G4023" s="27" t="s">
        <v>17</v>
      </c>
      <c r="H4023" s="27" t="s">
        <v>6548</v>
      </c>
      <c r="I4023" s="27" t="s">
        <v>9</v>
      </c>
    </row>
    <row r="4024" spans="1:9" x14ac:dyDescent="0.3">
      <c r="A4024" s="26">
        <v>45141</v>
      </c>
      <c r="B4024" s="27" t="s">
        <v>120</v>
      </c>
      <c r="C4024" s="27" t="s">
        <v>10</v>
      </c>
      <c r="D4024" s="27" t="s">
        <v>16</v>
      </c>
      <c r="E4024" s="28">
        <v>131696</v>
      </c>
      <c r="F4024" s="28">
        <v>68007</v>
      </c>
      <c r="G4024" s="27" t="s">
        <v>17</v>
      </c>
      <c r="H4024" s="27" t="s">
        <v>741</v>
      </c>
      <c r="I4024" s="27" t="s">
        <v>13</v>
      </c>
    </row>
    <row r="4025" spans="1:9" x14ac:dyDescent="0.3">
      <c r="A4025" s="26">
        <v>45141</v>
      </c>
      <c r="B4025" s="27" t="s">
        <v>120</v>
      </c>
      <c r="C4025" s="27" t="s">
        <v>20</v>
      </c>
      <c r="D4025" s="27" t="s">
        <v>16</v>
      </c>
      <c r="E4025" s="28">
        <v>71473</v>
      </c>
      <c r="F4025" s="28">
        <v>98305</v>
      </c>
      <c r="G4025" s="27" t="s">
        <v>17</v>
      </c>
      <c r="H4025" s="27" t="s">
        <v>1318</v>
      </c>
      <c r="I4025" s="27" t="s">
        <v>13</v>
      </c>
    </row>
    <row r="4026" spans="1:9" x14ac:dyDescent="0.3">
      <c r="A4026" s="26">
        <v>45141</v>
      </c>
      <c r="B4026" s="27" t="s">
        <v>120</v>
      </c>
      <c r="C4026" s="27" t="s">
        <v>10</v>
      </c>
      <c r="D4026" s="27" t="s">
        <v>19</v>
      </c>
      <c r="E4026" s="28">
        <v>65590</v>
      </c>
      <c r="F4026" s="28">
        <v>13504</v>
      </c>
      <c r="G4026" s="27" t="s">
        <v>17</v>
      </c>
      <c r="H4026" s="27" t="s">
        <v>1335</v>
      </c>
      <c r="I4026" s="27" t="s">
        <v>13</v>
      </c>
    </row>
    <row r="4027" spans="1:9" x14ac:dyDescent="0.3">
      <c r="A4027" s="26">
        <v>45141</v>
      </c>
      <c r="B4027" s="27" t="s">
        <v>120</v>
      </c>
      <c r="C4027" s="27" t="s">
        <v>14</v>
      </c>
      <c r="D4027" s="27" t="s">
        <v>24</v>
      </c>
      <c r="E4027" s="28">
        <v>23854</v>
      </c>
      <c r="F4027" s="28">
        <v>132819</v>
      </c>
      <c r="G4027" s="27" t="s">
        <v>22</v>
      </c>
      <c r="H4027" s="27" t="s">
        <v>1714</v>
      </c>
      <c r="I4027" s="27" t="s">
        <v>13</v>
      </c>
    </row>
    <row r="4028" spans="1:9" x14ac:dyDescent="0.3">
      <c r="A4028" s="26">
        <v>45141</v>
      </c>
      <c r="B4028" s="27" t="s">
        <v>120</v>
      </c>
      <c r="C4028" s="27" t="s">
        <v>20</v>
      </c>
      <c r="D4028" s="27" t="s">
        <v>21</v>
      </c>
      <c r="E4028" s="28">
        <v>33575</v>
      </c>
      <c r="F4028" s="28">
        <v>117232</v>
      </c>
      <c r="G4028" s="27" t="s">
        <v>8</v>
      </c>
      <c r="H4028" s="27" t="s">
        <v>3121</v>
      </c>
      <c r="I4028" s="27" t="s">
        <v>13</v>
      </c>
    </row>
    <row r="4029" spans="1:9" x14ac:dyDescent="0.3">
      <c r="A4029" s="26">
        <v>45141</v>
      </c>
      <c r="B4029" s="27" t="s">
        <v>120</v>
      </c>
      <c r="C4029" s="27" t="s">
        <v>10</v>
      </c>
      <c r="D4029" s="27" t="s">
        <v>19</v>
      </c>
      <c r="E4029" s="28">
        <v>24111</v>
      </c>
      <c r="F4029" s="28">
        <v>105606</v>
      </c>
      <c r="G4029" s="27" t="s">
        <v>17</v>
      </c>
      <c r="H4029" s="27" t="s">
        <v>3188</v>
      </c>
      <c r="I4029" s="27" t="s">
        <v>13</v>
      </c>
    </row>
    <row r="4030" spans="1:9" x14ac:dyDescent="0.3">
      <c r="A4030" s="26">
        <v>45141</v>
      </c>
      <c r="B4030" s="27" t="s">
        <v>120</v>
      </c>
      <c r="C4030" s="27" t="s">
        <v>15</v>
      </c>
      <c r="D4030" s="27" t="s">
        <v>7</v>
      </c>
      <c r="E4030" s="28">
        <v>38040</v>
      </c>
      <c r="F4030" s="28">
        <v>89463</v>
      </c>
      <c r="G4030" s="27" t="s">
        <v>8</v>
      </c>
      <c r="H4030" s="27" t="s">
        <v>3423</v>
      </c>
      <c r="I4030" s="27" t="s">
        <v>13</v>
      </c>
    </row>
    <row r="4031" spans="1:9" x14ac:dyDescent="0.3">
      <c r="A4031" s="26">
        <v>45141</v>
      </c>
      <c r="B4031" s="27" t="s">
        <v>120</v>
      </c>
      <c r="C4031" s="27" t="s">
        <v>6</v>
      </c>
      <c r="D4031" s="27" t="s">
        <v>16</v>
      </c>
      <c r="E4031" s="28">
        <v>80400</v>
      </c>
      <c r="F4031" s="28">
        <v>82300</v>
      </c>
      <c r="G4031" s="27" t="s">
        <v>22</v>
      </c>
      <c r="H4031" s="27" t="s">
        <v>4122</v>
      </c>
      <c r="I4031" s="27" t="s">
        <v>9</v>
      </c>
    </row>
    <row r="4032" spans="1:9" x14ac:dyDescent="0.3">
      <c r="A4032" s="26">
        <v>45141</v>
      </c>
      <c r="B4032" s="27" t="s">
        <v>120</v>
      </c>
      <c r="C4032" s="27" t="s">
        <v>6</v>
      </c>
      <c r="D4032" s="27" t="s">
        <v>16</v>
      </c>
      <c r="E4032" s="28">
        <v>179700</v>
      </c>
      <c r="F4032" s="28">
        <v>179500</v>
      </c>
      <c r="G4032" s="27" t="s">
        <v>17</v>
      </c>
      <c r="H4032" s="27" t="s">
        <v>4701</v>
      </c>
      <c r="I4032" s="27" t="s">
        <v>9</v>
      </c>
    </row>
    <row r="4033" spans="1:9" x14ac:dyDescent="0.3">
      <c r="A4033" s="26">
        <v>45141</v>
      </c>
      <c r="B4033" s="27" t="s">
        <v>120</v>
      </c>
      <c r="C4033" s="27" t="s">
        <v>6</v>
      </c>
      <c r="D4033" s="27" t="s">
        <v>19</v>
      </c>
      <c r="E4033" s="28">
        <v>64300</v>
      </c>
      <c r="F4033" s="28">
        <v>81400</v>
      </c>
      <c r="G4033" s="27" t="s">
        <v>17</v>
      </c>
      <c r="H4033" s="27" t="s">
        <v>4718</v>
      </c>
      <c r="I4033" s="27" t="s">
        <v>9</v>
      </c>
    </row>
    <row r="4034" spans="1:9" x14ac:dyDescent="0.3">
      <c r="A4034" s="26">
        <v>45141</v>
      </c>
      <c r="B4034" s="27" t="s">
        <v>120</v>
      </c>
      <c r="C4034" s="27" t="s">
        <v>6</v>
      </c>
      <c r="D4034" s="27" t="s">
        <v>24</v>
      </c>
      <c r="E4034" s="28">
        <v>201700</v>
      </c>
      <c r="F4034" s="28">
        <v>184300</v>
      </c>
      <c r="G4034" s="27" t="s">
        <v>17</v>
      </c>
      <c r="H4034" s="27" t="s">
        <v>5097</v>
      </c>
      <c r="I4034" s="27" t="s">
        <v>9</v>
      </c>
    </row>
    <row r="4035" spans="1:9" x14ac:dyDescent="0.3">
      <c r="A4035" s="26">
        <v>45141</v>
      </c>
      <c r="B4035" s="27" t="s">
        <v>120</v>
      </c>
      <c r="C4035" s="27" t="s">
        <v>6</v>
      </c>
      <c r="D4035" s="27" t="s">
        <v>21</v>
      </c>
      <c r="E4035" s="28">
        <v>91100</v>
      </c>
      <c r="F4035" s="28">
        <v>87200</v>
      </c>
      <c r="G4035" s="27" t="s">
        <v>11</v>
      </c>
      <c r="H4035" s="27" t="s">
        <v>6506</v>
      </c>
      <c r="I4035" s="27" t="s">
        <v>9</v>
      </c>
    </row>
    <row r="4036" spans="1:9" x14ac:dyDescent="0.3">
      <c r="A4036" s="26">
        <v>45141</v>
      </c>
      <c r="B4036" s="27" t="s">
        <v>120</v>
      </c>
      <c r="C4036" s="27" t="s">
        <v>93</v>
      </c>
      <c r="D4036" s="27" t="s">
        <v>19</v>
      </c>
      <c r="E4036" s="28">
        <v>69400</v>
      </c>
      <c r="F4036" s="28">
        <v>72400</v>
      </c>
      <c r="G4036" s="27" t="s">
        <v>11</v>
      </c>
      <c r="H4036" s="27" t="s">
        <v>6573</v>
      </c>
      <c r="I4036" s="27" t="s">
        <v>9</v>
      </c>
    </row>
    <row r="4037" spans="1:9" x14ac:dyDescent="0.3">
      <c r="A4037" s="26">
        <v>45141</v>
      </c>
      <c r="B4037" s="27" t="s">
        <v>120</v>
      </c>
      <c r="C4037" s="27" t="s">
        <v>6</v>
      </c>
      <c r="D4037" s="27" t="s">
        <v>7</v>
      </c>
      <c r="E4037" s="28">
        <v>86800</v>
      </c>
      <c r="F4037" s="28">
        <v>91200</v>
      </c>
      <c r="G4037" s="27" t="s">
        <v>11</v>
      </c>
      <c r="H4037" s="27" t="s">
        <v>6808</v>
      </c>
      <c r="I4037" s="27" t="s">
        <v>9</v>
      </c>
    </row>
    <row r="4038" spans="1:9" x14ac:dyDescent="0.3">
      <c r="A4038" s="26">
        <v>45142</v>
      </c>
      <c r="B4038" s="27" t="s">
        <v>120</v>
      </c>
      <c r="C4038" s="27" t="s">
        <v>15</v>
      </c>
      <c r="D4038" s="27" t="s">
        <v>24</v>
      </c>
      <c r="E4038" s="28">
        <v>21054</v>
      </c>
      <c r="F4038" s="28">
        <v>71406</v>
      </c>
      <c r="G4038" s="27" t="s">
        <v>22</v>
      </c>
      <c r="H4038" s="27" t="s">
        <v>231</v>
      </c>
      <c r="I4038" s="27" t="s">
        <v>13</v>
      </c>
    </row>
    <row r="4039" spans="1:9" x14ac:dyDescent="0.3">
      <c r="A4039" s="26">
        <v>45142</v>
      </c>
      <c r="B4039" s="27" t="s">
        <v>120</v>
      </c>
      <c r="C4039" s="27" t="s">
        <v>20</v>
      </c>
      <c r="D4039" s="27" t="s">
        <v>16</v>
      </c>
      <c r="E4039" s="28">
        <v>10203</v>
      </c>
      <c r="F4039" s="28">
        <v>154459</v>
      </c>
      <c r="G4039" s="27" t="s">
        <v>22</v>
      </c>
      <c r="H4039" s="27" t="s">
        <v>752</v>
      </c>
      <c r="I4039" s="27" t="s">
        <v>13</v>
      </c>
    </row>
    <row r="4040" spans="1:9" x14ac:dyDescent="0.3">
      <c r="A4040" s="26">
        <v>45142</v>
      </c>
      <c r="B4040" s="27" t="s">
        <v>120</v>
      </c>
      <c r="C4040" s="27" t="s">
        <v>18</v>
      </c>
      <c r="D4040" s="27" t="s">
        <v>19</v>
      </c>
      <c r="E4040" s="28">
        <v>60293</v>
      </c>
      <c r="F4040" s="28">
        <v>83148</v>
      </c>
      <c r="G4040" s="27" t="s">
        <v>8</v>
      </c>
      <c r="H4040" s="27" t="s">
        <v>1073</v>
      </c>
      <c r="I4040" s="27" t="s">
        <v>13</v>
      </c>
    </row>
    <row r="4041" spans="1:9" x14ac:dyDescent="0.3">
      <c r="A4041" s="26">
        <v>45142</v>
      </c>
      <c r="B4041" s="27" t="s">
        <v>120</v>
      </c>
      <c r="C4041" s="27" t="s">
        <v>14</v>
      </c>
      <c r="D4041" s="27" t="s">
        <v>7</v>
      </c>
      <c r="E4041" s="28">
        <v>56209</v>
      </c>
      <c r="F4041" s="28">
        <v>23609</v>
      </c>
      <c r="G4041" s="27" t="s">
        <v>22</v>
      </c>
      <c r="H4041" s="27" t="s">
        <v>1184</v>
      </c>
      <c r="I4041" s="27" t="s">
        <v>13</v>
      </c>
    </row>
    <row r="4042" spans="1:9" x14ac:dyDescent="0.3">
      <c r="A4042" s="26">
        <v>45142</v>
      </c>
      <c r="B4042" s="27" t="s">
        <v>120</v>
      </c>
      <c r="C4042" s="27" t="s">
        <v>10</v>
      </c>
      <c r="D4042" s="27" t="s">
        <v>24</v>
      </c>
      <c r="E4042" s="28">
        <v>16381</v>
      </c>
      <c r="F4042" s="28">
        <v>110602</v>
      </c>
      <c r="G4042" s="27" t="s">
        <v>22</v>
      </c>
      <c r="H4042" s="27" t="s">
        <v>1230</v>
      </c>
      <c r="I4042" s="27" t="s">
        <v>13</v>
      </c>
    </row>
    <row r="4043" spans="1:9" x14ac:dyDescent="0.3">
      <c r="A4043" s="26">
        <v>45142</v>
      </c>
      <c r="B4043" s="27" t="s">
        <v>120</v>
      </c>
      <c r="C4043" s="27" t="s">
        <v>18</v>
      </c>
      <c r="D4043" s="27" t="s">
        <v>7</v>
      </c>
      <c r="E4043" s="28">
        <v>14697</v>
      </c>
      <c r="F4043" s="28">
        <v>98671</v>
      </c>
      <c r="G4043" s="27" t="s">
        <v>17</v>
      </c>
      <c r="H4043" s="27" t="s">
        <v>1405</v>
      </c>
      <c r="I4043" s="27" t="s">
        <v>13</v>
      </c>
    </row>
    <row r="4044" spans="1:9" x14ac:dyDescent="0.3">
      <c r="A4044" s="26">
        <v>45142</v>
      </c>
      <c r="B4044" s="27" t="s">
        <v>120</v>
      </c>
      <c r="C4044" s="27" t="s">
        <v>10</v>
      </c>
      <c r="D4044" s="27" t="s">
        <v>16</v>
      </c>
      <c r="E4044" s="28">
        <v>62685</v>
      </c>
      <c r="F4044" s="28">
        <v>143310</v>
      </c>
      <c r="G4044" s="27" t="s">
        <v>8</v>
      </c>
      <c r="H4044" s="27" t="s">
        <v>2160</v>
      </c>
      <c r="I4044" s="27" t="s">
        <v>13</v>
      </c>
    </row>
    <row r="4045" spans="1:9" x14ac:dyDescent="0.3">
      <c r="A4045" s="26">
        <v>45142</v>
      </c>
      <c r="B4045" s="27" t="s">
        <v>120</v>
      </c>
      <c r="C4045" s="27" t="s">
        <v>18</v>
      </c>
      <c r="D4045" s="27" t="s">
        <v>21</v>
      </c>
      <c r="E4045" s="28">
        <v>45445</v>
      </c>
      <c r="F4045" s="28">
        <v>10314</v>
      </c>
      <c r="G4045" s="27" t="s">
        <v>17</v>
      </c>
      <c r="H4045" s="27" t="s">
        <v>2798</v>
      </c>
      <c r="I4045" s="27" t="s">
        <v>13</v>
      </c>
    </row>
    <row r="4046" spans="1:9" x14ac:dyDescent="0.3">
      <c r="A4046" s="26">
        <v>45142</v>
      </c>
      <c r="B4046" s="27" t="s">
        <v>120</v>
      </c>
      <c r="C4046" s="27" t="s">
        <v>93</v>
      </c>
      <c r="D4046" s="27" t="s">
        <v>24</v>
      </c>
      <c r="E4046" s="28">
        <v>113500</v>
      </c>
      <c r="F4046" s="28">
        <v>111200</v>
      </c>
      <c r="G4046" s="27" t="s">
        <v>22</v>
      </c>
      <c r="H4046" s="27" t="s">
        <v>3612</v>
      </c>
      <c r="I4046" s="27" t="s">
        <v>9</v>
      </c>
    </row>
    <row r="4047" spans="1:9" x14ac:dyDescent="0.3">
      <c r="A4047" s="26">
        <v>45142</v>
      </c>
      <c r="B4047" s="27" t="s">
        <v>120</v>
      </c>
      <c r="C4047" s="27" t="s">
        <v>93</v>
      </c>
      <c r="D4047" s="27" t="s">
        <v>16</v>
      </c>
      <c r="E4047" s="28">
        <v>91100</v>
      </c>
      <c r="F4047" s="28">
        <v>112500</v>
      </c>
      <c r="G4047" s="27" t="s">
        <v>11</v>
      </c>
      <c r="H4047" s="27" t="s">
        <v>4133</v>
      </c>
      <c r="I4047" s="27" t="s">
        <v>9</v>
      </c>
    </row>
    <row r="4048" spans="1:9" x14ac:dyDescent="0.3">
      <c r="A4048" s="26">
        <v>45142</v>
      </c>
      <c r="B4048" s="27" t="s">
        <v>120</v>
      </c>
      <c r="C4048" s="27" t="s">
        <v>93</v>
      </c>
      <c r="D4048" s="27" t="s">
        <v>19</v>
      </c>
      <c r="E4048" s="28">
        <v>81100</v>
      </c>
      <c r="F4048" s="28">
        <v>72800</v>
      </c>
      <c r="G4048" s="27" t="s">
        <v>22</v>
      </c>
      <c r="H4048" s="27" t="s">
        <v>4455</v>
      </c>
      <c r="I4048" s="27" t="s">
        <v>9</v>
      </c>
    </row>
    <row r="4049" spans="1:9" x14ac:dyDescent="0.3">
      <c r="A4049" s="26">
        <v>45142</v>
      </c>
      <c r="B4049" s="27" t="s">
        <v>120</v>
      </c>
      <c r="C4049" s="27" t="s">
        <v>93</v>
      </c>
      <c r="D4049" s="27" t="s">
        <v>7</v>
      </c>
      <c r="E4049" s="28">
        <v>180900</v>
      </c>
      <c r="F4049" s="28">
        <v>188800</v>
      </c>
      <c r="G4049" s="27" t="s">
        <v>11</v>
      </c>
      <c r="H4049" s="27" t="s">
        <v>4567</v>
      </c>
      <c r="I4049" s="27" t="s">
        <v>9</v>
      </c>
    </row>
    <row r="4050" spans="1:9" x14ac:dyDescent="0.3">
      <c r="A4050" s="26">
        <v>45142</v>
      </c>
      <c r="B4050" s="27" t="s">
        <v>120</v>
      </c>
      <c r="C4050" s="27" t="s">
        <v>6</v>
      </c>
      <c r="D4050" s="27" t="s">
        <v>24</v>
      </c>
      <c r="E4050" s="28">
        <v>106400</v>
      </c>
      <c r="F4050" s="28">
        <v>128700</v>
      </c>
      <c r="G4050" s="27" t="s">
        <v>22</v>
      </c>
      <c r="H4050" s="27" t="s">
        <v>4613</v>
      </c>
      <c r="I4050" s="27" t="s">
        <v>9</v>
      </c>
    </row>
    <row r="4051" spans="1:9" x14ac:dyDescent="0.3">
      <c r="A4051" s="26">
        <v>45142</v>
      </c>
      <c r="B4051" s="27" t="s">
        <v>120</v>
      </c>
      <c r="C4051" s="27" t="s">
        <v>6</v>
      </c>
      <c r="D4051" s="27" t="s">
        <v>7</v>
      </c>
      <c r="E4051" s="28">
        <v>132400</v>
      </c>
      <c r="F4051" s="28">
        <v>143800</v>
      </c>
      <c r="G4051" s="27" t="s">
        <v>22</v>
      </c>
      <c r="H4051" s="27" t="s">
        <v>4788</v>
      </c>
      <c r="I4051" s="27" t="s">
        <v>9</v>
      </c>
    </row>
    <row r="4052" spans="1:9" x14ac:dyDescent="0.3">
      <c r="A4052" s="26">
        <v>45142</v>
      </c>
      <c r="B4052" s="27" t="s">
        <v>120</v>
      </c>
      <c r="C4052" s="27" t="s">
        <v>93</v>
      </c>
      <c r="D4052" s="27" t="s">
        <v>16</v>
      </c>
      <c r="E4052" s="28">
        <v>84300</v>
      </c>
      <c r="F4052" s="28">
        <v>69600</v>
      </c>
      <c r="G4052" s="27" t="s">
        <v>17</v>
      </c>
      <c r="H4052" s="27" t="s">
        <v>5545</v>
      </c>
      <c r="I4052" s="27" t="s">
        <v>9</v>
      </c>
    </row>
    <row r="4053" spans="1:9" x14ac:dyDescent="0.3">
      <c r="A4053" s="26">
        <v>45142</v>
      </c>
      <c r="B4053" s="27" t="s">
        <v>120</v>
      </c>
      <c r="C4053" s="27" t="s">
        <v>6</v>
      </c>
      <c r="D4053" s="27" t="s">
        <v>21</v>
      </c>
      <c r="E4053" s="28">
        <v>97900</v>
      </c>
      <c r="F4053" s="28">
        <v>76800</v>
      </c>
      <c r="G4053" s="27" t="s">
        <v>22</v>
      </c>
      <c r="H4053" s="27" t="s">
        <v>6183</v>
      </c>
      <c r="I4053" s="27" t="s">
        <v>9</v>
      </c>
    </row>
    <row r="4054" spans="1:9" x14ac:dyDescent="0.3">
      <c r="A4054" s="26">
        <v>45143</v>
      </c>
      <c r="B4054" s="27" t="s">
        <v>120</v>
      </c>
      <c r="C4054" s="27" t="s">
        <v>18</v>
      </c>
      <c r="D4054" s="27" t="s">
        <v>19</v>
      </c>
      <c r="E4054" s="28">
        <v>111923</v>
      </c>
      <c r="F4054" s="28">
        <v>161260</v>
      </c>
      <c r="G4054" s="27" t="s">
        <v>11</v>
      </c>
      <c r="H4054" s="27" t="s">
        <v>328</v>
      </c>
      <c r="I4054" s="27" t="s">
        <v>13</v>
      </c>
    </row>
    <row r="4055" spans="1:9" x14ac:dyDescent="0.3">
      <c r="A4055" s="26">
        <v>45143</v>
      </c>
      <c r="B4055" s="27" t="s">
        <v>120</v>
      </c>
      <c r="C4055" s="27" t="s">
        <v>18</v>
      </c>
      <c r="D4055" s="27" t="s">
        <v>16</v>
      </c>
      <c r="E4055" s="28">
        <v>92544</v>
      </c>
      <c r="F4055" s="28">
        <v>114332</v>
      </c>
      <c r="G4055" s="27" t="s">
        <v>11</v>
      </c>
      <c r="H4055" s="27" t="s">
        <v>396</v>
      </c>
      <c r="I4055" s="27" t="s">
        <v>13</v>
      </c>
    </row>
    <row r="4056" spans="1:9" x14ac:dyDescent="0.3">
      <c r="A4056" s="26">
        <v>45143</v>
      </c>
      <c r="B4056" s="27" t="s">
        <v>120</v>
      </c>
      <c r="C4056" s="27" t="s">
        <v>32</v>
      </c>
      <c r="D4056" s="27" t="s">
        <v>24</v>
      </c>
      <c r="E4056" s="28">
        <v>15861</v>
      </c>
      <c r="F4056" s="28">
        <v>113010</v>
      </c>
      <c r="G4056" s="27" t="s">
        <v>22</v>
      </c>
      <c r="H4056" s="27" t="s">
        <v>527</v>
      </c>
      <c r="I4056" s="27" t="s">
        <v>13</v>
      </c>
    </row>
    <row r="4057" spans="1:9" x14ac:dyDescent="0.3">
      <c r="A4057" s="26">
        <v>45143</v>
      </c>
      <c r="B4057" s="27" t="s">
        <v>120</v>
      </c>
      <c r="C4057" s="27" t="s">
        <v>10</v>
      </c>
      <c r="D4057" s="27" t="s">
        <v>24</v>
      </c>
      <c r="E4057" s="28">
        <v>23763</v>
      </c>
      <c r="F4057" s="28">
        <v>85062</v>
      </c>
      <c r="G4057" s="27" t="s">
        <v>11</v>
      </c>
      <c r="H4057" s="27" t="s">
        <v>585</v>
      </c>
      <c r="I4057" s="27" t="s">
        <v>13</v>
      </c>
    </row>
    <row r="4058" spans="1:9" x14ac:dyDescent="0.3">
      <c r="A4058" s="26">
        <v>45143</v>
      </c>
      <c r="B4058" s="27" t="s">
        <v>120</v>
      </c>
      <c r="C4058" s="27" t="s">
        <v>32</v>
      </c>
      <c r="D4058" s="27" t="s">
        <v>19</v>
      </c>
      <c r="E4058" s="28">
        <v>137776</v>
      </c>
      <c r="F4058" s="28">
        <v>156719</v>
      </c>
      <c r="G4058" s="27" t="s">
        <v>11</v>
      </c>
      <c r="H4058" s="27" t="s">
        <v>888</v>
      </c>
      <c r="I4058" s="27" t="s">
        <v>13</v>
      </c>
    </row>
    <row r="4059" spans="1:9" x14ac:dyDescent="0.3">
      <c r="A4059" s="26">
        <v>45143</v>
      </c>
      <c r="B4059" s="27" t="s">
        <v>120</v>
      </c>
      <c r="C4059" s="27" t="s">
        <v>10</v>
      </c>
      <c r="D4059" s="27" t="s">
        <v>16</v>
      </c>
      <c r="E4059" s="28">
        <v>61871</v>
      </c>
      <c r="F4059" s="28">
        <v>113856</v>
      </c>
      <c r="G4059" s="27" t="s">
        <v>8</v>
      </c>
      <c r="H4059" s="27" t="s">
        <v>964</v>
      </c>
      <c r="I4059" s="27" t="s">
        <v>13</v>
      </c>
    </row>
    <row r="4060" spans="1:9" x14ac:dyDescent="0.3">
      <c r="A4060" s="26">
        <v>45143</v>
      </c>
      <c r="B4060" s="27" t="s">
        <v>120</v>
      </c>
      <c r="C4060" s="27" t="s">
        <v>20</v>
      </c>
      <c r="D4060" s="27" t="s">
        <v>16</v>
      </c>
      <c r="E4060" s="28">
        <v>14839</v>
      </c>
      <c r="F4060" s="28">
        <v>143738</v>
      </c>
      <c r="G4060" s="27" t="s">
        <v>22</v>
      </c>
      <c r="H4060" s="27" t="s">
        <v>1102</v>
      </c>
      <c r="I4060" s="27" t="s">
        <v>13</v>
      </c>
    </row>
    <row r="4061" spans="1:9" x14ac:dyDescent="0.3">
      <c r="A4061" s="26">
        <v>45143</v>
      </c>
      <c r="B4061" s="27" t="s">
        <v>120</v>
      </c>
      <c r="C4061" s="27" t="s">
        <v>15</v>
      </c>
      <c r="D4061" s="27" t="s">
        <v>16</v>
      </c>
      <c r="E4061" s="28">
        <v>53910</v>
      </c>
      <c r="F4061" s="28">
        <v>86892</v>
      </c>
      <c r="G4061" s="27" t="s">
        <v>17</v>
      </c>
      <c r="H4061" s="27" t="s">
        <v>1165</v>
      </c>
      <c r="I4061" s="27" t="s">
        <v>13</v>
      </c>
    </row>
    <row r="4062" spans="1:9" x14ac:dyDescent="0.3">
      <c r="A4062" s="26">
        <v>45143</v>
      </c>
      <c r="B4062" s="27" t="s">
        <v>120</v>
      </c>
      <c r="C4062" s="27" t="s">
        <v>32</v>
      </c>
      <c r="D4062" s="27" t="s">
        <v>21</v>
      </c>
      <c r="E4062" s="28">
        <v>132023</v>
      </c>
      <c r="F4062" s="28">
        <v>161339</v>
      </c>
      <c r="G4062" s="27" t="s">
        <v>17</v>
      </c>
      <c r="H4062" s="27" t="s">
        <v>1240</v>
      </c>
      <c r="I4062" s="27" t="s">
        <v>13</v>
      </c>
    </row>
    <row r="4063" spans="1:9" x14ac:dyDescent="0.3">
      <c r="A4063" s="26">
        <v>45143</v>
      </c>
      <c r="B4063" s="27" t="s">
        <v>120</v>
      </c>
      <c r="C4063" s="27" t="s">
        <v>10</v>
      </c>
      <c r="D4063" s="27" t="s">
        <v>7</v>
      </c>
      <c r="E4063" s="28">
        <v>26151</v>
      </c>
      <c r="F4063" s="28">
        <v>50377</v>
      </c>
      <c r="G4063" s="27" t="s">
        <v>11</v>
      </c>
      <c r="H4063" s="27" t="s">
        <v>1583</v>
      </c>
      <c r="I4063" s="27" t="s">
        <v>13</v>
      </c>
    </row>
    <row r="4064" spans="1:9" x14ac:dyDescent="0.3">
      <c r="A4064" s="26">
        <v>45143</v>
      </c>
      <c r="B4064" s="27" t="s">
        <v>120</v>
      </c>
      <c r="C4064" s="27" t="s">
        <v>32</v>
      </c>
      <c r="D4064" s="27" t="s">
        <v>24</v>
      </c>
      <c r="E4064" s="28">
        <v>111560</v>
      </c>
      <c r="F4064" s="28">
        <v>107835</v>
      </c>
      <c r="G4064" s="27" t="s">
        <v>22</v>
      </c>
      <c r="H4064" s="27" t="s">
        <v>1606</v>
      </c>
      <c r="I4064" s="27" t="s">
        <v>13</v>
      </c>
    </row>
    <row r="4065" spans="1:9" x14ac:dyDescent="0.3">
      <c r="A4065" s="26">
        <v>45143</v>
      </c>
      <c r="B4065" s="27" t="s">
        <v>120</v>
      </c>
      <c r="C4065" s="27" t="s">
        <v>10</v>
      </c>
      <c r="D4065" s="27" t="s">
        <v>24</v>
      </c>
      <c r="E4065" s="28">
        <v>141959</v>
      </c>
      <c r="F4065" s="28">
        <v>117532</v>
      </c>
      <c r="G4065" s="27" t="s">
        <v>22</v>
      </c>
      <c r="H4065" s="27" t="s">
        <v>1722</v>
      </c>
      <c r="I4065" s="27" t="s">
        <v>13</v>
      </c>
    </row>
    <row r="4066" spans="1:9" x14ac:dyDescent="0.3">
      <c r="A4066" s="26">
        <v>45143</v>
      </c>
      <c r="B4066" s="27" t="s">
        <v>120</v>
      </c>
      <c r="C4066" s="27" t="s">
        <v>14</v>
      </c>
      <c r="D4066" s="27" t="s">
        <v>21</v>
      </c>
      <c r="E4066" s="28">
        <v>18718</v>
      </c>
      <c r="F4066" s="28">
        <v>115511</v>
      </c>
      <c r="G4066" s="27" t="s">
        <v>17</v>
      </c>
      <c r="H4066" s="27" t="s">
        <v>2110</v>
      </c>
      <c r="I4066" s="27" t="s">
        <v>13</v>
      </c>
    </row>
    <row r="4067" spans="1:9" x14ac:dyDescent="0.3">
      <c r="A4067" s="26">
        <v>45143</v>
      </c>
      <c r="B4067" s="27" t="s">
        <v>120</v>
      </c>
      <c r="C4067" s="27" t="s">
        <v>10</v>
      </c>
      <c r="D4067" s="27" t="s">
        <v>7</v>
      </c>
      <c r="E4067" s="28">
        <v>131631</v>
      </c>
      <c r="F4067" s="28">
        <v>37863</v>
      </c>
      <c r="G4067" s="27" t="s">
        <v>8</v>
      </c>
      <c r="H4067" s="27" t="s">
        <v>2459</v>
      </c>
      <c r="I4067" s="27" t="s">
        <v>13</v>
      </c>
    </row>
    <row r="4068" spans="1:9" x14ac:dyDescent="0.3">
      <c r="A4068" s="26">
        <v>45143</v>
      </c>
      <c r="B4068" s="27" t="s">
        <v>120</v>
      </c>
      <c r="C4068" s="27" t="s">
        <v>14</v>
      </c>
      <c r="D4068" s="27" t="s">
        <v>21</v>
      </c>
      <c r="E4068" s="28">
        <v>44520</v>
      </c>
      <c r="F4068" s="28">
        <v>38434</v>
      </c>
      <c r="G4068" s="27" t="s">
        <v>11</v>
      </c>
      <c r="H4068" s="27" t="s">
        <v>3369</v>
      </c>
      <c r="I4068" s="27" t="s">
        <v>13</v>
      </c>
    </row>
    <row r="4069" spans="1:9" x14ac:dyDescent="0.3">
      <c r="A4069" s="26">
        <v>45143</v>
      </c>
      <c r="B4069" s="27" t="s">
        <v>120</v>
      </c>
      <c r="C4069" s="27" t="s">
        <v>18</v>
      </c>
      <c r="D4069" s="27" t="s">
        <v>24</v>
      </c>
      <c r="E4069" s="28">
        <v>53745</v>
      </c>
      <c r="F4069" s="28">
        <v>121995</v>
      </c>
      <c r="G4069" s="27" t="s">
        <v>11</v>
      </c>
      <c r="H4069" s="27" t="s">
        <v>3433</v>
      </c>
      <c r="I4069" s="27" t="s">
        <v>13</v>
      </c>
    </row>
    <row r="4070" spans="1:9" x14ac:dyDescent="0.3">
      <c r="A4070" s="26">
        <v>45143</v>
      </c>
      <c r="B4070" s="27" t="s">
        <v>120</v>
      </c>
      <c r="C4070" s="27" t="s">
        <v>6</v>
      </c>
      <c r="D4070" s="27" t="s">
        <v>19</v>
      </c>
      <c r="E4070" s="28">
        <v>115100</v>
      </c>
      <c r="F4070" s="28">
        <v>128900</v>
      </c>
      <c r="G4070" s="27" t="s">
        <v>17</v>
      </c>
      <c r="H4070" s="27" t="s">
        <v>3709</v>
      </c>
      <c r="I4070" s="27" t="s">
        <v>9</v>
      </c>
    </row>
    <row r="4071" spans="1:9" x14ac:dyDescent="0.3">
      <c r="A4071" s="26">
        <v>45143</v>
      </c>
      <c r="B4071" s="27" t="s">
        <v>120</v>
      </c>
      <c r="C4071" s="27" t="s">
        <v>6</v>
      </c>
      <c r="D4071" s="27" t="s">
        <v>16</v>
      </c>
      <c r="E4071" s="28">
        <v>261400</v>
      </c>
      <c r="F4071" s="28">
        <v>276400</v>
      </c>
      <c r="G4071" s="27" t="s">
        <v>11</v>
      </c>
      <c r="H4071" s="27" t="s">
        <v>3777</v>
      </c>
      <c r="I4071" s="27" t="s">
        <v>9</v>
      </c>
    </row>
    <row r="4072" spans="1:9" x14ac:dyDescent="0.3">
      <c r="A4072" s="26">
        <v>45143</v>
      </c>
      <c r="B4072" s="27" t="s">
        <v>120</v>
      </c>
      <c r="C4072" s="27" t="s">
        <v>6</v>
      </c>
      <c r="D4072" s="27" t="s">
        <v>24</v>
      </c>
      <c r="E4072" s="28">
        <v>100000</v>
      </c>
      <c r="F4072" s="28">
        <v>108500</v>
      </c>
      <c r="G4072" s="27" t="s">
        <v>11</v>
      </c>
      <c r="H4072" s="27" t="s">
        <v>3908</v>
      </c>
      <c r="I4072" s="27" t="s">
        <v>9</v>
      </c>
    </row>
    <row r="4073" spans="1:9" x14ac:dyDescent="0.3">
      <c r="A4073" s="26">
        <v>45143</v>
      </c>
      <c r="B4073" s="27" t="s">
        <v>120</v>
      </c>
      <c r="C4073" s="27" t="s">
        <v>93</v>
      </c>
      <c r="D4073" s="27" t="s">
        <v>24</v>
      </c>
      <c r="E4073" s="28">
        <v>329700</v>
      </c>
      <c r="F4073" s="28">
        <v>285000</v>
      </c>
      <c r="G4073" s="27" t="s">
        <v>11</v>
      </c>
      <c r="H4073" s="27" t="s">
        <v>3966</v>
      </c>
      <c r="I4073" s="27" t="s">
        <v>9</v>
      </c>
    </row>
    <row r="4074" spans="1:9" x14ac:dyDescent="0.3">
      <c r="A4074" s="26">
        <v>45143</v>
      </c>
      <c r="B4074" s="27" t="s">
        <v>120</v>
      </c>
      <c r="C4074" s="27" t="s">
        <v>93</v>
      </c>
      <c r="D4074" s="27" t="s">
        <v>19</v>
      </c>
      <c r="E4074" s="28">
        <v>84100</v>
      </c>
      <c r="F4074" s="28">
        <v>101300</v>
      </c>
      <c r="G4074" s="27" t="s">
        <v>17</v>
      </c>
      <c r="H4074" s="27" t="s">
        <v>4269</v>
      </c>
      <c r="I4074" s="27" t="s">
        <v>9</v>
      </c>
    </row>
    <row r="4075" spans="1:9" x14ac:dyDescent="0.3">
      <c r="A4075" s="26">
        <v>45143</v>
      </c>
      <c r="B4075" s="27" t="s">
        <v>120</v>
      </c>
      <c r="C4075" s="27" t="s">
        <v>6</v>
      </c>
      <c r="D4075" s="27" t="s">
        <v>16</v>
      </c>
      <c r="E4075" s="28">
        <v>172100</v>
      </c>
      <c r="F4075" s="28">
        <v>156100</v>
      </c>
      <c r="G4075" s="27" t="s">
        <v>11</v>
      </c>
      <c r="H4075" s="27" t="s">
        <v>4345</v>
      </c>
      <c r="I4075" s="27" t="s">
        <v>9</v>
      </c>
    </row>
    <row r="4076" spans="1:9" x14ac:dyDescent="0.3">
      <c r="A4076" s="26">
        <v>45143</v>
      </c>
      <c r="B4076" s="27" t="s">
        <v>120</v>
      </c>
      <c r="C4076" s="27" t="s">
        <v>6</v>
      </c>
      <c r="D4076" s="27" t="s">
        <v>16</v>
      </c>
      <c r="E4076" s="28">
        <v>150000</v>
      </c>
      <c r="F4076" s="28">
        <v>178200</v>
      </c>
      <c r="G4076" s="27" t="s">
        <v>17</v>
      </c>
      <c r="H4076" s="27" t="s">
        <v>4485</v>
      </c>
      <c r="I4076" s="27" t="s">
        <v>9</v>
      </c>
    </row>
    <row r="4077" spans="1:9" x14ac:dyDescent="0.3">
      <c r="A4077" s="26">
        <v>45143</v>
      </c>
      <c r="B4077" s="27" t="s">
        <v>120</v>
      </c>
      <c r="C4077" s="27" t="s">
        <v>6</v>
      </c>
      <c r="D4077" s="27" t="s">
        <v>16</v>
      </c>
      <c r="E4077" s="28">
        <v>184200</v>
      </c>
      <c r="F4077" s="28">
        <v>214900</v>
      </c>
      <c r="G4077" s="27" t="s">
        <v>22</v>
      </c>
      <c r="H4077" s="27" t="s">
        <v>4548</v>
      </c>
      <c r="I4077" s="27" t="s">
        <v>9</v>
      </c>
    </row>
    <row r="4078" spans="1:9" x14ac:dyDescent="0.3">
      <c r="A4078" s="26">
        <v>45143</v>
      </c>
      <c r="B4078" s="27" t="s">
        <v>120</v>
      </c>
      <c r="C4078" s="27" t="s">
        <v>6</v>
      </c>
      <c r="D4078" s="27" t="s">
        <v>21</v>
      </c>
      <c r="E4078" s="28">
        <v>107500</v>
      </c>
      <c r="F4078" s="28">
        <v>105800</v>
      </c>
      <c r="G4078" s="27" t="s">
        <v>11</v>
      </c>
      <c r="H4078" s="27" t="s">
        <v>4623</v>
      </c>
      <c r="I4078" s="27" t="s">
        <v>9</v>
      </c>
    </row>
    <row r="4079" spans="1:9" x14ac:dyDescent="0.3">
      <c r="A4079" s="26">
        <v>45143</v>
      </c>
      <c r="B4079" s="27" t="s">
        <v>120</v>
      </c>
      <c r="C4079" s="27" t="s">
        <v>6</v>
      </c>
      <c r="D4079" s="27" t="s">
        <v>7</v>
      </c>
      <c r="E4079" s="28">
        <v>151100</v>
      </c>
      <c r="F4079" s="28">
        <v>137200</v>
      </c>
      <c r="G4079" s="27" t="s">
        <v>11</v>
      </c>
      <c r="H4079" s="27" t="s">
        <v>4966</v>
      </c>
      <c r="I4079" s="27" t="s">
        <v>9</v>
      </c>
    </row>
    <row r="4080" spans="1:9" x14ac:dyDescent="0.3">
      <c r="A4080" s="26">
        <v>45143</v>
      </c>
      <c r="B4080" s="27" t="s">
        <v>120</v>
      </c>
      <c r="C4080" s="27" t="s">
        <v>6</v>
      </c>
      <c r="D4080" s="27" t="s">
        <v>24</v>
      </c>
      <c r="E4080" s="28">
        <v>116700</v>
      </c>
      <c r="F4080" s="28">
        <v>130900</v>
      </c>
      <c r="G4080" s="27" t="s">
        <v>11</v>
      </c>
      <c r="H4080" s="27" t="s">
        <v>4989</v>
      </c>
      <c r="I4080" s="27" t="s">
        <v>9</v>
      </c>
    </row>
    <row r="4081" spans="1:9" x14ac:dyDescent="0.3">
      <c r="A4081" s="26">
        <v>45143</v>
      </c>
      <c r="B4081" s="27" t="s">
        <v>120</v>
      </c>
      <c r="C4081" s="27" t="s">
        <v>93</v>
      </c>
      <c r="D4081" s="27" t="s">
        <v>24</v>
      </c>
      <c r="E4081" s="28">
        <v>184900</v>
      </c>
      <c r="F4081" s="28">
        <v>179700</v>
      </c>
      <c r="G4081" s="27" t="s">
        <v>11</v>
      </c>
      <c r="H4081" s="27" t="s">
        <v>5105</v>
      </c>
      <c r="I4081" s="27" t="s">
        <v>9</v>
      </c>
    </row>
    <row r="4082" spans="1:9" x14ac:dyDescent="0.3">
      <c r="A4082" s="26">
        <v>45143</v>
      </c>
      <c r="B4082" s="27" t="s">
        <v>120</v>
      </c>
      <c r="C4082" s="27" t="s">
        <v>6</v>
      </c>
      <c r="D4082" s="27" t="s">
        <v>21</v>
      </c>
      <c r="E4082" s="28">
        <v>148100</v>
      </c>
      <c r="F4082" s="28">
        <v>155800</v>
      </c>
      <c r="G4082" s="27" t="s">
        <v>11</v>
      </c>
      <c r="H4082" s="27" t="s">
        <v>5494</v>
      </c>
      <c r="I4082" s="27" t="s">
        <v>9</v>
      </c>
    </row>
    <row r="4083" spans="1:9" x14ac:dyDescent="0.3">
      <c r="A4083" s="26">
        <v>45143</v>
      </c>
      <c r="B4083" s="27" t="s">
        <v>120</v>
      </c>
      <c r="C4083" s="27" t="s">
        <v>6</v>
      </c>
      <c r="D4083" s="27" t="s">
        <v>7</v>
      </c>
      <c r="E4083" s="28">
        <v>151400</v>
      </c>
      <c r="F4083" s="28">
        <v>173100</v>
      </c>
      <c r="G4083" s="27" t="s">
        <v>22</v>
      </c>
      <c r="H4083" s="27" t="s">
        <v>5844</v>
      </c>
      <c r="I4083" s="27" t="s">
        <v>9</v>
      </c>
    </row>
    <row r="4084" spans="1:9" x14ac:dyDescent="0.3">
      <c r="A4084" s="26">
        <v>45143</v>
      </c>
      <c r="B4084" s="27" t="s">
        <v>120</v>
      </c>
      <c r="C4084" s="27" t="s">
        <v>6</v>
      </c>
      <c r="D4084" s="27" t="s">
        <v>21</v>
      </c>
      <c r="E4084" s="28">
        <v>146100</v>
      </c>
      <c r="F4084" s="28">
        <v>150800</v>
      </c>
      <c r="G4084" s="27" t="s">
        <v>11</v>
      </c>
      <c r="H4084" s="27" t="s">
        <v>6754</v>
      </c>
      <c r="I4084" s="27" t="s">
        <v>9</v>
      </c>
    </row>
    <row r="4085" spans="1:9" x14ac:dyDescent="0.3">
      <c r="A4085" s="26">
        <v>45143</v>
      </c>
      <c r="B4085" s="27" t="s">
        <v>120</v>
      </c>
      <c r="C4085" s="27" t="s">
        <v>93</v>
      </c>
      <c r="D4085" s="27" t="s">
        <v>24</v>
      </c>
      <c r="E4085" s="28">
        <v>130600</v>
      </c>
      <c r="F4085" s="28">
        <v>95100</v>
      </c>
      <c r="G4085" s="27" t="s">
        <v>11</v>
      </c>
      <c r="H4085" s="27" t="s">
        <v>6818</v>
      </c>
      <c r="I4085" s="27" t="s">
        <v>9</v>
      </c>
    </row>
    <row r="4086" spans="1:9" x14ac:dyDescent="0.3">
      <c r="A4086" s="26">
        <v>45144</v>
      </c>
      <c r="B4086" s="27" t="s">
        <v>120</v>
      </c>
      <c r="C4086" s="27" t="s">
        <v>15</v>
      </c>
      <c r="D4086" s="27" t="s">
        <v>16</v>
      </c>
      <c r="E4086" s="28">
        <v>145309</v>
      </c>
      <c r="F4086" s="28">
        <v>135412</v>
      </c>
      <c r="G4086" s="27" t="s">
        <v>11</v>
      </c>
      <c r="H4086" s="27" t="s">
        <v>221</v>
      </c>
      <c r="I4086" s="27" t="s">
        <v>13</v>
      </c>
    </row>
    <row r="4087" spans="1:9" x14ac:dyDescent="0.3">
      <c r="A4087" s="26">
        <v>45144</v>
      </c>
      <c r="B4087" s="27" t="s">
        <v>120</v>
      </c>
      <c r="C4087" s="27" t="s">
        <v>15</v>
      </c>
      <c r="D4087" s="27" t="s">
        <v>24</v>
      </c>
      <c r="E4087" s="28">
        <v>92567</v>
      </c>
      <c r="F4087" s="28">
        <v>100527</v>
      </c>
      <c r="G4087" s="27" t="s">
        <v>22</v>
      </c>
      <c r="H4087" s="27" t="s">
        <v>357</v>
      </c>
      <c r="I4087" s="27" t="s">
        <v>13</v>
      </c>
    </row>
    <row r="4088" spans="1:9" x14ac:dyDescent="0.3">
      <c r="A4088" s="26">
        <v>45144</v>
      </c>
      <c r="B4088" s="27" t="s">
        <v>120</v>
      </c>
      <c r="C4088" s="27" t="s">
        <v>20</v>
      </c>
      <c r="D4088" s="27" t="s">
        <v>16</v>
      </c>
      <c r="E4088" s="28">
        <v>34686</v>
      </c>
      <c r="F4088" s="28">
        <v>105044</v>
      </c>
      <c r="G4088" s="27" t="s">
        <v>17</v>
      </c>
      <c r="H4088" s="27" t="s">
        <v>522</v>
      </c>
      <c r="I4088" s="27" t="s">
        <v>13</v>
      </c>
    </row>
    <row r="4089" spans="1:9" x14ac:dyDescent="0.3">
      <c r="A4089" s="26">
        <v>45144</v>
      </c>
      <c r="B4089" s="27" t="s">
        <v>120</v>
      </c>
      <c r="C4089" s="27" t="s">
        <v>32</v>
      </c>
      <c r="D4089" s="27" t="s">
        <v>21</v>
      </c>
      <c r="E4089" s="28">
        <v>109770</v>
      </c>
      <c r="F4089" s="28">
        <v>32305</v>
      </c>
      <c r="G4089" s="27" t="s">
        <v>22</v>
      </c>
      <c r="H4089" s="27" t="s">
        <v>702</v>
      </c>
      <c r="I4089" s="27" t="s">
        <v>13</v>
      </c>
    </row>
    <row r="4090" spans="1:9" x14ac:dyDescent="0.3">
      <c r="A4090" s="26">
        <v>45144</v>
      </c>
      <c r="B4090" s="27" t="s">
        <v>120</v>
      </c>
      <c r="C4090" s="27" t="s">
        <v>14</v>
      </c>
      <c r="D4090" s="27" t="s">
        <v>16</v>
      </c>
      <c r="E4090" s="28">
        <v>104248</v>
      </c>
      <c r="F4090" s="28">
        <v>12756</v>
      </c>
      <c r="G4090" s="27" t="s">
        <v>17</v>
      </c>
      <c r="H4090" s="27" t="s">
        <v>1433</v>
      </c>
      <c r="I4090" s="27" t="s">
        <v>13</v>
      </c>
    </row>
    <row r="4091" spans="1:9" x14ac:dyDescent="0.3">
      <c r="A4091" s="26">
        <v>45144</v>
      </c>
      <c r="B4091" s="27" t="s">
        <v>120</v>
      </c>
      <c r="C4091" s="27" t="s">
        <v>14</v>
      </c>
      <c r="D4091" s="27" t="s">
        <v>21</v>
      </c>
      <c r="E4091" s="28">
        <v>101068</v>
      </c>
      <c r="F4091" s="28">
        <v>135991</v>
      </c>
      <c r="G4091" s="27" t="s">
        <v>22</v>
      </c>
      <c r="H4091" s="27" t="s">
        <v>2062</v>
      </c>
      <c r="I4091" s="27" t="s">
        <v>13</v>
      </c>
    </row>
    <row r="4092" spans="1:9" x14ac:dyDescent="0.3">
      <c r="A4092" s="26">
        <v>45144</v>
      </c>
      <c r="B4092" s="27" t="s">
        <v>120</v>
      </c>
      <c r="C4092" s="27" t="s">
        <v>18</v>
      </c>
      <c r="D4092" s="27" t="s">
        <v>16</v>
      </c>
      <c r="E4092" s="28">
        <v>19773</v>
      </c>
      <c r="F4092" s="28">
        <v>140076</v>
      </c>
      <c r="G4092" s="27" t="s">
        <v>8</v>
      </c>
      <c r="H4092" s="27" t="s">
        <v>2083</v>
      </c>
      <c r="I4092" s="27" t="s">
        <v>13</v>
      </c>
    </row>
    <row r="4093" spans="1:9" x14ac:dyDescent="0.3">
      <c r="A4093" s="26">
        <v>45144</v>
      </c>
      <c r="B4093" s="27" t="s">
        <v>120</v>
      </c>
      <c r="C4093" s="27" t="s">
        <v>18</v>
      </c>
      <c r="D4093" s="27" t="s">
        <v>24</v>
      </c>
      <c r="E4093" s="28">
        <v>65015</v>
      </c>
      <c r="F4093" s="28">
        <v>160278</v>
      </c>
      <c r="G4093" s="27" t="s">
        <v>8</v>
      </c>
      <c r="H4093" s="27" t="s">
        <v>2537</v>
      </c>
      <c r="I4093" s="27" t="s">
        <v>13</v>
      </c>
    </row>
    <row r="4094" spans="1:9" x14ac:dyDescent="0.3">
      <c r="A4094" s="26">
        <v>45144</v>
      </c>
      <c r="B4094" s="27" t="s">
        <v>120</v>
      </c>
      <c r="C4094" s="27" t="s">
        <v>14</v>
      </c>
      <c r="D4094" s="27" t="s">
        <v>24</v>
      </c>
      <c r="E4094" s="28">
        <v>139196</v>
      </c>
      <c r="F4094" s="28">
        <v>77498</v>
      </c>
      <c r="G4094" s="27" t="s">
        <v>17</v>
      </c>
      <c r="H4094" s="27" t="s">
        <v>3056</v>
      </c>
      <c r="I4094" s="27" t="s">
        <v>13</v>
      </c>
    </row>
    <row r="4095" spans="1:9" x14ac:dyDescent="0.3">
      <c r="A4095" s="26">
        <v>45144</v>
      </c>
      <c r="B4095" s="27" t="s">
        <v>120</v>
      </c>
      <c r="C4095" s="27" t="s">
        <v>20</v>
      </c>
      <c r="D4095" s="27" t="s">
        <v>24</v>
      </c>
      <c r="E4095" s="28">
        <v>46548</v>
      </c>
      <c r="F4095" s="28">
        <v>142924</v>
      </c>
      <c r="G4095" s="27" t="s">
        <v>11</v>
      </c>
      <c r="H4095" s="27" t="s">
        <v>3298</v>
      </c>
      <c r="I4095" s="27" t="s">
        <v>13</v>
      </c>
    </row>
    <row r="4096" spans="1:9" x14ac:dyDescent="0.3">
      <c r="A4096" s="26">
        <v>45144</v>
      </c>
      <c r="B4096" s="27" t="s">
        <v>120</v>
      </c>
      <c r="C4096" s="27" t="s">
        <v>20</v>
      </c>
      <c r="D4096" s="27" t="s">
        <v>24</v>
      </c>
      <c r="E4096" s="28">
        <v>89127</v>
      </c>
      <c r="F4096" s="28">
        <v>153343</v>
      </c>
      <c r="G4096" s="27" t="s">
        <v>22</v>
      </c>
      <c r="H4096" s="27"/>
      <c r="I4096" s="27" t="s">
        <v>13</v>
      </c>
    </row>
    <row r="4097" spans="1:9" x14ac:dyDescent="0.3">
      <c r="A4097" s="26">
        <v>45144</v>
      </c>
      <c r="B4097" s="27" t="s">
        <v>120</v>
      </c>
      <c r="C4097" s="27" t="s">
        <v>6</v>
      </c>
      <c r="D4097" s="27" t="s">
        <v>16</v>
      </c>
      <c r="E4097" s="28">
        <v>274500</v>
      </c>
      <c r="F4097" s="28">
        <v>323400</v>
      </c>
      <c r="G4097" s="27" t="s">
        <v>11</v>
      </c>
      <c r="H4097" s="27" t="s">
        <v>3602</v>
      </c>
      <c r="I4097" s="27" t="s">
        <v>9</v>
      </c>
    </row>
    <row r="4098" spans="1:9" x14ac:dyDescent="0.3">
      <c r="A4098" s="26">
        <v>45144</v>
      </c>
      <c r="B4098" s="27" t="s">
        <v>120</v>
      </c>
      <c r="C4098" s="27" t="s">
        <v>93</v>
      </c>
      <c r="D4098" s="27" t="s">
        <v>24</v>
      </c>
      <c r="E4098" s="28">
        <v>116900</v>
      </c>
      <c r="F4098" s="28">
        <v>131900</v>
      </c>
      <c r="G4098" s="27" t="s">
        <v>17</v>
      </c>
      <c r="H4098" s="27" t="s">
        <v>3738</v>
      </c>
      <c r="I4098" s="27" t="s">
        <v>9</v>
      </c>
    </row>
    <row r="4099" spans="1:9" x14ac:dyDescent="0.3">
      <c r="A4099" s="26">
        <v>45144</v>
      </c>
      <c r="B4099" s="27" t="s">
        <v>120</v>
      </c>
      <c r="C4099" s="27" t="s">
        <v>6</v>
      </c>
      <c r="D4099" s="27" t="s">
        <v>16</v>
      </c>
      <c r="E4099" s="28">
        <v>98600</v>
      </c>
      <c r="F4099" s="28">
        <v>109300</v>
      </c>
      <c r="G4099" s="27" t="s">
        <v>11</v>
      </c>
      <c r="H4099" s="27" t="s">
        <v>3903</v>
      </c>
      <c r="I4099" s="27" t="s">
        <v>9</v>
      </c>
    </row>
    <row r="4100" spans="1:9" x14ac:dyDescent="0.3">
      <c r="A4100" s="26">
        <v>45144</v>
      </c>
      <c r="B4100" s="27" t="s">
        <v>120</v>
      </c>
      <c r="C4100" s="27" t="s">
        <v>93</v>
      </c>
      <c r="D4100" s="27" t="s">
        <v>21</v>
      </c>
      <c r="E4100" s="28">
        <v>76700</v>
      </c>
      <c r="F4100" s="28">
        <v>82400</v>
      </c>
      <c r="G4100" s="27" t="s">
        <v>22</v>
      </c>
      <c r="H4100" s="27" t="s">
        <v>4083</v>
      </c>
      <c r="I4100" s="27" t="s">
        <v>9</v>
      </c>
    </row>
    <row r="4101" spans="1:9" x14ac:dyDescent="0.3">
      <c r="A4101" s="26">
        <v>45144</v>
      </c>
      <c r="B4101" s="27" t="s">
        <v>120</v>
      </c>
      <c r="C4101" s="27" t="s">
        <v>93</v>
      </c>
      <c r="D4101" s="27" t="s">
        <v>16</v>
      </c>
      <c r="E4101" s="28">
        <v>122300</v>
      </c>
      <c r="F4101" s="28">
        <v>147800</v>
      </c>
      <c r="G4101" s="27" t="s">
        <v>11</v>
      </c>
      <c r="H4101" s="27" t="s">
        <v>4816</v>
      </c>
      <c r="I4101" s="27" t="s">
        <v>9</v>
      </c>
    </row>
    <row r="4102" spans="1:9" x14ac:dyDescent="0.3">
      <c r="A4102" s="26">
        <v>45144</v>
      </c>
      <c r="B4102" s="27" t="s">
        <v>120</v>
      </c>
      <c r="C4102" s="27" t="s">
        <v>6</v>
      </c>
      <c r="D4102" s="27" t="s">
        <v>21</v>
      </c>
      <c r="E4102" s="28">
        <v>100200</v>
      </c>
      <c r="F4102" s="28">
        <v>81500</v>
      </c>
      <c r="G4102" s="27" t="s">
        <v>22</v>
      </c>
      <c r="H4102" s="27" t="s">
        <v>5446</v>
      </c>
      <c r="I4102" s="27" t="s">
        <v>9</v>
      </c>
    </row>
    <row r="4103" spans="1:9" x14ac:dyDescent="0.3">
      <c r="A4103" s="26">
        <v>45144</v>
      </c>
      <c r="B4103" s="27" t="s">
        <v>120</v>
      </c>
      <c r="C4103" s="27" t="s">
        <v>6</v>
      </c>
      <c r="D4103" s="27" t="s">
        <v>16</v>
      </c>
      <c r="E4103" s="28">
        <v>126000</v>
      </c>
      <c r="F4103" s="28">
        <v>139700</v>
      </c>
      <c r="G4103" s="27" t="s">
        <v>22</v>
      </c>
      <c r="H4103" s="27" t="s">
        <v>5467</v>
      </c>
      <c r="I4103" s="27" t="s">
        <v>9</v>
      </c>
    </row>
    <row r="4104" spans="1:9" x14ac:dyDescent="0.3">
      <c r="A4104" s="26">
        <v>45144</v>
      </c>
      <c r="B4104" s="27" t="s">
        <v>120</v>
      </c>
      <c r="C4104" s="27" t="s">
        <v>6</v>
      </c>
      <c r="D4104" s="27" t="s">
        <v>24</v>
      </c>
      <c r="E4104" s="28">
        <v>150500</v>
      </c>
      <c r="F4104" s="28">
        <v>125600</v>
      </c>
      <c r="G4104" s="27" t="s">
        <v>11</v>
      </c>
      <c r="H4104" s="27" t="s">
        <v>5526</v>
      </c>
      <c r="I4104" s="27" t="s">
        <v>9</v>
      </c>
    </row>
    <row r="4105" spans="1:9" x14ac:dyDescent="0.3">
      <c r="A4105" s="26">
        <v>45144</v>
      </c>
      <c r="B4105" s="27" t="s">
        <v>120</v>
      </c>
      <c r="C4105" s="27" t="s">
        <v>6</v>
      </c>
      <c r="D4105" s="27" t="s">
        <v>24</v>
      </c>
      <c r="E4105" s="28">
        <v>124200</v>
      </c>
      <c r="F4105" s="28">
        <v>118400</v>
      </c>
      <c r="G4105" s="27" t="s">
        <v>11</v>
      </c>
      <c r="H4105" s="27" t="s">
        <v>5922</v>
      </c>
      <c r="I4105" s="27" t="s">
        <v>9</v>
      </c>
    </row>
    <row r="4106" spans="1:9" x14ac:dyDescent="0.3">
      <c r="A4106" s="26">
        <v>45144</v>
      </c>
      <c r="B4106" s="27" t="s">
        <v>120</v>
      </c>
      <c r="C4106" s="27" t="s">
        <v>6</v>
      </c>
      <c r="D4106" s="27" t="s">
        <v>24</v>
      </c>
      <c r="E4106" s="28">
        <v>65900</v>
      </c>
      <c r="F4106" s="28">
        <v>66100</v>
      </c>
      <c r="G4106" s="27" t="s">
        <v>11</v>
      </c>
      <c r="H4106" s="27" t="s">
        <v>6441</v>
      </c>
      <c r="I4106" s="27" t="s">
        <v>9</v>
      </c>
    </row>
    <row r="4107" spans="1:9" x14ac:dyDescent="0.3">
      <c r="A4107" s="26">
        <v>45144</v>
      </c>
      <c r="B4107" s="27" t="s">
        <v>120</v>
      </c>
      <c r="C4107" s="27" t="s">
        <v>6</v>
      </c>
      <c r="D4107" s="27" t="s">
        <v>24</v>
      </c>
      <c r="E4107" s="28">
        <v>90700</v>
      </c>
      <c r="F4107" s="28">
        <v>88800</v>
      </c>
      <c r="G4107" s="27" t="s">
        <v>22</v>
      </c>
      <c r="H4107" s="27" t="s">
        <v>6683</v>
      </c>
      <c r="I4107" s="27" t="s">
        <v>9</v>
      </c>
    </row>
    <row r="4108" spans="1:9" x14ac:dyDescent="0.3">
      <c r="A4108" s="26">
        <v>45145</v>
      </c>
      <c r="B4108" s="27" t="s">
        <v>120</v>
      </c>
      <c r="C4108" s="27" t="s">
        <v>14</v>
      </c>
      <c r="D4108" s="27" t="s">
        <v>7</v>
      </c>
      <c r="E4108" s="28">
        <v>60464</v>
      </c>
      <c r="F4108" s="28">
        <v>17788</v>
      </c>
      <c r="G4108" s="27" t="s">
        <v>8</v>
      </c>
      <c r="H4108" s="27" t="s">
        <v>476</v>
      </c>
      <c r="I4108" s="27" t="s">
        <v>13</v>
      </c>
    </row>
    <row r="4109" spans="1:9" x14ac:dyDescent="0.3">
      <c r="A4109" s="26">
        <v>45145</v>
      </c>
      <c r="B4109" s="27" t="s">
        <v>120</v>
      </c>
      <c r="C4109" s="27" t="s">
        <v>14</v>
      </c>
      <c r="D4109" s="27" t="s">
        <v>7</v>
      </c>
      <c r="E4109" s="28">
        <v>23792</v>
      </c>
      <c r="F4109" s="28">
        <v>109661</v>
      </c>
      <c r="G4109" s="27" t="s">
        <v>8</v>
      </c>
      <c r="H4109" s="27" t="s">
        <v>883</v>
      </c>
      <c r="I4109" s="27" t="s">
        <v>13</v>
      </c>
    </row>
    <row r="4110" spans="1:9" x14ac:dyDescent="0.3">
      <c r="A4110" s="26">
        <v>45145</v>
      </c>
      <c r="B4110" s="27" t="s">
        <v>120</v>
      </c>
      <c r="C4110" s="27" t="s">
        <v>14</v>
      </c>
      <c r="D4110" s="27" t="s">
        <v>24</v>
      </c>
      <c r="E4110" s="28">
        <v>129137</v>
      </c>
      <c r="F4110" s="28">
        <v>50884</v>
      </c>
      <c r="G4110" s="27" t="s">
        <v>17</v>
      </c>
      <c r="H4110" s="27" t="s">
        <v>1610</v>
      </c>
      <c r="I4110" s="27" t="s">
        <v>13</v>
      </c>
    </row>
    <row r="4111" spans="1:9" x14ac:dyDescent="0.3">
      <c r="A4111" s="26">
        <v>45145</v>
      </c>
      <c r="B4111" s="27" t="s">
        <v>120</v>
      </c>
      <c r="C4111" s="27" t="s">
        <v>18</v>
      </c>
      <c r="D4111" s="27" t="s">
        <v>21</v>
      </c>
      <c r="E4111" s="28">
        <v>56292</v>
      </c>
      <c r="F4111" s="28">
        <v>140120</v>
      </c>
      <c r="G4111" s="27" t="s">
        <v>11</v>
      </c>
      <c r="H4111" s="27" t="s">
        <v>3084</v>
      </c>
      <c r="I4111" s="27" t="s">
        <v>13</v>
      </c>
    </row>
    <row r="4112" spans="1:9" x14ac:dyDescent="0.3">
      <c r="A4112" s="26">
        <v>45145</v>
      </c>
      <c r="B4112" s="27" t="s">
        <v>120</v>
      </c>
      <c r="C4112" s="27" t="s">
        <v>10</v>
      </c>
      <c r="D4112" s="27" t="s">
        <v>19</v>
      </c>
      <c r="E4112" s="28">
        <v>102152</v>
      </c>
      <c r="F4112" s="28">
        <v>23524</v>
      </c>
      <c r="G4112" s="27" t="s">
        <v>11</v>
      </c>
      <c r="H4112" s="27" t="s">
        <v>3159</v>
      </c>
      <c r="I4112" s="27" t="s">
        <v>13</v>
      </c>
    </row>
    <row r="4113" spans="1:9" x14ac:dyDescent="0.3">
      <c r="A4113" s="26">
        <v>45145</v>
      </c>
      <c r="B4113" s="27" t="s">
        <v>120</v>
      </c>
      <c r="C4113" s="27" t="s">
        <v>6</v>
      </c>
      <c r="D4113" s="27" t="s">
        <v>7</v>
      </c>
      <c r="E4113" s="28">
        <v>197800</v>
      </c>
      <c r="F4113" s="28">
        <v>200500</v>
      </c>
      <c r="G4113" s="27" t="s">
        <v>17</v>
      </c>
      <c r="H4113" s="27" t="s">
        <v>3857</v>
      </c>
      <c r="I4113" s="27" t="s">
        <v>9</v>
      </c>
    </row>
    <row r="4114" spans="1:9" x14ac:dyDescent="0.3">
      <c r="A4114" s="26">
        <v>45145</v>
      </c>
      <c r="B4114" s="27" t="s">
        <v>120</v>
      </c>
      <c r="C4114" s="27" t="s">
        <v>6</v>
      </c>
      <c r="D4114" s="27" t="s">
        <v>7</v>
      </c>
      <c r="E4114" s="28">
        <v>157800</v>
      </c>
      <c r="F4114" s="28">
        <v>213700</v>
      </c>
      <c r="G4114" s="27" t="s">
        <v>22</v>
      </c>
      <c r="H4114" s="27" t="s">
        <v>4264</v>
      </c>
      <c r="I4114" s="27" t="s">
        <v>9</v>
      </c>
    </row>
    <row r="4115" spans="1:9" x14ac:dyDescent="0.3">
      <c r="A4115" s="26">
        <v>45145</v>
      </c>
      <c r="B4115" s="27" t="s">
        <v>120</v>
      </c>
      <c r="C4115" s="27" t="s">
        <v>6</v>
      </c>
      <c r="D4115" s="27" t="s">
        <v>24</v>
      </c>
      <c r="E4115" s="28">
        <v>70800</v>
      </c>
      <c r="F4115" s="28">
        <v>89800</v>
      </c>
      <c r="G4115" s="27" t="s">
        <v>17</v>
      </c>
      <c r="H4115" s="27" t="s">
        <v>4993</v>
      </c>
      <c r="I4115" s="27" t="s">
        <v>9</v>
      </c>
    </row>
    <row r="4116" spans="1:9" x14ac:dyDescent="0.3">
      <c r="A4116" s="26">
        <v>45145</v>
      </c>
      <c r="B4116" s="27" t="s">
        <v>120</v>
      </c>
      <c r="C4116" s="27" t="s">
        <v>93</v>
      </c>
      <c r="D4116" s="27" t="s">
        <v>21</v>
      </c>
      <c r="E4116" s="28">
        <v>72100</v>
      </c>
      <c r="F4116" s="28">
        <v>63300</v>
      </c>
      <c r="G4116" s="27" t="s">
        <v>17</v>
      </c>
      <c r="H4116" s="27" t="s">
        <v>6469</v>
      </c>
      <c r="I4116" s="27" t="s">
        <v>9</v>
      </c>
    </row>
    <row r="4117" spans="1:9" x14ac:dyDescent="0.3">
      <c r="A4117" s="26">
        <v>45145</v>
      </c>
      <c r="B4117" s="27" t="s">
        <v>120</v>
      </c>
      <c r="C4117" s="27" t="s">
        <v>93</v>
      </c>
      <c r="D4117" s="27" t="s">
        <v>19</v>
      </c>
      <c r="E4117" s="28">
        <v>105000</v>
      </c>
      <c r="F4117" s="28">
        <v>72800</v>
      </c>
      <c r="G4117" s="27" t="s">
        <v>22</v>
      </c>
      <c r="H4117" s="27" t="s">
        <v>6544</v>
      </c>
      <c r="I4117" s="27" t="s">
        <v>9</v>
      </c>
    </row>
    <row r="4118" spans="1:9" x14ac:dyDescent="0.3">
      <c r="A4118" s="26">
        <v>45146</v>
      </c>
      <c r="B4118" s="27" t="s">
        <v>120</v>
      </c>
      <c r="C4118" s="27" t="s">
        <v>20</v>
      </c>
      <c r="D4118" s="27" t="s">
        <v>21</v>
      </c>
      <c r="E4118" s="28">
        <v>65173</v>
      </c>
      <c r="F4118" s="28">
        <v>54678</v>
      </c>
      <c r="G4118" s="27" t="s">
        <v>11</v>
      </c>
      <c r="H4118" s="27" t="s">
        <v>1158</v>
      </c>
      <c r="I4118" s="27" t="s">
        <v>13</v>
      </c>
    </row>
    <row r="4119" spans="1:9" x14ac:dyDescent="0.3">
      <c r="A4119" s="26">
        <v>45146</v>
      </c>
      <c r="B4119" s="27" t="s">
        <v>120</v>
      </c>
      <c r="C4119" s="27" t="s">
        <v>10</v>
      </c>
      <c r="D4119" s="27" t="s">
        <v>21</v>
      </c>
      <c r="E4119" s="28">
        <v>139415</v>
      </c>
      <c r="F4119" s="28">
        <v>41208</v>
      </c>
      <c r="G4119" s="27" t="s">
        <v>17</v>
      </c>
      <c r="H4119" s="27" t="s">
        <v>1292</v>
      </c>
      <c r="I4119" s="27" t="s">
        <v>13</v>
      </c>
    </row>
    <row r="4120" spans="1:9" x14ac:dyDescent="0.3">
      <c r="A4120" s="26">
        <v>45146</v>
      </c>
      <c r="B4120" s="27" t="s">
        <v>120</v>
      </c>
      <c r="C4120" s="27" t="s">
        <v>18</v>
      </c>
      <c r="D4120" s="27" t="s">
        <v>16</v>
      </c>
      <c r="E4120" s="28">
        <v>118025</v>
      </c>
      <c r="F4120" s="28">
        <v>90833</v>
      </c>
      <c r="G4120" s="27" t="s">
        <v>17</v>
      </c>
      <c r="H4120" s="27" t="s">
        <v>1536</v>
      </c>
      <c r="I4120" s="27" t="s">
        <v>13</v>
      </c>
    </row>
    <row r="4121" spans="1:9" x14ac:dyDescent="0.3">
      <c r="A4121" s="26">
        <v>45146</v>
      </c>
      <c r="B4121" s="27" t="s">
        <v>120</v>
      </c>
      <c r="C4121" s="27" t="s">
        <v>10</v>
      </c>
      <c r="D4121" s="27" t="s">
        <v>7</v>
      </c>
      <c r="E4121" s="28">
        <v>101336</v>
      </c>
      <c r="F4121" s="28">
        <v>44233</v>
      </c>
      <c r="G4121" s="27" t="s">
        <v>17</v>
      </c>
      <c r="H4121" s="27" t="s">
        <v>1921</v>
      </c>
      <c r="I4121" s="27" t="s">
        <v>13</v>
      </c>
    </row>
    <row r="4122" spans="1:9" x14ac:dyDescent="0.3">
      <c r="A4122" s="26">
        <v>45146</v>
      </c>
      <c r="B4122" s="27" t="s">
        <v>120</v>
      </c>
      <c r="C4122" s="27" t="s">
        <v>32</v>
      </c>
      <c r="D4122" s="27" t="s">
        <v>21</v>
      </c>
      <c r="E4122" s="28">
        <v>35809</v>
      </c>
      <c r="F4122" s="28">
        <v>37445</v>
      </c>
      <c r="G4122" s="27" t="s">
        <v>8</v>
      </c>
      <c r="H4122" s="27" t="s">
        <v>2211</v>
      </c>
      <c r="I4122" s="27" t="s">
        <v>13</v>
      </c>
    </row>
    <row r="4123" spans="1:9" x14ac:dyDescent="0.3">
      <c r="A4123" s="26">
        <v>45146</v>
      </c>
      <c r="B4123" s="27" t="s">
        <v>120</v>
      </c>
      <c r="C4123" s="27" t="s">
        <v>10</v>
      </c>
      <c r="D4123" s="27" t="s">
        <v>16</v>
      </c>
      <c r="E4123" s="28">
        <v>103726</v>
      </c>
      <c r="F4123" s="28">
        <v>45098</v>
      </c>
      <c r="G4123" s="27" t="s">
        <v>22</v>
      </c>
      <c r="H4123" s="27" t="s">
        <v>2528</v>
      </c>
      <c r="I4123" s="27" t="s">
        <v>13</v>
      </c>
    </row>
    <row r="4124" spans="1:9" x14ac:dyDescent="0.3">
      <c r="A4124" s="26">
        <v>45146</v>
      </c>
      <c r="B4124" s="27" t="s">
        <v>120</v>
      </c>
      <c r="C4124" s="27" t="s">
        <v>32</v>
      </c>
      <c r="D4124" s="27" t="s">
        <v>7</v>
      </c>
      <c r="E4124" s="28">
        <v>115054</v>
      </c>
      <c r="F4124" s="28">
        <v>21245</v>
      </c>
      <c r="G4124" s="27" t="s">
        <v>22</v>
      </c>
      <c r="H4124" s="27" t="s">
        <v>2974</v>
      </c>
      <c r="I4124" s="27" t="s">
        <v>13</v>
      </c>
    </row>
    <row r="4125" spans="1:9" x14ac:dyDescent="0.3">
      <c r="A4125" s="26">
        <v>45146</v>
      </c>
      <c r="B4125" s="27" t="s">
        <v>120</v>
      </c>
      <c r="C4125" s="27" t="s">
        <v>20</v>
      </c>
      <c r="D4125" s="27" t="s">
        <v>21</v>
      </c>
      <c r="E4125" s="28">
        <v>107942</v>
      </c>
      <c r="F4125" s="28">
        <v>101561</v>
      </c>
      <c r="G4125" s="27" t="s">
        <v>11</v>
      </c>
      <c r="H4125" s="27" t="s">
        <v>3108</v>
      </c>
      <c r="I4125" s="27" t="s">
        <v>13</v>
      </c>
    </row>
    <row r="4126" spans="1:9" x14ac:dyDescent="0.3">
      <c r="A4126" s="26">
        <v>45146</v>
      </c>
      <c r="B4126" s="27" t="s">
        <v>120</v>
      </c>
      <c r="C4126" s="27" t="s">
        <v>15</v>
      </c>
      <c r="D4126" s="27" t="s">
        <v>19</v>
      </c>
      <c r="E4126" s="28">
        <v>144791</v>
      </c>
      <c r="F4126" s="28">
        <v>38261</v>
      </c>
      <c r="G4126" s="27" t="s">
        <v>11</v>
      </c>
      <c r="H4126" s="27" t="s">
        <v>3165</v>
      </c>
      <c r="I4126" s="27" t="s">
        <v>13</v>
      </c>
    </row>
    <row r="4127" spans="1:9" x14ac:dyDescent="0.3">
      <c r="A4127" s="26">
        <v>45146</v>
      </c>
      <c r="B4127" s="27" t="s">
        <v>120</v>
      </c>
      <c r="C4127" s="27" t="s">
        <v>15</v>
      </c>
      <c r="D4127" s="27" t="s">
        <v>16</v>
      </c>
      <c r="E4127" s="28">
        <v>133397</v>
      </c>
      <c r="F4127" s="28">
        <v>99271</v>
      </c>
      <c r="G4127" s="27" t="s">
        <v>11</v>
      </c>
      <c r="H4127" s="27" t="s">
        <v>3367</v>
      </c>
      <c r="I4127" s="27" t="s">
        <v>13</v>
      </c>
    </row>
    <row r="4128" spans="1:9" x14ac:dyDescent="0.3">
      <c r="A4128" s="26">
        <v>45146</v>
      </c>
      <c r="B4128" s="27" t="s">
        <v>120</v>
      </c>
      <c r="C4128" s="27" t="s">
        <v>15</v>
      </c>
      <c r="D4128" s="27" t="s">
        <v>19</v>
      </c>
      <c r="E4128" s="28">
        <v>48394</v>
      </c>
      <c r="F4128" s="28">
        <v>25921</v>
      </c>
      <c r="G4128" s="27" t="s">
        <v>22</v>
      </c>
      <c r="H4128" s="27" t="s">
        <v>3373</v>
      </c>
      <c r="I4128" s="27" t="s">
        <v>13</v>
      </c>
    </row>
    <row r="4129" spans="1:9" x14ac:dyDescent="0.3">
      <c r="A4129" s="26">
        <v>45146</v>
      </c>
      <c r="B4129" s="27" t="s">
        <v>120</v>
      </c>
      <c r="C4129" s="27" t="s">
        <v>93</v>
      </c>
      <c r="D4129" s="27" t="s">
        <v>21</v>
      </c>
      <c r="E4129" s="28">
        <v>90800</v>
      </c>
      <c r="F4129" s="28">
        <v>120700</v>
      </c>
      <c r="G4129" s="27" t="s">
        <v>11</v>
      </c>
      <c r="H4129" s="27" t="s">
        <v>4541</v>
      </c>
      <c r="I4129" s="27" t="s">
        <v>9</v>
      </c>
    </row>
    <row r="4130" spans="1:9" x14ac:dyDescent="0.3">
      <c r="A4130" s="26">
        <v>45146</v>
      </c>
      <c r="B4130" s="27" t="s">
        <v>120</v>
      </c>
      <c r="C4130" s="27" t="s">
        <v>6</v>
      </c>
      <c r="D4130" s="27" t="s">
        <v>21</v>
      </c>
      <c r="E4130" s="28">
        <v>169100</v>
      </c>
      <c r="F4130" s="28">
        <v>113600</v>
      </c>
      <c r="G4130" s="27" t="s">
        <v>11</v>
      </c>
      <c r="H4130" s="27" t="s">
        <v>4675</v>
      </c>
      <c r="I4130" s="27" t="s">
        <v>9</v>
      </c>
    </row>
    <row r="4131" spans="1:9" x14ac:dyDescent="0.3">
      <c r="A4131" s="26">
        <v>45146</v>
      </c>
      <c r="B4131" s="27" t="s">
        <v>120</v>
      </c>
      <c r="C4131" s="27" t="s">
        <v>6</v>
      </c>
      <c r="D4131" s="27" t="s">
        <v>16</v>
      </c>
      <c r="E4131" s="28">
        <v>139300</v>
      </c>
      <c r="F4131" s="28">
        <v>153100</v>
      </c>
      <c r="G4131" s="27" t="s">
        <v>22</v>
      </c>
      <c r="H4131" s="27" t="s">
        <v>4919</v>
      </c>
      <c r="I4131" s="27" t="s">
        <v>9</v>
      </c>
    </row>
    <row r="4132" spans="1:9" x14ac:dyDescent="0.3">
      <c r="A4132" s="26">
        <v>45146</v>
      </c>
      <c r="B4132" s="27" t="s">
        <v>120</v>
      </c>
      <c r="C4132" s="27" t="s">
        <v>93</v>
      </c>
      <c r="D4132" s="27" t="s">
        <v>7</v>
      </c>
      <c r="E4132" s="28">
        <v>125300</v>
      </c>
      <c r="F4132" s="28">
        <v>132900</v>
      </c>
      <c r="G4132" s="27" t="s">
        <v>22</v>
      </c>
      <c r="H4132" s="27" t="s">
        <v>5305</v>
      </c>
      <c r="I4132" s="27" t="s">
        <v>9</v>
      </c>
    </row>
    <row r="4133" spans="1:9" x14ac:dyDescent="0.3">
      <c r="A4133" s="26">
        <v>45146</v>
      </c>
      <c r="B4133" s="27" t="s">
        <v>120</v>
      </c>
      <c r="C4133" s="27" t="s">
        <v>6</v>
      </c>
      <c r="D4133" s="27" t="s">
        <v>21</v>
      </c>
      <c r="E4133" s="28">
        <v>129000</v>
      </c>
      <c r="F4133" s="28">
        <v>123500</v>
      </c>
      <c r="G4133" s="27" t="s">
        <v>22</v>
      </c>
      <c r="H4133" s="27" t="s">
        <v>5596</v>
      </c>
      <c r="I4133" s="27" t="s">
        <v>9</v>
      </c>
    </row>
    <row r="4134" spans="1:9" x14ac:dyDescent="0.3">
      <c r="A4134" s="26">
        <v>45146</v>
      </c>
      <c r="B4134" s="27" t="s">
        <v>120</v>
      </c>
      <c r="C4134" s="27" t="s">
        <v>6</v>
      </c>
      <c r="D4134" s="27" t="s">
        <v>16</v>
      </c>
      <c r="E4134" s="28">
        <v>102100</v>
      </c>
      <c r="F4134" s="28">
        <v>98100</v>
      </c>
      <c r="G4134" s="27" t="s">
        <v>22</v>
      </c>
      <c r="H4134" s="27" t="s">
        <v>5913</v>
      </c>
      <c r="I4134" s="27" t="s">
        <v>9</v>
      </c>
    </row>
    <row r="4135" spans="1:9" x14ac:dyDescent="0.3">
      <c r="A4135" s="26">
        <v>45146</v>
      </c>
      <c r="B4135" s="27" t="s">
        <v>120</v>
      </c>
      <c r="C4135" s="27" t="s">
        <v>93</v>
      </c>
      <c r="D4135" s="27" t="s">
        <v>7</v>
      </c>
      <c r="E4135" s="28">
        <v>125000</v>
      </c>
      <c r="F4135" s="28">
        <v>121700</v>
      </c>
      <c r="G4135" s="27" t="s">
        <v>11</v>
      </c>
      <c r="H4135" s="27" t="s">
        <v>6359</v>
      </c>
      <c r="I4135" s="27" t="s">
        <v>9</v>
      </c>
    </row>
    <row r="4136" spans="1:9" x14ac:dyDescent="0.3">
      <c r="A4136" s="26">
        <v>45146</v>
      </c>
      <c r="B4136" s="27" t="s">
        <v>120</v>
      </c>
      <c r="C4136" s="27" t="s">
        <v>93</v>
      </c>
      <c r="D4136" s="27" t="s">
        <v>21</v>
      </c>
      <c r="E4136" s="28">
        <v>102500</v>
      </c>
      <c r="F4136" s="28">
        <v>78800</v>
      </c>
      <c r="G4136" s="27" t="s">
        <v>22</v>
      </c>
      <c r="H4136" s="27" t="s">
        <v>6493</v>
      </c>
      <c r="I4136" s="27" t="s">
        <v>9</v>
      </c>
    </row>
    <row r="4137" spans="1:9" x14ac:dyDescent="0.3">
      <c r="A4137" s="26">
        <v>45146</v>
      </c>
      <c r="B4137" s="27" t="s">
        <v>120</v>
      </c>
      <c r="C4137" s="27" t="s">
        <v>6</v>
      </c>
      <c r="D4137" s="27" t="s">
        <v>19</v>
      </c>
      <c r="E4137" s="28">
        <v>117500</v>
      </c>
      <c r="F4137" s="28">
        <v>104500</v>
      </c>
      <c r="G4137" s="27" t="s">
        <v>17</v>
      </c>
      <c r="H4137" s="27" t="s">
        <v>6550</v>
      </c>
      <c r="I4137" s="27" t="s">
        <v>9</v>
      </c>
    </row>
    <row r="4138" spans="1:9" x14ac:dyDescent="0.3">
      <c r="A4138" s="26">
        <v>45146</v>
      </c>
      <c r="B4138" s="27" t="s">
        <v>120</v>
      </c>
      <c r="C4138" s="27" t="s">
        <v>93</v>
      </c>
      <c r="D4138" s="27" t="s">
        <v>16</v>
      </c>
      <c r="E4138" s="28">
        <v>265300</v>
      </c>
      <c r="F4138" s="28">
        <v>309200</v>
      </c>
      <c r="G4138" s="27" t="s">
        <v>22</v>
      </c>
      <c r="H4138" s="27" t="s">
        <v>6752</v>
      </c>
      <c r="I4138" s="27" t="s">
        <v>9</v>
      </c>
    </row>
    <row r="4139" spans="1:9" x14ac:dyDescent="0.3">
      <c r="A4139" s="26">
        <v>45146</v>
      </c>
      <c r="B4139" s="27" t="s">
        <v>120</v>
      </c>
      <c r="C4139" s="27" t="s">
        <v>6</v>
      </c>
      <c r="D4139" s="27" t="s">
        <v>19</v>
      </c>
      <c r="E4139" s="28">
        <v>196800</v>
      </c>
      <c r="F4139" s="28">
        <v>144600</v>
      </c>
      <c r="G4139" s="27" t="s">
        <v>17</v>
      </c>
      <c r="H4139" s="27" t="s">
        <v>6758</v>
      </c>
      <c r="I4139" s="27" t="s">
        <v>9</v>
      </c>
    </row>
    <row r="4140" spans="1:9" x14ac:dyDescent="0.3">
      <c r="A4140" s="26">
        <v>45147</v>
      </c>
      <c r="B4140" s="27" t="s">
        <v>120</v>
      </c>
      <c r="C4140" s="27" t="s">
        <v>20</v>
      </c>
      <c r="D4140" s="27" t="s">
        <v>7</v>
      </c>
      <c r="E4140" s="28">
        <v>22058</v>
      </c>
      <c r="F4140" s="28">
        <v>162127</v>
      </c>
      <c r="G4140" s="27" t="s">
        <v>22</v>
      </c>
      <c r="H4140" s="27" t="s">
        <v>353</v>
      </c>
      <c r="I4140" s="27" t="s">
        <v>13</v>
      </c>
    </row>
    <row r="4141" spans="1:9" x14ac:dyDescent="0.3">
      <c r="A4141" s="26">
        <v>45147</v>
      </c>
      <c r="B4141" s="27" t="s">
        <v>120</v>
      </c>
      <c r="C4141" s="27" t="s">
        <v>18</v>
      </c>
      <c r="D4141" s="27" t="s">
        <v>21</v>
      </c>
      <c r="E4141" s="28">
        <v>117112</v>
      </c>
      <c r="F4141" s="28">
        <v>71835</v>
      </c>
      <c r="G4141" s="27" t="s">
        <v>22</v>
      </c>
      <c r="H4141" s="27" t="s">
        <v>915</v>
      </c>
      <c r="I4141" s="27" t="s">
        <v>13</v>
      </c>
    </row>
    <row r="4142" spans="1:9" x14ac:dyDescent="0.3">
      <c r="A4142" s="26">
        <v>45147</v>
      </c>
      <c r="B4142" s="27" t="s">
        <v>120</v>
      </c>
      <c r="C4142" s="27" t="s">
        <v>20</v>
      </c>
      <c r="D4142" s="27" t="s">
        <v>19</v>
      </c>
      <c r="E4142" s="28">
        <v>144948</v>
      </c>
      <c r="F4142" s="28">
        <v>10217</v>
      </c>
      <c r="G4142" s="27" t="s">
        <v>11</v>
      </c>
      <c r="H4142" s="27" t="s">
        <v>1031</v>
      </c>
      <c r="I4142" s="27" t="s">
        <v>13</v>
      </c>
    </row>
    <row r="4143" spans="1:9" x14ac:dyDescent="0.3">
      <c r="A4143" s="26">
        <v>45147</v>
      </c>
      <c r="B4143" s="27" t="s">
        <v>120</v>
      </c>
      <c r="C4143" s="27" t="s">
        <v>20</v>
      </c>
      <c r="D4143" s="27" t="s">
        <v>7</v>
      </c>
      <c r="E4143" s="28">
        <v>149102</v>
      </c>
      <c r="F4143" s="28">
        <v>49581</v>
      </c>
      <c r="G4143" s="27" t="s">
        <v>11</v>
      </c>
      <c r="H4143" s="27" t="s">
        <v>1249</v>
      </c>
      <c r="I4143" s="27" t="s">
        <v>13</v>
      </c>
    </row>
    <row r="4144" spans="1:9" x14ac:dyDescent="0.3">
      <c r="A4144" s="26">
        <v>45147</v>
      </c>
      <c r="B4144" s="27" t="s">
        <v>120</v>
      </c>
      <c r="C4144" s="27" t="s">
        <v>18</v>
      </c>
      <c r="D4144" s="27" t="s">
        <v>21</v>
      </c>
      <c r="E4144" s="28">
        <v>89006</v>
      </c>
      <c r="F4144" s="28">
        <v>123569</v>
      </c>
      <c r="G4144" s="27" t="s">
        <v>17</v>
      </c>
      <c r="H4144" s="27" t="s">
        <v>1713</v>
      </c>
      <c r="I4144" s="27" t="s">
        <v>13</v>
      </c>
    </row>
    <row r="4145" spans="1:9" x14ac:dyDescent="0.3">
      <c r="A4145" s="26">
        <v>45147</v>
      </c>
      <c r="B4145" s="27" t="s">
        <v>120</v>
      </c>
      <c r="C4145" s="27" t="s">
        <v>20</v>
      </c>
      <c r="D4145" s="27" t="s">
        <v>24</v>
      </c>
      <c r="E4145" s="28">
        <v>59724</v>
      </c>
      <c r="F4145" s="28">
        <v>106013</v>
      </c>
      <c r="G4145" s="27" t="s">
        <v>11</v>
      </c>
      <c r="H4145" s="27" t="s">
        <v>1771</v>
      </c>
      <c r="I4145" s="27" t="s">
        <v>13</v>
      </c>
    </row>
    <row r="4146" spans="1:9" x14ac:dyDescent="0.3">
      <c r="A4146" s="26">
        <v>45147</v>
      </c>
      <c r="B4146" s="27" t="s">
        <v>120</v>
      </c>
      <c r="C4146" s="27" t="s">
        <v>93</v>
      </c>
      <c r="D4146" s="27" t="s">
        <v>7</v>
      </c>
      <c r="E4146" s="28">
        <v>139900</v>
      </c>
      <c r="F4146" s="28">
        <v>163200</v>
      </c>
      <c r="G4146" s="27" t="s">
        <v>22</v>
      </c>
      <c r="H4146" s="27" t="s">
        <v>3734</v>
      </c>
      <c r="I4146" s="27" t="s">
        <v>9</v>
      </c>
    </row>
    <row r="4147" spans="1:9" x14ac:dyDescent="0.3">
      <c r="A4147" s="26">
        <v>45147</v>
      </c>
      <c r="B4147" s="27" t="s">
        <v>120</v>
      </c>
      <c r="C4147" s="27" t="s">
        <v>93</v>
      </c>
      <c r="D4147" s="27" t="s">
        <v>21</v>
      </c>
      <c r="E4147" s="28">
        <v>138600</v>
      </c>
      <c r="F4147" s="28">
        <v>137700</v>
      </c>
      <c r="G4147" s="27" t="s">
        <v>22</v>
      </c>
      <c r="H4147" s="27" t="s">
        <v>4296</v>
      </c>
      <c r="I4147" s="27" t="s">
        <v>9</v>
      </c>
    </row>
    <row r="4148" spans="1:9" x14ac:dyDescent="0.3">
      <c r="A4148" s="26">
        <v>45147</v>
      </c>
      <c r="B4148" s="27" t="s">
        <v>120</v>
      </c>
      <c r="C4148" s="27" t="s">
        <v>6</v>
      </c>
      <c r="D4148" s="27" t="s">
        <v>19</v>
      </c>
      <c r="E4148" s="28">
        <v>152200</v>
      </c>
      <c r="F4148" s="28">
        <v>140700</v>
      </c>
      <c r="G4148" s="27" t="s">
        <v>22</v>
      </c>
      <c r="H4148" s="27" t="s">
        <v>4413</v>
      </c>
      <c r="I4148" s="27" t="s">
        <v>9</v>
      </c>
    </row>
    <row r="4149" spans="1:9" x14ac:dyDescent="0.3">
      <c r="A4149" s="26">
        <v>45147</v>
      </c>
      <c r="B4149" s="27" t="s">
        <v>120</v>
      </c>
      <c r="C4149" s="27" t="s">
        <v>93</v>
      </c>
      <c r="D4149" s="27" t="s">
        <v>7</v>
      </c>
      <c r="E4149" s="28">
        <v>172800</v>
      </c>
      <c r="F4149" s="28">
        <v>190800</v>
      </c>
      <c r="G4149" s="27" t="s">
        <v>22</v>
      </c>
      <c r="H4149" s="27" t="s">
        <v>4632</v>
      </c>
      <c r="I4149" s="27" t="s">
        <v>9</v>
      </c>
    </row>
    <row r="4150" spans="1:9" x14ac:dyDescent="0.3">
      <c r="A4150" s="26">
        <v>45147</v>
      </c>
      <c r="B4150" s="27" t="s">
        <v>120</v>
      </c>
      <c r="C4150" s="27" t="s">
        <v>93</v>
      </c>
      <c r="D4150" s="27" t="s">
        <v>21</v>
      </c>
      <c r="E4150" s="28">
        <v>128200</v>
      </c>
      <c r="F4150" s="28">
        <v>119800</v>
      </c>
      <c r="G4150" s="27" t="s">
        <v>22</v>
      </c>
      <c r="H4150" s="27" t="s">
        <v>5096</v>
      </c>
      <c r="I4150" s="27" t="s">
        <v>9</v>
      </c>
    </row>
    <row r="4151" spans="1:9" x14ac:dyDescent="0.3">
      <c r="A4151" s="26">
        <v>45147</v>
      </c>
      <c r="B4151" s="27" t="s">
        <v>120</v>
      </c>
      <c r="C4151" s="27" t="s">
        <v>93</v>
      </c>
      <c r="D4151" s="27" t="s">
        <v>24</v>
      </c>
      <c r="E4151" s="28">
        <v>152700</v>
      </c>
      <c r="F4151" s="28">
        <v>122400</v>
      </c>
      <c r="G4151" s="27" t="s">
        <v>11</v>
      </c>
      <c r="H4151" s="27" t="s">
        <v>5154</v>
      </c>
      <c r="I4151" s="27" t="s">
        <v>9</v>
      </c>
    </row>
    <row r="4152" spans="1:9" x14ac:dyDescent="0.3">
      <c r="A4152" s="26">
        <v>45148</v>
      </c>
      <c r="B4152" s="27" t="s">
        <v>120</v>
      </c>
      <c r="C4152" s="27" t="s">
        <v>10</v>
      </c>
      <c r="D4152" s="27" t="s">
        <v>21</v>
      </c>
      <c r="E4152" s="28">
        <v>108983</v>
      </c>
      <c r="F4152" s="28">
        <v>71335</v>
      </c>
      <c r="G4152" s="27" t="s">
        <v>8</v>
      </c>
      <c r="H4152" s="27" t="s">
        <v>51</v>
      </c>
      <c r="I4152" s="27" t="s">
        <v>13</v>
      </c>
    </row>
    <row r="4153" spans="1:9" x14ac:dyDescent="0.3">
      <c r="A4153" s="26">
        <v>45148</v>
      </c>
      <c r="B4153" s="27" t="s">
        <v>120</v>
      </c>
      <c r="C4153" s="27" t="s">
        <v>32</v>
      </c>
      <c r="D4153" s="27" t="s">
        <v>21</v>
      </c>
      <c r="E4153" s="28">
        <v>73575</v>
      </c>
      <c r="F4153" s="28">
        <v>69528</v>
      </c>
      <c r="G4153" s="27" t="s">
        <v>22</v>
      </c>
      <c r="H4153" s="27" t="s">
        <v>391</v>
      </c>
      <c r="I4153" s="27" t="s">
        <v>13</v>
      </c>
    </row>
    <row r="4154" spans="1:9" x14ac:dyDescent="0.3">
      <c r="A4154" s="26">
        <v>45148</v>
      </c>
      <c r="B4154" s="27" t="s">
        <v>120</v>
      </c>
      <c r="C4154" s="27" t="s">
        <v>32</v>
      </c>
      <c r="D4154" s="27" t="s">
        <v>21</v>
      </c>
      <c r="E4154" s="28">
        <v>82812</v>
      </c>
      <c r="F4154" s="28">
        <v>163363</v>
      </c>
      <c r="G4154" s="27" t="s">
        <v>22</v>
      </c>
      <c r="H4154" s="27" t="s">
        <v>492</v>
      </c>
      <c r="I4154" s="27" t="s">
        <v>13</v>
      </c>
    </row>
    <row r="4155" spans="1:9" x14ac:dyDescent="0.3">
      <c r="A4155" s="26">
        <v>45148</v>
      </c>
      <c r="B4155" s="27" t="s">
        <v>120</v>
      </c>
      <c r="C4155" s="27" t="s">
        <v>18</v>
      </c>
      <c r="D4155" s="27" t="s">
        <v>16</v>
      </c>
      <c r="E4155" s="28">
        <v>85926</v>
      </c>
      <c r="F4155" s="28">
        <v>137563</v>
      </c>
      <c r="G4155" s="27" t="s">
        <v>8</v>
      </c>
      <c r="H4155" s="27" t="s">
        <v>660</v>
      </c>
      <c r="I4155" s="27" t="s">
        <v>13</v>
      </c>
    </row>
    <row r="4156" spans="1:9" x14ac:dyDescent="0.3">
      <c r="A4156" s="26">
        <v>45148</v>
      </c>
      <c r="B4156" s="27" t="s">
        <v>120</v>
      </c>
      <c r="C4156" s="27" t="s">
        <v>15</v>
      </c>
      <c r="D4156" s="27" t="s">
        <v>7</v>
      </c>
      <c r="E4156" s="28">
        <v>18770</v>
      </c>
      <c r="F4156" s="28">
        <v>104309</v>
      </c>
      <c r="G4156" s="27" t="s">
        <v>22</v>
      </c>
      <c r="H4156" s="27" t="s">
        <v>1046</v>
      </c>
      <c r="I4156" s="27" t="s">
        <v>13</v>
      </c>
    </row>
    <row r="4157" spans="1:9" x14ac:dyDescent="0.3">
      <c r="A4157" s="26">
        <v>45148</v>
      </c>
      <c r="B4157" s="27" t="s">
        <v>120</v>
      </c>
      <c r="C4157" s="27" t="s">
        <v>20</v>
      </c>
      <c r="D4157" s="27" t="s">
        <v>7</v>
      </c>
      <c r="E4157" s="28">
        <v>121109</v>
      </c>
      <c r="F4157" s="28">
        <v>137849</v>
      </c>
      <c r="G4157" s="27" t="s">
        <v>8</v>
      </c>
      <c r="H4157" s="27" t="s">
        <v>1330</v>
      </c>
      <c r="I4157" s="27" t="s">
        <v>13</v>
      </c>
    </row>
    <row r="4158" spans="1:9" x14ac:dyDescent="0.3">
      <c r="A4158" s="26">
        <v>45148</v>
      </c>
      <c r="B4158" s="27" t="s">
        <v>120</v>
      </c>
      <c r="C4158" s="27" t="s">
        <v>10</v>
      </c>
      <c r="D4158" s="27" t="s">
        <v>16</v>
      </c>
      <c r="E4158" s="28">
        <v>95094</v>
      </c>
      <c r="F4158" s="28">
        <v>33685</v>
      </c>
      <c r="G4158" s="27" t="s">
        <v>8</v>
      </c>
      <c r="H4158" s="27" t="s">
        <v>1639</v>
      </c>
      <c r="I4158" s="27" t="s">
        <v>13</v>
      </c>
    </row>
    <row r="4159" spans="1:9" x14ac:dyDescent="0.3">
      <c r="A4159" s="26">
        <v>45148</v>
      </c>
      <c r="B4159" s="27" t="s">
        <v>120</v>
      </c>
      <c r="C4159" s="27" t="s">
        <v>10</v>
      </c>
      <c r="D4159" s="27" t="s">
        <v>16</v>
      </c>
      <c r="E4159" s="28">
        <v>83785</v>
      </c>
      <c r="F4159" s="28">
        <v>159005</v>
      </c>
      <c r="G4159" s="27" t="s">
        <v>11</v>
      </c>
      <c r="H4159" s="27" t="s">
        <v>2270</v>
      </c>
      <c r="I4159" s="27" t="s">
        <v>13</v>
      </c>
    </row>
    <row r="4160" spans="1:9" x14ac:dyDescent="0.3">
      <c r="A4160" s="26">
        <v>45148</v>
      </c>
      <c r="B4160" s="27" t="s">
        <v>120</v>
      </c>
      <c r="C4160" s="27" t="s">
        <v>15</v>
      </c>
      <c r="D4160" s="27" t="s">
        <v>7</v>
      </c>
      <c r="E4160" s="28">
        <v>146524</v>
      </c>
      <c r="F4160" s="28">
        <v>57449</v>
      </c>
      <c r="G4160" s="27" t="s">
        <v>8</v>
      </c>
      <c r="H4160" s="27" t="s">
        <v>3113</v>
      </c>
      <c r="I4160" s="27" t="s">
        <v>13</v>
      </c>
    </row>
    <row r="4161" spans="1:9" x14ac:dyDescent="0.3">
      <c r="A4161" s="26">
        <v>45148</v>
      </c>
      <c r="B4161" s="27" t="s">
        <v>120</v>
      </c>
      <c r="C4161" s="27" t="s">
        <v>10</v>
      </c>
      <c r="D4161" s="27" t="s">
        <v>21</v>
      </c>
      <c r="E4161" s="28">
        <v>25084</v>
      </c>
      <c r="F4161" s="28">
        <v>17305</v>
      </c>
      <c r="G4161" s="27" t="s">
        <v>17</v>
      </c>
      <c r="H4161" s="27" t="s">
        <v>3358</v>
      </c>
      <c r="I4161" s="27" t="s">
        <v>13</v>
      </c>
    </row>
    <row r="4162" spans="1:9" x14ac:dyDescent="0.3">
      <c r="A4162" s="26">
        <v>45148</v>
      </c>
      <c r="B4162" s="27" t="s">
        <v>120</v>
      </c>
      <c r="C4162" s="27" t="s">
        <v>32</v>
      </c>
      <c r="D4162" s="27" t="s">
        <v>16</v>
      </c>
      <c r="E4162" s="28">
        <v>47834</v>
      </c>
      <c r="F4162" s="28">
        <v>85415</v>
      </c>
      <c r="G4162" s="27" t="s">
        <v>8</v>
      </c>
      <c r="H4162" s="27" t="s">
        <v>3407</v>
      </c>
      <c r="I4162" s="27" t="s">
        <v>13</v>
      </c>
    </row>
    <row r="4163" spans="1:9" x14ac:dyDescent="0.3">
      <c r="A4163" s="26">
        <v>45148</v>
      </c>
      <c r="B4163" s="27" t="s">
        <v>120</v>
      </c>
      <c r="C4163" s="27" t="s">
        <v>93</v>
      </c>
      <c r="D4163" s="27" t="s">
        <v>21</v>
      </c>
      <c r="E4163" s="28">
        <v>262700</v>
      </c>
      <c r="F4163" s="28">
        <v>240200</v>
      </c>
      <c r="G4163" s="27" t="s">
        <v>11</v>
      </c>
      <c r="H4163" s="27" t="s">
        <v>3491</v>
      </c>
      <c r="I4163" s="27" t="s">
        <v>9</v>
      </c>
    </row>
    <row r="4164" spans="1:9" x14ac:dyDescent="0.3">
      <c r="A4164" s="26">
        <v>45148</v>
      </c>
      <c r="B4164" s="27" t="s">
        <v>120</v>
      </c>
      <c r="C4164" s="27" t="s">
        <v>93</v>
      </c>
      <c r="D4164" s="27" t="s">
        <v>21</v>
      </c>
      <c r="E4164" s="28">
        <v>49200</v>
      </c>
      <c r="F4164" s="28">
        <v>49600</v>
      </c>
      <c r="G4164" s="27" t="s">
        <v>22</v>
      </c>
      <c r="H4164" s="27" t="s">
        <v>3772</v>
      </c>
      <c r="I4164" s="27" t="s">
        <v>9</v>
      </c>
    </row>
    <row r="4165" spans="1:9" x14ac:dyDescent="0.3">
      <c r="A4165" s="26">
        <v>45148</v>
      </c>
      <c r="B4165" s="27" t="s">
        <v>120</v>
      </c>
      <c r="C4165" s="27" t="s">
        <v>6</v>
      </c>
      <c r="D4165" s="27" t="s">
        <v>21</v>
      </c>
      <c r="E4165" s="28">
        <v>46600</v>
      </c>
      <c r="F4165" s="28">
        <v>56000</v>
      </c>
      <c r="G4165" s="27" t="s">
        <v>11</v>
      </c>
      <c r="H4165" s="27" t="s">
        <v>3873</v>
      </c>
      <c r="I4165" s="27" t="s">
        <v>9</v>
      </c>
    </row>
    <row r="4166" spans="1:9" x14ac:dyDescent="0.3">
      <c r="A4166" s="26">
        <v>45148</v>
      </c>
      <c r="B4166" s="27" t="s">
        <v>120</v>
      </c>
      <c r="C4166" s="27" t="s">
        <v>93</v>
      </c>
      <c r="D4166" s="27" t="s">
        <v>16</v>
      </c>
      <c r="E4166" s="28">
        <v>101400</v>
      </c>
      <c r="F4166" s="28">
        <v>112100</v>
      </c>
      <c r="G4166" s="27" t="s">
        <v>11</v>
      </c>
      <c r="H4166" s="27" t="s">
        <v>4041</v>
      </c>
      <c r="I4166" s="27" t="s">
        <v>9</v>
      </c>
    </row>
    <row r="4167" spans="1:9" x14ac:dyDescent="0.3">
      <c r="A4167" s="26">
        <v>45148</v>
      </c>
      <c r="B4167" s="27" t="s">
        <v>120</v>
      </c>
      <c r="C4167" s="27" t="s">
        <v>93</v>
      </c>
      <c r="D4167" s="27" t="s">
        <v>7</v>
      </c>
      <c r="E4167" s="28">
        <v>73000</v>
      </c>
      <c r="F4167" s="28">
        <v>97000</v>
      </c>
      <c r="G4167" s="27" t="s">
        <v>11</v>
      </c>
      <c r="H4167" s="27" t="s">
        <v>4428</v>
      </c>
      <c r="I4167" s="27" t="s">
        <v>9</v>
      </c>
    </row>
    <row r="4168" spans="1:9" x14ac:dyDescent="0.3">
      <c r="A4168" s="26">
        <v>45148</v>
      </c>
      <c r="B4168" s="27" t="s">
        <v>120</v>
      </c>
      <c r="C4168" s="27" t="s">
        <v>6</v>
      </c>
      <c r="D4168" s="27" t="s">
        <v>7</v>
      </c>
      <c r="E4168" s="28">
        <v>118000</v>
      </c>
      <c r="F4168" s="28">
        <v>134800</v>
      </c>
      <c r="G4168" s="27" t="s">
        <v>22</v>
      </c>
      <c r="H4168" s="27" t="s">
        <v>4713</v>
      </c>
      <c r="I4168" s="27" t="s">
        <v>9</v>
      </c>
    </row>
    <row r="4169" spans="1:9" x14ac:dyDescent="0.3">
      <c r="A4169" s="26">
        <v>45148</v>
      </c>
      <c r="B4169" s="27" t="s">
        <v>120</v>
      </c>
      <c r="C4169" s="27" t="s">
        <v>6</v>
      </c>
      <c r="D4169" s="27" t="s">
        <v>16</v>
      </c>
      <c r="E4169" s="28">
        <v>235500</v>
      </c>
      <c r="F4169" s="28">
        <v>243600</v>
      </c>
      <c r="G4169" s="27" t="s">
        <v>22</v>
      </c>
      <c r="H4169" s="27" t="s">
        <v>5022</v>
      </c>
      <c r="I4169" s="27" t="s">
        <v>9</v>
      </c>
    </row>
    <row r="4170" spans="1:9" x14ac:dyDescent="0.3">
      <c r="A4170" s="26">
        <v>45148</v>
      </c>
      <c r="B4170" s="27" t="s">
        <v>120</v>
      </c>
      <c r="C4170" s="27" t="s">
        <v>6</v>
      </c>
      <c r="D4170" s="27" t="s">
        <v>16</v>
      </c>
      <c r="E4170" s="28">
        <v>158300</v>
      </c>
      <c r="F4170" s="28">
        <v>138800</v>
      </c>
      <c r="G4170" s="27" t="s">
        <v>22</v>
      </c>
      <c r="H4170" s="27" t="s">
        <v>5655</v>
      </c>
      <c r="I4170" s="27" t="s">
        <v>9</v>
      </c>
    </row>
    <row r="4171" spans="1:9" x14ac:dyDescent="0.3">
      <c r="A4171" s="26">
        <v>45148</v>
      </c>
      <c r="B4171" s="27" t="s">
        <v>120</v>
      </c>
      <c r="C4171" s="27" t="s">
        <v>6</v>
      </c>
      <c r="D4171" s="27" t="s">
        <v>7</v>
      </c>
      <c r="E4171" s="28">
        <v>171600</v>
      </c>
      <c r="F4171" s="28">
        <v>160100</v>
      </c>
      <c r="G4171" s="27" t="s">
        <v>11</v>
      </c>
      <c r="H4171" s="27" t="s">
        <v>6498</v>
      </c>
      <c r="I4171" s="27" t="s">
        <v>9</v>
      </c>
    </row>
    <row r="4172" spans="1:9" x14ac:dyDescent="0.3">
      <c r="A4172" s="26">
        <v>45148</v>
      </c>
      <c r="B4172" s="27" t="s">
        <v>120</v>
      </c>
      <c r="C4172" s="27" t="s">
        <v>93</v>
      </c>
      <c r="D4172" s="27" t="s">
        <v>21</v>
      </c>
      <c r="E4172" s="28">
        <v>127600</v>
      </c>
      <c r="F4172" s="28">
        <v>192500</v>
      </c>
      <c r="G4172" s="27" t="s">
        <v>11</v>
      </c>
      <c r="H4172" s="27" t="s">
        <v>6743</v>
      </c>
      <c r="I4172" s="27" t="s">
        <v>9</v>
      </c>
    </row>
    <row r="4173" spans="1:9" x14ac:dyDescent="0.3">
      <c r="A4173" s="26">
        <v>45148</v>
      </c>
      <c r="B4173" s="27" t="s">
        <v>120</v>
      </c>
      <c r="C4173" s="27" t="s">
        <v>6</v>
      </c>
      <c r="D4173" s="27" t="s">
        <v>16</v>
      </c>
      <c r="E4173" s="28">
        <v>102400</v>
      </c>
      <c r="F4173" s="28">
        <v>70800</v>
      </c>
      <c r="G4173" s="27" t="s">
        <v>17</v>
      </c>
      <c r="H4173" s="27" t="s">
        <v>6792</v>
      </c>
      <c r="I4173" s="27" t="s">
        <v>9</v>
      </c>
    </row>
    <row r="4174" spans="1:9" x14ac:dyDescent="0.3">
      <c r="A4174" s="26">
        <v>45149</v>
      </c>
      <c r="B4174" s="27" t="s">
        <v>120</v>
      </c>
      <c r="C4174" s="27" t="s">
        <v>10</v>
      </c>
      <c r="D4174" s="27" t="s">
        <v>19</v>
      </c>
      <c r="E4174" s="28">
        <v>132011</v>
      </c>
      <c r="F4174" s="28">
        <v>21553</v>
      </c>
      <c r="G4174" s="27" t="s">
        <v>11</v>
      </c>
      <c r="H4174" s="27" t="s">
        <v>872</v>
      </c>
      <c r="I4174" s="27" t="s">
        <v>13</v>
      </c>
    </row>
    <row r="4175" spans="1:9" x14ac:dyDescent="0.3">
      <c r="A4175" s="26">
        <v>45149</v>
      </c>
      <c r="B4175" s="27" t="s">
        <v>120</v>
      </c>
      <c r="C4175" s="27" t="s">
        <v>14</v>
      </c>
      <c r="D4175" s="27" t="s">
        <v>21</v>
      </c>
      <c r="E4175" s="28">
        <v>38879</v>
      </c>
      <c r="F4175" s="28">
        <v>18437</v>
      </c>
      <c r="G4175" s="27" t="s">
        <v>8</v>
      </c>
      <c r="H4175" s="27" t="s">
        <v>1399</v>
      </c>
      <c r="I4175" s="27" t="s">
        <v>13</v>
      </c>
    </row>
    <row r="4176" spans="1:9" x14ac:dyDescent="0.3">
      <c r="A4176" s="26">
        <v>45149</v>
      </c>
      <c r="B4176" s="27" t="s">
        <v>120</v>
      </c>
      <c r="C4176" s="27" t="s">
        <v>32</v>
      </c>
      <c r="D4176" s="27" t="s">
        <v>21</v>
      </c>
      <c r="E4176" s="28">
        <v>122022</v>
      </c>
      <c r="F4176" s="28">
        <v>124245</v>
      </c>
      <c r="G4176" s="27" t="s">
        <v>8</v>
      </c>
      <c r="H4176" s="27" t="s">
        <v>1516</v>
      </c>
      <c r="I4176" s="27" t="s">
        <v>13</v>
      </c>
    </row>
    <row r="4177" spans="1:9" x14ac:dyDescent="0.3">
      <c r="A4177" s="26">
        <v>45149</v>
      </c>
      <c r="B4177" s="27" t="s">
        <v>120</v>
      </c>
      <c r="C4177" s="27" t="s">
        <v>18</v>
      </c>
      <c r="D4177" s="27" t="s">
        <v>16</v>
      </c>
      <c r="E4177" s="28">
        <v>64616</v>
      </c>
      <c r="F4177" s="28">
        <v>103139</v>
      </c>
      <c r="G4177" s="27" t="s">
        <v>11</v>
      </c>
      <c r="H4177" s="27" t="s">
        <v>2793</v>
      </c>
      <c r="I4177" s="27" t="s">
        <v>13</v>
      </c>
    </row>
    <row r="4178" spans="1:9" x14ac:dyDescent="0.3">
      <c r="A4178" s="26">
        <v>45149</v>
      </c>
      <c r="B4178" s="27" t="s">
        <v>120</v>
      </c>
      <c r="C4178" s="27" t="s">
        <v>10</v>
      </c>
      <c r="D4178" s="27" t="s">
        <v>7</v>
      </c>
      <c r="E4178" s="28">
        <v>132516</v>
      </c>
      <c r="F4178" s="28">
        <v>132372</v>
      </c>
      <c r="G4178" s="27" t="s">
        <v>8</v>
      </c>
      <c r="H4178" s="27" t="s">
        <v>2997</v>
      </c>
      <c r="I4178" s="27" t="s">
        <v>13</v>
      </c>
    </row>
    <row r="4179" spans="1:9" x14ac:dyDescent="0.3">
      <c r="A4179" s="26">
        <v>45149</v>
      </c>
      <c r="B4179" s="27" t="s">
        <v>120</v>
      </c>
      <c r="C4179" s="27" t="s">
        <v>32</v>
      </c>
      <c r="D4179" s="27" t="s">
        <v>7</v>
      </c>
      <c r="E4179" s="28">
        <v>124943</v>
      </c>
      <c r="F4179" s="28">
        <v>168695</v>
      </c>
      <c r="G4179" s="27" t="s">
        <v>22</v>
      </c>
      <c r="H4179" s="27" t="s">
        <v>3174</v>
      </c>
      <c r="I4179" s="27" t="s">
        <v>13</v>
      </c>
    </row>
    <row r="4180" spans="1:9" x14ac:dyDescent="0.3">
      <c r="A4180" s="26">
        <v>45149</v>
      </c>
      <c r="B4180" s="27" t="s">
        <v>120</v>
      </c>
      <c r="C4180" s="27" t="s">
        <v>6</v>
      </c>
      <c r="D4180" s="27" t="s">
        <v>19</v>
      </c>
      <c r="E4180" s="28">
        <v>144800</v>
      </c>
      <c r="F4180" s="28">
        <v>155400</v>
      </c>
      <c r="G4180" s="27" t="s">
        <v>11</v>
      </c>
      <c r="H4180" s="27" t="s">
        <v>4253</v>
      </c>
      <c r="I4180" s="27" t="s">
        <v>9</v>
      </c>
    </row>
    <row r="4181" spans="1:9" x14ac:dyDescent="0.3">
      <c r="A4181" s="26">
        <v>45149</v>
      </c>
      <c r="B4181" s="27" t="s">
        <v>120</v>
      </c>
      <c r="C4181" s="27" t="s">
        <v>6</v>
      </c>
      <c r="D4181" s="27" t="s">
        <v>21</v>
      </c>
      <c r="E4181" s="28">
        <v>229400</v>
      </c>
      <c r="F4181" s="28">
        <v>247600</v>
      </c>
      <c r="G4181" s="27" t="s">
        <v>22</v>
      </c>
      <c r="H4181" s="27" t="s">
        <v>4782</v>
      </c>
      <c r="I4181" s="27" t="s">
        <v>9</v>
      </c>
    </row>
    <row r="4182" spans="1:9" x14ac:dyDescent="0.3">
      <c r="A4182" s="26">
        <v>45149</v>
      </c>
      <c r="B4182" s="27" t="s">
        <v>120</v>
      </c>
      <c r="C4182" s="27" t="s">
        <v>93</v>
      </c>
      <c r="D4182" s="27" t="s">
        <v>21</v>
      </c>
      <c r="E4182" s="28">
        <v>150100</v>
      </c>
      <c r="F4182" s="28">
        <v>140300</v>
      </c>
      <c r="G4182" s="27" t="s">
        <v>22</v>
      </c>
      <c r="H4182" s="27" t="s">
        <v>4899</v>
      </c>
      <c r="I4182" s="27" t="s">
        <v>9</v>
      </c>
    </row>
    <row r="4183" spans="1:9" x14ac:dyDescent="0.3">
      <c r="A4183" s="26">
        <v>45149</v>
      </c>
      <c r="B4183" s="27" t="s">
        <v>120</v>
      </c>
      <c r="C4183" s="27" t="s">
        <v>6</v>
      </c>
      <c r="D4183" s="27" t="s">
        <v>16</v>
      </c>
      <c r="E4183" s="28">
        <v>115300</v>
      </c>
      <c r="F4183" s="28">
        <v>90500</v>
      </c>
      <c r="G4183" s="27" t="s">
        <v>11</v>
      </c>
      <c r="H4183" s="27" t="s">
        <v>6178</v>
      </c>
      <c r="I4183" s="27" t="s">
        <v>9</v>
      </c>
    </row>
    <row r="4184" spans="1:9" x14ac:dyDescent="0.3">
      <c r="A4184" s="26">
        <v>45149</v>
      </c>
      <c r="B4184" s="27" t="s">
        <v>120</v>
      </c>
      <c r="C4184" s="27" t="s">
        <v>6</v>
      </c>
      <c r="D4184" s="27" t="s">
        <v>7</v>
      </c>
      <c r="E4184" s="28">
        <v>185900</v>
      </c>
      <c r="F4184" s="28">
        <v>146200</v>
      </c>
      <c r="G4184" s="27" t="s">
        <v>11</v>
      </c>
      <c r="H4184" s="27" t="s">
        <v>6382</v>
      </c>
      <c r="I4184" s="27" t="s">
        <v>9</v>
      </c>
    </row>
    <row r="4185" spans="1:9" x14ac:dyDescent="0.3">
      <c r="A4185" s="26">
        <v>45149</v>
      </c>
      <c r="B4185" s="27" t="s">
        <v>120</v>
      </c>
      <c r="C4185" s="27" t="s">
        <v>6</v>
      </c>
      <c r="D4185" s="27" t="s">
        <v>7</v>
      </c>
      <c r="E4185" s="28">
        <v>67700</v>
      </c>
      <c r="F4185" s="28">
        <v>81100</v>
      </c>
      <c r="G4185" s="27" t="s">
        <v>11</v>
      </c>
      <c r="H4185" s="27" t="s">
        <v>6559</v>
      </c>
      <c r="I4185" s="27" t="s">
        <v>9</v>
      </c>
    </row>
    <row r="4186" spans="1:9" x14ac:dyDescent="0.3">
      <c r="A4186" s="26">
        <v>45150</v>
      </c>
      <c r="B4186" s="27" t="s">
        <v>120</v>
      </c>
      <c r="C4186" s="27" t="s">
        <v>14</v>
      </c>
      <c r="D4186" s="27" t="s">
        <v>19</v>
      </c>
      <c r="E4186" s="28">
        <v>48071</v>
      </c>
      <c r="F4186" s="28">
        <v>138370</v>
      </c>
      <c r="G4186" s="27" t="s">
        <v>11</v>
      </c>
      <c r="H4186" s="27" t="s">
        <v>229</v>
      </c>
      <c r="I4186" s="27" t="s">
        <v>13</v>
      </c>
    </row>
    <row r="4187" spans="1:9" x14ac:dyDescent="0.3">
      <c r="A4187" s="26">
        <v>45150</v>
      </c>
      <c r="B4187" s="27" t="s">
        <v>120</v>
      </c>
      <c r="C4187" s="27" t="s">
        <v>14</v>
      </c>
      <c r="D4187" s="27" t="s">
        <v>16</v>
      </c>
      <c r="E4187" s="28">
        <v>44984</v>
      </c>
      <c r="F4187" s="28">
        <v>135549</v>
      </c>
      <c r="G4187" s="27" t="s">
        <v>17</v>
      </c>
      <c r="H4187" s="27" t="s">
        <v>831</v>
      </c>
      <c r="I4187" s="27" t="s">
        <v>13</v>
      </c>
    </row>
    <row r="4188" spans="1:9" x14ac:dyDescent="0.3">
      <c r="A4188" s="26">
        <v>45150</v>
      </c>
      <c r="B4188" s="27" t="s">
        <v>120</v>
      </c>
      <c r="C4188" s="27" t="s">
        <v>15</v>
      </c>
      <c r="D4188" s="27" t="s">
        <v>7</v>
      </c>
      <c r="E4188" s="28">
        <v>61026</v>
      </c>
      <c r="F4188" s="28">
        <v>29712</v>
      </c>
      <c r="G4188" s="27" t="s">
        <v>17</v>
      </c>
      <c r="H4188" s="27" t="s">
        <v>1628</v>
      </c>
      <c r="I4188" s="27" t="s">
        <v>13</v>
      </c>
    </row>
    <row r="4189" spans="1:9" x14ac:dyDescent="0.3">
      <c r="A4189" s="26">
        <v>45150</v>
      </c>
      <c r="B4189" s="27" t="s">
        <v>120</v>
      </c>
      <c r="C4189" s="27" t="s">
        <v>15</v>
      </c>
      <c r="D4189" s="27" t="s">
        <v>21</v>
      </c>
      <c r="E4189" s="28">
        <v>66048</v>
      </c>
      <c r="F4189" s="28">
        <v>12758</v>
      </c>
      <c r="G4189" s="27" t="s">
        <v>8</v>
      </c>
      <c r="H4189" s="27" t="s">
        <v>1809</v>
      </c>
      <c r="I4189" s="27" t="s">
        <v>13</v>
      </c>
    </row>
    <row r="4190" spans="1:9" x14ac:dyDescent="0.3">
      <c r="A4190" s="26">
        <v>45150</v>
      </c>
      <c r="B4190" s="27" t="s">
        <v>120</v>
      </c>
      <c r="C4190" s="27" t="s">
        <v>18</v>
      </c>
      <c r="D4190" s="27" t="s">
        <v>19</v>
      </c>
      <c r="E4190" s="28">
        <v>62406</v>
      </c>
      <c r="F4190" s="28">
        <v>29144</v>
      </c>
      <c r="G4190" s="27" t="s">
        <v>17</v>
      </c>
      <c r="H4190" s="27" t="s">
        <v>1895</v>
      </c>
      <c r="I4190" s="27" t="s">
        <v>13</v>
      </c>
    </row>
    <row r="4191" spans="1:9" x14ac:dyDescent="0.3">
      <c r="A4191" s="26">
        <v>45150</v>
      </c>
      <c r="B4191" s="27" t="s">
        <v>120</v>
      </c>
      <c r="C4191" s="27" t="s">
        <v>15</v>
      </c>
      <c r="D4191" s="27" t="s">
        <v>21</v>
      </c>
      <c r="E4191" s="28">
        <v>77004</v>
      </c>
      <c r="F4191" s="28">
        <v>92763</v>
      </c>
      <c r="G4191" s="27" t="s">
        <v>8</v>
      </c>
      <c r="H4191" s="27" t="s">
        <v>2121</v>
      </c>
      <c r="I4191" s="27" t="s">
        <v>13</v>
      </c>
    </row>
    <row r="4192" spans="1:9" x14ac:dyDescent="0.3">
      <c r="A4192" s="26">
        <v>45150</v>
      </c>
      <c r="B4192" s="27" t="s">
        <v>120</v>
      </c>
      <c r="C4192" s="27" t="s">
        <v>6</v>
      </c>
      <c r="D4192" s="27" t="s">
        <v>19</v>
      </c>
      <c r="E4192" s="28">
        <v>221100</v>
      </c>
      <c r="F4192" s="28">
        <v>221300</v>
      </c>
      <c r="G4192" s="27" t="s">
        <v>22</v>
      </c>
      <c r="H4192" s="27" t="s">
        <v>3610</v>
      </c>
      <c r="I4192" s="27" t="s">
        <v>9</v>
      </c>
    </row>
    <row r="4193" spans="1:9" x14ac:dyDescent="0.3">
      <c r="A4193" s="26">
        <v>45150</v>
      </c>
      <c r="B4193" s="27" t="s">
        <v>120</v>
      </c>
      <c r="C4193" s="27" t="s">
        <v>93</v>
      </c>
      <c r="D4193" s="27" t="s">
        <v>16</v>
      </c>
      <c r="E4193" s="28">
        <v>82400</v>
      </c>
      <c r="F4193" s="28">
        <v>89900</v>
      </c>
      <c r="G4193" s="27" t="s">
        <v>22</v>
      </c>
      <c r="H4193" s="27" t="s">
        <v>4212</v>
      </c>
      <c r="I4193" s="27" t="s">
        <v>9</v>
      </c>
    </row>
    <row r="4194" spans="1:9" x14ac:dyDescent="0.3">
      <c r="A4194" s="26">
        <v>45150</v>
      </c>
      <c r="B4194" s="27" t="s">
        <v>120</v>
      </c>
      <c r="C4194" s="27" t="s">
        <v>6</v>
      </c>
      <c r="D4194" s="27" t="s">
        <v>7</v>
      </c>
      <c r="E4194" s="28">
        <v>126800</v>
      </c>
      <c r="F4194" s="28">
        <v>135500</v>
      </c>
      <c r="G4194" s="27" t="s">
        <v>17</v>
      </c>
      <c r="H4194" s="27" t="s">
        <v>5011</v>
      </c>
      <c r="I4194" s="27" t="s">
        <v>9</v>
      </c>
    </row>
    <row r="4195" spans="1:9" x14ac:dyDescent="0.3">
      <c r="A4195" s="26">
        <v>45150</v>
      </c>
      <c r="B4195" s="27" t="s">
        <v>120</v>
      </c>
      <c r="C4195" s="27" t="s">
        <v>93</v>
      </c>
      <c r="D4195" s="27" t="s">
        <v>21</v>
      </c>
      <c r="E4195" s="28">
        <v>101500</v>
      </c>
      <c r="F4195" s="28">
        <v>87000</v>
      </c>
      <c r="G4195" s="27" t="s">
        <v>22</v>
      </c>
      <c r="H4195" s="27" t="s">
        <v>5192</v>
      </c>
      <c r="I4195" s="27" t="s">
        <v>9</v>
      </c>
    </row>
    <row r="4196" spans="1:9" x14ac:dyDescent="0.3">
      <c r="A4196" s="26">
        <v>45150</v>
      </c>
      <c r="B4196" s="27" t="s">
        <v>120</v>
      </c>
      <c r="C4196" s="27" t="s">
        <v>6</v>
      </c>
      <c r="D4196" s="27" t="s">
        <v>19</v>
      </c>
      <c r="E4196" s="28">
        <v>65800</v>
      </c>
      <c r="F4196" s="28">
        <v>51200</v>
      </c>
      <c r="G4196" s="27" t="s">
        <v>11</v>
      </c>
      <c r="H4196" s="27" t="s">
        <v>5279</v>
      </c>
      <c r="I4196" s="27" t="s">
        <v>9</v>
      </c>
    </row>
    <row r="4197" spans="1:9" x14ac:dyDescent="0.3">
      <c r="A4197" s="26">
        <v>45150</v>
      </c>
      <c r="B4197" s="27" t="s">
        <v>120</v>
      </c>
      <c r="C4197" s="27" t="s">
        <v>6</v>
      </c>
      <c r="D4197" s="27" t="s">
        <v>21</v>
      </c>
      <c r="E4197" s="28">
        <v>109400</v>
      </c>
      <c r="F4197" s="28">
        <v>134000</v>
      </c>
      <c r="G4197" s="27" t="s">
        <v>11</v>
      </c>
      <c r="H4197" s="27" t="s">
        <v>5505</v>
      </c>
      <c r="I4197" s="27" t="s">
        <v>9</v>
      </c>
    </row>
    <row r="4198" spans="1:9" x14ac:dyDescent="0.3">
      <c r="A4198" s="26">
        <v>45151</v>
      </c>
      <c r="B4198" s="27" t="s">
        <v>120</v>
      </c>
      <c r="C4198" s="27" t="s">
        <v>32</v>
      </c>
      <c r="D4198" s="27" t="s">
        <v>24</v>
      </c>
      <c r="E4198" s="28">
        <v>49467</v>
      </c>
      <c r="F4198" s="28">
        <v>57941</v>
      </c>
      <c r="G4198" s="27" t="s">
        <v>8</v>
      </c>
      <c r="H4198" s="27" t="s">
        <v>100</v>
      </c>
      <c r="I4198" s="27" t="s">
        <v>13</v>
      </c>
    </row>
    <row r="4199" spans="1:9" x14ac:dyDescent="0.3">
      <c r="A4199" s="26">
        <v>45151</v>
      </c>
      <c r="B4199" s="27" t="s">
        <v>120</v>
      </c>
      <c r="C4199" s="27" t="s">
        <v>20</v>
      </c>
      <c r="D4199" s="27" t="s">
        <v>21</v>
      </c>
      <c r="E4199" s="28">
        <v>141919</v>
      </c>
      <c r="F4199" s="28">
        <v>133477</v>
      </c>
      <c r="G4199" s="27" t="s">
        <v>22</v>
      </c>
      <c r="H4199" s="27" t="s">
        <v>136</v>
      </c>
      <c r="I4199" s="27" t="s">
        <v>13</v>
      </c>
    </row>
    <row r="4200" spans="1:9" x14ac:dyDescent="0.3">
      <c r="A4200" s="26">
        <v>45151</v>
      </c>
      <c r="B4200" s="27" t="s">
        <v>120</v>
      </c>
      <c r="C4200" s="27" t="s">
        <v>18</v>
      </c>
      <c r="D4200" s="27" t="s">
        <v>7</v>
      </c>
      <c r="E4200" s="28">
        <v>42241</v>
      </c>
      <c r="F4200" s="28">
        <v>15793</v>
      </c>
      <c r="G4200" s="27" t="s">
        <v>11</v>
      </c>
      <c r="H4200" s="27" t="s">
        <v>382</v>
      </c>
      <c r="I4200" s="27" t="s">
        <v>13</v>
      </c>
    </row>
    <row r="4201" spans="1:9" x14ac:dyDescent="0.3">
      <c r="A4201" s="26">
        <v>45151</v>
      </c>
      <c r="B4201" s="27" t="s">
        <v>120</v>
      </c>
      <c r="C4201" s="27" t="s">
        <v>10</v>
      </c>
      <c r="D4201" s="27" t="s">
        <v>24</v>
      </c>
      <c r="E4201" s="28">
        <v>101529</v>
      </c>
      <c r="F4201" s="28">
        <v>49312</v>
      </c>
      <c r="G4201" s="27" t="s">
        <v>17</v>
      </c>
      <c r="H4201" s="27" t="s">
        <v>496</v>
      </c>
      <c r="I4201" s="27" t="s">
        <v>13</v>
      </c>
    </row>
    <row r="4202" spans="1:9" x14ac:dyDescent="0.3">
      <c r="A4202" s="26">
        <v>45151</v>
      </c>
      <c r="B4202" s="27" t="s">
        <v>120</v>
      </c>
      <c r="C4202" s="27" t="s">
        <v>20</v>
      </c>
      <c r="D4202" s="27" t="s">
        <v>19</v>
      </c>
      <c r="E4202" s="28">
        <v>69200</v>
      </c>
      <c r="F4202" s="28">
        <v>163393</v>
      </c>
      <c r="G4202" s="27" t="s">
        <v>17</v>
      </c>
      <c r="H4202" s="27" t="s">
        <v>1266</v>
      </c>
      <c r="I4202" s="27" t="s">
        <v>13</v>
      </c>
    </row>
    <row r="4203" spans="1:9" x14ac:dyDescent="0.3">
      <c r="A4203" s="26">
        <v>45151</v>
      </c>
      <c r="B4203" s="27" t="s">
        <v>120</v>
      </c>
      <c r="C4203" s="27" t="s">
        <v>20</v>
      </c>
      <c r="D4203" s="27" t="s">
        <v>21</v>
      </c>
      <c r="E4203" s="28">
        <v>147775</v>
      </c>
      <c r="F4203" s="28">
        <v>152082</v>
      </c>
      <c r="G4203" s="27" t="s">
        <v>11</v>
      </c>
      <c r="H4203" s="27" t="s">
        <v>1329</v>
      </c>
      <c r="I4203" s="27" t="s">
        <v>13</v>
      </c>
    </row>
    <row r="4204" spans="1:9" x14ac:dyDescent="0.3">
      <c r="A4204" s="26">
        <v>45151</v>
      </c>
      <c r="B4204" s="27" t="s">
        <v>120</v>
      </c>
      <c r="C4204" s="27" t="s">
        <v>10</v>
      </c>
      <c r="D4204" s="27" t="s">
        <v>21</v>
      </c>
      <c r="E4204" s="28">
        <v>126144</v>
      </c>
      <c r="F4204" s="28">
        <v>133041</v>
      </c>
      <c r="G4204" s="27" t="s">
        <v>8</v>
      </c>
      <c r="H4204" s="27" t="s">
        <v>2012</v>
      </c>
      <c r="I4204" s="27" t="s">
        <v>13</v>
      </c>
    </row>
    <row r="4205" spans="1:9" x14ac:dyDescent="0.3">
      <c r="A4205" s="26">
        <v>45151</v>
      </c>
      <c r="B4205" s="27" t="s">
        <v>120</v>
      </c>
      <c r="C4205" s="27" t="s">
        <v>18</v>
      </c>
      <c r="D4205" s="27" t="s">
        <v>24</v>
      </c>
      <c r="E4205" s="28">
        <v>25928</v>
      </c>
      <c r="F4205" s="28">
        <v>21135</v>
      </c>
      <c r="G4205" s="27" t="s">
        <v>22</v>
      </c>
      <c r="H4205" s="27" t="s">
        <v>2559</v>
      </c>
      <c r="I4205" s="27" t="s">
        <v>13</v>
      </c>
    </row>
    <row r="4206" spans="1:9" x14ac:dyDescent="0.3">
      <c r="A4206" s="26">
        <v>45151</v>
      </c>
      <c r="B4206" s="27" t="s">
        <v>120</v>
      </c>
      <c r="C4206" s="27" t="s">
        <v>10</v>
      </c>
      <c r="D4206" s="27" t="s">
        <v>21</v>
      </c>
      <c r="E4206" s="28">
        <v>70665</v>
      </c>
      <c r="F4206" s="28">
        <v>64229</v>
      </c>
      <c r="G4206" s="27" t="s">
        <v>11</v>
      </c>
      <c r="H4206" s="27" t="s">
        <v>3099</v>
      </c>
      <c r="I4206" s="27" t="s">
        <v>13</v>
      </c>
    </row>
    <row r="4207" spans="1:9" x14ac:dyDescent="0.3">
      <c r="A4207" s="26">
        <v>45151</v>
      </c>
      <c r="B4207" s="27" t="s">
        <v>120</v>
      </c>
      <c r="C4207" s="27" t="s">
        <v>32</v>
      </c>
      <c r="D4207" s="27" t="s">
        <v>7</v>
      </c>
      <c r="E4207" s="28">
        <v>114665</v>
      </c>
      <c r="F4207" s="28">
        <v>137383</v>
      </c>
      <c r="G4207" s="27" t="s">
        <v>11</v>
      </c>
      <c r="H4207" s="27" t="s">
        <v>3330</v>
      </c>
      <c r="I4207" s="27" t="s">
        <v>13</v>
      </c>
    </row>
    <row r="4208" spans="1:9" x14ac:dyDescent="0.3">
      <c r="A4208" s="26">
        <v>45151</v>
      </c>
      <c r="B4208" s="27" t="s">
        <v>120</v>
      </c>
      <c r="C4208" s="27" t="s">
        <v>14</v>
      </c>
      <c r="D4208" s="27" t="s">
        <v>7</v>
      </c>
      <c r="E4208" s="28">
        <v>99942</v>
      </c>
      <c r="F4208" s="28">
        <v>125284</v>
      </c>
      <c r="G4208" s="27" t="s">
        <v>17</v>
      </c>
      <c r="H4208" s="27" t="s">
        <v>3388</v>
      </c>
      <c r="I4208" s="27" t="s">
        <v>13</v>
      </c>
    </row>
    <row r="4209" spans="1:9" x14ac:dyDescent="0.3">
      <c r="A4209" s="26">
        <v>45151</v>
      </c>
      <c r="B4209" s="27" t="s">
        <v>120</v>
      </c>
      <c r="C4209" s="27" t="s">
        <v>6</v>
      </c>
      <c r="D4209" s="27" t="s">
        <v>24</v>
      </c>
      <c r="E4209" s="28">
        <v>78400</v>
      </c>
      <c r="F4209" s="28">
        <v>65500</v>
      </c>
      <c r="G4209" s="27" t="s">
        <v>11</v>
      </c>
      <c r="H4209" s="27" t="s">
        <v>3500</v>
      </c>
      <c r="I4209" s="27" t="s">
        <v>9</v>
      </c>
    </row>
    <row r="4210" spans="1:9" x14ac:dyDescent="0.3">
      <c r="A4210" s="26">
        <v>45151</v>
      </c>
      <c r="B4210" s="27" t="s">
        <v>120</v>
      </c>
      <c r="C4210" s="27" t="s">
        <v>6</v>
      </c>
      <c r="D4210" s="27" t="s">
        <v>21</v>
      </c>
      <c r="E4210" s="28">
        <v>162200</v>
      </c>
      <c r="F4210" s="28">
        <v>138800</v>
      </c>
      <c r="G4210" s="27" t="s">
        <v>22</v>
      </c>
      <c r="H4210" s="27" t="s">
        <v>3517</v>
      </c>
      <c r="I4210" s="27" t="s">
        <v>9</v>
      </c>
    </row>
    <row r="4211" spans="1:9" x14ac:dyDescent="0.3">
      <c r="A4211" s="26">
        <v>45151</v>
      </c>
      <c r="B4211" s="27" t="s">
        <v>120</v>
      </c>
      <c r="C4211" s="27" t="s">
        <v>93</v>
      </c>
      <c r="D4211" s="27" t="s">
        <v>7</v>
      </c>
      <c r="E4211" s="28">
        <v>120700</v>
      </c>
      <c r="F4211" s="28">
        <v>124200</v>
      </c>
      <c r="G4211" s="27" t="s">
        <v>22</v>
      </c>
      <c r="H4211" s="27" t="s">
        <v>3763</v>
      </c>
      <c r="I4211" s="27" t="s">
        <v>9</v>
      </c>
    </row>
    <row r="4212" spans="1:9" x14ac:dyDescent="0.3">
      <c r="A4212" s="26">
        <v>45151</v>
      </c>
      <c r="B4212" s="27" t="s">
        <v>120</v>
      </c>
      <c r="C4212" s="27" t="s">
        <v>93</v>
      </c>
      <c r="D4212" s="27" t="s">
        <v>24</v>
      </c>
      <c r="E4212" s="28">
        <v>146200</v>
      </c>
      <c r="F4212" s="28">
        <v>108700</v>
      </c>
      <c r="G4212" s="27" t="s">
        <v>22</v>
      </c>
      <c r="H4212" s="27" t="s">
        <v>3877</v>
      </c>
      <c r="I4212" s="27" t="s">
        <v>9</v>
      </c>
    </row>
    <row r="4213" spans="1:9" x14ac:dyDescent="0.3">
      <c r="A4213" s="26">
        <v>45151</v>
      </c>
      <c r="B4213" s="27" t="s">
        <v>120</v>
      </c>
      <c r="C4213" s="27" t="s">
        <v>93</v>
      </c>
      <c r="D4213" s="27" t="s">
        <v>19</v>
      </c>
      <c r="E4213" s="28">
        <v>139900</v>
      </c>
      <c r="F4213" s="28">
        <v>112800</v>
      </c>
      <c r="G4213" s="27" t="s">
        <v>11</v>
      </c>
      <c r="H4213" s="27" t="s">
        <v>4649</v>
      </c>
      <c r="I4213" s="27" t="s">
        <v>9</v>
      </c>
    </row>
    <row r="4214" spans="1:9" x14ac:dyDescent="0.3">
      <c r="A4214" s="26">
        <v>45151</v>
      </c>
      <c r="B4214" s="27" t="s">
        <v>120</v>
      </c>
      <c r="C4214" s="27" t="s">
        <v>6</v>
      </c>
      <c r="D4214" s="27" t="s">
        <v>21</v>
      </c>
      <c r="E4214" s="28">
        <v>164500</v>
      </c>
      <c r="F4214" s="28">
        <v>190900</v>
      </c>
      <c r="G4214" s="27" t="s">
        <v>11</v>
      </c>
      <c r="H4214" s="27" t="s">
        <v>4712</v>
      </c>
      <c r="I4214" s="27" t="s">
        <v>9</v>
      </c>
    </row>
    <row r="4215" spans="1:9" x14ac:dyDescent="0.3">
      <c r="A4215" s="26">
        <v>45151</v>
      </c>
      <c r="B4215" s="27" t="s">
        <v>120</v>
      </c>
      <c r="C4215" s="27" t="s">
        <v>6</v>
      </c>
      <c r="D4215" s="27" t="s">
        <v>21</v>
      </c>
      <c r="E4215" s="28">
        <v>79000</v>
      </c>
      <c r="F4215" s="28">
        <v>79400</v>
      </c>
      <c r="G4215" s="27" t="s">
        <v>11</v>
      </c>
      <c r="H4215" s="27" t="s">
        <v>5396</v>
      </c>
      <c r="I4215" s="27" t="s">
        <v>9</v>
      </c>
    </row>
    <row r="4216" spans="1:9" x14ac:dyDescent="0.3">
      <c r="A4216" s="26">
        <v>45151</v>
      </c>
      <c r="B4216" s="27" t="s">
        <v>120</v>
      </c>
      <c r="C4216" s="27" t="s">
        <v>6</v>
      </c>
      <c r="D4216" s="27" t="s">
        <v>24</v>
      </c>
      <c r="E4216" s="28">
        <v>101200</v>
      </c>
      <c r="F4216" s="28">
        <v>105700</v>
      </c>
      <c r="G4216" s="27" t="s">
        <v>11</v>
      </c>
      <c r="H4216" s="27" t="s">
        <v>5944</v>
      </c>
      <c r="I4216" s="27" t="s">
        <v>9</v>
      </c>
    </row>
    <row r="4217" spans="1:9" x14ac:dyDescent="0.3">
      <c r="A4217" s="26">
        <v>45151</v>
      </c>
      <c r="B4217" s="27" t="s">
        <v>120</v>
      </c>
      <c r="C4217" s="27" t="s">
        <v>93</v>
      </c>
      <c r="D4217" s="27" t="s">
        <v>21</v>
      </c>
      <c r="E4217" s="28">
        <v>154900</v>
      </c>
      <c r="F4217" s="28">
        <v>192300</v>
      </c>
      <c r="G4217" s="27" t="s">
        <v>11</v>
      </c>
      <c r="H4217" s="27" t="s">
        <v>6484</v>
      </c>
      <c r="I4217" s="27" t="s">
        <v>9</v>
      </c>
    </row>
    <row r="4218" spans="1:9" x14ac:dyDescent="0.3">
      <c r="A4218" s="26">
        <v>45151</v>
      </c>
      <c r="B4218" s="27" t="s">
        <v>120</v>
      </c>
      <c r="C4218" s="27" t="s">
        <v>6</v>
      </c>
      <c r="D4218" s="27" t="s">
        <v>7</v>
      </c>
      <c r="E4218" s="28">
        <v>140300</v>
      </c>
      <c r="F4218" s="28">
        <v>149300</v>
      </c>
      <c r="G4218" s="27" t="s">
        <v>11</v>
      </c>
      <c r="H4218" s="27" t="s">
        <v>6715</v>
      </c>
      <c r="I4218" s="27" t="s">
        <v>9</v>
      </c>
    </row>
    <row r="4219" spans="1:9" x14ac:dyDescent="0.3">
      <c r="A4219" s="26">
        <v>45151</v>
      </c>
      <c r="B4219" s="27" t="s">
        <v>120</v>
      </c>
      <c r="C4219" s="27" t="s">
        <v>6</v>
      </c>
      <c r="D4219" s="27" t="s">
        <v>7</v>
      </c>
      <c r="E4219" s="28">
        <v>65900</v>
      </c>
      <c r="F4219" s="28">
        <v>69000</v>
      </c>
      <c r="G4219" s="27" t="s">
        <v>22</v>
      </c>
      <c r="H4219" s="27" t="s">
        <v>6773</v>
      </c>
      <c r="I4219" s="27" t="s">
        <v>9</v>
      </c>
    </row>
    <row r="4220" spans="1:9" x14ac:dyDescent="0.3">
      <c r="A4220" s="26">
        <v>45152</v>
      </c>
      <c r="B4220" s="27" t="s">
        <v>120</v>
      </c>
      <c r="C4220" s="27" t="s">
        <v>14</v>
      </c>
      <c r="D4220" s="27" t="s">
        <v>7</v>
      </c>
      <c r="E4220" s="28">
        <v>68086</v>
      </c>
      <c r="F4220" s="28">
        <v>70502</v>
      </c>
      <c r="G4220" s="27" t="s">
        <v>11</v>
      </c>
      <c r="H4220" s="27" t="s">
        <v>52</v>
      </c>
      <c r="I4220" s="27" t="s">
        <v>13</v>
      </c>
    </row>
    <row r="4221" spans="1:9" x14ac:dyDescent="0.3">
      <c r="A4221" s="26">
        <v>45152</v>
      </c>
      <c r="B4221" s="27" t="s">
        <v>120</v>
      </c>
      <c r="C4221" s="27" t="s">
        <v>10</v>
      </c>
      <c r="D4221" s="27" t="s">
        <v>7</v>
      </c>
      <c r="E4221" s="28">
        <v>20798</v>
      </c>
      <c r="F4221" s="28">
        <v>13931</v>
      </c>
      <c r="G4221" s="27" t="s">
        <v>22</v>
      </c>
      <c r="H4221" s="27" t="s">
        <v>53</v>
      </c>
      <c r="I4221" s="27" t="s">
        <v>13</v>
      </c>
    </row>
    <row r="4222" spans="1:9" x14ac:dyDescent="0.3">
      <c r="A4222" s="26">
        <v>45152</v>
      </c>
      <c r="B4222" s="27" t="s">
        <v>120</v>
      </c>
      <c r="C4222" s="27" t="s">
        <v>18</v>
      </c>
      <c r="D4222" s="27" t="s">
        <v>24</v>
      </c>
      <c r="E4222" s="28">
        <v>43341</v>
      </c>
      <c r="F4222" s="28">
        <v>41489</v>
      </c>
      <c r="G4222" s="27" t="s">
        <v>11</v>
      </c>
      <c r="H4222" s="27" t="s">
        <v>550</v>
      </c>
      <c r="I4222" s="27" t="s">
        <v>13</v>
      </c>
    </row>
    <row r="4223" spans="1:9" x14ac:dyDescent="0.3">
      <c r="A4223" s="26">
        <v>45152</v>
      </c>
      <c r="B4223" s="27" t="s">
        <v>120</v>
      </c>
      <c r="C4223" s="27" t="s">
        <v>20</v>
      </c>
      <c r="D4223" s="27" t="s">
        <v>21</v>
      </c>
      <c r="E4223" s="28">
        <v>124523</v>
      </c>
      <c r="F4223" s="28">
        <v>131336</v>
      </c>
      <c r="G4223" s="27" t="s">
        <v>8</v>
      </c>
      <c r="H4223" s="27" t="s">
        <v>584</v>
      </c>
      <c r="I4223" s="27" t="s">
        <v>13</v>
      </c>
    </row>
    <row r="4224" spans="1:9" x14ac:dyDescent="0.3">
      <c r="A4224" s="26">
        <v>45152</v>
      </c>
      <c r="B4224" s="27" t="s">
        <v>120</v>
      </c>
      <c r="C4224" s="27" t="s">
        <v>32</v>
      </c>
      <c r="D4224" s="27" t="s">
        <v>19</v>
      </c>
      <c r="E4224" s="28">
        <v>81736</v>
      </c>
      <c r="F4224" s="28">
        <v>100904</v>
      </c>
      <c r="G4224" s="27" t="s">
        <v>17</v>
      </c>
      <c r="H4224" s="27" t="s">
        <v>682</v>
      </c>
      <c r="I4224" s="27" t="s">
        <v>13</v>
      </c>
    </row>
    <row r="4225" spans="1:9" x14ac:dyDescent="0.3">
      <c r="A4225" s="26">
        <v>45152</v>
      </c>
      <c r="B4225" s="27" t="s">
        <v>120</v>
      </c>
      <c r="C4225" s="27" t="s">
        <v>18</v>
      </c>
      <c r="D4225" s="27" t="s">
        <v>24</v>
      </c>
      <c r="E4225" s="28">
        <v>113963</v>
      </c>
      <c r="F4225" s="28">
        <v>150832</v>
      </c>
      <c r="G4225" s="27" t="s">
        <v>11</v>
      </c>
      <c r="H4225" s="27" t="s">
        <v>742</v>
      </c>
      <c r="I4225" s="27" t="s">
        <v>13</v>
      </c>
    </row>
    <row r="4226" spans="1:9" x14ac:dyDescent="0.3">
      <c r="A4226" s="26">
        <v>45152</v>
      </c>
      <c r="B4226" s="27" t="s">
        <v>120</v>
      </c>
      <c r="C4226" s="27" t="s">
        <v>20</v>
      </c>
      <c r="D4226" s="27" t="s">
        <v>21</v>
      </c>
      <c r="E4226" s="28">
        <v>114371</v>
      </c>
      <c r="F4226" s="28">
        <v>39117</v>
      </c>
      <c r="G4226" s="27" t="s">
        <v>11</v>
      </c>
      <c r="H4226" s="27" t="s">
        <v>1691</v>
      </c>
      <c r="I4226" s="27" t="s">
        <v>13</v>
      </c>
    </row>
    <row r="4227" spans="1:9" x14ac:dyDescent="0.3">
      <c r="A4227" s="26">
        <v>45152</v>
      </c>
      <c r="B4227" s="27" t="s">
        <v>120</v>
      </c>
      <c r="C4227" s="27" t="s">
        <v>15</v>
      </c>
      <c r="D4227" s="27" t="s">
        <v>7</v>
      </c>
      <c r="E4227" s="28">
        <v>20135</v>
      </c>
      <c r="F4227" s="28">
        <v>63611</v>
      </c>
      <c r="G4227" s="27" t="s">
        <v>17</v>
      </c>
      <c r="H4227" s="27" t="s">
        <v>1710</v>
      </c>
      <c r="I4227" s="27" t="s">
        <v>13</v>
      </c>
    </row>
    <row r="4228" spans="1:9" x14ac:dyDescent="0.3">
      <c r="A4228" s="26">
        <v>45152</v>
      </c>
      <c r="B4228" s="27" t="s">
        <v>120</v>
      </c>
      <c r="C4228" s="27" t="s">
        <v>14</v>
      </c>
      <c r="D4228" s="27" t="s">
        <v>21</v>
      </c>
      <c r="E4228" s="28">
        <v>138826</v>
      </c>
      <c r="F4228" s="28">
        <v>162190</v>
      </c>
      <c r="G4228" s="27" t="s">
        <v>22</v>
      </c>
      <c r="H4228" s="27" t="s">
        <v>1801</v>
      </c>
      <c r="I4228" s="27" t="s">
        <v>13</v>
      </c>
    </row>
    <row r="4229" spans="1:9" x14ac:dyDescent="0.3">
      <c r="A4229" s="26">
        <v>45152</v>
      </c>
      <c r="B4229" s="27" t="s">
        <v>120</v>
      </c>
      <c r="C4229" s="27" t="s">
        <v>18</v>
      </c>
      <c r="D4229" s="27" t="s">
        <v>16</v>
      </c>
      <c r="E4229" s="28">
        <v>42209</v>
      </c>
      <c r="F4229" s="28">
        <v>81067</v>
      </c>
      <c r="G4229" s="27" t="s">
        <v>8</v>
      </c>
      <c r="H4229" s="27" t="s">
        <v>2458</v>
      </c>
      <c r="I4229" s="27" t="s">
        <v>13</v>
      </c>
    </row>
    <row r="4230" spans="1:9" x14ac:dyDescent="0.3">
      <c r="A4230" s="26">
        <v>45152</v>
      </c>
      <c r="B4230" s="27" t="s">
        <v>120</v>
      </c>
      <c r="C4230" s="27" t="s">
        <v>20</v>
      </c>
      <c r="D4230" s="27" t="s">
        <v>7</v>
      </c>
      <c r="E4230" s="28">
        <v>74896</v>
      </c>
      <c r="F4230" s="28">
        <v>62324</v>
      </c>
      <c r="G4230" s="27" t="s">
        <v>11</v>
      </c>
      <c r="H4230" s="27" t="s">
        <v>2597</v>
      </c>
      <c r="I4230" s="27" t="s">
        <v>13</v>
      </c>
    </row>
    <row r="4231" spans="1:9" x14ac:dyDescent="0.3">
      <c r="A4231" s="26">
        <v>45152</v>
      </c>
      <c r="B4231" s="27" t="s">
        <v>120</v>
      </c>
      <c r="C4231" s="27" t="s">
        <v>14</v>
      </c>
      <c r="D4231" s="27" t="s">
        <v>19</v>
      </c>
      <c r="E4231" s="28">
        <v>27459</v>
      </c>
      <c r="F4231" s="28">
        <v>55152</v>
      </c>
      <c r="G4231" s="27" t="s">
        <v>11</v>
      </c>
      <c r="H4231" s="27" t="s">
        <v>3385</v>
      </c>
      <c r="I4231" s="27" t="s">
        <v>13</v>
      </c>
    </row>
    <row r="4232" spans="1:9" x14ac:dyDescent="0.3">
      <c r="A4232" s="26">
        <v>45152</v>
      </c>
      <c r="B4232" s="27" t="s">
        <v>120</v>
      </c>
      <c r="C4232" s="27" t="s">
        <v>20</v>
      </c>
      <c r="D4232" s="27" t="s">
        <v>21</v>
      </c>
      <c r="E4232" s="28">
        <v>68465</v>
      </c>
      <c r="F4232" s="28">
        <v>148530</v>
      </c>
      <c r="G4232" s="27" t="s">
        <v>8</v>
      </c>
      <c r="H4232" s="27" t="s">
        <v>3419</v>
      </c>
      <c r="I4232" s="27" t="s">
        <v>13</v>
      </c>
    </row>
    <row r="4233" spans="1:9" x14ac:dyDescent="0.3">
      <c r="A4233" s="26">
        <v>45152</v>
      </c>
      <c r="B4233" s="27" t="s">
        <v>120</v>
      </c>
      <c r="C4233" s="27" t="s">
        <v>93</v>
      </c>
      <c r="D4233" s="27" t="s">
        <v>7</v>
      </c>
      <c r="E4233" s="28">
        <v>118100</v>
      </c>
      <c r="F4233" s="28">
        <v>139200</v>
      </c>
      <c r="G4233" s="27" t="s">
        <v>17</v>
      </c>
      <c r="H4233" s="27" t="s">
        <v>3444</v>
      </c>
      <c r="I4233" s="27" t="s">
        <v>9</v>
      </c>
    </row>
    <row r="4234" spans="1:9" x14ac:dyDescent="0.3">
      <c r="A4234" s="26">
        <v>45152</v>
      </c>
      <c r="B4234" s="27" t="s">
        <v>120</v>
      </c>
      <c r="C4234" s="27" t="s">
        <v>6</v>
      </c>
      <c r="D4234" s="27" t="s">
        <v>7</v>
      </c>
      <c r="E4234" s="28">
        <v>85400</v>
      </c>
      <c r="F4234" s="28">
        <v>93900</v>
      </c>
      <c r="G4234" s="27" t="s">
        <v>22</v>
      </c>
      <c r="H4234" s="27" t="s">
        <v>3455</v>
      </c>
      <c r="I4234" s="27" t="s">
        <v>9</v>
      </c>
    </row>
    <row r="4235" spans="1:9" x14ac:dyDescent="0.3">
      <c r="A4235" s="26">
        <v>45152</v>
      </c>
      <c r="B4235" s="27" t="s">
        <v>120</v>
      </c>
      <c r="C4235" s="27" t="s">
        <v>93</v>
      </c>
      <c r="D4235" s="27" t="s">
        <v>24</v>
      </c>
      <c r="E4235" s="28">
        <v>193500</v>
      </c>
      <c r="F4235" s="28">
        <v>243100</v>
      </c>
      <c r="G4235" s="27" t="s">
        <v>22</v>
      </c>
      <c r="H4235" s="27" t="s">
        <v>3931</v>
      </c>
      <c r="I4235" s="27" t="s">
        <v>9</v>
      </c>
    </row>
    <row r="4236" spans="1:9" x14ac:dyDescent="0.3">
      <c r="A4236" s="26">
        <v>45152</v>
      </c>
      <c r="B4236" s="27" t="s">
        <v>120</v>
      </c>
      <c r="C4236" s="27" t="s">
        <v>93</v>
      </c>
      <c r="D4236" s="27" t="s">
        <v>21</v>
      </c>
      <c r="E4236" s="28">
        <v>99200</v>
      </c>
      <c r="F4236" s="28">
        <v>108600</v>
      </c>
      <c r="G4236" s="27" t="s">
        <v>11</v>
      </c>
      <c r="H4236" s="27" t="s">
        <v>3965</v>
      </c>
      <c r="I4236" s="27" t="s">
        <v>9</v>
      </c>
    </row>
    <row r="4237" spans="1:9" x14ac:dyDescent="0.3">
      <c r="A4237" s="26">
        <v>45152</v>
      </c>
      <c r="B4237" s="27" t="s">
        <v>120</v>
      </c>
      <c r="C4237" s="27" t="s">
        <v>93</v>
      </c>
      <c r="D4237" s="27" t="s">
        <v>19</v>
      </c>
      <c r="E4237" s="28">
        <v>71800</v>
      </c>
      <c r="F4237" s="28">
        <v>67600</v>
      </c>
      <c r="G4237" s="27" t="s">
        <v>22</v>
      </c>
      <c r="H4237" s="27" t="s">
        <v>4063</v>
      </c>
      <c r="I4237" s="27" t="s">
        <v>9</v>
      </c>
    </row>
    <row r="4238" spans="1:9" x14ac:dyDescent="0.3">
      <c r="A4238" s="26">
        <v>45152</v>
      </c>
      <c r="B4238" s="27" t="s">
        <v>120</v>
      </c>
      <c r="C4238" s="27" t="s">
        <v>93</v>
      </c>
      <c r="D4238" s="27" t="s">
        <v>24</v>
      </c>
      <c r="E4238" s="28">
        <v>106000</v>
      </c>
      <c r="F4238" s="28">
        <v>103400</v>
      </c>
      <c r="G4238" s="27" t="s">
        <v>11</v>
      </c>
      <c r="H4238" s="27" t="s">
        <v>4123</v>
      </c>
      <c r="I4238" s="27" t="s">
        <v>9</v>
      </c>
    </row>
    <row r="4239" spans="1:9" x14ac:dyDescent="0.3">
      <c r="A4239" s="26">
        <v>45152</v>
      </c>
      <c r="B4239" s="27" t="s">
        <v>120</v>
      </c>
      <c r="C4239" s="27" t="s">
        <v>6</v>
      </c>
      <c r="D4239" s="27" t="s">
        <v>21</v>
      </c>
      <c r="E4239" s="28">
        <v>213400</v>
      </c>
      <c r="F4239" s="28">
        <v>208700</v>
      </c>
      <c r="G4239" s="27" t="s">
        <v>11</v>
      </c>
      <c r="H4239" s="27" t="s">
        <v>5074</v>
      </c>
      <c r="I4239" s="27" t="s">
        <v>9</v>
      </c>
    </row>
    <row r="4240" spans="1:9" x14ac:dyDescent="0.3">
      <c r="A4240" s="26">
        <v>45152</v>
      </c>
      <c r="B4240" s="27" t="s">
        <v>120</v>
      </c>
      <c r="C4240" s="27" t="s">
        <v>93</v>
      </c>
      <c r="D4240" s="27" t="s">
        <v>7</v>
      </c>
      <c r="E4240" s="28">
        <v>112800</v>
      </c>
      <c r="F4240" s="28">
        <v>94300</v>
      </c>
      <c r="G4240" s="27" t="s">
        <v>11</v>
      </c>
      <c r="H4240" s="27" t="s">
        <v>5093</v>
      </c>
      <c r="I4240" s="27" t="s">
        <v>9</v>
      </c>
    </row>
    <row r="4241" spans="1:9" x14ac:dyDescent="0.3">
      <c r="A4241" s="26">
        <v>45152</v>
      </c>
      <c r="B4241" s="27" t="s">
        <v>120</v>
      </c>
      <c r="C4241" s="27" t="s">
        <v>93</v>
      </c>
      <c r="D4241" s="27" t="s">
        <v>21</v>
      </c>
      <c r="E4241" s="28">
        <v>67500</v>
      </c>
      <c r="F4241" s="28">
        <v>78400</v>
      </c>
      <c r="G4241" s="27" t="s">
        <v>17</v>
      </c>
      <c r="H4241" s="27" t="s">
        <v>5184</v>
      </c>
      <c r="I4241" s="27" t="s">
        <v>9</v>
      </c>
    </row>
    <row r="4242" spans="1:9" x14ac:dyDescent="0.3">
      <c r="A4242" s="26">
        <v>45152</v>
      </c>
      <c r="B4242" s="27" t="s">
        <v>120</v>
      </c>
      <c r="C4242" s="27" t="s">
        <v>93</v>
      </c>
      <c r="D4242" s="27" t="s">
        <v>16</v>
      </c>
      <c r="E4242" s="28">
        <v>98400</v>
      </c>
      <c r="F4242" s="28">
        <v>121400</v>
      </c>
      <c r="G4242" s="27" t="s">
        <v>11</v>
      </c>
      <c r="H4242" s="27" t="s">
        <v>5843</v>
      </c>
      <c r="I4242" s="27" t="s">
        <v>9</v>
      </c>
    </row>
    <row r="4243" spans="1:9" x14ac:dyDescent="0.3">
      <c r="A4243" s="26">
        <v>45152</v>
      </c>
      <c r="B4243" s="27" t="s">
        <v>120</v>
      </c>
      <c r="C4243" s="27" t="s">
        <v>6</v>
      </c>
      <c r="D4243" s="27" t="s">
        <v>7</v>
      </c>
      <c r="E4243" s="28">
        <v>106600</v>
      </c>
      <c r="F4243" s="28">
        <v>109800</v>
      </c>
      <c r="G4243" s="27" t="s">
        <v>11</v>
      </c>
      <c r="H4243" s="27" t="s">
        <v>5982</v>
      </c>
      <c r="I4243" s="27" t="s">
        <v>9</v>
      </c>
    </row>
    <row r="4244" spans="1:9" x14ac:dyDescent="0.3">
      <c r="A4244" s="26">
        <v>45152</v>
      </c>
      <c r="B4244" s="27" t="s">
        <v>120</v>
      </c>
      <c r="C4244" s="27" t="s">
        <v>6</v>
      </c>
      <c r="D4244" s="27" t="s">
        <v>19</v>
      </c>
      <c r="E4244" s="28">
        <v>62400</v>
      </c>
      <c r="F4244" s="28">
        <v>58000</v>
      </c>
      <c r="G4244" s="27" t="s">
        <v>11</v>
      </c>
      <c r="H4244" s="27" t="s">
        <v>6770</v>
      </c>
      <c r="I4244" s="27" t="s">
        <v>9</v>
      </c>
    </row>
    <row r="4245" spans="1:9" x14ac:dyDescent="0.3">
      <c r="A4245" s="26">
        <v>45152</v>
      </c>
      <c r="B4245" s="27" t="s">
        <v>120</v>
      </c>
      <c r="C4245" s="27" t="s">
        <v>6</v>
      </c>
      <c r="D4245" s="27" t="s">
        <v>21</v>
      </c>
      <c r="E4245" s="28">
        <v>46800</v>
      </c>
      <c r="F4245" s="28">
        <v>35700</v>
      </c>
      <c r="G4245" s="27" t="s">
        <v>11</v>
      </c>
      <c r="H4245" s="27" t="s">
        <v>6804</v>
      </c>
      <c r="I4245" s="27" t="s">
        <v>9</v>
      </c>
    </row>
    <row r="4246" spans="1:9" x14ac:dyDescent="0.3">
      <c r="A4246" s="26">
        <v>45153</v>
      </c>
      <c r="B4246" s="27" t="s">
        <v>120</v>
      </c>
      <c r="C4246" s="27" t="s">
        <v>18</v>
      </c>
      <c r="D4246" s="27" t="s">
        <v>7</v>
      </c>
      <c r="E4246" s="28">
        <v>32979</v>
      </c>
      <c r="F4246" s="28">
        <v>26476</v>
      </c>
      <c r="G4246" s="27" t="s">
        <v>17</v>
      </c>
      <c r="H4246" s="27" t="s">
        <v>132</v>
      </c>
      <c r="I4246" s="27" t="s">
        <v>13</v>
      </c>
    </row>
    <row r="4247" spans="1:9" x14ac:dyDescent="0.3">
      <c r="A4247" s="26">
        <v>45153</v>
      </c>
      <c r="B4247" s="27" t="s">
        <v>120</v>
      </c>
      <c r="C4247" s="27" t="s">
        <v>18</v>
      </c>
      <c r="D4247" s="27" t="s">
        <v>7</v>
      </c>
      <c r="E4247" s="28">
        <v>40607</v>
      </c>
      <c r="F4247" s="28">
        <v>147127</v>
      </c>
      <c r="G4247" s="27" t="s">
        <v>8</v>
      </c>
      <c r="H4247" s="27" t="s">
        <v>199</v>
      </c>
      <c r="I4247" s="27" t="s">
        <v>13</v>
      </c>
    </row>
    <row r="4248" spans="1:9" x14ac:dyDescent="0.3">
      <c r="A4248" s="26">
        <v>45153</v>
      </c>
      <c r="B4248" s="27" t="s">
        <v>120</v>
      </c>
      <c r="C4248" s="27" t="s">
        <v>32</v>
      </c>
      <c r="D4248" s="27" t="s">
        <v>21</v>
      </c>
      <c r="E4248" s="28">
        <v>74481</v>
      </c>
      <c r="F4248" s="28">
        <v>63242</v>
      </c>
      <c r="G4248" s="27" t="s">
        <v>22</v>
      </c>
      <c r="H4248" s="27" t="s">
        <v>449</v>
      </c>
      <c r="I4248" s="27" t="s">
        <v>13</v>
      </c>
    </row>
    <row r="4249" spans="1:9" x14ac:dyDescent="0.3">
      <c r="A4249" s="26">
        <v>45153</v>
      </c>
      <c r="B4249" s="27" t="s">
        <v>120</v>
      </c>
      <c r="C4249" s="27" t="s">
        <v>15</v>
      </c>
      <c r="D4249" s="27" t="s">
        <v>24</v>
      </c>
      <c r="E4249" s="28">
        <v>106381</v>
      </c>
      <c r="F4249" s="28">
        <v>156036</v>
      </c>
      <c r="G4249" s="27" t="s">
        <v>17</v>
      </c>
      <c r="H4249" s="27" t="s">
        <v>581</v>
      </c>
      <c r="I4249" s="27" t="s">
        <v>13</v>
      </c>
    </row>
    <row r="4250" spans="1:9" x14ac:dyDescent="0.3">
      <c r="A4250" s="26">
        <v>45153</v>
      </c>
      <c r="B4250" s="27" t="s">
        <v>120</v>
      </c>
      <c r="C4250" s="27" t="s">
        <v>10</v>
      </c>
      <c r="D4250" s="27" t="s">
        <v>21</v>
      </c>
      <c r="E4250" s="28">
        <v>87533</v>
      </c>
      <c r="F4250" s="28">
        <v>24015</v>
      </c>
      <c r="G4250" s="27" t="s">
        <v>17</v>
      </c>
      <c r="H4250" s="27" t="s">
        <v>604</v>
      </c>
      <c r="I4250" s="27" t="s">
        <v>13</v>
      </c>
    </row>
    <row r="4251" spans="1:9" x14ac:dyDescent="0.3">
      <c r="A4251" s="26">
        <v>45153</v>
      </c>
      <c r="B4251" s="27" t="s">
        <v>120</v>
      </c>
      <c r="C4251" s="27" t="s">
        <v>14</v>
      </c>
      <c r="D4251" s="27" t="s">
        <v>7</v>
      </c>
      <c r="E4251" s="28">
        <v>52794</v>
      </c>
      <c r="F4251" s="28">
        <v>88777</v>
      </c>
      <c r="G4251" s="27" t="s">
        <v>22</v>
      </c>
      <c r="H4251" s="27" t="s">
        <v>930</v>
      </c>
      <c r="I4251" s="27" t="s">
        <v>13</v>
      </c>
    </row>
    <row r="4252" spans="1:9" x14ac:dyDescent="0.3">
      <c r="A4252" s="26">
        <v>45153</v>
      </c>
      <c r="B4252" s="27" t="s">
        <v>120</v>
      </c>
      <c r="C4252" s="27" t="s">
        <v>10</v>
      </c>
      <c r="D4252" s="27" t="s">
        <v>19</v>
      </c>
      <c r="E4252" s="28">
        <v>67036</v>
      </c>
      <c r="F4252" s="28">
        <v>168864</v>
      </c>
      <c r="G4252" s="27" t="s">
        <v>11</v>
      </c>
      <c r="H4252" s="27" t="s">
        <v>1285</v>
      </c>
      <c r="I4252" s="27" t="s">
        <v>13</v>
      </c>
    </row>
    <row r="4253" spans="1:9" x14ac:dyDescent="0.3">
      <c r="A4253" s="26">
        <v>45153</v>
      </c>
      <c r="B4253" s="27" t="s">
        <v>120</v>
      </c>
      <c r="C4253" s="27" t="s">
        <v>18</v>
      </c>
      <c r="D4253" s="27" t="s">
        <v>21</v>
      </c>
      <c r="E4253" s="28">
        <v>105788</v>
      </c>
      <c r="F4253" s="28">
        <v>66450</v>
      </c>
      <c r="G4253" s="27" t="s">
        <v>11</v>
      </c>
      <c r="H4253" s="27" t="s">
        <v>1915</v>
      </c>
      <c r="I4253" s="27" t="s">
        <v>13</v>
      </c>
    </row>
    <row r="4254" spans="1:9" x14ac:dyDescent="0.3">
      <c r="A4254" s="26">
        <v>45153</v>
      </c>
      <c r="B4254" s="27" t="s">
        <v>120</v>
      </c>
      <c r="C4254" s="27" t="s">
        <v>20</v>
      </c>
      <c r="D4254" s="27" t="s">
        <v>16</v>
      </c>
      <c r="E4254" s="28">
        <v>125200</v>
      </c>
      <c r="F4254" s="28">
        <v>41934</v>
      </c>
      <c r="G4254" s="27" t="s">
        <v>8</v>
      </c>
      <c r="H4254" s="27" t="s">
        <v>2475</v>
      </c>
      <c r="I4254" s="27" t="s">
        <v>13</v>
      </c>
    </row>
    <row r="4255" spans="1:9" x14ac:dyDescent="0.3">
      <c r="A4255" s="26">
        <v>45153</v>
      </c>
      <c r="B4255" s="27" t="s">
        <v>120</v>
      </c>
      <c r="C4255" s="27" t="s">
        <v>15</v>
      </c>
      <c r="D4255" s="27" t="s">
        <v>21</v>
      </c>
      <c r="E4255" s="28">
        <v>112195</v>
      </c>
      <c r="F4255" s="28">
        <v>166559</v>
      </c>
      <c r="G4255" s="27" t="s">
        <v>17</v>
      </c>
      <c r="H4255" s="27" t="s">
        <v>2805</v>
      </c>
      <c r="I4255" s="27" t="s">
        <v>13</v>
      </c>
    </row>
    <row r="4256" spans="1:9" x14ac:dyDescent="0.3">
      <c r="A4256" s="26">
        <v>45153</v>
      </c>
      <c r="B4256" s="27" t="s">
        <v>120</v>
      </c>
      <c r="C4256" s="27" t="s">
        <v>6</v>
      </c>
      <c r="D4256" s="27" t="s">
        <v>7</v>
      </c>
      <c r="E4256" s="28">
        <v>64300</v>
      </c>
      <c r="F4256" s="28">
        <v>74300</v>
      </c>
      <c r="G4256" s="27" t="s">
        <v>17</v>
      </c>
      <c r="H4256" s="27" t="s">
        <v>3513</v>
      </c>
      <c r="I4256" s="27" t="s">
        <v>9</v>
      </c>
    </row>
    <row r="4257" spans="1:9" x14ac:dyDescent="0.3">
      <c r="A4257" s="26">
        <v>45153</v>
      </c>
      <c r="B4257" s="27" t="s">
        <v>120</v>
      </c>
      <c r="C4257" s="27" t="s">
        <v>6</v>
      </c>
      <c r="D4257" s="27" t="s">
        <v>7</v>
      </c>
      <c r="E4257" s="28">
        <v>98500</v>
      </c>
      <c r="F4257" s="28">
        <v>100900</v>
      </c>
      <c r="G4257" s="27" t="s">
        <v>17</v>
      </c>
      <c r="H4257" s="27" t="s">
        <v>3580</v>
      </c>
      <c r="I4257" s="27" t="s">
        <v>9</v>
      </c>
    </row>
    <row r="4258" spans="1:9" x14ac:dyDescent="0.3">
      <c r="A4258" s="26">
        <v>45153</v>
      </c>
      <c r="B4258" s="27" t="s">
        <v>120</v>
      </c>
      <c r="C4258" s="27" t="s">
        <v>6</v>
      </c>
      <c r="D4258" s="27" t="s">
        <v>21</v>
      </c>
      <c r="E4258" s="28">
        <v>140100</v>
      </c>
      <c r="F4258" s="28">
        <v>146800</v>
      </c>
      <c r="G4258" s="27" t="s">
        <v>17</v>
      </c>
      <c r="H4258" s="27" t="s">
        <v>3830</v>
      </c>
      <c r="I4258" s="27" t="s">
        <v>9</v>
      </c>
    </row>
    <row r="4259" spans="1:9" x14ac:dyDescent="0.3">
      <c r="A4259" s="26">
        <v>45153</v>
      </c>
      <c r="B4259" s="27" t="s">
        <v>120</v>
      </c>
      <c r="C4259" s="27" t="s">
        <v>93</v>
      </c>
      <c r="D4259" s="27" t="s">
        <v>24</v>
      </c>
      <c r="E4259" s="28">
        <v>122400</v>
      </c>
      <c r="F4259" s="28">
        <v>147200</v>
      </c>
      <c r="G4259" s="27" t="s">
        <v>17</v>
      </c>
      <c r="H4259" s="27" t="s">
        <v>3962</v>
      </c>
      <c r="I4259" s="27" t="s">
        <v>9</v>
      </c>
    </row>
    <row r="4260" spans="1:9" x14ac:dyDescent="0.3">
      <c r="A4260" s="26">
        <v>45153</v>
      </c>
      <c r="B4260" s="27" t="s">
        <v>120</v>
      </c>
      <c r="C4260" s="27" t="s">
        <v>6</v>
      </c>
      <c r="D4260" s="27" t="s">
        <v>21</v>
      </c>
      <c r="E4260" s="28">
        <v>245100</v>
      </c>
      <c r="F4260" s="28">
        <v>249300</v>
      </c>
      <c r="G4260" s="27" t="s">
        <v>11</v>
      </c>
      <c r="H4260" s="27" t="s">
        <v>3985</v>
      </c>
      <c r="I4260" s="27" t="s">
        <v>9</v>
      </c>
    </row>
    <row r="4261" spans="1:9" x14ac:dyDescent="0.3">
      <c r="A4261" s="26">
        <v>45153</v>
      </c>
      <c r="B4261" s="27" t="s">
        <v>120</v>
      </c>
      <c r="C4261" s="27" t="s">
        <v>93</v>
      </c>
      <c r="D4261" s="27" t="s">
        <v>7</v>
      </c>
      <c r="E4261" s="28">
        <v>172200</v>
      </c>
      <c r="F4261" s="28">
        <v>196600</v>
      </c>
      <c r="G4261" s="27" t="s">
        <v>11</v>
      </c>
      <c r="H4261" s="27" t="s">
        <v>4311</v>
      </c>
      <c r="I4261" s="27" t="s">
        <v>9</v>
      </c>
    </row>
    <row r="4262" spans="1:9" x14ac:dyDescent="0.3">
      <c r="A4262" s="26">
        <v>45153</v>
      </c>
      <c r="B4262" s="27" t="s">
        <v>120</v>
      </c>
      <c r="C4262" s="27" t="s">
        <v>6</v>
      </c>
      <c r="D4262" s="27" t="s">
        <v>19</v>
      </c>
      <c r="E4262" s="28">
        <v>194900</v>
      </c>
      <c r="F4262" s="28">
        <v>211500</v>
      </c>
      <c r="G4262" s="27" t="s">
        <v>11</v>
      </c>
      <c r="H4262" s="27" t="s">
        <v>4668</v>
      </c>
      <c r="I4262" s="27" t="s">
        <v>9</v>
      </c>
    </row>
    <row r="4263" spans="1:9" x14ac:dyDescent="0.3">
      <c r="A4263" s="26">
        <v>45153</v>
      </c>
      <c r="B4263" s="27" t="s">
        <v>120</v>
      </c>
      <c r="C4263" s="27" t="s">
        <v>6</v>
      </c>
      <c r="D4263" s="27" t="s">
        <v>21</v>
      </c>
      <c r="E4263" s="28">
        <v>115800</v>
      </c>
      <c r="F4263" s="28">
        <v>138100</v>
      </c>
      <c r="G4263" s="27" t="s">
        <v>11</v>
      </c>
      <c r="H4263" s="27" t="s">
        <v>5299</v>
      </c>
      <c r="I4263" s="27" t="s">
        <v>9</v>
      </c>
    </row>
    <row r="4264" spans="1:9" x14ac:dyDescent="0.3">
      <c r="A4264" s="26">
        <v>45153</v>
      </c>
      <c r="B4264" s="27" t="s">
        <v>120</v>
      </c>
      <c r="C4264" s="27" t="s">
        <v>6</v>
      </c>
      <c r="D4264" s="27" t="s">
        <v>16</v>
      </c>
      <c r="E4264" s="28">
        <v>153600</v>
      </c>
      <c r="F4264" s="28">
        <v>194600</v>
      </c>
      <c r="G4264" s="27" t="s">
        <v>11</v>
      </c>
      <c r="H4264" s="27" t="s">
        <v>5860</v>
      </c>
      <c r="I4264" s="27" t="s">
        <v>9</v>
      </c>
    </row>
    <row r="4265" spans="1:9" x14ac:dyDescent="0.3">
      <c r="A4265" s="26">
        <v>45153</v>
      </c>
      <c r="B4265" s="27" t="s">
        <v>120</v>
      </c>
      <c r="C4265" s="27" t="s">
        <v>93</v>
      </c>
      <c r="D4265" s="27" t="s">
        <v>21</v>
      </c>
      <c r="E4265" s="28">
        <v>93000</v>
      </c>
      <c r="F4265" s="28">
        <v>97900</v>
      </c>
      <c r="G4265" s="27" t="s">
        <v>17</v>
      </c>
      <c r="H4265" s="27" t="s">
        <v>6190</v>
      </c>
      <c r="I4265" s="27" t="s">
        <v>9</v>
      </c>
    </row>
    <row r="4266" spans="1:9" x14ac:dyDescent="0.3">
      <c r="A4266" s="26">
        <v>45154</v>
      </c>
      <c r="B4266" s="27" t="s">
        <v>120</v>
      </c>
      <c r="C4266" s="27" t="s">
        <v>15</v>
      </c>
      <c r="D4266" s="27" t="s">
        <v>7</v>
      </c>
      <c r="E4266" s="28">
        <v>126293</v>
      </c>
      <c r="F4266" s="28">
        <v>82140</v>
      </c>
      <c r="G4266" s="27" t="s">
        <v>17</v>
      </c>
      <c r="H4266" s="27" t="s">
        <v>54</v>
      </c>
      <c r="I4266" s="27" t="s">
        <v>13</v>
      </c>
    </row>
    <row r="4267" spans="1:9" x14ac:dyDescent="0.3">
      <c r="A4267" s="26">
        <v>45154</v>
      </c>
      <c r="B4267" s="27" t="s">
        <v>120</v>
      </c>
      <c r="C4267" s="27" t="s">
        <v>32</v>
      </c>
      <c r="D4267" s="27" t="s">
        <v>21</v>
      </c>
      <c r="E4267" s="28">
        <v>46166</v>
      </c>
      <c r="F4267" s="28">
        <v>24308</v>
      </c>
      <c r="G4267" s="27" t="s">
        <v>11</v>
      </c>
      <c r="H4267" s="27" t="s">
        <v>55</v>
      </c>
      <c r="I4267" s="27" t="s">
        <v>13</v>
      </c>
    </row>
    <row r="4268" spans="1:9" x14ac:dyDescent="0.3">
      <c r="A4268" s="26">
        <v>45154</v>
      </c>
      <c r="B4268" s="27" t="s">
        <v>120</v>
      </c>
      <c r="C4268" s="27" t="s">
        <v>15</v>
      </c>
      <c r="D4268" s="27" t="s">
        <v>7</v>
      </c>
      <c r="E4268" s="28">
        <v>104187</v>
      </c>
      <c r="F4268" s="28">
        <v>152741</v>
      </c>
      <c r="G4268" s="27" t="s">
        <v>22</v>
      </c>
      <c r="H4268" s="27" t="s">
        <v>188</v>
      </c>
      <c r="I4268" s="27" t="s">
        <v>13</v>
      </c>
    </row>
    <row r="4269" spans="1:9" x14ac:dyDescent="0.3">
      <c r="A4269" s="26">
        <v>45154</v>
      </c>
      <c r="B4269" s="27" t="s">
        <v>120</v>
      </c>
      <c r="C4269" s="27" t="s">
        <v>14</v>
      </c>
      <c r="D4269" s="27" t="s">
        <v>19</v>
      </c>
      <c r="E4269" s="28">
        <v>128237</v>
      </c>
      <c r="F4269" s="28">
        <v>106354</v>
      </c>
      <c r="G4269" s="27" t="s">
        <v>22</v>
      </c>
      <c r="H4269" s="27" t="s">
        <v>363</v>
      </c>
      <c r="I4269" s="27" t="s">
        <v>13</v>
      </c>
    </row>
    <row r="4270" spans="1:9" x14ac:dyDescent="0.3">
      <c r="A4270" s="26">
        <v>45154</v>
      </c>
      <c r="B4270" s="27" t="s">
        <v>120</v>
      </c>
      <c r="C4270" s="27" t="s">
        <v>10</v>
      </c>
      <c r="D4270" s="27" t="s">
        <v>19</v>
      </c>
      <c r="E4270" s="28">
        <v>67042</v>
      </c>
      <c r="F4270" s="28">
        <v>71239</v>
      </c>
      <c r="G4270" s="27" t="s">
        <v>22</v>
      </c>
      <c r="H4270" s="27" t="s">
        <v>442</v>
      </c>
      <c r="I4270" s="27" t="s">
        <v>13</v>
      </c>
    </row>
    <row r="4271" spans="1:9" x14ac:dyDescent="0.3">
      <c r="A4271" s="26">
        <v>45154</v>
      </c>
      <c r="B4271" s="27" t="s">
        <v>120</v>
      </c>
      <c r="C4271" s="27" t="s">
        <v>32</v>
      </c>
      <c r="D4271" s="27" t="s">
        <v>7</v>
      </c>
      <c r="E4271" s="28">
        <v>136083</v>
      </c>
      <c r="F4271" s="28">
        <v>150177</v>
      </c>
      <c r="G4271" s="27" t="s">
        <v>8</v>
      </c>
      <c r="H4271" s="27" t="s">
        <v>472</v>
      </c>
      <c r="I4271" s="27" t="s">
        <v>13</v>
      </c>
    </row>
    <row r="4272" spans="1:9" x14ac:dyDescent="0.3">
      <c r="A4272" s="26">
        <v>45154</v>
      </c>
      <c r="B4272" s="27" t="s">
        <v>120</v>
      </c>
      <c r="C4272" s="27" t="s">
        <v>20</v>
      </c>
      <c r="D4272" s="27" t="s">
        <v>21</v>
      </c>
      <c r="E4272" s="28">
        <v>91965</v>
      </c>
      <c r="F4272" s="28">
        <v>22429</v>
      </c>
      <c r="G4272" s="27" t="s">
        <v>22</v>
      </c>
      <c r="H4272" s="27" t="s">
        <v>1228</v>
      </c>
      <c r="I4272" s="27" t="s">
        <v>13</v>
      </c>
    </row>
    <row r="4273" spans="1:9" x14ac:dyDescent="0.3">
      <c r="A4273" s="26">
        <v>45154</v>
      </c>
      <c r="B4273" s="27" t="s">
        <v>120</v>
      </c>
      <c r="C4273" s="27" t="s">
        <v>10</v>
      </c>
      <c r="D4273" s="27" t="s">
        <v>24</v>
      </c>
      <c r="E4273" s="28">
        <v>90117</v>
      </c>
      <c r="F4273" s="28">
        <v>132343</v>
      </c>
      <c r="G4273" s="27" t="s">
        <v>22</v>
      </c>
      <c r="H4273" s="27" t="s">
        <v>1853</v>
      </c>
      <c r="I4273" s="27" t="s">
        <v>13</v>
      </c>
    </row>
    <row r="4274" spans="1:9" x14ac:dyDescent="0.3">
      <c r="A4274" s="26">
        <v>45154</v>
      </c>
      <c r="B4274" s="27" t="s">
        <v>120</v>
      </c>
      <c r="C4274" s="27" t="s">
        <v>15</v>
      </c>
      <c r="D4274" s="27" t="s">
        <v>16</v>
      </c>
      <c r="E4274" s="28">
        <v>123458</v>
      </c>
      <c r="F4274" s="28">
        <v>53051</v>
      </c>
      <c r="G4274" s="27" t="s">
        <v>8</v>
      </c>
      <c r="H4274" s="27" t="s">
        <v>1993</v>
      </c>
      <c r="I4274" s="27" t="s">
        <v>13</v>
      </c>
    </row>
    <row r="4275" spans="1:9" x14ac:dyDescent="0.3">
      <c r="A4275" s="26">
        <v>45154</v>
      </c>
      <c r="B4275" s="27" t="s">
        <v>120</v>
      </c>
      <c r="C4275" s="27" t="s">
        <v>18</v>
      </c>
      <c r="D4275" s="27" t="s">
        <v>7</v>
      </c>
      <c r="E4275" s="28">
        <v>35203</v>
      </c>
      <c r="F4275" s="28">
        <v>37460</v>
      </c>
      <c r="G4275" s="27" t="s">
        <v>22</v>
      </c>
      <c r="H4275" s="27" t="s">
        <v>2551</v>
      </c>
      <c r="I4275" s="27" t="s">
        <v>13</v>
      </c>
    </row>
    <row r="4276" spans="1:9" x14ac:dyDescent="0.3">
      <c r="A4276" s="26">
        <v>45154</v>
      </c>
      <c r="B4276" s="27" t="s">
        <v>120</v>
      </c>
      <c r="C4276" s="27" t="s">
        <v>10</v>
      </c>
      <c r="D4276" s="27" t="s">
        <v>16</v>
      </c>
      <c r="E4276" s="28">
        <v>37113</v>
      </c>
      <c r="F4276" s="28">
        <v>141882</v>
      </c>
      <c r="G4276" s="27" t="s">
        <v>11</v>
      </c>
      <c r="H4276" s="27" t="s">
        <v>2557</v>
      </c>
      <c r="I4276" s="27" t="s">
        <v>13</v>
      </c>
    </row>
    <row r="4277" spans="1:9" x14ac:dyDescent="0.3">
      <c r="A4277" s="26">
        <v>45154</v>
      </c>
      <c r="B4277" s="27" t="s">
        <v>120</v>
      </c>
      <c r="C4277" s="27" t="s">
        <v>6</v>
      </c>
      <c r="D4277" s="27" t="s">
        <v>7</v>
      </c>
      <c r="E4277" s="28">
        <v>182900</v>
      </c>
      <c r="F4277" s="28">
        <v>232200</v>
      </c>
      <c r="G4277" s="27" t="s">
        <v>11</v>
      </c>
      <c r="H4277" s="27" t="s">
        <v>3449</v>
      </c>
      <c r="I4277" s="27" t="s">
        <v>9</v>
      </c>
    </row>
    <row r="4278" spans="1:9" x14ac:dyDescent="0.3">
      <c r="A4278" s="26">
        <v>45154</v>
      </c>
      <c r="B4278" s="27" t="s">
        <v>120</v>
      </c>
      <c r="C4278" s="27" t="s">
        <v>93</v>
      </c>
      <c r="D4278" s="27" t="s">
        <v>21</v>
      </c>
      <c r="E4278" s="28">
        <v>89800</v>
      </c>
      <c r="F4278" s="28">
        <v>70300</v>
      </c>
      <c r="G4278" s="27" t="s">
        <v>22</v>
      </c>
      <c r="H4278" s="27" t="s">
        <v>3450</v>
      </c>
      <c r="I4278" s="27" t="s">
        <v>9</v>
      </c>
    </row>
    <row r="4279" spans="1:9" x14ac:dyDescent="0.3">
      <c r="A4279" s="26">
        <v>45154</v>
      </c>
      <c r="B4279" s="27" t="s">
        <v>120</v>
      </c>
      <c r="C4279" s="27" t="s">
        <v>6</v>
      </c>
      <c r="D4279" s="27" t="s">
        <v>7</v>
      </c>
      <c r="E4279" s="28">
        <v>89600</v>
      </c>
      <c r="F4279" s="28">
        <v>84300</v>
      </c>
      <c r="G4279" s="27" t="s">
        <v>11</v>
      </c>
      <c r="H4279" s="27" t="s">
        <v>3569</v>
      </c>
      <c r="I4279" s="27" t="s">
        <v>9</v>
      </c>
    </row>
    <row r="4280" spans="1:9" x14ac:dyDescent="0.3">
      <c r="A4280" s="26">
        <v>45154</v>
      </c>
      <c r="B4280" s="27" t="s">
        <v>120</v>
      </c>
      <c r="C4280" s="27" t="s">
        <v>6</v>
      </c>
      <c r="D4280" s="27" t="s">
        <v>19</v>
      </c>
      <c r="E4280" s="28">
        <v>282300</v>
      </c>
      <c r="F4280" s="28">
        <v>349000</v>
      </c>
      <c r="G4280" s="27" t="s">
        <v>22</v>
      </c>
      <c r="H4280" s="27" t="s">
        <v>3744</v>
      </c>
      <c r="I4280" s="27" t="s">
        <v>9</v>
      </c>
    </row>
    <row r="4281" spans="1:9" x14ac:dyDescent="0.3">
      <c r="A4281" s="26">
        <v>45154</v>
      </c>
      <c r="B4281" s="27" t="s">
        <v>120</v>
      </c>
      <c r="C4281" s="27" t="s">
        <v>6</v>
      </c>
      <c r="D4281" s="27" t="s">
        <v>19</v>
      </c>
      <c r="E4281" s="28">
        <v>102400</v>
      </c>
      <c r="F4281" s="28">
        <v>80300</v>
      </c>
      <c r="G4281" s="27" t="s">
        <v>22</v>
      </c>
      <c r="H4281" s="27" t="s">
        <v>3823</v>
      </c>
      <c r="I4281" s="27" t="s">
        <v>9</v>
      </c>
    </row>
    <row r="4282" spans="1:9" x14ac:dyDescent="0.3">
      <c r="A4282" s="26">
        <v>45154</v>
      </c>
      <c r="B4282" s="27" t="s">
        <v>120</v>
      </c>
      <c r="C4282" s="27" t="s">
        <v>6</v>
      </c>
      <c r="D4282" s="27" t="s">
        <v>7</v>
      </c>
      <c r="E4282" s="28">
        <v>89400</v>
      </c>
      <c r="F4282" s="28">
        <v>84900</v>
      </c>
      <c r="G4282" s="27" t="s">
        <v>11</v>
      </c>
      <c r="H4282" s="27" t="s">
        <v>3853</v>
      </c>
      <c r="I4282" s="27" t="s">
        <v>9</v>
      </c>
    </row>
    <row r="4283" spans="1:9" x14ac:dyDescent="0.3">
      <c r="A4283" s="26">
        <v>45154</v>
      </c>
      <c r="B4283" s="27" t="s">
        <v>120</v>
      </c>
      <c r="C4283" s="27" t="s">
        <v>6</v>
      </c>
      <c r="D4283" s="27" t="s">
        <v>21</v>
      </c>
      <c r="E4283" s="28">
        <v>128700</v>
      </c>
      <c r="F4283" s="28">
        <v>134400</v>
      </c>
      <c r="G4283" s="27" t="s">
        <v>22</v>
      </c>
      <c r="H4283" s="27" t="s">
        <v>4611</v>
      </c>
      <c r="I4283" s="27" t="s">
        <v>9</v>
      </c>
    </row>
    <row r="4284" spans="1:9" x14ac:dyDescent="0.3">
      <c r="A4284" s="26">
        <v>45154</v>
      </c>
      <c r="B4284" s="27" t="s">
        <v>120</v>
      </c>
      <c r="C4284" s="27" t="s">
        <v>6</v>
      </c>
      <c r="D4284" s="27" t="s">
        <v>24</v>
      </c>
      <c r="E4284" s="28">
        <v>157200</v>
      </c>
      <c r="F4284" s="28">
        <v>150600</v>
      </c>
      <c r="G4284" s="27" t="s">
        <v>11</v>
      </c>
      <c r="H4284" s="27" t="s">
        <v>5236</v>
      </c>
      <c r="I4284" s="27" t="s">
        <v>9</v>
      </c>
    </row>
    <row r="4285" spans="1:9" x14ac:dyDescent="0.3">
      <c r="A4285" s="26">
        <v>45154</v>
      </c>
      <c r="B4285" s="27" t="s">
        <v>120</v>
      </c>
      <c r="C4285" s="27" t="s">
        <v>6</v>
      </c>
      <c r="D4285" s="27" t="s">
        <v>16</v>
      </c>
      <c r="E4285" s="28">
        <v>93900</v>
      </c>
      <c r="F4285" s="28">
        <v>82400</v>
      </c>
      <c r="G4285" s="27" t="s">
        <v>11</v>
      </c>
      <c r="H4285" s="27" t="s">
        <v>5377</v>
      </c>
      <c r="I4285" s="27" t="s">
        <v>9</v>
      </c>
    </row>
    <row r="4286" spans="1:9" x14ac:dyDescent="0.3">
      <c r="A4286" s="26">
        <v>45154</v>
      </c>
      <c r="B4286" s="27" t="s">
        <v>120</v>
      </c>
      <c r="C4286" s="27" t="s">
        <v>6</v>
      </c>
      <c r="D4286" s="27" t="s">
        <v>7</v>
      </c>
      <c r="E4286" s="28">
        <v>137200</v>
      </c>
      <c r="F4286" s="28">
        <v>147700</v>
      </c>
      <c r="G4286" s="27" t="s">
        <v>22</v>
      </c>
      <c r="H4286" s="27" t="s">
        <v>5936</v>
      </c>
      <c r="I4286" s="27" t="s">
        <v>9</v>
      </c>
    </row>
    <row r="4287" spans="1:9" x14ac:dyDescent="0.3">
      <c r="A4287" s="26">
        <v>45154</v>
      </c>
      <c r="B4287" s="27" t="s">
        <v>120</v>
      </c>
      <c r="C4287" s="27" t="s">
        <v>93</v>
      </c>
      <c r="D4287" s="27" t="s">
        <v>16</v>
      </c>
      <c r="E4287" s="28">
        <v>163100</v>
      </c>
      <c r="F4287" s="28">
        <v>168200</v>
      </c>
      <c r="G4287" s="27" t="s">
        <v>22</v>
      </c>
      <c r="H4287" s="27" t="s">
        <v>5942</v>
      </c>
      <c r="I4287" s="27" t="s">
        <v>9</v>
      </c>
    </row>
    <row r="4288" spans="1:9" x14ac:dyDescent="0.3">
      <c r="A4288" s="26">
        <v>45155</v>
      </c>
      <c r="B4288" s="27" t="s">
        <v>120</v>
      </c>
      <c r="C4288" s="27" t="s">
        <v>32</v>
      </c>
      <c r="D4288" s="27" t="s">
        <v>24</v>
      </c>
      <c r="E4288" s="28">
        <v>89722</v>
      </c>
      <c r="F4288" s="28">
        <v>159689</v>
      </c>
      <c r="G4288" s="27" t="s">
        <v>22</v>
      </c>
      <c r="H4288" s="27" t="s">
        <v>256</v>
      </c>
      <c r="I4288" s="27" t="s">
        <v>13</v>
      </c>
    </row>
    <row r="4289" spans="1:9" x14ac:dyDescent="0.3">
      <c r="A4289" s="26">
        <v>45155</v>
      </c>
      <c r="B4289" s="27" t="s">
        <v>120</v>
      </c>
      <c r="C4289" s="27" t="s">
        <v>18</v>
      </c>
      <c r="D4289" s="27" t="s">
        <v>24</v>
      </c>
      <c r="E4289" s="28">
        <v>51499</v>
      </c>
      <c r="F4289" s="28">
        <v>90172</v>
      </c>
      <c r="G4289" s="27" t="s">
        <v>11</v>
      </c>
      <c r="H4289" s="27" t="s">
        <v>659</v>
      </c>
      <c r="I4289" s="27" t="s">
        <v>13</v>
      </c>
    </row>
    <row r="4290" spans="1:9" x14ac:dyDescent="0.3">
      <c r="A4290" s="26">
        <v>45155</v>
      </c>
      <c r="B4290" s="27" t="s">
        <v>120</v>
      </c>
      <c r="C4290" s="27" t="s">
        <v>15</v>
      </c>
      <c r="D4290" s="27" t="s">
        <v>21</v>
      </c>
      <c r="E4290" s="28">
        <v>53657</v>
      </c>
      <c r="F4290" s="28">
        <v>103415</v>
      </c>
      <c r="G4290" s="27" t="s">
        <v>8</v>
      </c>
      <c r="H4290" s="27" t="s">
        <v>937</v>
      </c>
      <c r="I4290" s="27" t="s">
        <v>13</v>
      </c>
    </row>
    <row r="4291" spans="1:9" x14ac:dyDescent="0.3">
      <c r="A4291" s="26">
        <v>45155</v>
      </c>
      <c r="B4291" s="27" t="s">
        <v>120</v>
      </c>
      <c r="C4291" s="27" t="s">
        <v>32</v>
      </c>
      <c r="D4291" s="27" t="s">
        <v>24</v>
      </c>
      <c r="E4291" s="28">
        <v>27753</v>
      </c>
      <c r="F4291" s="28">
        <v>156342</v>
      </c>
      <c r="G4291" s="27" t="s">
        <v>17</v>
      </c>
      <c r="H4291" s="27" t="s">
        <v>1491</v>
      </c>
      <c r="I4291" s="27" t="s">
        <v>13</v>
      </c>
    </row>
    <row r="4292" spans="1:9" x14ac:dyDescent="0.3">
      <c r="A4292" s="26">
        <v>45155</v>
      </c>
      <c r="B4292" s="27" t="s">
        <v>120</v>
      </c>
      <c r="C4292" s="27" t="s">
        <v>10</v>
      </c>
      <c r="D4292" s="27" t="s">
        <v>7</v>
      </c>
      <c r="E4292" s="28">
        <v>94498</v>
      </c>
      <c r="F4292" s="28">
        <v>62527</v>
      </c>
      <c r="G4292" s="27" t="s">
        <v>22</v>
      </c>
      <c r="H4292" s="27" t="s">
        <v>2668</v>
      </c>
      <c r="I4292" s="27" t="s">
        <v>13</v>
      </c>
    </row>
    <row r="4293" spans="1:9" x14ac:dyDescent="0.3">
      <c r="A4293" s="26">
        <v>45155</v>
      </c>
      <c r="B4293" s="27" t="s">
        <v>120</v>
      </c>
      <c r="C4293" s="27" t="s">
        <v>10</v>
      </c>
      <c r="D4293" s="27" t="s">
        <v>24</v>
      </c>
      <c r="E4293" s="28">
        <v>145362</v>
      </c>
      <c r="F4293" s="28">
        <v>54951</v>
      </c>
      <c r="G4293" s="27" t="s">
        <v>22</v>
      </c>
      <c r="H4293" s="27" t="s">
        <v>2939</v>
      </c>
      <c r="I4293" s="27" t="s">
        <v>13</v>
      </c>
    </row>
    <row r="4294" spans="1:9" x14ac:dyDescent="0.3">
      <c r="A4294" s="26">
        <v>45155</v>
      </c>
      <c r="B4294" s="27" t="s">
        <v>120</v>
      </c>
      <c r="C4294" s="27" t="s">
        <v>10</v>
      </c>
      <c r="D4294" s="27" t="s">
        <v>21</v>
      </c>
      <c r="E4294" s="28">
        <v>59057</v>
      </c>
      <c r="F4294" s="28">
        <v>152597</v>
      </c>
      <c r="G4294" s="27" t="s">
        <v>11</v>
      </c>
      <c r="H4294" s="27" t="s">
        <v>2964</v>
      </c>
      <c r="I4294" s="27" t="s">
        <v>13</v>
      </c>
    </row>
    <row r="4295" spans="1:9" x14ac:dyDescent="0.3">
      <c r="A4295" s="26">
        <v>45155</v>
      </c>
      <c r="B4295" s="27" t="s">
        <v>120</v>
      </c>
      <c r="C4295" s="27" t="s">
        <v>6</v>
      </c>
      <c r="D4295" s="27" t="s">
        <v>24</v>
      </c>
      <c r="E4295" s="28">
        <v>181900</v>
      </c>
      <c r="F4295" s="28">
        <v>166000</v>
      </c>
      <c r="G4295" s="27" t="s">
        <v>17</v>
      </c>
      <c r="H4295" s="27" t="s">
        <v>3637</v>
      </c>
      <c r="I4295" s="27" t="s">
        <v>9</v>
      </c>
    </row>
    <row r="4296" spans="1:9" x14ac:dyDescent="0.3">
      <c r="A4296" s="26">
        <v>45155</v>
      </c>
      <c r="B4296" s="27" t="s">
        <v>120</v>
      </c>
      <c r="C4296" s="27" t="s">
        <v>93</v>
      </c>
      <c r="D4296" s="27" t="s">
        <v>24</v>
      </c>
      <c r="E4296" s="28">
        <v>116900</v>
      </c>
      <c r="F4296" s="28">
        <v>118100</v>
      </c>
      <c r="G4296" s="27" t="s">
        <v>11</v>
      </c>
      <c r="H4296" s="27" t="s">
        <v>4040</v>
      </c>
      <c r="I4296" s="27" t="s">
        <v>9</v>
      </c>
    </row>
    <row r="4297" spans="1:9" x14ac:dyDescent="0.3">
      <c r="A4297" s="26">
        <v>45155</v>
      </c>
      <c r="B4297" s="27" t="s">
        <v>120</v>
      </c>
      <c r="C4297" s="27" t="s">
        <v>6</v>
      </c>
      <c r="D4297" s="27" t="s">
        <v>21</v>
      </c>
      <c r="E4297" s="28">
        <v>172300</v>
      </c>
      <c r="F4297" s="28">
        <v>168400</v>
      </c>
      <c r="G4297" s="27" t="s">
        <v>22</v>
      </c>
      <c r="H4297" s="27" t="s">
        <v>4318</v>
      </c>
      <c r="I4297" s="27" t="s">
        <v>9</v>
      </c>
    </row>
    <row r="4298" spans="1:9" x14ac:dyDescent="0.3">
      <c r="A4298" s="26">
        <v>45155</v>
      </c>
      <c r="B4298" s="27" t="s">
        <v>120</v>
      </c>
      <c r="C4298" s="27" t="s">
        <v>93</v>
      </c>
      <c r="D4298" s="27" t="s">
        <v>24</v>
      </c>
      <c r="E4298" s="28">
        <v>48300</v>
      </c>
      <c r="F4298" s="28">
        <v>52600</v>
      </c>
      <c r="G4298" s="27" t="s">
        <v>11</v>
      </c>
      <c r="H4298" s="27" t="s">
        <v>4874</v>
      </c>
      <c r="I4298" s="27" t="s">
        <v>9</v>
      </c>
    </row>
    <row r="4299" spans="1:9" x14ac:dyDescent="0.3">
      <c r="A4299" s="26">
        <v>45155</v>
      </c>
      <c r="B4299" s="27" t="s">
        <v>120</v>
      </c>
      <c r="C4299" s="27" t="s">
        <v>6</v>
      </c>
      <c r="D4299" s="27" t="s">
        <v>7</v>
      </c>
      <c r="E4299" s="28">
        <v>125500</v>
      </c>
      <c r="F4299" s="28">
        <v>131900</v>
      </c>
      <c r="G4299" s="27" t="s">
        <v>22</v>
      </c>
      <c r="H4299" s="27" t="s">
        <v>6053</v>
      </c>
      <c r="I4299" s="27" t="s">
        <v>9</v>
      </c>
    </row>
    <row r="4300" spans="1:9" x14ac:dyDescent="0.3">
      <c r="A4300" s="26">
        <v>45155</v>
      </c>
      <c r="B4300" s="27" t="s">
        <v>120</v>
      </c>
      <c r="C4300" s="27" t="s">
        <v>6</v>
      </c>
      <c r="D4300" s="27" t="s">
        <v>24</v>
      </c>
      <c r="E4300" s="28">
        <v>120400</v>
      </c>
      <c r="F4300" s="28">
        <v>154400</v>
      </c>
      <c r="G4300" s="27" t="s">
        <v>11</v>
      </c>
      <c r="H4300" s="27" t="s">
        <v>6324</v>
      </c>
      <c r="I4300" s="27" t="s">
        <v>9</v>
      </c>
    </row>
    <row r="4301" spans="1:9" x14ac:dyDescent="0.3">
      <c r="A4301" s="26">
        <v>45155</v>
      </c>
      <c r="B4301" s="27" t="s">
        <v>120</v>
      </c>
      <c r="C4301" s="27" t="s">
        <v>93</v>
      </c>
      <c r="D4301" s="27" t="s">
        <v>21</v>
      </c>
      <c r="E4301" s="28">
        <v>119900</v>
      </c>
      <c r="F4301" s="28">
        <v>135800</v>
      </c>
      <c r="G4301" s="27" t="s">
        <v>17</v>
      </c>
      <c r="H4301" s="27" t="s">
        <v>6349</v>
      </c>
      <c r="I4301" s="27" t="s">
        <v>9</v>
      </c>
    </row>
    <row r="4302" spans="1:9" x14ac:dyDescent="0.3">
      <c r="A4302" s="26">
        <v>45156</v>
      </c>
      <c r="B4302" s="27" t="s">
        <v>120</v>
      </c>
      <c r="C4302" s="27" t="s">
        <v>14</v>
      </c>
      <c r="D4302" s="27" t="s">
        <v>19</v>
      </c>
      <c r="E4302" s="28">
        <v>44575</v>
      </c>
      <c r="F4302" s="28">
        <v>82860</v>
      </c>
      <c r="G4302" s="27" t="s">
        <v>17</v>
      </c>
      <c r="H4302" s="27" t="s">
        <v>141</v>
      </c>
      <c r="I4302" s="27" t="s">
        <v>13</v>
      </c>
    </row>
    <row r="4303" spans="1:9" x14ac:dyDescent="0.3">
      <c r="A4303" s="26">
        <v>45156</v>
      </c>
      <c r="B4303" s="27" t="s">
        <v>120</v>
      </c>
      <c r="C4303" s="27" t="s">
        <v>14</v>
      </c>
      <c r="D4303" s="27" t="s">
        <v>21</v>
      </c>
      <c r="E4303" s="28">
        <v>37124</v>
      </c>
      <c r="F4303" s="28">
        <v>107622</v>
      </c>
      <c r="G4303" s="27" t="s">
        <v>11</v>
      </c>
      <c r="H4303" s="27" t="s">
        <v>545</v>
      </c>
      <c r="I4303" s="27" t="s">
        <v>13</v>
      </c>
    </row>
    <row r="4304" spans="1:9" x14ac:dyDescent="0.3">
      <c r="A4304" s="26">
        <v>45156</v>
      </c>
      <c r="B4304" s="27" t="s">
        <v>120</v>
      </c>
      <c r="C4304" s="27" t="s">
        <v>18</v>
      </c>
      <c r="D4304" s="27" t="s">
        <v>16</v>
      </c>
      <c r="E4304" s="28">
        <v>102150</v>
      </c>
      <c r="F4304" s="28">
        <v>34339</v>
      </c>
      <c r="G4304" s="27" t="s">
        <v>17</v>
      </c>
      <c r="H4304" s="27" t="s">
        <v>838</v>
      </c>
      <c r="I4304" s="27" t="s">
        <v>13</v>
      </c>
    </row>
    <row r="4305" spans="1:9" x14ac:dyDescent="0.3">
      <c r="A4305" s="26">
        <v>45156</v>
      </c>
      <c r="B4305" s="27" t="s">
        <v>120</v>
      </c>
      <c r="C4305" s="27" t="s">
        <v>10</v>
      </c>
      <c r="D4305" s="27" t="s">
        <v>21</v>
      </c>
      <c r="E4305" s="28">
        <v>16574</v>
      </c>
      <c r="F4305" s="28">
        <v>46275</v>
      </c>
      <c r="G4305" s="27" t="s">
        <v>11</v>
      </c>
      <c r="H4305" s="27" t="s">
        <v>1449</v>
      </c>
      <c r="I4305" s="27" t="s">
        <v>13</v>
      </c>
    </row>
    <row r="4306" spans="1:9" x14ac:dyDescent="0.3">
      <c r="A4306" s="26">
        <v>45156</v>
      </c>
      <c r="B4306" s="27" t="s">
        <v>120</v>
      </c>
      <c r="C4306" s="27" t="s">
        <v>18</v>
      </c>
      <c r="D4306" s="27" t="s">
        <v>16</v>
      </c>
      <c r="E4306" s="28">
        <v>137416</v>
      </c>
      <c r="F4306" s="28">
        <v>146987</v>
      </c>
      <c r="G4306" s="27" t="s">
        <v>11</v>
      </c>
      <c r="H4306" s="27" t="s">
        <v>1951</v>
      </c>
      <c r="I4306" s="27" t="s">
        <v>13</v>
      </c>
    </row>
    <row r="4307" spans="1:9" x14ac:dyDescent="0.3">
      <c r="A4307" s="26">
        <v>45156</v>
      </c>
      <c r="B4307" s="27" t="s">
        <v>120</v>
      </c>
      <c r="C4307" s="27" t="s">
        <v>10</v>
      </c>
      <c r="D4307" s="27" t="s">
        <v>16</v>
      </c>
      <c r="E4307" s="28">
        <v>47812</v>
      </c>
      <c r="F4307" s="28">
        <v>38882</v>
      </c>
      <c r="G4307" s="27" t="s">
        <v>17</v>
      </c>
      <c r="H4307" s="27" t="s">
        <v>2002</v>
      </c>
      <c r="I4307" s="27" t="s">
        <v>13</v>
      </c>
    </row>
    <row r="4308" spans="1:9" x14ac:dyDescent="0.3">
      <c r="A4308" s="26">
        <v>45156</v>
      </c>
      <c r="B4308" s="27" t="s">
        <v>120</v>
      </c>
      <c r="C4308" s="27" t="s">
        <v>10</v>
      </c>
      <c r="D4308" s="27" t="s">
        <v>7</v>
      </c>
      <c r="E4308" s="28">
        <v>48574</v>
      </c>
      <c r="F4308" s="28">
        <v>103701</v>
      </c>
      <c r="G4308" s="27" t="s">
        <v>22</v>
      </c>
      <c r="H4308" s="27" t="s">
        <v>2053</v>
      </c>
      <c r="I4308" s="27" t="s">
        <v>13</v>
      </c>
    </row>
    <row r="4309" spans="1:9" x14ac:dyDescent="0.3">
      <c r="A4309" s="26">
        <v>45156</v>
      </c>
      <c r="B4309" s="27" t="s">
        <v>120</v>
      </c>
      <c r="C4309" s="27" t="s">
        <v>15</v>
      </c>
      <c r="D4309" s="27" t="s">
        <v>19</v>
      </c>
      <c r="E4309" s="28">
        <v>39904</v>
      </c>
      <c r="F4309" s="28">
        <v>92041</v>
      </c>
      <c r="G4309" s="27" t="s">
        <v>8</v>
      </c>
      <c r="H4309" s="27" t="s">
        <v>2091</v>
      </c>
      <c r="I4309" s="27" t="s">
        <v>13</v>
      </c>
    </row>
    <row r="4310" spans="1:9" x14ac:dyDescent="0.3">
      <c r="A4310" s="26">
        <v>45156</v>
      </c>
      <c r="B4310" s="27" t="s">
        <v>120</v>
      </c>
      <c r="C4310" s="27" t="s">
        <v>10</v>
      </c>
      <c r="D4310" s="27" t="s">
        <v>21</v>
      </c>
      <c r="E4310" s="28">
        <v>137281</v>
      </c>
      <c r="F4310" s="28">
        <v>115821</v>
      </c>
      <c r="G4310" s="27" t="s">
        <v>22</v>
      </c>
      <c r="H4310" s="27" t="s">
        <v>3026</v>
      </c>
      <c r="I4310" s="27" t="s">
        <v>13</v>
      </c>
    </row>
    <row r="4311" spans="1:9" x14ac:dyDescent="0.3">
      <c r="A4311" s="26">
        <v>45156</v>
      </c>
      <c r="B4311" s="27" t="s">
        <v>120</v>
      </c>
      <c r="C4311" s="27" t="s">
        <v>15</v>
      </c>
      <c r="D4311" s="27" t="s">
        <v>21</v>
      </c>
      <c r="E4311" s="28">
        <v>131745</v>
      </c>
      <c r="F4311" s="28">
        <v>43079</v>
      </c>
      <c r="G4311" s="27" t="s">
        <v>17</v>
      </c>
      <c r="H4311" s="27" t="s">
        <v>3201</v>
      </c>
      <c r="I4311" s="27" t="s">
        <v>13</v>
      </c>
    </row>
    <row r="4312" spans="1:9" x14ac:dyDescent="0.3">
      <c r="A4312" s="26">
        <v>45156</v>
      </c>
      <c r="B4312" s="27" t="s">
        <v>120</v>
      </c>
      <c r="C4312" s="27" t="s">
        <v>18</v>
      </c>
      <c r="D4312" s="27" t="s">
        <v>24</v>
      </c>
      <c r="E4312" s="28">
        <v>104689</v>
      </c>
      <c r="F4312" s="28">
        <v>22879</v>
      </c>
      <c r="G4312" s="27" t="s">
        <v>17</v>
      </c>
      <c r="H4312" s="27" t="s">
        <v>3230</v>
      </c>
      <c r="I4312" s="27" t="s">
        <v>13</v>
      </c>
    </row>
    <row r="4313" spans="1:9" x14ac:dyDescent="0.3">
      <c r="A4313" s="26">
        <v>45156</v>
      </c>
      <c r="B4313" s="27" t="s">
        <v>120</v>
      </c>
      <c r="C4313" s="27" t="s">
        <v>6</v>
      </c>
      <c r="D4313" s="27" t="s">
        <v>19</v>
      </c>
      <c r="E4313" s="28">
        <v>138300</v>
      </c>
      <c r="F4313" s="28">
        <v>146100</v>
      </c>
      <c r="G4313" s="27" t="s">
        <v>11</v>
      </c>
      <c r="H4313" s="27" t="s">
        <v>3522</v>
      </c>
      <c r="I4313" s="27" t="s">
        <v>9</v>
      </c>
    </row>
    <row r="4314" spans="1:9" x14ac:dyDescent="0.3">
      <c r="A4314" s="26">
        <v>45156</v>
      </c>
      <c r="B4314" s="27" t="s">
        <v>120</v>
      </c>
      <c r="C4314" s="27" t="s">
        <v>6</v>
      </c>
      <c r="D4314" s="27" t="s">
        <v>21</v>
      </c>
      <c r="E4314" s="28">
        <v>193600</v>
      </c>
      <c r="F4314" s="28">
        <v>176000</v>
      </c>
      <c r="G4314" s="27" t="s">
        <v>17</v>
      </c>
      <c r="H4314" s="27" t="s">
        <v>3926</v>
      </c>
      <c r="I4314" s="27" t="s">
        <v>9</v>
      </c>
    </row>
    <row r="4315" spans="1:9" x14ac:dyDescent="0.3">
      <c r="A4315" s="26">
        <v>45156</v>
      </c>
      <c r="B4315" s="27" t="s">
        <v>120</v>
      </c>
      <c r="C4315" s="27" t="s">
        <v>6</v>
      </c>
      <c r="D4315" s="27" t="s">
        <v>16</v>
      </c>
      <c r="E4315" s="28">
        <v>63800</v>
      </c>
      <c r="F4315" s="28">
        <v>61000</v>
      </c>
      <c r="G4315" s="27" t="s">
        <v>22</v>
      </c>
      <c r="H4315" s="27" t="s">
        <v>4219</v>
      </c>
      <c r="I4315" s="27" t="s">
        <v>9</v>
      </c>
    </row>
    <row r="4316" spans="1:9" x14ac:dyDescent="0.3">
      <c r="A4316" s="26">
        <v>45156</v>
      </c>
      <c r="B4316" s="27" t="s">
        <v>120</v>
      </c>
      <c r="C4316" s="27" t="s">
        <v>6</v>
      </c>
      <c r="D4316" s="27" t="s">
        <v>21</v>
      </c>
      <c r="E4316" s="28">
        <v>193300</v>
      </c>
      <c r="F4316" s="28">
        <v>186800</v>
      </c>
      <c r="G4316" s="27" t="s">
        <v>22</v>
      </c>
      <c r="H4316" s="27" t="s">
        <v>4832</v>
      </c>
      <c r="I4316" s="27" t="s">
        <v>9</v>
      </c>
    </row>
    <row r="4317" spans="1:9" x14ac:dyDescent="0.3">
      <c r="A4317" s="26">
        <v>45156</v>
      </c>
      <c r="B4317" s="27" t="s">
        <v>120</v>
      </c>
      <c r="C4317" s="27" t="s">
        <v>93</v>
      </c>
      <c r="D4317" s="27" t="s">
        <v>16</v>
      </c>
      <c r="E4317" s="28">
        <v>71600</v>
      </c>
      <c r="F4317" s="28">
        <v>86800</v>
      </c>
      <c r="G4317" s="27" t="s">
        <v>11</v>
      </c>
      <c r="H4317" s="27" t="s">
        <v>5335</v>
      </c>
      <c r="I4317" s="27" t="s">
        <v>9</v>
      </c>
    </row>
    <row r="4318" spans="1:9" x14ac:dyDescent="0.3">
      <c r="A4318" s="26">
        <v>45156</v>
      </c>
      <c r="B4318" s="27" t="s">
        <v>120</v>
      </c>
      <c r="C4318" s="27" t="s">
        <v>93</v>
      </c>
      <c r="D4318" s="27" t="s">
        <v>16</v>
      </c>
      <c r="E4318" s="28">
        <v>74500</v>
      </c>
      <c r="F4318" s="28">
        <v>75900</v>
      </c>
      <c r="G4318" s="27" t="s">
        <v>11</v>
      </c>
      <c r="H4318" s="27" t="s">
        <v>5386</v>
      </c>
      <c r="I4318" s="27" t="s">
        <v>9</v>
      </c>
    </row>
    <row r="4319" spans="1:9" x14ac:dyDescent="0.3">
      <c r="A4319" s="26">
        <v>45156</v>
      </c>
      <c r="B4319" s="27" t="s">
        <v>120</v>
      </c>
      <c r="C4319" s="27" t="s">
        <v>93</v>
      </c>
      <c r="D4319" s="27" t="s">
        <v>7</v>
      </c>
      <c r="E4319" s="28">
        <v>245400</v>
      </c>
      <c r="F4319" s="28">
        <v>237400</v>
      </c>
      <c r="G4319" s="27" t="s">
        <v>11</v>
      </c>
      <c r="H4319" s="27" t="s">
        <v>5437</v>
      </c>
      <c r="I4319" s="27" t="s">
        <v>9</v>
      </c>
    </row>
    <row r="4320" spans="1:9" x14ac:dyDescent="0.3">
      <c r="A4320" s="26">
        <v>45156</v>
      </c>
      <c r="B4320" s="27" t="s">
        <v>120</v>
      </c>
      <c r="C4320" s="27" t="s">
        <v>93</v>
      </c>
      <c r="D4320" s="27" t="s">
        <v>19</v>
      </c>
      <c r="E4320" s="28">
        <v>141800</v>
      </c>
      <c r="F4320" s="28">
        <v>157800</v>
      </c>
      <c r="G4320" s="27" t="s">
        <v>22</v>
      </c>
      <c r="H4320" s="27" t="s">
        <v>5475</v>
      </c>
      <c r="I4320" s="27" t="s">
        <v>9</v>
      </c>
    </row>
    <row r="4321" spans="1:9" x14ac:dyDescent="0.3">
      <c r="A4321" s="26">
        <v>45156</v>
      </c>
      <c r="B4321" s="27" t="s">
        <v>120</v>
      </c>
      <c r="C4321" s="27" t="s">
        <v>6</v>
      </c>
      <c r="D4321" s="27" t="s">
        <v>21</v>
      </c>
      <c r="E4321" s="28">
        <v>74200</v>
      </c>
      <c r="F4321" s="28">
        <v>81700</v>
      </c>
      <c r="G4321" s="27" t="s">
        <v>11</v>
      </c>
      <c r="H4321" s="27" t="s">
        <v>6411</v>
      </c>
      <c r="I4321" s="27" t="s">
        <v>9</v>
      </c>
    </row>
    <row r="4322" spans="1:9" x14ac:dyDescent="0.3">
      <c r="A4322" s="26">
        <v>45156</v>
      </c>
      <c r="B4322" s="27" t="s">
        <v>120</v>
      </c>
      <c r="C4322" s="27" t="s">
        <v>93</v>
      </c>
      <c r="D4322" s="27" t="s">
        <v>21</v>
      </c>
      <c r="E4322" s="28">
        <v>234800</v>
      </c>
      <c r="F4322" s="28">
        <v>232200</v>
      </c>
      <c r="G4322" s="27" t="s">
        <v>22</v>
      </c>
      <c r="H4322" s="27" t="s">
        <v>6586</v>
      </c>
      <c r="I4322" s="27" t="s">
        <v>9</v>
      </c>
    </row>
    <row r="4323" spans="1:9" x14ac:dyDescent="0.3">
      <c r="A4323" s="26">
        <v>45156</v>
      </c>
      <c r="B4323" s="27" t="s">
        <v>120</v>
      </c>
      <c r="C4323" s="27" t="s">
        <v>93</v>
      </c>
      <c r="D4323" s="27" t="s">
        <v>24</v>
      </c>
      <c r="E4323" s="28">
        <v>253900</v>
      </c>
      <c r="F4323" s="28">
        <v>231800</v>
      </c>
      <c r="G4323" s="27" t="s">
        <v>11</v>
      </c>
      <c r="H4323" s="27" t="s">
        <v>6615</v>
      </c>
      <c r="I4323" s="27" t="s">
        <v>9</v>
      </c>
    </row>
    <row r="4324" spans="1:9" x14ac:dyDescent="0.3">
      <c r="A4324" s="26">
        <v>45157</v>
      </c>
      <c r="B4324" s="27" t="s">
        <v>120</v>
      </c>
      <c r="C4324" s="27" t="s">
        <v>14</v>
      </c>
      <c r="D4324" s="27" t="s">
        <v>24</v>
      </c>
      <c r="E4324" s="28">
        <v>146529</v>
      </c>
      <c r="F4324" s="28">
        <v>132412</v>
      </c>
      <c r="G4324" s="27" t="s">
        <v>11</v>
      </c>
      <c r="H4324" s="27" t="s">
        <v>56</v>
      </c>
      <c r="I4324" s="27" t="s">
        <v>13</v>
      </c>
    </row>
    <row r="4325" spans="1:9" x14ac:dyDescent="0.3">
      <c r="A4325" s="26">
        <v>45157</v>
      </c>
      <c r="B4325" s="27" t="s">
        <v>120</v>
      </c>
      <c r="C4325" s="27" t="s">
        <v>32</v>
      </c>
      <c r="D4325" s="27" t="s">
        <v>16</v>
      </c>
      <c r="E4325" s="28">
        <v>78764</v>
      </c>
      <c r="F4325" s="28">
        <v>126256</v>
      </c>
      <c r="G4325" s="27" t="s">
        <v>11</v>
      </c>
      <c r="H4325" s="27" t="s">
        <v>1097</v>
      </c>
      <c r="I4325" s="27" t="s">
        <v>13</v>
      </c>
    </row>
    <row r="4326" spans="1:9" x14ac:dyDescent="0.3">
      <c r="A4326" s="26">
        <v>45157</v>
      </c>
      <c r="B4326" s="27" t="s">
        <v>120</v>
      </c>
      <c r="C4326" s="27" t="s">
        <v>15</v>
      </c>
      <c r="D4326" s="27" t="s">
        <v>21</v>
      </c>
      <c r="E4326" s="28">
        <v>124517</v>
      </c>
      <c r="F4326" s="28">
        <v>66048</v>
      </c>
      <c r="G4326" s="27" t="s">
        <v>17</v>
      </c>
      <c r="H4326" s="27" t="s">
        <v>1753</v>
      </c>
      <c r="I4326" s="27" t="s">
        <v>13</v>
      </c>
    </row>
    <row r="4327" spans="1:9" x14ac:dyDescent="0.3">
      <c r="A4327" s="26">
        <v>45157</v>
      </c>
      <c r="B4327" s="27" t="s">
        <v>120</v>
      </c>
      <c r="C4327" s="27" t="s">
        <v>14</v>
      </c>
      <c r="D4327" s="27" t="s">
        <v>19</v>
      </c>
      <c r="E4327" s="28">
        <v>49324</v>
      </c>
      <c r="F4327" s="28">
        <v>89602</v>
      </c>
      <c r="G4327" s="27" t="s">
        <v>17</v>
      </c>
      <c r="H4327" s="27" t="s">
        <v>2843</v>
      </c>
      <c r="I4327" s="27" t="s">
        <v>13</v>
      </c>
    </row>
    <row r="4328" spans="1:9" x14ac:dyDescent="0.3">
      <c r="A4328" s="26">
        <v>45157</v>
      </c>
      <c r="B4328" s="27" t="s">
        <v>120</v>
      </c>
      <c r="C4328" s="27" t="s">
        <v>15</v>
      </c>
      <c r="D4328" s="27" t="s">
        <v>24</v>
      </c>
      <c r="E4328" s="28">
        <v>123747</v>
      </c>
      <c r="F4328" s="28">
        <v>93607</v>
      </c>
      <c r="G4328" s="27" t="s">
        <v>8</v>
      </c>
      <c r="H4328" s="27" t="s">
        <v>3331</v>
      </c>
      <c r="I4328" s="27" t="s">
        <v>13</v>
      </c>
    </row>
    <row r="4329" spans="1:9" x14ac:dyDescent="0.3">
      <c r="A4329" s="26">
        <v>45157</v>
      </c>
      <c r="B4329" s="27" t="s">
        <v>120</v>
      </c>
      <c r="C4329" s="27" t="s">
        <v>6</v>
      </c>
      <c r="D4329" s="27" t="s">
        <v>24</v>
      </c>
      <c r="E4329" s="28">
        <v>89600</v>
      </c>
      <c r="F4329" s="28">
        <v>100600</v>
      </c>
      <c r="G4329" s="27" t="s">
        <v>22</v>
      </c>
      <c r="H4329" s="27" t="s">
        <v>3475</v>
      </c>
      <c r="I4329" s="27" t="s">
        <v>9</v>
      </c>
    </row>
    <row r="4330" spans="1:9" x14ac:dyDescent="0.3">
      <c r="A4330" s="26">
        <v>45157</v>
      </c>
      <c r="B4330" s="27" t="s">
        <v>120</v>
      </c>
      <c r="C4330" s="27" t="s">
        <v>6</v>
      </c>
      <c r="D4330" s="27" t="s">
        <v>16</v>
      </c>
      <c r="E4330" s="28">
        <v>108400</v>
      </c>
      <c r="F4330" s="28">
        <v>112500</v>
      </c>
      <c r="G4330" s="27" t="s">
        <v>11</v>
      </c>
      <c r="H4330" s="27" t="s">
        <v>4479</v>
      </c>
      <c r="I4330" s="27" t="s">
        <v>9</v>
      </c>
    </row>
    <row r="4331" spans="1:9" x14ac:dyDescent="0.3">
      <c r="A4331" s="26">
        <v>45157</v>
      </c>
      <c r="B4331" s="27" t="s">
        <v>120</v>
      </c>
      <c r="C4331" s="27" t="s">
        <v>93</v>
      </c>
      <c r="D4331" s="27" t="s">
        <v>21</v>
      </c>
      <c r="E4331" s="28">
        <v>143000</v>
      </c>
      <c r="F4331" s="28">
        <v>190500</v>
      </c>
      <c r="G4331" s="27" t="s">
        <v>22</v>
      </c>
      <c r="H4331" s="27" t="s">
        <v>5136</v>
      </c>
      <c r="I4331" s="27" t="s">
        <v>9</v>
      </c>
    </row>
    <row r="4332" spans="1:9" x14ac:dyDescent="0.3">
      <c r="A4332" s="26">
        <v>45157</v>
      </c>
      <c r="B4332" s="27" t="s">
        <v>120</v>
      </c>
      <c r="C4332" s="27" t="s">
        <v>6</v>
      </c>
      <c r="D4332" s="27" t="s">
        <v>19</v>
      </c>
      <c r="E4332" s="28">
        <v>76800</v>
      </c>
      <c r="F4332" s="28">
        <v>62100</v>
      </c>
      <c r="G4332" s="27" t="s">
        <v>22</v>
      </c>
      <c r="H4332" s="27" t="s">
        <v>6228</v>
      </c>
      <c r="I4332" s="27" t="s">
        <v>9</v>
      </c>
    </row>
    <row r="4333" spans="1:9" x14ac:dyDescent="0.3">
      <c r="A4333" s="26">
        <v>45157</v>
      </c>
      <c r="B4333" s="27" t="s">
        <v>120</v>
      </c>
      <c r="C4333" s="27" t="s">
        <v>6</v>
      </c>
      <c r="D4333" s="27" t="s">
        <v>24</v>
      </c>
      <c r="E4333" s="28">
        <v>59600</v>
      </c>
      <c r="F4333" s="28">
        <v>85900</v>
      </c>
      <c r="G4333" s="27" t="s">
        <v>22</v>
      </c>
      <c r="H4333" s="27" t="s">
        <v>6716</v>
      </c>
      <c r="I4333" s="27" t="s">
        <v>9</v>
      </c>
    </row>
    <row r="4334" spans="1:9" x14ac:dyDescent="0.3">
      <c r="A4334" s="26">
        <v>45158</v>
      </c>
      <c r="B4334" s="27" t="s">
        <v>120</v>
      </c>
      <c r="C4334" s="27" t="s">
        <v>18</v>
      </c>
      <c r="D4334" s="27" t="s">
        <v>7</v>
      </c>
      <c r="E4334" s="28">
        <v>142853</v>
      </c>
      <c r="F4334" s="28">
        <v>13177</v>
      </c>
      <c r="G4334" s="27" t="s">
        <v>22</v>
      </c>
      <c r="H4334" s="27" t="s">
        <v>151</v>
      </c>
      <c r="I4334" s="27" t="s">
        <v>13</v>
      </c>
    </row>
    <row r="4335" spans="1:9" x14ac:dyDescent="0.3">
      <c r="A4335" s="26">
        <v>45158</v>
      </c>
      <c r="B4335" s="27" t="s">
        <v>120</v>
      </c>
      <c r="C4335" s="27" t="s">
        <v>32</v>
      </c>
      <c r="D4335" s="27" t="s">
        <v>24</v>
      </c>
      <c r="E4335" s="28">
        <v>10553</v>
      </c>
      <c r="F4335" s="28">
        <v>62891</v>
      </c>
      <c r="G4335" s="27" t="s">
        <v>8</v>
      </c>
      <c r="H4335" s="27" t="s">
        <v>641</v>
      </c>
      <c r="I4335" s="27" t="s">
        <v>13</v>
      </c>
    </row>
    <row r="4336" spans="1:9" x14ac:dyDescent="0.3">
      <c r="A4336" s="26">
        <v>45158</v>
      </c>
      <c r="B4336" s="27" t="s">
        <v>120</v>
      </c>
      <c r="C4336" s="27" t="s">
        <v>14</v>
      </c>
      <c r="D4336" s="27" t="s">
        <v>16</v>
      </c>
      <c r="E4336" s="28">
        <v>54006</v>
      </c>
      <c r="F4336" s="28">
        <v>87028</v>
      </c>
      <c r="G4336" s="27" t="s">
        <v>8</v>
      </c>
      <c r="H4336" s="27" t="s">
        <v>751</v>
      </c>
      <c r="I4336" s="27" t="s">
        <v>13</v>
      </c>
    </row>
    <row r="4337" spans="1:9" x14ac:dyDescent="0.3">
      <c r="A4337" s="26">
        <v>45158</v>
      </c>
      <c r="B4337" s="27" t="s">
        <v>120</v>
      </c>
      <c r="C4337" s="27" t="s">
        <v>20</v>
      </c>
      <c r="D4337" s="27" t="s">
        <v>21</v>
      </c>
      <c r="E4337" s="28">
        <v>23960</v>
      </c>
      <c r="F4337" s="28">
        <v>22723</v>
      </c>
      <c r="G4337" s="27" t="s">
        <v>8</v>
      </c>
      <c r="H4337" s="27" t="s">
        <v>1241</v>
      </c>
      <c r="I4337" s="27" t="s">
        <v>13</v>
      </c>
    </row>
    <row r="4338" spans="1:9" x14ac:dyDescent="0.3">
      <c r="A4338" s="26">
        <v>45158</v>
      </c>
      <c r="B4338" s="27" t="s">
        <v>120</v>
      </c>
      <c r="C4338" s="27" t="s">
        <v>20</v>
      </c>
      <c r="D4338" s="27" t="s">
        <v>21</v>
      </c>
      <c r="E4338" s="28">
        <v>101497</v>
      </c>
      <c r="F4338" s="28">
        <v>29274</v>
      </c>
      <c r="G4338" s="27" t="s">
        <v>8</v>
      </c>
      <c r="H4338" s="27" t="s">
        <v>1479</v>
      </c>
      <c r="I4338" s="27" t="s">
        <v>13</v>
      </c>
    </row>
    <row r="4339" spans="1:9" x14ac:dyDescent="0.3">
      <c r="A4339" s="26">
        <v>45158</v>
      </c>
      <c r="B4339" s="27" t="s">
        <v>120</v>
      </c>
      <c r="C4339" s="27" t="s">
        <v>20</v>
      </c>
      <c r="D4339" s="27" t="s">
        <v>21</v>
      </c>
      <c r="E4339" s="28">
        <v>14677</v>
      </c>
      <c r="F4339" s="28">
        <v>129857</v>
      </c>
      <c r="G4339" s="27" t="s">
        <v>22</v>
      </c>
      <c r="H4339" s="27" t="s">
        <v>1554</v>
      </c>
      <c r="I4339" s="27" t="s">
        <v>13</v>
      </c>
    </row>
    <row r="4340" spans="1:9" x14ac:dyDescent="0.3">
      <c r="A4340" s="26">
        <v>45158</v>
      </c>
      <c r="B4340" s="27" t="s">
        <v>120</v>
      </c>
      <c r="C4340" s="27" t="s">
        <v>10</v>
      </c>
      <c r="D4340" s="27" t="s">
        <v>19</v>
      </c>
      <c r="E4340" s="28">
        <v>95038</v>
      </c>
      <c r="F4340" s="28">
        <v>11919</v>
      </c>
      <c r="G4340" s="27" t="s">
        <v>22</v>
      </c>
      <c r="H4340" s="27" t="s">
        <v>2192</v>
      </c>
      <c r="I4340" s="27" t="s">
        <v>13</v>
      </c>
    </row>
    <row r="4341" spans="1:9" x14ac:dyDescent="0.3">
      <c r="A4341" s="26">
        <v>45158</v>
      </c>
      <c r="B4341" s="27" t="s">
        <v>120</v>
      </c>
      <c r="C4341" s="27" t="s">
        <v>15</v>
      </c>
      <c r="D4341" s="27" t="s">
        <v>7</v>
      </c>
      <c r="E4341" s="28">
        <v>27173</v>
      </c>
      <c r="F4341" s="28">
        <v>97547</v>
      </c>
      <c r="G4341" s="27" t="s">
        <v>11</v>
      </c>
      <c r="H4341" s="27" t="s">
        <v>2195</v>
      </c>
      <c r="I4341" s="27" t="s">
        <v>13</v>
      </c>
    </row>
    <row r="4342" spans="1:9" x14ac:dyDescent="0.3">
      <c r="A4342" s="26">
        <v>45158</v>
      </c>
      <c r="B4342" s="27" t="s">
        <v>120</v>
      </c>
      <c r="C4342" s="27" t="s">
        <v>18</v>
      </c>
      <c r="D4342" s="27" t="s">
        <v>16</v>
      </c>
      <c r="E4342" s="28">
        <v>55427</v>
      </c>
      <c r="F4342" s="28">
        <v>157897</v>
      </c>
      <c r="G4342" s="27" t="s">
        <v>22</v>
      </c>
      <c r="H4342" s="27" t="s">
        <v>2409</v>
      </c>
      <c r="I4342" s="27" t="s">
        <v>13</v>
      </c>
    </row>
    <row r="4343" spans="1:9" x14ac:dyDescent="0.3">
      <c r="A4343" s="26">
        <v>45158</v>
      </c>
      <c r="B4343" s="27" t="s">
        <v>120</v>
      </c>
      <c r="C4343" s="27" t="s">
        <v>6</v>
      </c>
      <c r="D4343" s="27" t="s">
        <v>7</v>
      </c>
      <c r="E4343" s="28">
        <v>238300</v>
      </c>
      <c r="F4343" s="28">
        <v>211400</v>
      </c>
      <c r="G4343" s="27" t="s">
        <v>11</v>
      </c>
      <c r="H4343" s="27" t="s">
        <v>3532</v>
      </c>
      <c r="I4343" s="27" t="s">
        <v>9</v>
      </c>
    </row>
    <row r="4344" spans="1:9" x14ac:dyDescent="0.3">
      <c r="A4344" s="26">
        <v>45158</v>
      </c>
      <c r="B4344" s="27" t="s">
        <v>120</v>
      </c>
      <c r="C4344" s="27" t="s">
        <v>6</v>
      </c>
      <c r="D4344" s="27" t="s">
        <v>24</v>
      </c>
      <c r="E4344" s="28">
        <v>73300</v>
      </c>
      <c r="F4344" s="28">
        <v>77200</v>
      </c>
      <c r="G4344" s="27" t="s">
        <v>17</v>
      </c>
      <c r="H4344" s="27" t="s">
        <v>4022</v>
      </c>
      <c r="I4344" s="27" t="s">
        <v>9</v>
      </c>
    </row>
    <row r="4345" spans="1:9" x14ac:dyDescent="0.3">
      <c r="A4345" s="26">
        <v>45158</v>
      </c>
      <c r="B4345" s="27" t="s">
        <v>120</v>
      </c>
      <c r="C4345" s="27" t="s">
        <v>6</v>
      </c>
      <c r="D4345" s="27" t="s">
        <v>16</v>
      </c>
      <c r="E4345" s="28">
        <v>89400</v>
      </c>
      <c r="F4345" s="28">
        <v>83900</v>
      </c>
      <c r="G4345" s="27" t="s">
        <v>11</v>
      </c>
      <c r="H4345" s="27" t="s">
        <v>4132</v>
      </c>
      <c r="I4345" s="27" t="s">
        <v>9</v>
      </c>
    </row>
    <row r="4346" spans="1:9" x14ac:dyDescent="0.3">
      <c r="A4346" s="26">
        <v>45158</v>
      </c>
      <c r="B4346" s="27" t="s">
        <v>120</v>
      </c>
      <c r="C4346" s="27" t="s">
        <v>93</v>
      </c>
      <c r="D4346" s="27" t="s">
        <v>21</v>
      </c>
      <c r="E4346" s="28">
        <v>96900</v>
      </c>
      <c r="F4346" s="28">
        <v>86800</v>
      </c>
      <c r="G4346" s="27" t="s">
        <v>11</v>
      </c>
      <c r="H4346" s="27" t="s">
        <v>4624</v>
      </c>
      <c r="I4346" s="27" t="s">
        <v>9</v>
      </c>
    </row>
    <row r="4347" spans="1:9" x14ac:dyDescent="0.3">
      <c r="A4347" s="26">
        <v>45158</v>
      </c>
      <c r="B4347" s="27" t="s">
        <v>120</v>
      </c>
      <c r="C4347" s="27" t="s">
        <v>6</v>
      </c>
      <c r="D4347" s="27" t="s">
        <v>21</v>
      </c>
      <c r="E4347" s="28">
        <v>130600</v>
      </c>
      <c r="F4347" s="28">
        <v>168200</v>
      </c>
      <c r="G4347" s="27" t="s">
        <v>22</v>
      </c>
      <c r="H4347" s="27" t="s">
        <v>4862</v>
      </c>
      <c r="I4347" s="27" t="s">
        <v>9</v>
      </c>
    </row>
    <row r="4348" spans="1:9" x14ac:dyDescent="0.3">
      <c r="A4348" s="26">
        <v>45158</v>
      </c>
      <c r="B4348" s="27" t="s">
        <v>120</v>
      </c>
      <c r="C4348" s="27" t="s">
        <v>6</v>
      </c>
      <c r="D4348" s="27" t="s">
        <v>21</v>
      </c>
      <c r="E4348" s="28">
        <v>155100</v>
      </c>
      <c r="F4348" s="28">
        <v>180700</v>
      </c>
      <c r="G4348" s="27" t="s">
        <v>22</v>
      </c>
      <c r="H4348" s="27" t="s">
        <v>4937</v>
      </c>
      <c r="I4348" s="27" t="s">
        <v>9</v>
      </c>
    </row>
    <row r="4349" spans="1:9" x14ac:dyDescent="0.3">
      <c r="A4349" s="26">
        <v>45158</v>
      </c>
      <c r="B4349" s="27" t="s">
        <v>120</v>
      </c>
      <c r="C4349" s="27" t="s">
        <v>93</v>
      </c>
      <c r="D4349" s="27" t="s">
        <v>19</v>
      </c>
      <c r="E4349" s="28">
        <v>207700</v>
      </c>
      <c r="F4349" s="28">
        <v>210100</v>
      </c>
      <c r="G4349" s="27" t="s">
        <v>11</v>
      </c>
      <c r="H4349" s="27" t="s">
        <v>5577</v>
      </c>
      <c r="I4349" s="27" t="s">
        <v>9</v>
      </c>
    </row>
    <row r="4350" spans="1:9" x14ac:dyDescent="0.3">
      <c r="A4350" s="26">
        <v>45158</v>
      </c>
      <c r="B4350" s="27" t="s">
        <v>120</v>
      </c>
      <c r="C4350" s="27" t="s">
        <v>6</v>
      </c>
      <c r="D4350" s="27" t="s">
        <v>7</v>
      </c>
      <c r="E4350" s="28">
        <v>45800</v>
      </c>
      <c r="F4350" s="28">
        <v>51700</v>
      </c>
      <c r="G4350" s="27" t="s">
        <v>17</v>
      </c>
      <c r="H4350" s="27" t="s">
        <v>5580</v>
      </c>
      <c r="I4350" s="27" t="s">
        <v>9</v>
      </c>
    </row>
    <row r="4351" spans="1:9" x14ac:dyDescent="0.3">
      <c r="A4351" s="26">
        <v>45158</v>
      </c>
      <c r="B4351" s="27" t="s">
        <v>120</v>
      </c>
      <c r="C4351" s="27" t="s">
        <v>93</v>
      </c>
      <c r="D4351" s="27" t="s">
        <v>16</v>
      </c>
      <c r="E4351" s="28">
        <v>59900</v>
      </c>
      <c r="F4351" s="28">
        <v>59400</v>
      </c>
      <c r="G4351" s="27" t="s">
        <v>22</v>
      </c>
      <c r="H4351" s="27" t="s">
        <v>5794</v>
      </c>
      <c r="I4351" s="27" t="s">
        <v>9</v>
      </c>
    </row>
    <row r="4352" spans="1:9" x14ac:dyDescent="0.3">
      <c r="A4352" s="26">
        <v>45159</v>
      </c>
      <c r="B4352" s="27" t="s">
        <v>120</v>
      </c>
      <c r="C4352" s="27" t="s">
        <v>15</v>
      </c>
      <c r="D4352" s="27" t="s">
        <v>19</v>
      </c>
      <c r="E4352" s="28">
        <v>55248</v>
      </c>
      <c r="F4352" s="28">
        <v>34544</v>
      </c>
      <c r="G4352" s="27" t="s">
        <v>22</v>
      </c>
      <c r="H4352" s="27" t="s">
        <v>753</v>
      </c>
      <c r="I4352" s="27" t="s">
        <v>13</v>
      </c>
    </row>
    <row r="4353" spans="1:9" x14ac:dyDescent="0.3">
      <c r="A4353" s="26">
        <v>45159</v>
      </c>
      <c r="B4353" s="27" t="s">
        <v>120</v>
      </c>
      <c r="C4353" s="27" t="s">
        <v>20</v>
      </c>
      <c r="D4353" s="27" t="s">
        <v>21</v>
      </c>
      <c r="E4353" s="28">
        <v>83251</v>
      </c>
      <c r="F4353" s="28">
        <v>163182</v>
      </c>
      <c r="G4353" s="27" t="s">
        <v>11</v>
      </c>
      <c r="H4353" s="27" t="s">
        <v>1131</v>
      </c>
      <c r="I4353" s="27" t="s">
        <v>13</v>
      </c>
    </row>
    <row r="4354" spans="1:9" x14ac:dyDescent="0.3">
      <c r="A4354" s="26">
        <v>45159</v>
      </c>
      <c r="B4354" s="27" t="s">
        <v>120</v>
      </c>
      <c r="C4354" s="27" t="s">
        <v>14</v>
      </c>
      <c r="D4354" s="27" t="s">
        <v>16</v>
      </c>
      <c r="E4354" s="28">
        <v>19052</v>
      </c>
      <c r="F4354" s="28">
        <v>142742</v>
      </c>
      <c r="G4354" s="27" t="s">
        <v>11</v>
      </c>
      <c r="H4354" s="27" t="s">
        <v>1185</v>
      </c>
      <c r="I4354" s="27" t="s">
        <v>13</v>
      </c>
    </row>
    <row r="4355" spans="1:9" x14ac:dyDescent="0.3">
      <c r="A4355" s="26">
        <v>45159</v>
      </c>
      <c r="B4355" s="27" t="s">
        <v>120</v>
      </c>
      <c r="C4355" s="27" t="s">
        <v>15</v>
      </c>
      <c r="D4355" s="27" t="s">
        <v>16</v>
      </c>
      <c r="E4355" s="28">
        <v>149333</v>
      </c>
      <c r="F4355" s="28">
        <v>51096</v>
      </c>
      <c r="G4355" s="27" t="s">
        <v>11</v>
      </c>
      <c r="H4355" s="27" t="s">
        <v>1206</v>
      </c>
      <c r="I4355" s="27" t="s">
        <v>13</v>
      </c>
    </row>
    <row r="4356" spans="1:9" x14ac:dyDescent="0.3">
      <c r="A4356" s="26">
        <v>45159</v>
      </c>
      <c r="B4356" s="27" t="s">
        <v>120</v>
      </c>
      <c r="C4356" s="27" t="s">
        <v>20</v>
      </c>
      <c r="D4356" s="27" t="s">
        <v>24</v>
      </c>
      <c r="E4356" s="28">
        <v>127984</v>
      </c>
      <c r="F4356" s="28">
        <v>166502</v>
      </c>
      <c r="G4356" s="27" t="s">
        <v>8</v>
      </c>
      <c r="H4356" s="27" t="s">
        <v>1605</v>
      </c>
      <c r="I4356" s="27" t="s">
        <v>13</v>
      </c>
    </row>
    <row r="4357" spans="1:9" x14ac:dyDescent="0.3">
      <c r="A4357" s="26">
        <v>45159</v>
      </c>
      <c r="B4357" s="27" t="s">
        <v>120</v>
      </c>
      <c r="C4357" s="27" t="s">
        <v>18</v>
      </c>
      <c r="D4357" s="27" t="s">
        <v>7</v>
      </c>
      <c r="E4357" s="28">
        <v>55955</v>
      </c>
      <c r="F4357" s="28">
        <v>8240</v>
      </c>
      <c r="G4357" s="27" t="s">
        <v>22</v>
      </c>
      <c r="H4357" s="27" t="s">
        <v>1830</v>
      </c>
      <c r="I4357" s="27" t="s">
        <v>13</v>
      </c>
    </row>
    <row r="4358" spans="1:9" x14ac:dyDescent="0.3">
      <c r="A4358" s="26">
        <v>45159</v>
      </c>
      <c r="B4358" s="27" t="s">
        <v>120</v>
      </c>
      <c r="C4358" s="27" t="s">
        <v>20</v>
      </c>
      <c r="D4358" s="27" t="s">
        <v>19</v>
      </c>
      <c r="E4358" s="28">
        <v>122409</v>
      </c>
      <c r="F4358" s="28">
        <v>61194</v>
      </c>
      <c r="G4358" s="27" t="s">
        <v>8</v>
      </c>
      <c r="H4358" s="27" t="s">
        <v>1852</v>
      </c>
      <c r="I4358" s="27" t="s">
        <v>13</v>
      </c>
    </row>
    <row r="4359" spans="1:9" x14ac:dyDescent="0.3">
      <c r="A4359" s="26">
        <v>45159</v>
      </c>
      <c r="B4359" s="27" t="s">
        <v>120</v>
      </c>
      <c r="C4359" s="27" t="s">
        <v>20</v>
      </c>
      <c r="D4359" s="27" t="s">
        <v>19</v>
      </c>
      <c r="E4359" s="28">
        <v>127786</v>
      </c>
      <c r="F4359" s="28">
        <v>45692</v>
      </c>
      <c r="G4359" s="27" t="s">
        <v>22</v>
      </c>
      <c r="H4359" s="27" t="s">
        <v>1932</v>
      </c>
      <c r="I4359" s="27" t="s">
        <v>13</v>
      </c>
    </row>
    <row r="4360" spans="1:9" x14ac:dyDescent="0.3">
      <c r="A4360" s="26">
        <v>45159</v>
      </c>
      <c r="B4360" s="27" t="s">
        <v>120</v>
      </c>
      <c r="C4360" s="27" t="s">
        <v>15</v>
      </c>
      <c r="D4360" s="27" t="s">
        <v>21</v>
      </c>
      <c r="E4360" s="28">
        <v>57640</v>
      </c>
      <c r="F4360" s="28">
        <v>62930</v>
      </c>
      <c r="G4360" s="27" t="s">
        <v>17</v>
      </c>
      <c r="H4360" s="27" t="s">
        <v>3160</v>
      </c>
      <c r="I4360" s="27" t="s">
        <v>13</v>
      </c>
    </row>
    <row r="4361" spans="1:9" x14ac:dyDescent="0.3">
      <c r="A4361" s="26">
        <v>45159</v>
      </c>
      <c r="B4361" s="27" t="s">
        <v>120</v>
      </c>
      <c r="C4361" s="27" t="s">
        <v>20</v>
      </c>
      <c r="D4361" s="27" t="s">
        <v>24</v>
      </c>
      <c r="E4361" s="28">
        <v>147982</v>
      </c>
      <c r="F4361" s="28">
        <v>55976</v>
      </c>
      <c r="G4361" s="27" t="s">
        <v>11</v>
      </c>
      <c r="H4361" s="27" t="s">
        <v>3328</v>
      </c>
      <c r="I4361" s="27" t="s">
        <v>13</v>
      </c>
    </row>
    <row r="4362" spans="1:9" x14ac:dyDescent="0.3">
      <c r="A4362" s="26">
        <v>45159</v>
      </c>
      <c r="B4362" s="27" t="s">
        <v>120</v>
      </c>
      <c r="C4362" s="27" t="s">
        <v>6</v>
      </c>
      <c r="D4362" s="27" t="s">
        <v>19</v>
      </c>
      <c r="E4362" s="28">
        <v>109400</v>
      </c>
      <c r="F4362" s="28">
        <v>102500</v>
      </c>
      <c r="G4362" s="27" t="s">
        <v>17</v>
      </c>
      <c r="H4362" s="27" t="s">
        <v>4134</v>
      </c>
      <c r="I4362" s="27" t="s">
        <v>9</v>
      </c>
    </row>
    <row r="4363" spans="1:9" x14ac:dyDescent="0.3">
      <c r="A4363" s="26">
        <v>45159</v>
      </c>
      <c r="B4363" s="27" t="s">
        <v>120</v>
      </c>
      <c r="C4363" s="27" t="s">
        <v>6</v>
      </c>
      <c r="D4363" s="27" t="s">
        <v>21</v>
      </c>
      <c r="E4363" s="28">
        <v>52600</v>
      </c>
      <c r="F4363" s="28">
        <v>51100</v>
      </c>
      <c r="G4363" s="27" t="s">
        <v>22</v>
      </c>
      <c r="H4363" s="27" t="s">
        <v>4514</v>
      </c>
      <c r="I4363" s="27" t="s">
        <v>9</v>
      </c>
    </row>
    <row r="4364" spans="1:9" x14ac:dyDescent="0.3">
      <c r="A4364" s="26">
        <v>45159</v>
      </c>
      <c r="B4364" s="27" t="s">
        <v>120</v>
      </c>
      <c r="C4364" s="27" t="s">
        <v>93</v>
      </c>
      <c r="D4364" s="27" t="s">
        <v>16</v>
      </c>
      <c r="E4364" s="28">
        <v>95700</v>
      </c>
      <c r="F4364" s="28">
        <v>105100</v>
      </c>
      <c r="G4364" s="27" t="s">
        <v>22</v>
      </c>
      <c r="H4364" s="27" t="s">
        <v>4568</v>
      </c>
      <c r="I4364" s="27" t="s">
        <v>9</v>
      </c>
    </row>
    <row r="4365" spans="1:9" x14ac:dyDescent="0.3">
      <c r="A4365" s="26">
        <v>45159</v>
      </c>
      <c r="B4365" s="27" t="s">
        <v>120</v>
      </c>
      <c r="C4365" s="27" t="s">
        <v>6</v>
      </c>
      <c r="D4365" s="27" t="s">
        <v>16</v>
      </c>
      <c r="E4365" s="28">
        <v>91600</v>
      </c>
      <c r="F4365" s="28">
        <v>74600</v>
      </c>
      <c r="G4365" s="27" t="s">
        <v>11</v>
      </c>
      <c r="H4365" s="27" t="s">
        <v>4589</v>
      </c>
      <c r="I4365" s="27" t="s">
        <v>9</v>
      </c>
    </row>
    <row r="4366" spans="1:9" x14ac:dyDescent="0.3">
      <c r="A4366" s="26">
        <v>45159</v>
      </c>
      <c r="B4366" s="27" t="s">
        <v>120</v>
      </c>
      <c r="C4366" s="27" t="s">
        <v>6</v>
      </c>
      <c r="D4366" s="27" t="s">
        <v>24</v>
      </c>
      <c r="E4366" s="28">
        <v>55300</v>
      </c>
      <c r="F4366" s="28">
        <v>60100</v>
      </c>
      <c r="G4366" s="27" t="s">
        <v>22</v>
      </c>
      <c r="H4366" s="27" t="s">
        <v>4988</v>
      </c>
      <c r="I4366" s="27" t="s">
        <v>9</v>
      </c>
    </row>
    <row r="4367" spans="1:9" x14ac:dyDescent="0.3">
      <c r="A4367" s="26">
        <v>45159</v>
      </c>
      <c r="B4367" s="27" t="s">
        <v>120</v>
      </c>
      <c r="C4367" s="27" t="s">
        <v>93</v>
      </c>
      <c r="D4367" s="27" t="s">
        <v>7</v>
      </c>
      <c r="E4367" s="28">
        <v>212000</v>
      </c>
      <c r="F4367" s="28">
        <v>211900</v>
      </c>
      <c r="G4367" s="27" t="s">
        <v>11</v>
      </c>
      <c r="H4367" s="27" t="s">
        <v>5213</v>
      </c>
      <c r="I4367" s="27" t="s">
        <v>9</v>
      </c>
    </row>
    <row r="4368" spans="1:9" x14ac:dyDescent="0.3">
      <c r="A4368" s="26">
        <v>45159</v>
      </c>
      <c r="B4368" s="27" t="s">
        <v>120</v>
      </c>
      <c r="C4368" s="27" t="s">
        <v>6</v>
      </c>
      <c r="D4368" s="27" t="s">
        <v>19</v>
      </c>
      <c r="E4368" s="28">
        <v>124000</v>
      </c>
      <c r="F4368" s="28">
        <v>122100</v>
      </c>
      <c r="G4368" s="27" t="s">
        <v>17</v>
      </c>
      <c r="H4368" s="27" t="s">
        <v>5235</v>
      </c>
      <c r="I4368" s="27" t="s">
        <v>9</v>
      </c>
    </row>
    <row r="4369" spans="1:9" x14ac:dyDescent="0.3">
      <c r="A4369" s="26">
        <v>45159</v>
      </c>
      <c r="B4369" s="27" t="s">
        <v>120</v>
      </c>
      <c r="C4369" s="27" t="s">
        <v>6</v>
      </c>
      <c r="D4369" s="27" t="s">
        <v>19</v>
      </c>
      <c r="E4369" s="28">
        <v>196600</v>
      </c>
      <c r="F4369" s="28">
        <v>266900</v>
      </c>
      <c r="G4369" s="27" t="s">
        <v>22</v>
      </c>
      <c r="H4369" s="27" t="s">
        <v>5316</v>
      </c>
      <c r="I4369" s="27" t="s">
        <v>9</v>
      </c>
    </row>
    <row r="4370" spans="1:9" x14ac:dyDescent="0.3">
      <c r="A4370" s="26">
        <v>45159</v>
      </c>
      <c r="B4370" s="27" t="s">
        <v>120</v>
      </c>
      <c r="C4370" s="27" t="s">
        <v>6</v>
      </c>
      <c r="D4370" s="27" t="s">
        <v>21</v>
      </c>
      <c r="E4370" s="28">
        <v>151000</v>
      </c>
      <c r="F4370" s="28">
        <v>151000</v>
      </c>
      <c r="G4370" s="27" t="s">
        <v>22</v>
      </c>
      <c r="H4370" s="27" t="s">
        <v>6545</v>
      </c>
      <c r="I4370" s="27" t="s">
        <v>9</v>
      </c>
    </row>
    <row r="4371" spans="1:9" x14ac:dyDescent="0.3">
      <c r="A4371" s="26">
        <v>45159</v>
      </c>
      <c r="B4371" s="27" t="s">
        <v>120</v>
      </c>
      <c r="C4371" s="27" t="s">
        <v>93</v>
      </c>
      <c r="D4371" s="27" t="s">
        <v>24</v>
      </c>
      <c r="E4371" s="28">
        <v>88000</v>
      </c>
      <c r="F4371" s="28">
        <v>94900</v>
      </c>
      <c r="G4371" s="27" t="s">
        <v>11</v>
      </c>
      <c r="H4371" s="27" t="s">
        <v>6713</v>
      </c>
      <c r="I4371" s="27" t="s">
        <v>9</v>
      </c>
    </row>
    <row r="4372" spans="1:9" x14ac:dyDescent="0.3">
      <c r="A4372" s="26">
        <v>45160</v>
      </c>
      <c r="B4372" s="27" t="s">
        <v>120</v>
      </c>
      <c r="C4372" s="27" t="s">
        <v>10</v>
      </c>
      <c r="D4372" s="27" t="s">
        <v>19</v>
      </c>
      <c r="E4372" s="28">
        <v>126685</v>
      </c>
      <c r="F4372" s="28">
        <v>51491</v>
      </c>
      <c r="G4372" s="27" t="s">
        <v>22</v>
      </c>
      <c r="H4372" s="27" t="s">
        <v>478</v>
      </c>
      <c r="I4372" s="27" t="s">
        <v>13</v>
      </c>
    </row>
    <row r="4373" spans="1:9" x14ac:dyDescent="0.3">
      <c r="A4373" s="26">
        <v>45160</v>
      </c>
      <c r="B4373" s="27" t="s">
        <v>120</v>
      </c>
      <c r="C4373" s="27" t="s">
        <v>32</v>
      </c>
      <c r="D4373" s="27" t="s">
        <v>7</v>
      </c>
      <c r="E4373" s="28">
        <v>61670</v>
      </c>
      <c r="F4373" s="28">
        <v>73581</v>
      </c>
      <c r="G4373" s="27" t="s">
        <v>17</v>
      </c>
      <c r="H4373" s="27" t="s">
        <v>654</v>
      </c>
      <c r="I4373" s="27" t="s">
        <v>13</v>
      </c>
    </row>
    <row r="4374" spans="1:9" x14ac:dyDescent="0.3">
      <c r="A4374" s="26">
        <v>45160</v>
      </c>
      <c r="B4374" s="27" t="s">
        <v>120</v>
      </c>
      <c r="C4374" s="27" t="s">
        <v>20</v>
      </c>
      <c r="D4374" s="27" t="s">
        <v>19</v>
      </c>
      <c r="E4374" s="28">
        <v>88735</v>
      </c>
      <c r="F4374" s="28">
        <v>19734</v>
      </c>
      <c r="G4374" s="27" t="s">
        <v>11</v>
      </c>
      <c r="H4374" s="27" t="s">
        <v>714</v>
      </c>
      <c r="I4374" s="27" t="s">
        <v>13</v>
      </c>
    </row>
    <row r="4375" spans="1:9" x14ac:dyDescent="0.3">
      <c r="A4375" s="26">
        <v>45160</v>
      </c>
      <c r="B4375" s="27" t="s">
        <v>120</v>
      </c>
      <c r="C4375" s="27" t="s">
        <v>20</v>
      </c>
      <c r="D4375" s="27" t="s">
        <v>21</v>
      </c>
      <c r="E4375" s="28">
        <v>37632</v>
      </c>
      <c r="F4375" s="28">
        <v>123683</v>
      </c>
      <c r="G4375" s="27" t="s">
        <v>8</v>
      </c>
      <c r="H4375" s="27" t="s">
        <v>1208</v>
      </c>
      <c r="I4375" s="27" t="s">
        <v>13</v>
      </c>
    </row>
    <row r="4376" spans="1:9" x14ac:dyDescent="0.3">
      <c r="A4376" s="26">
        <v>45160</v>
      </c>
      <c r="B4376" s="27" t="s">
        <v>120</v>
      </c>
      <c r="C4376" s="27" t="s">
        <v>15</v>
      </c>
      <c r="D4376" s="27" t="s">
        <v>24</v>
      </c>
      <c r="E4376" s="28">
        <v>12030</v>
      </c>
      <c r="F4376" s="28">
        <v>97124</v>
      </c>
      <c r="G4376" s="27" t="s">
        <v>22</v>
      </c>
      <c r="H4376" s="27" t="s">
        <v>2690</v>
      </c>
      <c r="I4376" s="27" t="s">
        <v>13</v>
      </c>
    </row>
    <row r="4377" spans="1:9" x14ac:dyDescent="0.3">
      <c r="A4377" s="26">
        <v>45160</v>
      </c>
      <c r="B4377" s="27" t="s">
        <v>120</v>
      </c>
      <c r="C4377" s="27" t="s">
        <v>93</v>
      </c>
      <c r="D4377" s="27" t="s">
        <v>19</v>
      </c>
      <c r="E4377" s="28">
        <v>103000</v>
      </c>
      <c r="F4377" s="28">
        <v>78300</v>
      </c>
      <c r="G4377" s="27" t="s">
        <v>22</v>
      </c>
      <c r="H4377" s="27" t="s">
        <v>3859</v>
      </c>
      <c r="I4377" s="27" t="s">
        <v>9</v>
      </c>
    </row>
    <row r="4378" spans="1:9" x14ac:dyDescent="0.3">
      <c r="A4378" s="26">
        <v>45160</v>
      </c>
      <c r="B4378" s="27" t="s">
        <v>120</v>
      </c>
      <c r="C4378" s="27" t="s">
        <v>93</v>
      </c>
      <c r="D4378" s="27" t="s">
        <v>7</v>
      </c>
      <c r="E4378" s="28">
        <v>92300</v>
      </c>
      <c r="F4378" s="28">
        <v>114500</v>
      </c>
      <c r="G4378" s="27" t="s">
        <v>11</v>
      </c>
      <c r="H4378" s="27" t="s">
        <v>4035</v>
      </c>
      <c r="I4378" s="27" t="s">
        <v>9</v>
      </c>
    </row>
    <row r="4379" spans="1:9" x14ac:dyDescent="0.3">
      <c r="A4379" s="26">
        <v>45160</v>
      </c>
      <c r="B4379" s="27" t="s">
        <v>120</v>
      </c>
      <c r="C4379" s="27" t="s">
        <v>93</v>
      </c>
      <c r="D4379" s="27" t="s">
        <v>19</v>
      </c>
      <c r="E4379" s="28">
        <v>145200</v>
      </c>
      <c r="F4379" s="28">
        <v>141600</v>
      </c>
      <c r="G4379" s="27" t="s">
        <v>22</v>
      </c>
      <c r="H4379" s="27" t="s">
        <v>4095</v>
      </c>
      <c r="I4379" s="27" t="s">
        <v>9</v>
      </c>
    </row>
    <row r="4380" spans="1:9" x14ac:dyDescent="0.3">
      <c r="A4380" s="26">
        <v>45160</v>
      </c>
      <c r="B4380" s="27" t="s">
        <v>120</v>
      </c>
      <c r="C4380" s="27" t="s">
        <v>6</v>
      </c>
      <c r="D4380" s="27" t="s">
        <v>21</v>
      </c>
      <c r="E4380" s="28">
        <v>121600</v>
      </c>
      <c r="F4380" s="28">
        <v>98500</v>
      </c>
      <c r="G4380" s="27" t="s">
        <v>11</v>
      </c>
      <c r="H4380" s="27" t="s">
        <v>4591</v>
      </c>
      <c r="I4380" s="27" t="s">
        <v>9</v>
      </c>
    </row>
    <row r="4381" spans="1:9" x14ac:dyDescent="0.3">
      <c r="A4381" s="26">
        <v>45160</v>
      </c>
      <c r="B4381" s="27" t="s">
        <v>120</v>
      </c>
      <c r="C4381" s="27" t="s">
        <v>6</v>
      </c>
      <c r="D4381" s="27" t="s">
        <v>24</v>
      </c>
      <c r="E4381" s="28">
        <v>113900</v>
      </c>
      <c r="F4381" s="28">
        <v>101700</v>
      </c>
      <c r="G4381" s="27" t="s">
        <v>11</v>
      </c>
      <c r="H4381" s="27" t="s">
        <v>6075</v>
      </c>
      <c r="I4381" s="27" t="s">
        <v>9</v>
      </c>
    </row>
    <row r="4382" spans="1:9" x14ac:dyDescent="0.3">
      <c r="A4382" s="26">
        <v>45161</v>
      </c>
      <c r="B4382" s="27" t="s">
        <v>120</v>
      </c>
      <c r="C4382" s="27" t="s">
        <v>15</v>
      </c>
      <c r="D4382" s="27" t="s">
        <v>21</v>
      </c>
      <c r="E4382" s="28">
        <v>132189</v>
      </c>
      <c r="F4382" s="28">
        <v>29952</v>
      </c>
      <c r="G4382" s="27" t="s">
        <v>11</v>
      </c>
      <c r="H4382" s="27" t="s">
        <v>1535</v>
      </c>
      <c r="I4382" s="27" t="s">
        <v>13</v>
      </c>
    </row>
    <row r="4383" spans="1:9" x14ac:dyDescent="0.3">
      <c r="A4383" s="26">
        <v>45161</v>
      </c>
      <c r="B4383" s="27" t="s">
        <v>120</v>
      </c>
      <c r="C4383" s="27" t="s">
        <v>20</v>
      </c>
      <c r="D4383" s="27" t="s">
        <v>7</v>
      </c>
      <c r="E4383" s="28">
        <v>14937</v>
      </c>
      <c r="F4383" s="28">
        <v>161448</v>
      </c>
      <c r="G4383" s="27" t="s">
        <v>22</v>
      </c>
      <c r="H4383" s="27" t="s">
        <v>1569</v>
      </c>
      <c r="I4383" s="27" t="s">
        <v>13</v>
      </c>
    </row>
    <row r="4384" spans="1:9" x14ac:dyDescent="0.3">
      <c r="A4384" s="26">
        <v>45161</v>
      </c>
      <c r="B4384" s="27" t="s">
        <v>120</v>
      </c>
      <c r="C4384" s="27" t="s">
        <v>32</v>
      </c>
      <c r="D4384" s="27" t="s">
        <v>21</v>
      </c>
      <c r="E4384" s="28">
        <v>21300</v>
      </c>
      <c r="F4384" s="28">
        <v>31521</v>
      </c>
      <c r="G4384" s="27" t="s">
        <v>8</v>
      </c>
      <c r="H4384" s="27" t="s">
        <v>1642</v>
      </c>
      <c r="I4384" s="27" t="s">
        <v>13</v>
      </c>
    </row>
    <row r="4385" spans="1:9" x14ac:dyDescent="0.3">
      <c r="A4385" s="26">
        <v>45161</v>
      </c>
      <c r="B4385" s="27" t="s">
        <v>120</v>
      </c>
      <c r="C4385" s="27" t="s">
        <v>20</v>
      </c>
      <c r="D4385" s="27" t="s">
        <v>7</v>
      </c>
      <c r="E4385" s="28">
        <v>121847</v>
      </c>
      <c r="F4385" s="28">
        <v>149943</v>
      </c>
      <c r="G4385" s="27" t="s">
        <v>22</v>
      </c>
      <c r="H4385" s="27" t="s">
        <v>2150</v>
      </c>
      <c r="I4385" s="27" t="s">
        <v>13</v>
      </c>
    </row>
    <row r="4386" spans="1:9" x14ac:dyDescent="0.3">
      <c r="A4386" s="26">
        <v>45161</v>
      </c>
      <c r="B4386" s="27" t="s">
        <v>120</v>
      </c>
      <c r="C4386" s="27" t="s">
        <v>18</v>
      </c>
      <c r="D4386" s="27" t="s">
        <v>7</v>
      </c>
      <c r="E4386" s="28">
        <v>104197</v>
      </c>
      <c r="F4386" s="28">
        <v>51871</v>
      </c>
      <c r="G4386" s="27" t="s">
        <v>8</v>
      </c>
      <c r="H4386" s="27" t="s">
        <v>2173</v>
      </c>
      <c r="I4386" s="27" t="s">
        <v>13</v>
      </c>
    </row>
    <row r="4387" spans="1:9" x14ac:dyDescent="0.3">
      <c r="A4387" s="26">
        <v>45161</v>
      </c>
      <c r="B4387" s="27" t="s">
        <v>120</v>
      </c>
      <c r="C4387" s="27" t="s">
        <v>18</v>
      </c>
      <c r="D4387" s="27" t="s">
        <v>21</v>
      </c>
      <c r="E4387" s="28">
        <v>101364</v>
      </c>
      <c r="F4387" s="28">
        <v>143235</v>
      </c>
      <c r="G4387" s="27" t="s">
        <v>8</v>
      </c>
      <c r="H4387" s="27" t="s">
        <v>2716</v>
      </c>
      <c r="I4387" s="27" t="s">
        <v>13</v>
      </c>
    </row>
    <row r="4388" spans="1:9" x14ac:dyDescent="0.3">
      <c r="A4388" s="26">
        <v>45161</v>
      </c>
      <c r="B4388" s="27" t="s">
        <v>120</v>
      </c>
      <c r="C4388" s="27" t="s">
        <v>18</v>
      </c>
      <c r="D4388" s="27" t="s">
        <v>16</v>
      </c>
      <c r="E4388" s="28">
        <v>130537</v>
      </c>
      <c r="F4388" s="28">
        <v>20404</v>
      </c>
      <c r="G4388" s="27" t="s">
        <v>17</v>
      </c>
      <c r="H4388" s="27" t="s">
        <v>2748</v>
      </c>
      <c r="I4388" s="27" t="s">
        <v>13</v>
      </c>
    </row>
    <row r="4389" spans="1:9" x14ac:dyDescent="0.3">
      <c r="A4389" s="26">
        <v>45161</v>
      </c>
      <c r="B4389" s="27" t="s">
        <v>120</v>
      </c>
      <c r="C4389" s="27" t="s">
        <v>15</v>
      </c>
      <c r="D4389" s="27" t="s">
        <v>21</v>
      </c>
      <c r="E4389" s="28">
        <v>19939</v>
      </c>
      <c r="F4389" s="28">
        <v>136432</v>
      </c>
      <c r="G4389" s="27" t="s">
        <v>17</v>
      </c>
      <c r="H4389" s="27" t="s">
        <v>2750</v>
      </c>
      <c r="I4389" s="27" t="s">
        <v>13</v>
      </c>
    </row>
    <row r="4390" spans="1:9" x14ac:dyDescent="0.3">
      <c r="A4390" s="26">
        <v>45161</v>
      </c>
      <c r="B4390" s="27" t="s">
        <v>120</v>
      </c>
      <c r="C4390" s="27" t="s">
        <v>20</v>
      </c>
      <c r="D4390" s="27" t="s">
        <v>16</v>
      </c>
      <c r="E4390" s="28">
        <v>30354</v>
      </c>
      <c r="F4390" s="28">
        <v>139112</v>
      </c>
      <c r="G4390" s="27" t="s">
        <v>22</v>
      </c>
      <c r="H4390" s="27" t="s">
        <v>2860</v>
      </c>
      <c r="I4390" s="27" t="s">
        <v>13</v>
      </c>
    </row>
    <row r="4391" spans="1:9" x14ac:dyDescent="0.3">
      <c r="A4391" s="26">
        <v>45161</v>
      </c>
      <c r="B4391" s="27" t="s">
        <v>120</v>
      </c>
      <c r="C4391" s="27" t="s">
        <v>6</v>
      </c>
      <c r="D4391" s="27" t="s">
        <v>21</v>
      </c>
      <c r="E4391" s="28">
        <v>148800</v>
      </c>
      <c r="F4391" s="28">
        <v>148400</v>
      </c>
      <c r="G4391" s="27" t="s">
        <v>11</v>
      </c>
      <c r="H4391" s="27" t="s">
        <v>4918</v>
      </c>
      <c r="I4391" s="27" t="s">
        <v>9</v>
      </c>
    </row>
    <row r="4392" spans="1:9" x14ac:dyDescent="0.3">
      <c r="A4392" s="26">
        <v>45161</v>
      </c>
      <c r="B4392" s="27" t="s">
        <v>120</v>
      </c>
      <c r="C4392" s="27" t="s">
        <v>93</v>
      </c>
      <c r="D4392" s="27" t="s">
        <v>7</v>
      </c>
      <c r="E4392" s="28">
        <v>169400</v>
      </c>
      <c r="F4392" s="28">
        <v>195100</v>
      </c>
      <c r="G4392" s="27" t="s">
        <v>11</v>
      </c>
      <c r="H4392" s="27" t="s">
        <v>4952</v>
      </c>
      <c r="I4392" s="27" t="s">
        <v>9</v>
      </c>
    </row>
    <row r="4393" spans="1:9" x14ac:dyDescent="0.3">
      <c r="A4393" s="26">
        <v>45161</v>
      </c>
      <c r="B4393" s="27" t="s">
        <v>120</v>
      </c>
      <c r="C4393" s="27" t="s">
        <v>6</v>
      </c>
      <c r="D4393" s="27" t="s">
        <v>21</v>
      </c>
      <c r="E4393" s="28">
        <v>183000</v>
      </c>
      <c r="F4393" s="28">
        <v>141100</v>
      </c>
      <c r="G4393" s="27" t="s">
        <v>11</v>
      </c>
      <c r="H4393" s="27" t="s">
        <v>5025</v>
      </c>
      <c r="I4393" s="27" t="s">
        <v>9</v>
      </c>
    </row>
    <row r="4394" spans="1:9" x14ac:dyDescent="0.3">
      <c r="A4394" s="26">
        <v>45161</v>
      </c>
      <c r="B4394" s="27" t="s">
        <v>120</v>
      </c>
      <c r="C4394" s="27" t="s">
        <v>6</v>
      </c>
      <c r="D4394" s="27" t="s">
        <v>7</v>
      </c>
      <c r="E4394" s="28">
        <v>89300</v>
      </c>
      <c r="F4394" s="28">
        <v>84500</v>
      </c>
      <c r="G4394" s="27" t="s">
        <v>17</v>
      </c>
      <c r="H4394" s="27" t="s">
        <v>5535</v>
      </c>
      <c r="I4394" s="27" t="s">
        <v>9</v>
      </c>
    </row>
    <row r="4395" spans="1:9" x14ac:dyDescent="0.3">
      <c r="A4395" s="26">
        <v>45161</v>
      </c>
      <c r="B4395" s="27" t="s">
        <v>120</v>
      </c>
      <c r="C4395" s="27" t="s">
        <v>6</v>
      </c>
      <c r="D4395" s="27" t="s">
        <v>7</v>
      </c>
      <c r="E4395" s="28">
        <v>87100</v>
      </c>
      <c r="F4395" s="28">
        <v>79400</v>
      </c>
      <c r="G4395" s="27" t="s">
        <v>11</v>
      </c>
      <c r="H4395" s="27" t="s">
        <v>5558</v>
      </c>
      <c r="I4395" s="27" t="s">
        <v>9</v>
      </c>
    </row>
    <row r="4396" spans="1:9" x14ac:dyDescent="0.3">
      <c r="A4396" s="26">
        <v>45161</v>
      </c>
      <c r="B4396" s="27" t="s">
        <v>120</v>
      </c>
      <c r="C4396" s="27" t="s">
        <v>6</v>
      </c>
      <c r="D4396" s="27" t="s">
        <v>21</v>
      </c>
      <c r="E4396" s="28">
        <v>111500</v>
      </c>
      <c r="F4396" s="28">
        <v>98500</v>
      </c>
      <c r="G4396" s="27" t="s">
        <v>11</v>
      </c>
      <c r="H4396" s="27" t="s">
        <v>6101</v>
      </c>
      <c r="I4396" s="27" t="s">
        <v>9</v>
      </c>
    </row>
    <row r="4397" spans="1:9" x14ac:dyDescent="0.3">
      <c r="A4397" s="26">
        <v>45161</v>
      </c>
      <c r="B4397" s="27" t="s">
        <v>120</v>
      </c>
      <c r="C4397" s="27" t="s">
        <v>93</v>
      </c>
      <c r="D4397" s="27" t="s">
        <v>16</v>
      </c>
      <c r="E4397" s="28">
        <v>135200</v>
      </c>
      <c r="F4397" s="28">
        <v>140500</v>
      </c>
      <c r="G4397" s="27" t="s">
        <v>11</v>
      </c>
      <c r="H4397" s="27" t="s">
        <v>6133</v>
      </c>
      <c r="I4397" s="27" t="s">
        <v>9</v>
      </c>
    </row>
    <row r="4398" spans="1:9" x14ac:dyDescent="0.3">
      <c r="A4398" s="26">
        <v>45161</v>
      </c>
      <c r="B4398" s="27" t="s">
        <v>120</v>
      </c>
      <c r="C4398" s="27" t="s">
        <v>93</v>
      </c>
      <c r="D4398" s="27" t="s">
        <v>21</v>
      </c>
      <c r="E4398" s="28">
        <v>88300</v>
      </c>
      <c r="F4398" s="28">
        <v>77200</v>
      </c>
      <c r="G4398" s="27" t="s">
        <v>22</v>
      </c>
      <c r="H4398" s="27" t="s">
        <v>6135</v>
      </c>
      <c r="I4398" s="27" t="s">
        <v>9</v>
      </c>
    </row>
    <row r="4399" spans="1:9" x14ac:dyDescent="0.3">
      <c r="A4399" s="26">
        <v>45161</v>
      </c>
      <c r="B4399" s="27" t="s">
        <v>120</v>
      </c>
      <c r="C4399" s="27" t="s">
        <v>6</v>
      </c>
      <c r="D4399" s="27" t="s">
        <v>16</v>
      </c>
      <c r="E4399" s="28">
        <v>270900</v>
      </c>
      <c r="F4399" s="28">
        <v>251100</v>
      </c>
      <c r="G4399" s="27" t="s">
        <v>22</v>
      </c>
      <c r="H4399" s="27" t="s">
        <v>6245</v>
      </c>
      <c r="I4399" s="27" t="s">
        <v>9</v>
      </c>
    </row>
    <row r="4400" spans="1:9" x14ac:dyDescent="0.3">
      <c r="A4400" s="26">
        <v>45162</v>
      </c>
      <c r="B4400" s="27" t="s">
        <v>120</v>
      </c>
      <c r="C4400" s="27" t="s">
        <v>15</v>
      </c>
      <c r="D4400" s="27" t="s">
        <v>16</v>
      </c>
      <c r="E4400" s="28">
        <v>15594</v>
      </c>
      <c r="F4400" s="28">
        <v>10332</v>
      </c>
      <c r="G4400" s="27" t="s">
        <v>8</v>
      </c>
      <c r="H4400" s="27" t="s">
        <v>832</v>
      </c>
      <c r="I4400" s="27" t="s">
        <v>13</v>
      </c>
    </row>
    <row r="4401" spans="1:9" x14ac:dyDescent="0.3">
      <c r="A4401" s="26">
        <v>45162</v>
      </c>
      <c r="B4401" s="27" t="s">
        <v>120</v>
      </c>
      <c r="C4401" s="27" t="s">
        <v>14</v>
      </c>
      <c r="D4401" s="27" t="s">
        <v>16</v>
      </c>
      <c r="E4401" s="28">
        <v>135211</v>
      </c>
      <c r="F4401" s="28">
        <v>23341</v>
      </c>
      <c r="G4401" s="27" t="s">
        <v>17</v>
      </c>
      <c r="H4401" s="27" t="s">
        <v>860</v>
      </c>
      <c r="I4401" s="27" t="s">
        <v>13</v>
      </c>
    </row>
    <row r="4402" spans="1:9" x14ac:dyDescent="0.3">
      <c r="A4402" s="26">
        <v>45162</v>
      </c>
      <c r="B4402" s="27" t="s">
        <v>120</v>
      </c>
      <c r="C4402" s="27" t="s">
        <v>14</v>
      </c>
      <c r="D4402" s="27" t="s">
        <v>19</v>
      </c>
      <c r="E4402" s="28">
        <v>83144</v>
      </c>
      <c r="F4402" s="28">
        <v>92905</v>
      </c>
      <c r="G4402" s="27" t="s">
        <v>8</v>
      </c>
      <c r="H4402" s="27" t="s">
        <v>2440</v>
      </c>
      <c r="I4402" s="27" t="s">
        <v>13</v>
      </c>
    </row>
    <row r="4403" spans="1:9" x14ac:dyDescent="0.3">
      <c r="A4403" s="26">
        <v>45162</v>
      </c>
      <c r="B4403" s="27" t="s">
        <v>120</v>
      </c>
      <c r="C4403" s="27" t="s">
        <v>18</v>
      </c>
      <c r="D4403" s="27" t="s">
        <v>21</v>
      </c>
      <c r="E4403" s="28">
        <v>52563</v>
      </c>
      <c r="F4403" s="28">
        <v>136300</v>
      </c>
      <c r="G4403" s="27" t="s">
        <v>22</v>
      </c>
      <c r="H4403" s="27" t="s">
        <v>2910</v>
      </c>
      <c r="I4403" s="27" t="s">
        <v>13</v>
      </c>
    </row>
    <row r="4404" spans="1:9" x14ac:dyDescent="0.3">
      <c r="A4404" s="26">
        <v>45162</v>
      </c>
      <c r="B4404" s="27" t="s">
        <v>120</v>
      </c>
      <c r="C4404" s="27" t="s">
        <v>18</v>
      </c>
      <c r="D4404" s="27" t="s">
        <v>21</v>
      </c>
      <c r="E4404" s="28">
        <v>14955</v>
      </c>
      <c r="F4404" s="28">
        <v>25693</v>
      </c>
      <c r="G4404" s="27" t="s">
        <v>17</v>
      </c>
      <c r="H4404" s="27" t="s">
        <v>3044</v>
      </c>
      <c r="I4404" s="27" t="s">
        <v>13</v>
      </c>
    </row>
    <row r="4405" spans="1:9" x14ac:dyDescent="0.3">
      <c r="A4405" s="26">
        <v>45162</v>
      </c>
      <c r="B4405" s="27" t="s">
        <v>120</v>
      </c>
      <c r="C4405" s="27" t="s">
        <v>6</v>
      </c>
      <c r="D4405" s="27" t="s">
        <v>16</v>
      </c>
      <c r="E4405" s="28">
        <v>118900</v>
      </c>
      <c r="F4405" s="28">
        <v>135300</v>
      </c>
      <c r="G4405" s="27" t="s">
        <v>22</v>
      </c>
      <c r="H4405" s="27" t="s">
        <v>4213</v>
      </c>
      <c r="I4405" s="27" t="s">
        <v>9</v>
      </c>
    </row>
    <row r="4406" spans="1:9" x14ac:dyDescent="0.3">
      <c r="A4406" s="26">
        <v>45162</v>
      </c>
      <c r="B4406" s="27" t="s">
        <v>120</v>
      </c>
      <c r="C4406" s="27" t="s">
        <v>93</v>
      </c>
      <c r="D4406" s="27" t="s">
        <v>16</v>
      </c>
      <c r="E4406" s="28">
        <v>161600</v>
      </c>
      <c r="F4406" s="28">
        <v>140500</v>
      </c>
      <c r="G4406" s="27" t="s">
        <v>17</v>
      </c>
      <c r="H4406" s="27" t="s">
        <v>4241</v>
      </c>
      <c r="I4406" s="27" t="s">
        <v>9</v>
      </c>
    </row>
    <row r="4407" spans="1:9" x14ac:dyDescent="0.3">
      <c r="A4407" s="26">
        <v>45162</v>
      </c>
      <c r="B4407" s="27" t="s">
        <v>120</v>
      </c>
      <c r="C4407" s="27" t="s">
        <v>93</v>
      </c>
      <c r="D4407" s="27" t="s">
        <v>19</v>
      </c>
      <c r="E4407" s="28">
        <v>115300</v>
      </c>
      <c r="F4407" s="28">
        <v>122400</v>
      </c>
      <c r="G4407" s="27" t="s">
        <v>11</v>
      </c>
      <c r="H4407" s="27" t="s">
        <v>5825</v>
      </c>
      <c r="I4407" s="27" t="s">
        <v>9</v>
      </c>
    </row>
    <row r="4408" spans="1:9" x14ac:dyDescent="0.3">
      <c r="A4408" s="26">
        <v>45162</v>
      </c>
      <c r="B4408" s="27" t="s">
        <v>120</v>
      </c>
      <c r="C4408" s="27" t="s">
        <v>93</v>
      </c>
      <c r="D4408" s="27" t="s">
        <v>21</v>
      </c>
      <c r="E4408" s="28">
        <v>63000</v>
      </c>
      <c r="F4408" s="28">
        <v>66400</v>
      </c>
      <c r="G4408" s="27" t="s">
        <v>11</v>
      </c>
      <c r="H4408" s="27" t="s">
        <v>6295</v>
      </c>
      <c r="I4408" s="27" t="s">
        <v>9</v>
      </c>
    </row>
    <row r="4409" spans="1:9" x14ac:dyDescent="0.3">
      <c r="A4409" s="26">
        <v>45162</v>
      </c>
      <c r="B4409" s="27" t="s">
        <v>120</v>
      </c>
      <c r="C4409" s="27" t="s">
        <v>93</v>
      </c>
      <c r="D4409" s="27" t="s">
        <v>21</v>
      </c>
      <c r="E4409" s="28">
        <v>94300</v>
      </c>
      <c r="F4409" s="28">
        <v>92200</v>
      </c>
      <c r="G4409" s="27" t="s">
        <v>11</v>
      </c>
      <c r="H4409" s="27" t="s">
        <v>6429</v>
      </c>
      <c r="I4409" s="27" t="s">
        <v>9</v>
      </c>
    </row>
    <row r="4410" spans="1:9" x14ac:dyDescent="0.3">
      <c r="A4410" s="26">
        <v>45163</v>
      </c>
      <c r="B4410" s="27" t="s">
        <v>120</v>
      </c>
      <c r="C4410" s="27" t="s">
        <v>14</v>
      </c>
      <c r="D4410" s="27" t="s">
        <v>24</v>
      </c>
      <c r="E4410" s="28">
        <v>149674</v>
      </c>
      <c r="F4410" s="28">
        <v>26908</v>
      </c>
      <c r="G4410" s="27" t="s">
        <v>22</v>
      </c>
      <c r="H4410" s="27" t="s">
        <v>387</v>
      </c>
      <c r="I4410" s="27" t="s">
        <v>13</v>
      </c>
    </row>
    <row r="4411" spans="1:9" x14ac:dyDescent="0.3">
      <c r="A4411" s="26">
        <v>45163</v>
      </c>
      <c r="B4411" s="27" t="s">
        <v>120</v>
      </c>
      <c r="C4411" s="27" t="s">
        <v>32</v>
      </c>
      <c r="D4411" s="27" t="s">
        <v>16</v>
      </c>
      <c r="E4411" s="28">
        <v>49305</v>
      </c>
      <c r="F4411" s="28">
        <v>142675</v>
      </c>
      <c r="G4411" s="27" t="s">
        <v>11</v>
      </c>
      <c r="H4411" s="27" t="s">
        <v>1727</v>
      </c>
      <c r="I4411" s="27" t="s">
        <v>13</v>
      </c>
    </row>
    <row r="4412" spans="1:9" x14ac:dyDescent="0.3">
      <c r="A4412" s="26">
        <v>45163</v>
      </c>
      <c r="B4412" s="27" t="s">
        <v>120</v>
      </c>
      <c r="C4412" s="27" t="s">
        <v>15</v>
      </c>
      <c r="D4412" s="27" t="s">
        <v>16</v>
      </c>
      <c r="E4412" s="28">
        <v>76314</v>
      </c>
      <c r="F4412" s="28">
        <v>29023</v>
      </c>
      <c r="G4412" s="27" t="s">
        <v>8</v>
      </c>
      <c r="H4412" s="27" t="s">
        <v>2097</v>
      </c>
      <c r="I4412" s="27" t="s">
        <v>13</v>
      </c>
    </row>
    <row r="4413" spans="1:9" x14ac:dyDescent="0.3">
      <c r="A4413" s="26">
        <v>45163</v>
      </c>
      <c r="B4413" s="27" t="s">
        <v>120</v>
      </c>
      <c r="C4413" s="27" t="s">
        <v>18</v>
      </c>
      <c r="D4413" s="27" t="s">
        <v>24</v>
      </c>
      <c r="E4413" s="28">
        <v>63638</v>
      </c>
      <c r="F4413" s="28">
        <v>132289</v>
      </c>
      <c r="G4413" s="27" t="s">
        <v>17</v>
      </c>
      <c r="H4413" s="27" t="s">
        <v>2380</v>
      </c>
      <c r="I4413" s="27" t="s">
        <v>13</v>
      </c>
    </row>
    <row r="4414" spans="1:9" x14ac:dyDescent="0.3">
      <c r="A4414" s="26">
        <v>45163</v>
      </c>
      <c r="B4414" s="27" t="s">
        <v>120</v>
      </c>
      <c r="C4414" s="27" t="s">
        <v>10</v>
      </c>
      <c r="D4414" s="27" t="s">
        <v>19</v>
      </c>
      <c r="E4414" s="28">
        <v>94918</v>
      </c>
      <c r="F4414" s="28">
        <v>150331</v>
      </c>
      <c r="G4414" s="27" t="s">
        <v>11</v>
      </c>
      <c r="H4414" s="27" t="s">
        <v>2400</v>
      </c>
      <c r="I4414" s="27" t="s">
        <v>13</v>
      </c>
    </row>
    <row r="4415" spans="1:9" x14ac:dyDescent="0.3">
      <c r="A4415" s="26">
        <v>45163</v>
      </c>
      <c r="B4415" s="27" t="s">
        <v>120</v>
      </c>
      <c r="C4415" s="27" t="s">
        <v>18</v>
      </c>
      <c r="D4415" s="27" t="s">
        <v>21</v>
      </c>
      <c r="E4415" s="28">
        <v>104853</v>
      </c>
      <c r="F4415" s="28">
        <v>120541</v>
      </c>
      <c r="G4415" s="27" t="s">
        <v>11</v>
      </c>
      <c r="H4415" s="27" t="s">
        <v>2408</v>
      </c>
      <c r="I4415" s="27" t="s">
        <v>13</v>
      </c>
    </row>
    <row r="4416" spans="1:9" x14ac:dyDescent="0.3">
      <c r="A4416" s="26">
        <v>45163</v>
      </c>
      <c r="B4416" s="27" t="s">
        <v>120</v>
      </c>
      <c r="C4416" s="27" t="s">
        <v>15</v>
      </c>
      <c r="D4416" s="27" t="s">
        <v>16</v>
      </c>
      <c r="E4416" s="28">
        <v>93252</v>
      </c>
      <c r="F4416" s="28">
        <v>65718</v>
      </c>
      <c r="G4416" s="27" t="s">
        <v>11</v>
      </c>
      <c r="H4416" s="27" t="s">
        <v>2466</v>
      </c>
      <c r="I4416" s="27" t="s">
        <v>13</v>
      </c>
    </row>
    <row r="4417" spans="1:9" x14ac:dyDescent="0.3">
      <c r="A4417" s="26">
        <v>45163</v>
      </c>
      <c r="B4417" s="27" t="s">
        <v>120</v>
      </c>
      <c r="C4417" s="27" t="s">
        <v>32</v>
      </c>
      <c r="D4417" s="27" t="s">
        <v>7</v>
      </c>
      <c r="E4417" s="28">
        <v>112676</v>
      </c>
      <c r="F4417" s="28">
        <v>29232</v>
      </c>
      <c r="G4417" s="27" t="s">
        <v>8</v>
      </c>
      <c r="H4417" s="27" t="s">
        <v>2678</v>
      </c>
      <c r="I4417" s="27" t="s">
        <v>13</v>
      </c>
    </row>
    <row r="4418" spans="1:9" x14ac:dyDescent="0.3">
      <c r="A4418" s="26">
        <v>45163</v>
      </c>
      <c r="B4418" s="27" t="s">
        <v>120</v>
      </c>
      <c r="C4418" s="27" t="s">
        <v>18</v>
      </c>
      <c r="D4418" s="27" t="s">
        <v>16</v>
      </c>
      <c r="E4418" s="28">
        <v>137749</v>
      </c>
      <c r="F4418" s="28">
        <v>129786</v>
      </c>
      <c r="G4418" s="27" t="s">
        <v>11</v>
      </c>
      <c r="H4418" s="27" t="s">
        <v>3237</v>
      </c>
      <c r="I4418" s="27" t="s">
        <v>13</v>
      </c>
    </row>
    <row r="4419" spans="1:9" x14ac:dyDescent="0.3">
      <c r="A4419" s="26">
        <v>45163</v>
      </c>
      <c r="B4419" s="27" t="s">
        <v>120</v>
      </c>
      <c r="C4419" s="27" t="s">
        <v>20</v>
      </c>
      <c r="D4419" s="27" t="s">
        <v>24</v>
      </c>
      <c r="E4419" s="28">
        <v>108290</v>
      </c>
      <c r="F4419" s="28">
        <v>110222</v>
      </c>
      <c r="G4419" s="27" t="s">
        <v>11</v>
      </c>
      <c r="H4419" s="27" t="s">
        <v>3363</v>
      </c>
      <c r="I4419" s="27" t="s">
        <v>13</v>
      </c>
    </row>
    <row r="4420" spans="1:9" x14ac:dyDescent="0.3">
      <c r="A4420" s="26">
        <v>45163</v>
      </c>
      <c r="B4420" s="27" t="s">
        <v>120</v>
      </c>
      <c r="C4420" s="27" t="s">
        <v>32</v>
      </c>
      <c r="D4420" s="27" t="s">
        <v>16</v>
      </c>
      <c r="E4420" s="28">
        <v>125467</v>
      </c>
      <c r="F4420" s="28">
        <v>135878</v>
      </c>
      <c r="G4420" s="27" t="s">
        <v>8</v>
      </c>
      <c r="H4420" s="27" t="s">
        <v>3438</v>
      </c>
      <c r="I4420" s="27" t="s">
        <v>13</v>
      </c>
    </row>
    <row r="4421" spans="1:9" x14ac:dyDescent="0.3">
      <c r="A4421" s="26">
        <v>45163</v>
      </c>
      <c r="B4421" s="27" t="s">
        <v>120</v>
      </c>
      <c r="C4421" s="27" t="s">
        <v>6</v>
      </c>
      <c r="D4421" s="27" t="s">
        <v>24</v>
      </c>
      <c r="E4421" s="28">
        <v>91400</v>
      </c>
      <c r="F4421" s="28">
        <v>77300</v>
      </c>
      <c r="G4421" s="27" t="s">
        <v>17</v>
      </c>
      <c r="H4421" s="27" t="s">
        <v>3768</v>
      </c>
      <c r="I4421" s="27" t="s">
        <v>9</v>
      </c>
    </row>
    <row r="4422" spans="1:9" x14ac:dyDescent="0.3">
      <c r="A4422" s="26">
        <v>45163</v>
      </c>
      <c r="B4422" s="27" t="s">
        <v>120</v>
      </c>
      <c r="C4422" s="27" t="s">
        <v>93</v>
      </c>
      <c r="D4422" s="27" t="s">
        <v>16</v>
      </c>
      <c r="E4422" s="28">
        <v>136400</v>
      </c>
      <c r="F4422" s="28">
        <v>134600</v>
      </c>
      <c r="G4422" s="27" t="s">
        <v>11</v>
      </c>
      <c r="H4422" s="27" t="s">
        <v>5110</v>
      </c>
      <c r="I4422" s="27" t="s">
        <v>9</v>
      </c>
    </row>
    <row r="4423" spans="1:9" x14ac:dyDescent="0.3">
      <c r="A4423" s="26">
        <v>45163</v>
      </c>
      <c r="B4423" s="27" t="s">
        <v>120</v>
      </c>
      <c r="C4423" s="27" t="s">
        <v>93</v>
      </c>
      <c r="D4423" s="27" t="s">
        <v>16</v>
      </c>
      <c r="E4423" s="28">
        <v>110300</v>
      </c>
      <c r="F4423" s="28">
        <v>78300</v>
      </c>
      <c r="G4423" s="27" t="s">
        <v>11</v>
      </c>
      <c r="H4423" s="27" t="s">
        <v>5481</v>
      </c>
      <c r="I4423" s="27" t="s">
        <v>9</v>
      </c>
    </row>
    <row r="4424" spans="1:9" x14ac:dyDescent="0.3">
      <c r="A4424" s="26">
        <v>45163</v>
      </c>
      <c r="B4424" s="27" t="s">
        <v>120</v>
      </c>
      <c r="C4424" s="27" t="s">
        <v>6</v>
      </c>
      <c r="D4424" s="27" t="s">
        <v>24</v>
      </c>
      <c r="E4424" s="28">
        <v>226500</v>
      </c>
      <c r="F4424" s="28">
        <v>234900</v>
      </c>
      <c r="G4424" s="27" t="s">
        <v>11</v>
      </c>
      <c r="H4424" s="27" t="s">
        <v>5765</v>
      </c>
      <c r="I4424" s="27" t="s">
        <v>9</v>
      </c>
    </row>
    <row r="4425" spans="1:9" x14ac:dyDescent="0.3">
      <c r="A4425" s="26">
        <v>45163</v>
      </c>
      <c r="B4425" s="27" t="s">
        <v>120</v>
      </c>
      <c r="C4425" s="27" t="s">
        <v>93</v>
      </c>
      <c r="D4425" s="27" t="s">
        <v>19</v>
      </c>
      <c r="E4425" s="28">
        <v>142400</v>
      </c>
      <c r="F4425" s="28">
        <v>165500</v>
      </c>
      <c r="G4425" s="27" t="s">
        <v>22</v>
      </c>
      <c r="H4425" s="27" t="s">
        <v>5785</v>
      </c>
      <c r="I4425" s="27" t="s">
        <v>9</v>
      </c>
    </row>
    <row r="4426" spans="1:9" x14ac:dyDescent="0.3">
      <c r="A4426" s="26">
        <v>45163</v>
      </c>
      <c r="B4426" s="27" t="s">
        <v>120</v>
      </c>
      <c r="C4426" s="27" t="s">
        <v>6</v>
      </c>
      <c r="D4426" s="27" t="s">
        <v>21</v>
      </c>
      <c r="E4426" s="28">
        <v>111100</v>
      </c>
      <c r="F4426" s="28">
        <v>93900</v>
      </c>
      <c r="G4426" s="27" t="s">
        <v>11</v>
      </c>
      <c r="H4426" s="27" t="s">
        <v>5793</v>
      </c>
      <c r="I4426" s="27" t="s">
        <v>9</v>
      </c>
    </row>
    <row r="4427" spans="1:9" x14ac:dyDescent="0.3">
      <c r="A4427" s="26">
        <v>45163</v>
      </c>
      <c r="B4427" s="27" t="s">
        <v>120</v>
      </c>
      <c r="C4427" s="27" t="s">
        <v>6</v>
      </c>
      <c r="D4427" s="27" t="s">
        <v>16</v>
      </c>
      <c r="E4427" s="28">
        <v>136700</v>
      </c>
      <c r="F4427" s="28">
        <v>126400</v>
      </c>
      <c r="G4427" s="27" t="s">
        <v>22</v>
      </c>
      <c r="H4427" s="27" t="s">
        <v>5851</v>
      </c>
      <c r="I4427" s="27" t="s">
        <v>9</v>
      </c>
    </row>
    <row r="4428" spans="1:9" x14ac:dyDescent="0.3">
      <c r="A4428" s="26">
        <v>45163</v>
      </c>
      <c r="B4428" s="27" t="s">
        <v>120</v>
      </c>
      <c r="C4428" s="27" t="s">
        <v>6</v>
      </c>
      <c r="D4428" s="27" t="s">
        <v>7</v>
      </c>
      <c r="E4428" s="28">
        <v>263500</v>
      </c>
      <c r="F4428" s="28">
        <v>297500</v>
      </c>
      <c r="G4428" s="27" t="s">
        <v>22</v>
      </c>
      <c r="H4428" s="27" t="s">
        <v>6063</v>
      </c>
      <c r="I4428" s="27" t="s">
        <v>9</v>
      </c>
    </row>
    <row r="4429" spans="1:9" x14ac:dyDescent="0.3">
      <c r="A4429" s="26">
        <v>45163</v>
      </c>
      <c r="B4429" s="27" t="s">
        <v>120</v>
      </c>
      <c r="C4429" s="27" t="s">
        <v>6</v>
      </c>
      <c r="D4429" s="27" t="s">
        <v>16</v>
      </c>
      <c r="E4429" s="28">
        <v>156700</v>
      </c>
      <c r="F4429" s="28">
        <v>137100</v>
      </c>
      <c r="G4429" s="27" t="s">
        <v>11</v>
      </c>
      <c r="H4429" s="27" t="s">
        <v>6622</v>
      </c>
      <c r="I4429" s="27" t="s">
        <v>9</v>
      </c>
    </row>
    <row r="4430" spans="1:9" x14ac:dyDescent="0.3">
      <c r="A4430" s="26">
        <v>45163</v>
      </c>
      <c r="B4430" s="27" t="s">
        <v>120</v>
      </c>
      <c r="C4430" s="27" t="s">
        <v>6</v>
      </c>
      <c r="D4430" s="27" t="s">
        <v>24</v>
      </c>
      <c r="E4430" s="28">
        <v>128400</v>
      </c>
      <c r="F4430" s="28">
        <v>137700</v>
      </c>
      <c r="G4430" s="27" t="s">
        <v>22</v>
      </c>
      <c r="H4430" s="27" t="s">
        <v>6748</v>
      </c>
      <c r="I4430" s="27" t="s">
        <v>9</v>
      </c>
    </row>
    <row r="4431" spans="1:9" x14ac:dyDescent="0.3">
      <c r="A4431" s="26">
        <v>45163</v>
      </c>
      <c r="B4431" s="27" t="s">
        <v>120</v>
      </c>
      <c r="C4431" s="27" t="s">
        <v>6</v>
      </c>
      <c r="D4431" s="27" t="s">
        <v>16</v>
      </c>
      <c r="E4431" s="28">
        <v>92100</v>
      </c>
      <c r="F4431" s="28">
        <v>98200</v>
      </c>
      <c r="G4431" s="27" t="s">
        <v>17</v>
      </c>
      <c r="H4431" s="27" t="s">
        <v>6823</v>
      </c>
      <c r="I4431" s="27" t="s">
        <v>9</v>
      </c>
    </row>
    <row r="4432" spans="1:9" x14ac:dyDescent="0.3">
      <c r="A4432" s="26">
        <v>45164</v>
      </c>
      <c r="B4432" s="27" t="s">
        <v>120</v>
      </c>
      <c r="C4432" s="27" t="s">
        <v>10</v>
      </c>
      <c r="D4432" s="27" t="s">
        <v>7</v>
      </c>
      <c r="E4432" s="28">
        <v>53374</v>
      </c>
      <c r="F4432" s="28">
        <v>102151</v>
      </c>
      <c r="G4432" s="27" t="s">
        <v>22</v>
      </c>
      <c r="H4432" s="27" t="s">
        <v>250</v>
      </c>
      <c r="I4432" s="27" t="s">
        <v>13</v>
      </c>
    </row>
    <row r="4433" spans="1:9" x14ac:dyDescent="0.3">
      <c r="A4433" s="26">
        <v>45164</v>
      </c>
      <c r="B4433" s="27" t="s">
        <v>120</v>
      </c>
      <c r="C4433" s="27" t="s">
        <v>18</v>
      </c>
      <c r="D4433" s="27" t="s">
        <v>16</v>
      </c>
      <c r="E4433" s="28">
        <v>133796</v>
      </c>
      <c r="F4433" s="28">
        <v>142536</v>
      </c>
      <c r="G4433" s="27" t="s">
        <v>11</v>
      </c>
      <c r="H4433" s="27" t="s">
        <v>638</v>
      </c>
      <c r="I4433" s="27" t="s">
        <v>13</v>
      </c>
    </row>
    <row r="4434" spans="1:9" x14ac:dyDescent="0.3">
      <c r="A4434" s="26">
        <v>45164</v>
      </c>
      <c r="B4434" s="27" t="s">
        <v>120</v>
      </c>
      <c r="C4434" s="27" t="s">
        <v>18</v>
      </c>
      <c r="D4434" s="27" t="s">
        <v>24</v>
      </c>
      <c r="E4434" s="28">
        <v>78163</v>
      </c>
      <c r="F4434" s="28">
        <v>126639</v>
      </c>
      <c r="G4434" s="27" t="s">
        <v>17</v>
      </c>
      <c r="H4434" s="27" t="s">
        <v>881</v>
      </c>
      <c r="I4434" s="27" t="s">
        <v>13</v>
      </c>
    </row>
    <row r="4435" spans="1:9" x14ac:dyDescent="0.3">
      <c r="A4435" s="26">
        <v>45164</v>
      </c>
      <c r="B4435" s="27" t="s">
        <v>120</v>
      </c>
      <c r="C4435" s="27" t="s">
        <v>10</v>
      </c>
      <c r="D4435" s="27" t="s">
        <v>16</v>
      </c>
      <c r="E4435" s="28">
        <v>34721</v>
      </c>
      <c r="F4435" s="28">
        <v>153504</v>
      </c>
      <c r="G4435" s="27" t="s">
        <v>22</v>
      </c>
      <c r="H4435" s="27" t="s">
        <v>1417</v>
      </c>
      <c r="I4435" s="27" t="s">
        <v>13</v>
      </c>
    </row>
    <row r="4436" spans="1:9" x14ac:dyDescent="0.3">
      <c r="A4436" s="26">
        <v>45164</v>
      </c>
      <c r="B4436" s="27" t="s">
        <v>120</v>
      </c>
      <c r="C4436" s="27" t="s">
        <v>14</v>
      </c>
      <c r="D4436" s="27" t="s">
        <v>19</v>
      </c>
      <c r="E4436" s="28">
        <v>35308</v>
      </c>
      <c r="F4436" s="28">
        <v>15793</v>
      </c>
      <c r="G4436" s="27" t="s">
        <v>17</v>
      </c>
      <c r="H4436" s="27" t="s">
        <v>2275</v>
      </c>
      <c r="I4436" s="27" t="s">
        <v>13</v>
      </c>
    </row>
    <row r="4437" spans="1:9" x14ac:dyDescent="0.3">
      <c r="A4437" s="26">
        <v>45164</v>
      </c>
      <c r="B4437" s="27" t="s">
        <v>120</v>
      </c>
      <c r="C4437" s="27" t="s">
        <v>18</v>
      </c>
      <c r="D4437" s="27" t="s">
        <v>7</v>
      </c>
      <c r="E4437" s="28">
        <v>33047</v>
      </c>
      <c r="F4437" s="28">
        <v>116154</v>
      </c>
      <c r="G4437" s="27" t="s">
        <v>8</v>
      </c>
      <c r="H4437" s="27" t="s">
        <v>3151</v>
      </c>
      <c r="I4437" s="27" t="s">
        <v>13</v>
      </c>
    </row>
    <row r="4438" spans="1:9" x14ac:dyDescent="0.3">
      <c r="A4438" s="26">
        <v>45164</v>
      </c>
      <c r="B4438" s="27" t="s">
        <v>120</v>
      </c>
      <c r="C4438" s="27" t="s">
        <v>15</v>
      </c>
      <c r="D4438" s="27" t="s">
        <v>24</v>
      </c>
      <c r="E4438" s="28">
        <v>89077</v>
      </c>
      <c r="F4438" s="28">
        <v>23606</v>
      </c>
      <c r="G4438" s="27" t="s">
        <v>17</v>
      </c>
      <c r="H4438" s="27" t="s">
        <v>3180</v>
      </c>
      <c r="I4438" s="27" t="s">
        <v>13</v>
      </c>
    </row>
    <row r="4439" spans="1:9" x14ac:dyDescent="0.3">
      <c r="A4439" s="26">
        <v>45164</v>
      </c>
      <c r="B4439" s="27" t="s">
        <v>120</v>
      </c>
      <c r="C4439" s="27" t="s">
        <v>6</v>
      </c>
      <c r="D4439" s="27" t="s">
        <v>7</v>
      </c>
      <c r="E4439" s="28">
        <v>94100</v>
      </c>
      <c r="F4439" s="28">
        <v>96200</v>
      </c>
      <c r="G4439" s="27" t="s">
        <v>22</v>
      </c>
      <c r="H4439" s="27" t="s">
        <v>3631</v>
      </c>
      <c r="I4439" s="27" t="s">
        <v>9</v>
      </c>
    </row>
    <row r="4440" spans="1:9" x14ac:dyDescent="0.3">
      <c r="A4440" s="26">
        <v>45164</v>
      </c>
      <c r="B4440" s="27" t="s">
        <v>120</v>
      </c>
      <c r="C4440" s="27" t="s">
        <v>6</v>
      </c>
      <c r="D4440" s="27" t="s">
        <v>16</v>
      </c>
      <c r="E4440" s="28">
        <v>78600</v>
      </c>
      <c r="F4440" s="28">
        <v>97400</v>
      </c>
      <c r="G4440" s="27" t="s">
        <v>11</v>
      </c>
      <c r="H4440" s="27" t="s">
        <v>4019</v>
      </c>
      <c r="I4440" s="27" t="s">
        <v>9</v>
      </c>
    </row>
    <row r="4441" spans="1:9" x14ac:dyDescent="0.3">
      <c r="A4441" s="26">
        <v>45164</v>
      </c>
      <c r="B4441" s="27" t="s">
        <v>120</v>
      </c>
      <c r="C4441" s="27" t="s">
        <v>93</v>
      </c>
      <c r="D4441" s="27" t="s">
        <v>24</v>
      </c>
      <c r="E4441" s="28">
        <v>202800</v>
      </c>
      <c r="F4441" s="28">
        <v>197000</v>
      </c>
      <c r="G4441" s="27" t="s">
        <v>11</v>
      </c>
      <c r="H4441" s="27" t="s">
        <v>4262</v>
      </c>
      <c r="I4441" s="27" t="s">
        <v>9</v>
      </c>
    </row>
    <row r="4442" spans="1:9" x14ac:dyDescent="0.3">
      <c r="A4442" s="26">
        <v>45164</v>
      </c>
      <c r="B4442" s="27" t="s">
        <v>120</v>
      </c>
      <c r="C4442" s="27" t="s">
        <v>6</v>
      </c>
      <c r="D4442" s="27" t="s">
        <v>16</v>
      </c>
      <c r="E4442" s="28">
        <v>224500</v>
      </c>
      <c r="F4442" s="28">
        <v>214000</v>
      </c>
      <c r="G4442" s="27" t="s">
        <v>11</v>
      </c>
      <c r="H4442" s="27" t="s">
        <v>4800</v>
      </c>
      <c r="I4442" s="27" t="s">
        <v>9</v>
      </c>
    </row>
    <row r="4443" spans="1:9" x14ac:dyDescent="0.3">
      <c r="A4443" s="26">
        <v>45164</v>
      </c>
      <c r="B4443" s="27" t="s">
        <v>120</v>
      </c>
      <c r="C4443" s="27" t="s">
        <v>6</v>
      </c>
      <c r="D4443" s="27" t="s">
        <v>19</v>
      </c>
      <c r="E4443" s="28">
        <v>153300</v>
      </c>
      <c r="F4443" s="28">
        <v>157500</v>
      </c>
      <c r="G4443" s="27" t="s">
        <v>11</v>
      </c>
      <c r="H4443" s="27" t="s">
        <v>5660</v>
      </c>
      <c r="I4443" s="27" t="s">
        <v>9</v>
      </c>
    </row>
    <row r="4444" spans="1:9" x14ac:dyDescent="0.3">
      <c r="A4444" s="26">
        <v>45164</v>
      </c>
      <c r="B4444" s="27" t="s">
        <v>120</v>
      </c>
      <c r="C4444" s="27" t="s">
        <v>6</v>
      </c>
      <c r="D4444" s="27" t="s">
        <v>7</v>
      </c>
      <c r="E4444" s="28">
        <v>128300</v>
      </c>
      <c r="F4444" s="28">
        <v>140300</v>
      </c>
      <c r="G4444" s="27" t="s">
        <v>11</v>
      </c>
      <c r="H4444" s="27" t="s">
        <v>6536</v>
      </c>
      <c r="I4444" s="27" t="s">
        <v>9</v>
      </c>
    </row>
    <row r="4445" spans="1:9" x14ac:dyDescent="0.3">
      <c r="A4445" s="26">
        <v>45164</v>
      </c>
      <c r="B4445" s="27" t="s">
        <v>120</v>
      </c>
      <c r="C4445" s="27" t="s">
        <v>6</v>
      </c>
      <c r="D4445" s="27" t="s">
        <v>24</v>
      </c>
      <c r="E4445" s="28">
        <v>108700</v>
      </c>
      <c r="F4445" s="28">
        <v>65600</v>
      </c>
      <c r="G4445" s="27" t="s">
        <v>22</v>
      </c>
      <c r="H4445" s="27" t="s">
        <v>6565</v>
      </c>
      <c r="I4445" s="27" t="s">
        <v>9</v>
      </c>
    </row>
    <row r="4446" spans="1:9" x14ac:dyDescent="0.3">
      <c r="A4446" s="26">
        <v>45165</v>
      </c>
      <c r="B4446" s="27" t="s">
        <v>120</v>
      </c>
      <c r="C4446" s="27" t="s">
        <v>15</v>
      </c>
      <c r="D4446" s="27" t="s">
        <v>16</v>
      </c>
      <c r="E4446" s="28">
        <v>26696</v>
      </c>
      <c r="F4446" s="28">
        <v>130847</v>
      </c>
      <c r="G4446" s="27" t="s">
        <v>8</v>
      </c>
      <c r="H4446" s="27" t="s">
        <v>379</v>
      </c>
      <c r="I4446" s="27" t="s">
        <v>13</v>
      </c>
    </row>
    <row r="4447" spans="1:9" x14ac:dyDescent="0.3">
      <c r="A4447" s="26">
        <v>45165</v>
      </c>
      <c r="B4447" s="27" t="s">
        <v>120</v>
      </c>
      <c r="C4447" s="27" t="s">
        <v>14</v>
      </c>
      <c r="D4447" s="27" t="s">
        <v>7</v>
      </c>
      <c r="E4447" s="28">
        <v>118618</v>
      </c>
      <c r="F4447" s="28">
        <v>52460</v>
      </c>
      <c r="G4447" s="27" t="s">
        <v>11</v>
      </c>
      <c r="H4447" s="27" t="s">
        <v>605</v>
      </c>
      <c r="I4447" s="27" t="s">
        <v>13</v>
      </c>
    </row>
    <row r="4448" spans="1:9" x14ac:dyDescent="0.3">
      <c r="A4448" s="26">
        <v>45165</v>
      </c>
      <c r="B4448" s="27" t="s">
        <v>120</v>
      </c>
      <c r="C4448" s="27" t="s">
        <v>20</v>
      </c>
      <c r="D4448" s="27" t="s">
        <v>21</v>
      </c>
      <c r="E4448" s="28">
        <v>144220</v>
      </c>
      <c r="F4448" s="28">
        <v>161530</v>
      </c>
      <c r="G4448" s="27" t="s">
        <v>17</v>
      </c>
      <c r="H4448" s="27" t="s">
        <v>673</v>
      </c>
      <c r="I4448" s="27" t="s">
        <v>13</v>
      </c>
    </row>
    <row r="4449" spans="1:9" x14ac:dyDescent="0.3">
      <c r="A4449" s="26">
        <v>45165</v>
      </c>
      <c r="B4449" s="27" t="s">
        <v>120</v>
      </c>
      <c r="C4449" s="27" t="s">
        <v>20</v>
      </c>
      <c r="D4449" s="27" t="s">
        <v>21</v>
      </c>
      <c r="E4449" s="28">
        <v>38957</v>
      </c>
      <c r="F4449" s="28">
        <v>102079</v>
      </c>
      <c r="G4449" s="27" t="s">
        <v>17</v>
      </c>
      <c r="H4449" s="27" t="s">
        <v>698</v>
      </c>
      <c r="I4449" s="27" t="s">
        <v>13</v>
      </c>
    </row>
    <row r="4450" spans="1:9" x14ac:dyDescent="0.3">
      <c r="A4450" s="26">
        <v>45165</v>
      </c>
      <c r="B4450" s="27" t="s">
        <v>120</v>
      </c>
      <c r="C4450" s="27" t="s">
        <v>20</v>
      </c>
      <c r="D4450" s="27" t="s">
        <v>21</v>
      </c>
      <c r="E4450" s="28">
        <v>141128</v>
      </c>
      <c r="F4450" s="28">
        <v>120568</v>
      </c>
      <c r="G4450" s="27" t="s">
        <v>11</v>
      </c>
      <c r="H4450" s="27" t="s">
        <v>1944</v>
      </c>
      <c r="I4450" s="27" t="s">
        <v>13</v>
      </c>
    </row>
    <row r="4451" spans="1:9" x14ac:dyDescent="0.3">
      <c r="A4451" s="26">
        <v>45165</v>
      </c>
      <c r="B4451" s="27" t="s">
        <v>120</v>
      </c>
      <c r="C4451" s="27" t="s">
        <v>14</v>
      </c>
      <c r="D4451" s="27" t="s">
        <v>19</v>
      </c>
      <c r="E4451" s="28">
        <v>14502</v>
      </c>
      <c r="F4451" s="28">
        <v>68722</v>
      </c>
      <c r="G4451" s="27" t="s">
        <v>17</v>
      </c>
      <c r="H4451" s="27" t="s">
        <v>2335</v>
      </c>
      <c r="I4451" s="27" t="s">
        <v>13</v>
      </c>
    </row>
    <row r="4452" spans="1:9" x14ac:dyDescent="0.3">
      <c r="A4452" s="26">
        <v>45165</v>
      </c>
      <c r="B4452" s="27" t="s">
        <v>120</v>
      </c>
      <c r="C4452" s="27" t="s">
        <v>20</v>
      </c>
      <c r="D4452" s="27" t="s">
        <v>7</v>
      </c>
      <c r="E4452" s="28">
        <v>111996</v>
      </c>
      <c r="F4452" s="28">
        <v>127976</v>
      </c>
      <c r="G4452" s="27" t="s">
        <v>11</v>
      </c>
      <c r="H4452" s="27" t="s">
        <v>2508</v>
      </c>
      <c r="I4452" s="27" t="s">
        <v>13</v>
      </c>
    </row>
    <row r="4453" spans="1:9" x14ac:dyDescent="0.3">
      <c r="A4453" s="26">
        <v>45165</v>
      </c>
      <c r="B4453" s="27" t="s">
        <v>120</v>
      </c>
      <c r="C4453" s="27" t="s">
        <v>18</v>
      </c>
      <c r="D4453" s="27" t="s">
        <v>24</v>
      </c>
      <c r="E4453" s="28">
        <v>144562</v>
      </c>
      <c r="F4453" s="28">
        <v>152529</v>
      </c>
      <c r="G4453" s="27" t="s">
        <v>22</v>
      </c>
      <c r="H4453" s="27" t="s">
        <v>2959</v>
      </c>
      <c r="I4453" s="27" t="s">
        <v>13</v>
      </c>
    </row>
    <row r="4454" spans="1:9" x14ac:dyDescent="0.3">
      <c r="A4454" s="26">
        <v>45165</v>
      </c>
      <c r="B4454" s="27" t="s">
        <v>120</v>
      </c>
      <c r="C4454" s="27" t="s">
        <v>20</v>
      </c>
      <c r="D4454" s="27" t="s">
        <v>19</v>
      </c>
      <c r="E4454" s="28">
        <v>76101</v>
      </c>
      <c r="F4454" s="28">
        <v>50680</v>
      </c>
      <c r="G4454" s="27" t="s">
        <v>8</v>
      </c>
      <c r="H4454" s="27" t="s">
        <v>3119</v>
      </c>
      <c r="I4454" s="27" t="s">
        <v>13</v>
      </c>
    </row>
    <row r="4455" spans="1:9" x14ac:dyDescent="0.3">
      <c r="A4455" s="26">
        <v>45165</v>
      </c>
      <c r="B4455" s="27" t="s">
        <v>120</v>
      </c>
      <c r="C4455" s="27" t="s">
        <v>15</v>
      </c>
      <c r="D4455" s="27" t="s">
        <v>21</v>
      </c>
      <c r="E4455" s="28">
        <v>136997</v>
      </c>
      <c r="F4455" s="28">
        <v>114065</v>
      </c>
      <c r="G4455" s="27" t="s">
        <v>22</v>
      </c>
      <c r="H4455" s="27" t="s">
        <v>3287</v>
      </c>
      <c r="I4455" s="27" t="s">
        <v>13</v>
      </c>
    </row>
    <row r="4456" spans="1:9" x14ac:dyDescent="0.3">
      <c r="A4456" s="26">
        <v>45165</v>
      </c>
      <c r="B4456" s="27" t="s">
        <v>120</v>
      </c>
      <c r="C4456" s="27" t="s">
        <v>6</v>
      </c>
      <c r="D4456" s="27" t="s">
        <v>16</v>
      </c>
      <c r="E4456" s="28">
        <v>125400</v>
      </c>
      <c r="F4456" s="28">
        <v>131300</v>
      </c>
      <c r="G4456" s="27" t="s">
        <v>22</v>
      </c>
      <c r="H4456" s="27" t="s">
        <v>3760</v>
      </c>
      <c r="I4456" s="27" t="s">
        <v>9</v>
      </c>
    </row>
    <row r="4457" spans="1:9" x14ac:dyDescent="0.3">
      <c r="A4457" s="26">
        <v>45165</v>
      </c>
      <c r="B4457" s="27" t="s">
        <v>120</v>
      </c>
      <c r="C4457" s="27" t="s">
        <v>6</v>
      </c>
      <c r="D4457" s="27" t="s">
        <v>7</v>
      </c>
      <c r="E4457" s="28">
        <v>164400</v>
      </c>
      <c r="F4457" s="28">
        <v>183700</v>
      </c>
      <c r="G4457" s="27" t="s">
        <v>17</v>
      </c>
      <c r="H4457" s="27" t="s">
        <v>3986</v>
      </c>
      <c r="I4457" s="27" t="s">
        <v>9</v>
      </c>
    </row>
    <row r="4458" spans="1:9" x14ac:dyDescent="0.3">
      <c r="A4458" s="26">
        <v>45165</v>
      </c>
      <c r="B4458" s="27" t="s">
        <v>120</v>
      </c>
      <c r="C4458" s="27" t="s">
        <v>93</v>
      </c>
      <c r="D4458" s="27" t="s">
        <v>21</v>
      </c>
      <c r="E4458" s="28">
        <v>106500</v>
      </c>
      <c r="F4458" s="28">
        <v>80700</v>
      </c>
      <c r="G4458" s="27" t="s">
        <v>17</v>
      </c>
      <c r="H4458" s="27" t="s">
        <v>4054</v>
      </c>
      <c r="I4458" s="27" t="s">
        <v>9</v>
      </c>
    </row>
    <row r="4459" spans="1:9" x14ac:dyDescent="0.3">
      <c r="A4459" s="26">
        <v>45165</v>
      </c>
      <c r="B4459" s="27" t="s">
        <v>120</v>
      </c>
      <c r="C4459" s="27" t="s">
        <v>93</v>
      </c>
      <c r="D4459" s="27" t="s">
        <v>21</v>
      </c>
      <c r="E4459" s="28">
        <v>168300</v>
      </c>
      <c r="F4459" s="28">
        <v>147000</v>
      </c>
      <c r="G4459" s="27" t="s">
        <v>17</v>
      </c>
      <c r="H4459" s="27" t="s">
        <v>4079</v>
      </c>
      <c r="I4459" s="27" t="s">
        <v>9</v>
      </c>
    </row>
    <row r="4460" spans="1:9" x14ac:dyDescent="0.3">
      <c r="A4460" s="26">
        <v>45165</v>
      </c>
      <c r="B4460" s="27" t="s">
        <v>120</v>
      </c>
      <c r="C4460" s="27" t="s">
        <v>6</v>
      </c>
      <c r="D4460" s="27" t="s">
        <v>21</v>
      </c>
      <c r="E4460" s="28">
        <v>267400</v>
      </c>
      <c r="F4460" s="28">
        <v>323200</v>
      </c>
      <c r="G4460" s="27" t="s">
        <v>11</v>
      </c>
      <c r="H4460" s="27" t="s">
        <v>5328</v>
      </c>
      <c r="I4460" s="27" t="s">
        <v>9</v>
      </c>
    </row>
    <row r="4461" spans="1:9" x14ac:dyDescent="0.3">
      <c r="A4461" s="26">
        <v>45165</v>
      </c>
      <c r="B4461" s="27" t="s">
        <v>120</v>
      </c>
      <c r="C4461" s="27" t="s">
        <v>6</v>
      </c>
      <c r="D4461" s="27" t="s">
        <v>19</v>
      </c>
      <c r="E4461" s="28">
        <v>90200</v>
      </c>
      <c r="F4461" s="28">
        <v>80000</v>
      </c>
      <c r="G4461" s="27" t="s">
        <v>11</v>
      </c>
      <c r="H4461" s="27" t="s">
        <v>5720</v>
      </c>
      <c r="I4461" s="27" t="s">
        <v>9</v>
      </c>
    </row>
    <row r="4462" spans="1:9" x14ac:dyDescent="0.3">
      <c r="A4462" s="26">
        <v>45165</v>
      </c>
      <c r="B4462" s="27" t="s">
        <v>120</v>
      </c>
      <c r="C4462" s="27" t="s">
        <v>93</v>
      </c>
      <c r="D4462" s="27" t="s">
        <v>7</v>
      </c>
      <c r="E4462" s="28">
        <v>137700</v>
      </c>
      <c r="F4462" s="28">
        <v>123300</v>
      </c>
      <c r="G4462" s="27" t="s">
        <v>11</v>
      </c>
      <c r="H4462" s="27" t="s">
        <v>5893</v>
      </c>
      <c r="I4462" s="27" t="s">
        <v>9</v>
      </c>
    </row>
    <row r="4463" spans="1:9" x14ac:dyDescent="0.3">
      <c r="A4463" s="26">
        <v>45165</v>
      </c>
      <c r="B4463" s="27" t="s">
        <v>120</v>
      </c>
      <c r="C4463" s="27" t="s">
        <v>93</v>
      </c>
      <c r="D4463" s="27" t="s">
        <v>24</v>
      </c>
      <c r="E4463" s="28">
        <v>101700</v>
      </c>
      <c r="F4463" s="28">
        <v>98100</v>
      </c>
      <c r="G4463" s="27" t="s">
        <v>11</v>
      </c>
      <c r="H4463" s="27" t="s">
        <v>6344</v>
      </c>
      <c r="I4463" s="27" t="s">
        <v>9</v>
      </c>
    </row>
    <row r="4464" spans="1:9" x14ac:dyDescent="0.3">
      <c r="A4464" s="26">
        <v>45165</v>
      </c>
      <c r="B4464" s="27" t="s">
        <v>120</v>
      </c>
      <c r="C4464" s="27" t="s">
        <v>6</v>
      </c>
      <c r="D4464" s="27" t="s">
        <v>19</v>
      </c>
      <c r="E4464" s="28">
        <v>388600</v>
      </c>
      <c r="F4464" s="28">
        <v>444600</v>
      </c>
      <c r="G4464" s="27" t="s">
        <v>17</v>
      </c>
      <c r="H4464" s="27" t="s">
        <v>6504</v>
      </c>
      <c r="I4464" s="27" t="s">
        <v>9</v>
      </c>
    </row>
    <row r="4465" spans="1:9" x14ac:dyDescent="0.3">
      <c r="A4465" s="26">
        <v>45165</v>
      </c>
      <c r="B4465" s="27" t="s">
        <v>120</v>
      </c>
      <c r="C4465" s="27" t="s">
        <v>6</v>
      </c>
      <c r="D4465" s="27" t="s">
        <v>21</v>
      </c>
      <c r="E4465" s="28">
        <v>103400</v>
      </c>
      <c r="F4465" s="28">
        <v>103800</v>
      </c>
      <c r="G4465" s="27" t="s">
        <v>17</v>
      </c>
      <c r="H4465" s="27" t="s">
        <v>6672</v>
      </c>
      <c r="I4465" s="27" t="s">
        <v>9</v>
      </c>
    </row>
    <row r="4466" spans="1:9" x14ac:dyDescent="0.3">
      <c r="A4466" s="26">
        <v>45166</v>
      </c>
      <c r="B4466" s="27" t="s">
        <v>120</v>
      </c>
      <c r="C4466" s="27" t="s">
        <v>18</v>
      </c>
      <c r="D4466" s="27" t="s">
        <v>16</v>
      </c>
      <c r="E4466" s="28">
        <v>23251</v>
      </c>
      <c r="F4466" s="28">
        <v>19016</v>
      </c>
      <c r="G4466" s="27" t="s">
        <v>22</v>
      </c>
      <c r="H4466" s="27" t="s">
        <v>204</v>
      </c>
      <c r="I4466" s="27" t="s">
        <v>13</v>
      </c>
    </row>
    <row r="4467" spans="1:9" x14ac:dyDescent="0.3">
      <c r="A4467" s="26">
        <v>45166</v>
      </c>
      <c r="B4467" s="27" t="s">
        <v>120</v>
      </c>
      <c r="C4467" s="27" t="s">
        <v>15</v>
      </c>
      <c r="D4467" s="27" t="s">
        <v>16</v>
      </c>
      <c r="E4467" s="28">
        <v>73798</v>
      </c>
      <c r="F4467" s="28">
        <v>91001</v>
      </c>
      <c r="G4467" s="27" t="s">
        <v>8</v>
      </c>
      <c r="H4467" s="27" t="s">
        <v>1526</v>
      </c>
      <c r="I4467" s="27" t="s">
        <v>13</v>
      </c>
    </row>
    <row r="4468" spans="1:9" x14ac:dyDescent="0.3">
      <c r="A4468" s="26">
        <v>45166</v>
      </c>
      <c r="B4468" s="27" t="s">
        <v>120</v>
      </c>
      <c r="C4468" s="27" t="s">
        <v>15</v>
      </c>
      <c r="D4468" s="27" t="s">
        <v>19</v>
      </c>
      <c r="E4468" s="28">
        <v>108018</v>
      </c>
      <c r="F4468" s="28">
        <v>95320</v>
      </c>
      <c r="G4468" s="27" t="s">
        <v>22</v>
      </c>
      <c r="H4468" s="27" t="s">
        <v>2023</v>
      </c>
      <c r="I4468" s="27" t="s">
        <v>13</v>
      </c>
    </row>
    <row r="4469" spans="1:9" x14ac:dyDescent="0.3">
      <c r="A4469" s="26">
        <v>45166</v>
      </c>
      <c r="B4469" s="27" t="s">
        <v>120</v>
      </c>
      <c r="C4469" s="27" t="s">
        <v>20</v>
      </c>
      <c r="D4469" s="27" t="s">
        <v>7</v>
      </c>
      <c r="E4469" s="28">
        <v>61121</v>
      </c>
      <c r="F4469" s="28">
        <v>88002</v>
      </c>
      <c r="G4469" s="27" t="s">
        <v>17</v>
      </c>
      <c r="H4469" s="27" t="s">
        <v>2054</v>
      </c>
      <c r="I4469" s="27" t="s">
        <v>13</v>
      </c>
    </row>
    <row r="4470" spans="1:9" x14ac:dyDescent="0.3">
      <c r="A4470" s="26">
        <v>45166</v>
      </c>
      <c r="B4470" s="27" t="s">
        <v>120</v>
      </c>
      <c r="C4470" s="27" t="s">
        <v>10</v>
      </c>
      <c r="D4470" s="27" t="s">
        <v>16</v>
      </c>
      <c r="E4470" s="28">
        <v>73356</v>
      </c>
      <c r="F4470" s="28">
        <v>137097</v>
      </c>
      <c r="G4470" s="27" t="s">
        <v>22</v>
      </c>
      <c r="H4470" s="27" t="s">
        <v>2058</v>
      </c>
      <c r="I4470" s="27" t="s">
        <v>13</v>
      </c>
    </row>
    <row r="4471" spans="1:9" x14ac:dyDescent="0.3">
      <c r="A4471" s="26">
        <v>45166</v>
      </c>
      <c r="B4471" s="27" t="s">
        <v>120</v>
      </c>
      <c r="C4471" s="27" t="s">
        <v>15</v>
      </c>
      <c r="D4471" s="27" t="s">
        <v>21</v>
      </c>
      <c r="E4471" s="28">
        <v>108736</v>
      </c>
      <c r="F4471" s="28">
        <v>152322</v>
      </c>
      <c r="G4471" s="27" t="s">
        <v>11</v>
      </c>
      <c r="H4471" s="27" t="s">
        <v>2912</v>
      </c>
      <c r="I4471" s="27" t="s">
        <v>13</v>
      </c>
    </row>
    <row r="4472" spans="1:9" x14ac:dyDescent="0.3">
      <c r="A4472" s="26">
        <v>45166</v>
      </c>
      <c r="B4472" s="27" t="s">
        <v>120</v>
      </c>
      <c r="C4472" s="27" t="s">
        <v>20</v>
      </c>
      <c r="D4472" s="27" t="s">
        <v>7</v>
      </c>
      <c r="E4472" s="28">
        <v>116383</v>
      </c>
      <c r="F4472" s="28">
        <v>95890</v>
      </c>
      <c r="G4472" s="27" t="s">
        <v>22</v>
      </c>
      <c r="H4472" s="27" t="s">
        <v>2934</v>
      </c>
      <c r="I4472" s="27" t="s">
        <v>13</v>
      </c>
    </row>
    <row r="4473" spans="1:9" x14ac:dyDescent="0.3">
      <c r="A4473" s="26">
        <v>45166</v>
      </c>
      <c r="B4473" s="27" t="s">
        <v>120</v>
      </c>
      <c r="C4473" s="27" t="s">
        <v>20</v>
      </c>
      <c r="D4473" s="27" t="s">
        <v>16</v>
      </c>
      <c r="E4473" s="28">
        <v>65845</v>
      </c>
      <c r="F4473" s="28">
        <v>43662</v>
      </c>
      <c r="G4473" s="27" t="s">
        <v>22</v>
      </c>
      <c r="H4473" s="27" t="s">
        <v>3109</v>
      </c>
      <c r="I4473" s="27" t="s">
        <v>13</v>
      </c>
    </row>
    <row r="4474" spans="1:9" x14ac:dyDescent="0.3">
      <c r="A4474" s="26">
        <v>45166</v>
      </c>
      <c r="B4474" s="27" t="s">
        <v>120</v>
      </c>
      <c r="C4474" s="27" t="s">
        <v>6</v>
      </c>
      <c r="D4474" s="27" t="s">
        <v>16</v>
      </c>
      <c r="E4474" s="28">
        <v>112000</v>
      </c>
      <c r="F4474" s="28">
        <v>119400</v>
      </c>
      <c r="G4474" s="27" t="s">
        <v>11</v>
      </c>
      <c r="H4474" s="27" t="s">
        <v>3585</v>
      </c>
      <c r="I4474" s="27" t="s">
        <v>9</v>
      </c>
    </row>
    <row r="4475" spans="1:9" x14ac:dyDescent="0.3">
      <c r="A4475" s="26">
        <v>45166</v>
      </c>
      <c r="B4475" s="27" t="s">
        <v>120</v>
      </c>
      <c r="C4475" s="27" t="s">
        <v>93</v>
      </c>
      <c r="D4475" s="27" t="s">
        <v>16</v>
      </c>
      <c r="E4475" s="28">
        <v>149000</v>
      </c>
      <c r="F4475" s="28">
        <v>124700</v>
      </c>
      <c r="G4475" s="27" t="s">
        <v>11</v>
      </c>
      <c r="H4475" s="27" t="s">
        <v>4909</v>
      </c>
      <c r="I4475" s="27" t="s">
        <v>9</v>
      </c>
    </row>
    <row r="4476" spans="1:9" x14ac:dyDescent="0.3">
      <c r="A4476" s="26">
        <v>45166</v>
      </c>
      <c r="B4476" s="27" t="s">
        <v>120</v>
      </c>
      <c r="C4476" s="27" t="s">
        <v>6</v>
      </c>
      <c r="D4476" s="27" t="s">
        <v>19</v>
      </c>
      <c r="E4476" s="28">
        <v>53900</v>
      </c>
      <c r="F4476" s="28">
        <v>49000</v>
      </c>
      <c r="G4476" s="27" t="s">
        <v>11</v>
      </c>
      <c r="H4476" s="27" t="s">
        <v>5407</v>
      </c>
      <c r="I4476" s="27" t="s">
        <v>9</v>
      </c>
    </row>
    <row r="4477" spans="1:9" x14ac:dyDescent="0.3">
      <c r="A4477" s="26">
        <v>45166</v>
      </c>
      <c r="B4477" s="27" t="s">
        <v>120</v>
      </c>
      <c r="C4477" s="27" t="s">
        <v>6</v>
      </c>
      <c r="D4477" s="27" t="s">
        <v>7</v>
      </c>
      <c r="E4477" s="28">
        <v>65500</v>
      </c>
      <c r="F4477" s="28">
        <v>70800</v>
      </c>
      <c r="G4477" s="27" t="s">
        <v>22</v>
      </c>
      <c r="H4477" s="27" t="s">
        <v>5438</v>
      </c>
      <c r="I4477" s="27" t="s">
        <v>9</v>
      </c>
    </row>
    <row r="4478" spans="1:9" x14ac:dyDescent="0.3">
      <c r="A4478" s="26">
        <v>45166</v>
      </c>
      <c r="B4478" s="27" t="s">
        <v>120</v>
      </c>
      <c r="C4478" s="27" t="s">
        <v>93</v>
      </c>
      <c r="D4478" s="27" t="s">
        <v>16</v>
      </c>
      <c r="E4478" s="28">
        <v>93100</v>
      </c>
      <c r="F4478" s="28">
        <v>75500</v>
      </c>
      <c r="G4478" s="27" t="s">
        <v>17</v>
      </c>
      <c r="H4478" s="27" t="s">
        <v>5442</v>
      </c>
      <c r="I4478" s="27" t="s">
        <v>9</v>
      </c>
    </row>
    <row r="4479" spans="1:9" x14ac:dyDescent="0.3">
      <c r="A4479" s="26">
        <v>45166</v>
      </c>
      <c r="B4479" s="27" t="s">
        <v>120</v>
      </c>
      <c r="C4479" s="27" t="s">
        <v>93</v>
      </c>
      <c r="D4479" s="27" t="s">
        <v>21</v>
      </c>
      <c r="E4479" s="28">
        <v>106400</v>
      </c>
      <c r="F4479" s="28">
        <v>117000</v>
      </c>
      <c r="G4479" s="27" t="s">
        <v>22</v>
      </c>
      <c r="H4479" s="27" t="s">
        <v>6297</v>
      </c>
      <c r="I4479" s="27" t="s">
        <v>9</v>
      </c>
    </row>
    <row r="4480" spans="1:9" x14ac:dyDescent="0.3">
      <c r="A4480" s="26">
        <v>45166</v>
      </c>
      <c r="B4480" s="27" t="s">
        <v>120</v>
      </c>
      <c r="C4480" s="27" t="s">
        <v>6</v>
      </c>
      <c r="D4480" s="27" t="s">
        <v>7</v>
      </c>
      <c r="E4480" s="28">
        <v>134300</v>
      </c>
      <c r="F4480" s="28">
        <v>120700</v>
      </c>
      <c r="G4480" s="27" t="s">
        <v>17</v>
      </c>
      <c r="H4480" s="27" t="s">
        <v>6319</v>
      </c>
      <c r="I4480" s="27" t="s">
        <v>9</v>
      </c>
    </row>
    <row r="4481" spans="1:9" x14ac:dyDescent="0.3">
      <c r="A4481" s="26">
        <v>45166</v>
      </c>
      <c r="B4481" s="27" t="s">
        <v>120</v>
      </c>
      <c r="C4481" s="27" t="s">
        <v>6</v>
      </c>
      <c r="D4481" s="27" t="s">
        <v>16</v>
      </c>
      <c r="E4481" s="28">
        <v>92300</v>
      </c>
      <c r="F4481" s="28">
        <v>96300</v>
      </c>
      <c r="G4481" s="27" t="s">
        <v>11</v>
      </c>
      <c r="H4481" s="27" t="s">
        <v>6494</v>
      </c>
      <c r="I4481" s="27" t="s">
        <v>9</v>
      </c>
    </row>
    <row r="4482" spans="1:9" x14ac:dyDescent="0.3">
      <c r="A4482" s="26">
        <v>45167</v>
      </c>
      <c r="B4482" s="27" t="s">
        <v>120</v>
      </c>
      <c r="C4482" s="27" t="s">
        <v>10</v>
      </c>
      <c r="D4482" s="27" t="s">
        <v>21</v>
      </c>
      <c r="E4482" s="28">
        <v>84951</v>
      </c>
      <c r="F4482" s="28">
        <v>166392</v>
      </c>
      <c r="G4482" s="27" t="s">
        <v>17</v>
      </c>
      <c r="H4482" s="27" t="s">
        <v>246</v>
      </c>
      <c r="I4482" s="27" t="s">
        <v>13</v>
      </c>
    </row>
    <row r="4483" spans="1:9" x14ac:dyDescent="0.3">
      <c r="A4483" s="26">
        <v>45167</v>
      </c>
      <c r="B4483" s="27" t="s">
        <v>120</v>
      </c>
      <c r="C4483" s="27" t="s">
        <v>18</v>
      </c>
      <c r="D4483" s="27" t="s">
        <v>16</v>
      </c>
      <c r="E4483" s="28">
        <v>45507</v>
      </c>
      <c r="F4483" s="28">
        <v>149059</v>
      </c>
      <c r="G4483" s="27" t="s">
        <v>22</v>
      </c>
      <c r="H4483" s="27" t="s">
        <v>568</v>
      </c>
      <c r="I4483" s="27" t="s">
        <v>13</v>
      </c>
    </row>
    <row r="4484" spans="1:9" x14ac:dyDescent="0.3">
      <c r="A4484" s="26">
        <v>45167</v>
      </c>
      <c r="B4484" s="27" t="s">
        <v>120</v>
      </c>
      <c r="C4484" s="27" t="s">
        <v>10</v>
      </c>
      <c r="D4484" s="27" t="s">
        <v>19</v>
      </c>
      <c r="E4484" s="28">
        <v>127177</v>
      </c>
      <c r="F4484" s="28">
        <v>149314</v>
      </c>
      <c r="G4484" s="27" t="s">
        <v>11</v>
      </c>
      <c r="H4484" s="27" t="s">
        <v>629</v>
      </c>
      <c r="I4484" s="27" t="s">
        <v>13</v>
      </c>
    </row>
    <row r="4485" spans="1:9" x14ac:dyDescent="0.3">
      <c r="A4485" s="26">
        <v>45167</v>
      </c>
      <c r="B4485" s="27" t="s">
        <v>120</v>
      </c>
      <c r="C4485" s="27" t="s">
        <v>14</v>
      </c>
      <c r="D4485" s="27" t="s">
        <v>24</v>
      </c>
      <c r="E4485" s="28">
        <v>47603</v>
      </c>
      <c r="F4485" s="28">
        <v>121260</v>
      </c>
      <c r="G4485" s="27" t="s">
        <v>22</v>
      </c>
      <c r="H4485" s="27" t="s">
        <v>803</v>
      </c>
      <c r="I4485" s="27" t="s">
        <v>13</v>
      </c>
    </row>
    <row r="4486" spans="1:9" x14ac:dyDescent="0.3">
      <c r="A4486" s="26">
        <v>45167</v>
      </c>
      <c r="B4486" s="27" t="s">
        <v>120</v>
      </c>
      <c r="C4486" s="27" t="s">
        <v>20</v>
      </c>
      <c r="D4486" s="27" t="s">
        <v>19</v>
      </c>
      <c r="E4486" s="28">
        <v>35394</v>
      </c>
      <c r="F4486" s="28">
        <v>126063</v>
      </c>
      <c r="G4486" s="27" t="s">
        <v>22</v>
      </c>
      <c r="H4486" s="27" t="s">
        <v>1902</v>
      </c>
      <c r="I4486" s="27" t="s">
        <v>13</v>
      </c>
    </row>
    <row r="4487" spans="1:9" x14ac:dyDescent="0.3">
      <c r="A4487" s="26">
        <v>45167</v>
      </c>
      <c r="B4487" s="27" t="s">
        <v>120</v>
      </c>
      <c r="C4487" s="27" t="s">
        <v>20</v>
      </c>
      <c r="D4487" s="27" t="s">
        <v>7</v>
      </c>
      <c r="E4487" s="28">
        <v>110136</v>
      </c>
      <c r="F4487" s="28">
        <v>156765</v>
      </c>
      <c r="G4487" s="27" t="s">
        <v>11</v>
      </c>
      <c r="H4487" s="27" t="s">
        <v>2573</v>
      </c>
      <c r="I4487" s="27" t="s">
        <v>13</v>
      </c>
    </row>
    <row r="4488" spans="1:9" x14ac:dyDescent="0.3">
      <c r="A4488" s="26">
        <v>45167</v>
      </c>
      <c r="B4488" s="27" t="s">
        <v>120</v>
      </c>
      <c r="C4488" s="27" t="s">
        <v>15</v>
      </c>
      <c r="D4488" s="27" t="s">
        <v>7</v>
      </c>
      <c r="E4488" s="28">
        <v>59544</v>
      </c>
      <c r="F4488" s="28">
        <v>9906</v>
      </c>
      <c r="G4488" s="27" t="s">
        <v>11</v>
      </c>
      <c r="H4488" s="27" t="s">
        <v>3134</v>
      </c>
      <c r="I4488" s="27" t="s">
        <v>13</v>
      </c>
    </row>
    <row r="4489" spans="1:9" x14ac:dyDescent="0.3">
      <c r="A4489" s="26">
        <v>45167</v>
      </c>
      <c r="B4489" s="27" t="s">
        <v>120</v>
      </c>
      <c r="C4489" s="27" t="s">
        <v>93</v>
      </c>
      <c r="D4489" s="27" t="s">
        <v>21</v>
      </c>
      <c r="E4489" s="28">
        <v>99300</v>
      </c>
      <c r="F4489" s="28">
        <v>84000</v>
      </c>
      <c r="G4489" s="27" t="s">
        <v>22</v>
      </c>
      <c r="H4489" s="27" t="s">
        <v>3627</v>
      </c>
      <c r="I4489" s="27" t="s">
        <v>9</v>
      </c>
    </row>
    <row r="4490" spans="1:9" x14ac:dyDescent="0.3">
      <c r="A4490" s="26">
        <v>45167</v>
      </c>
      <c r="B4490" s="27" t="s">
        <v>120</v>
      </c>
      <c r="C4490" s="27" t="s">
        <v>6</v>
      </c>
      <c r="D4490" s="27" t="s">
        <v>16</v>
      </c>
      <c r="E4490" s="28">
        <v>98900</v>
      </c>
      <c r="F4490" s="28">
        <v>105300</v>
      </c>
      <c r="G4490" s="27" t="s">
        <v>22</v>
      </c>
      <c r="H4490" s="27" t="s">
        <v>3949</v>
      </c>
      <c r="I4490" s="27" t="s">
        <v>9</v>
      </c>
    </row>
    <row r="4491" spans="1:9" x14ac:dyDescent="0.3">
      <c r="A4491" s="26">
        <v>45167</v>
      </c>
      <c r="B4491" s="27" t="s">
        <v>120</v>
      </c>
      <c r="C4491" s="27" t="s">
        <v>93</v>
      </c>
      <c r="D4491" s="27" t="s">
        <v>19</v>
      </c>
      <c r="E4491" s="28">
        <v>118600</v>
      </c>
      <c r="F4491" s="28">
        <v>155800</v>
      </c>
      <c r="G4491" s="27" t="s">
        <v>22</v>
      </c>
      <c r="H4491" s="27" t="s">
        <v>4010</v>
      </c>
      <c r="I4491" s="27" t="s">
        <v>9</v>
      </c>
    </row>
    <row r="4492" spans="1:9" x14ac:dyDescent="0.3">
      <c r="A4492" s="26">
        <v>45167</v>
      </c>
      <c r="B4492" s="27" t="s">
        <v>120</v>
      </c>
      <c r="C4492" s="27" t="s">
        <v>6</v>
      </c>
      <c r="D4492" s="27" t="s">
        <v>24</v>
      </c>
      <c r="E4492" s="28">
        <v>117800</v>
      </c>
      <c r="F4492" s="28">
        <v>118500</v>
      </c>
      <c r="G4492" s="27" t="s">
        <v>11</v>
      </c>
      <c r="H4492" s="27" t="s">
        <v>4184</v>
      </c>
      <c r="I4492" s="27" t="s">
        <v>9</v>
      </c>
    </row>
    <row r="4493" spans="1:9" x14ac:dyDescent="0.3">
      <c r="A4493" s="26">
        <v>45167</v>
      </c>
      <c r="B4493" s="27" t="s">
        <v>120</v>
      </c>
      <c r="C4493" s="27" t="s">
        <v>93</v>
      </c>
      <c r="D4493" s="27" t="s">
        <v>19</v>
      </c>
      <c r="E4493" s="28">
        <v>132100</v>
      </c>
      <c r="F4493" s="28">
        <v>167400</v>
      </c>
      <c r="G4493" s="27" t="s">
        <v>22</v>
      </c>
      <c r="H4493" s="27" t="s">
        <v>5286</v>
      </c>
      <c r="I4493" s="27" t="s">
        <v>9</v>
      </c>
    </row>
    <row r="4494" spans="1:9" x14ac:dyDescent="0.3">
      <c r="A4494" s="26">
        <v>45167</v>
      </c>
      <c r="B4494" s="27" t="s">
        <v>120</v>
      </c>
      <c r="C4494" s="27" t="s">
        <v>6</v>
      </c>
      <c r="D4494" s="27" t="s">
        <v>7</v>
      </c>
      <c r="E4494" s="28">
        <v>113400</v>
      </c>
      <c r="F4494" s="28">
        <v>132100</v>
      </c>
      <c r="G4494" s="27" t="s">
        <v>17</v>
      </c>
      <c r="H4494" s="27" t="s">
        <v>5958</v>
      </c>
      <c r="I4494" s="27" t="s">
        <v>9</v>
      </c>
    </row>
    <row r="4495" spans="1:9" x14ac:dyDescent="0.3">
      <c r="A4495" s="26">
        <v>45167</v>
      </c>
      <c r="B4495" s="27" t="s">
        <v>120</v>
      </c>
      <c r="C4495" s="27" t="s">
        <v>6</v>
      </c>
      <c r="D4495" s="27" t="s">
        <v>7</v>
      </c>
      <c r="E4495" s="28">
        <v>101300</v>
      </c>
      <c r="F4495" s="28">
        <v>87800</v>
      </c>
      <c r="G4495" s="27" t="s">
        <v>11</v>
      </c>
      <c r="H4495" s="27" t="s">
        <v>6519</v>
      </c>
      <c r="I4495" s="27" t="s">
        <v>9</v>
      </c>
    </row>
    <row r="4496" spans="1:9" x14ac:dyDescent="0.3">
      <c r="A4496" s="26">
        <v>45168</v>
      </c>
      <c r="B4496" s="27" t="s">
        <v>120</v>
      </c>
      <c r="C4496" s="27" t="s">
        <v>32</v>
      </c>
      <c r="D4496" s="27" t="s">
        <v>19</v>
      </c>
      <c r="E4496" s="28">
        <v>66925</v>
      </c>
      <c r="F4496" s="28">
        <v>86117</v>
      </c>
      <c r="G4496" s="27" t="s">
        <v>8</v>
      </c>
      <c r="H4496" s="27" t="s">
        <v>158</v>
      </c>
      <c r="I4496" s="27" t="s">
        <v>13</v>
      </c>
    </row>
    <row r="4497" spans="1:9" x14ac:dyDescent="0.3">
      <c r="A4497" s="26">
        <v>45168</v>
      </c>
      <c r="B4497" s="27" t="s">
        <v>120</v>
      </c>
      <c r="C4497" s="27" t="s">
        <v>15</v>
      </c>
      <c r="D4497" s="27" t="s">
        <v>24</v>
      </c>
      <c r="E4497" s="28">
        <v>43755</v>
      </c>
      <c r="F4497" s="28">
        <v>41434</v>
      </c>
      <c r="G4497" s="27" t="s">
        <v>8</v>
      </c>
      <c r="H4497" s="27" t="s">
        <v>251</v>
      </c>
      <c r="I4497" s="27" t="s">
        <v>13</v>
      </c>
    </row>
    <row r="4498" spans="1:9" x14ac:dyDescent="0.3">
      <c r="A4498" s="26">
        <v>45168</v>
      </c>
      <c r="B4498" s="27" t="s">
        <v>120</v>
      </c>
      <c r="C4498" s="27" t="s">
        <v>32</v>
      </c>
      <c r="D4498" s="27" t="s">
        <v>7</v>
      </c>
      <c r="E4498" s="28">
        <v>68434</v>
      </c>
      <c r="F4498" s="28">
        <v>113976</v>
      </c>
      <c r="G4498" s="27" t="s">
        <v>22</v>
      </c>
      <c r="H4498" s="27" t="s">
        <v>602</v>
      </c>
      <c r="I4498" s="27" t="s">
        <v>13</v>
      </c>
    </row>
    <row r="4499" spans="1:9" x14ac:dyDescent="0.3">
      <c r="A4499" s="26">
        <v>45168</v>
      </c>
      <c r="B4499" s="27" t="s">
        <v>120</v>
      </c>
      <c r="C4499" s="27" t="s">
        <v>15</v>
      </c>
      <c r="D4499" s="27" t="s">
        <v>16</v>
      </c>
      <c r="E4499" s="28">
        <v>15696</v>
      </c>
      <c r="F4499" s="28">
        <v>9286</v>
      </c>
      <c r="G4499" s="27" t="s">
        <v>8</v>
      </c>
      <c r="H4499" s="27" t="s">
        <v>1356</v>
      </c>
      <c r="I4499" s="27" t="s">
        <v>13</v>
      </c>
    </row>
    <row r="4500" spans="1:9" x14ac:dyDescent="0.3">
      <c r="A4500" s="26">
        <v>45168</v>
      </c>
      <c r="B4500" s="27" t="s">
        <v>120</v>
      </c>
      <c r="C4500" s="27" t="s">
        <v>18</v>
      </c>
      <c r="D4500" s="27" t="s">
        <v>7</v>
      </c>
      <c r="E4500" s="28">
        <v>86656</v>
      </c>
      <c r="F4500" s="28">
        <v>101719</v>
      </c>
      <c r="G4500" s="27" t="s">
        <v>22</v>
      </c>
      <c r="H4500" s="27" t="s">
        <v>1904</v>
      </c>
      <c r="I4500" s="27" t="s">
        <v>13</v>
      </c>
    </row>
    <row r="4501" spans="1:9" x14ac:dyDescent="0.3">
      <c r="A4501" s="26">
        <v>45168</v>
      </c>
      <c r="B4501" s="27" t="s">
        <v>120</v>
      </c>
      <c r="C4501" s="27" t="s">
        <v>20</v>
      </c>
      <c r="D4501" s="27" t="s">
        <v>19</v>
      </c>
      <c r="E4501" s="28">
        <v>81717</v>
      </c>
      <c r="F4501" s="28">
        <v>72183</v>
      </c>
      <c r="G4501" s="27" t="s">
        <v>11</v>
      </c>
      <c r="H4501" s="27" t="s">
        <v>1931</v>
      </c>
      <c r="I4501" s="27" t="s">
        <v>13</v>
      </c>
    </row>
    <row r="4502" spans="1:9" x14ac:dyDescent="0.3">
      <c r="A4502" s="26">
        <v>45168</v>
      </c>
      <c r="B4502" s="27" t="s">
        <v>120</v>
      </c>
      <c r="C4502" s="27" t="s">
        <v>32</v>
      </c>
      <c r="D4502" s="27" t="s">
        <v>7</v>
      </c>
      <c r="E4502" s="28">
        <v>61975</v>
      </c>
      <c r="F4502" s="28">
        <v>64689</v>
      </c>
      <c r="G4502" s="27" t="s">
        <v>17</v>
      </c>
      <c r="H4502" s="27" t="s">
        <v>2432</v>
      </c>
      <c r="I4502" s="27" t="s">
        <v>13</v>
      </c>
    </row>
    <row r="4503" spans="1:9" x14ac:dyDescent="0.3">
      <c r="A4503" s="26">
        <v>45168</v>
      </c>
      <c r="B4503" s="27" t="s">
        <v>120</v>
      </c>
      <c r="C4503" s="27" t="s">
        <v>15</v>
      </c>
      <c r="D4503" s="27" t="s">
        <v>19</v>
      </c>
      <c r="E4503" s="28">
        <v>17624</v>
      </c>
      <c r="F4503" s="28">
        <v>99207</v>
      </c>
      <c r="G4503" s="27" t="s">
        <v>17</v>
      </c>
      <c r="H4503" s="27" t="s">
        <v>2721</v>
      </c>
      <c r="I4503" s="27" t="s">
        <v>13</v>
      </c>
    </row>
    <row r="4504" spans="1:9" x14ac:dyDescent="0.3">
      <c r="A4504" s="26">
        <v>45168</v>
      </c>
      <c r="B4504" s="27" t="s">
        <v>120</v>
      </c>
      <c r="C4504" s="27" t="s">
        <v>20</v>
      </c>
      <c r="D4504" s="27" t="s">
        <v>16</v>
      </c>
      <c r="E4504" s="28">
        <v>129529</v>
      </c>
      <c r="F4504" s="28">
        <v>64282</v>
      </c>
      <c r="G4504" s="27" t="s">
        <v>22</v>
      </c>
      <c r="H4504" s="27" t="s">
        <v>3041</v>
      </c>
      <c r="I4504" s="27" t="s">
        <v>13</v>
      </c>
    </row>
    <row r="4505" spans="1:9" x14ac:dyDescent="0.3">
      <c r="A4505" s="26">
        <v>45168</v>
      </c>
      <c r="B4505" s="27" t="s">
        <v>120</v>
      </c>
      <c r="C4505" s="27" t="s">
        <v>14</v>
      </c>
      <c r="D4505" s="27" t="s">
        <v>21</v>
      </c>
      <c r="E4505" s="28">
        <v>40426</v>
      </c>
      <c r="F4505" s="28">
        <v>141865</v>
      </c>
      <c r="G4505" s="27" t="s">
        <v>11</v>
      </c>
      <c r="H4505" s="27" t="s">
        <v>3400</v>
      </c>
      <c r="I4505" s="27" t="s">
        <v>13</v>
      </c>
    </row>
    <row r="4506" spans="1:9" x14ac:dyDescent="0.3">
      <c r="A4506" s="26">
        <v>45168</v>
      </c>
      <c r="B4506" s="27" t="s">
        <v>120</v>
      </c>
      <c r="C4506" s="27" t="s">
        <v>93</v>
      </c>
      <c r="D4506" s="27" t="s">
        <v>19</v>
      </c>
      <c r="E4506" s="28">
        <v>161000</v>
      </c>
      <c r="F4506" s="28">
        <v>194000</v>
      </c>
      <c r="G4506" s="27" t="s">
        <v>11</v>
      </c>
      <c r="H4506" s="27" t="s">
        <v>3539</v>
      </c>
      <c r="I4506" s="27" t="s">
        <v>9</v>
      </c>
    </row>
    <row r="4507" spans="1:9" x14ac:dyDescent="0.3">
      <c r="A4507" s="26">
        <v>45168</v>
      </c>
      <c r="B4507" s="27" t="s">
        <v>120</v>
      </c>
      <c r="C4507" s="27" t="s">
        <v>93</v>
      </c>
      <c r="D4507" s="27" t="s">
        <v>24</v>
      </c>
      <c r="E4507" s="28">
        <v>178800</v>
      </c>
      <c r="F4507" s="28">
        <v>184800</v>
      </c>
      <c r="G4507" s="27" t="s">
        <v>11</v>
      </c>
      <c r="H4507" s="27" t="s">
        <v>3632</v>
      </c>
      <c r="I4507" s="27" t="s">
        <v>9</v>
      </c>
    </row>
    <row r="4508" spans="1:9" x14ac:dyDescent="0.3">
      <c r="A4508" s="26">
        <v>45168</v>
      </c>
      <c r="B4508" s="27" t="s">
        <v>120</v>
      </c>
      <c r="C4508" s="27" t="s">
        <v>6</v>
      </c>
      <c r="D4508" s="27" t="s">
        <v>7</v>
      </c>
      <c r="E4508" s="28">
        <v>191100</v>
      </c>
      <c r="F4508" s="28">
        <v>205300</v>
      </c>
      <c r="G4508" s="27" t="s">
        <v>11</v>
      </c>
      <c r="H4508" s="27" t="s">
        <v>3983</v>
      </c>
      <c r="I4508" s="27" t="s">
        <v>9</v>
      </c>
    </row>
    <row r="4509" spans="1:9" x14ac:dyDescent="0.3">
      <c r="A4509" s="26">
        <v>45168</v>
      </c>
      <c r="B4509" s="27" t="s">
        <v>120</v>
      </c>
      <c r="C4509" s="27" t="s">
        <v>6</v>
      </c>
      <c r="D4509" s="27" t="s">
        <v>16</v>
      </c>
      <c r="E4509" s="28">
        <v>71600</v>
      </c>
      <c r="F4509" s="28">
        <v>71300</v>
      </c>
      <c r="G4509" s="27" t="s">
        <v>17</v>
      </c>
      <c r="H4509" s="27" t="s">
        <v>4739</v>
      </c>
      <c r="I4509" s="27" t="s">
        <v>9</v>
      </c>
    </row>
    <row r="4510" spans="1:9" x14ac:dyDescent="0.3">
      <c r="A4510" s="26">
        <v>45168</v>
      </c>
      <c r="B4510" s="27" t="s">
        <v>120</v>
      </c>
      <c r="C4510" s="27" t="s">
        <v>93</v>
      </c>
      <c r="D4510" s="27" t="s">
        <v>7</v>
      </c>
      <c r="E4510" s="28">
        <v>90700</v>
      </c>
      <c r="F4510" s="28">
        <v>87600</v>
      </c>
      <c r="G4510" s="27" t="s">
        <v>17</v>
      </c>
      <c r="H4510" s="27" t="s">
        <v>5288</v>
      </c>
      <c r="I4510" s="27" t="s">
        <v>9</v>
      </c>
    </row>
    <row r="4511" spans="1:9" x14ac:dyDescent="0.3">
      <c r="A4511" s="26">
        <v>45168</v>
      </c>
      <c r="B4511" s="27" t="s">
        <v>120</v>
      </c>
      <c r="C4511" s="27" t="s">
        <v>6</v>
      </c>
      <c r="D4511" s="27" t="s">
        <v>19</v>
      </c>
      <c r="E4511" s="28">
        <v>119200</v>
      </c>
      <c r="F4511" s="28">
        <v>154800</v>
      </c>
      <c r="G4511" s="27" t="s">
        <v>11</v>
      </c>
      <c r="H4511" s="27" t="s">
        <v>5315</v>
      </c>
      <c r="I4511" s="27" t="s">
        <v>9</v>
      </c>
    </row>
    <row r="4512" spans="1:9" x14ac:dyDescent="0.3">
      <c r="A4512" s="26">
        <v>45168</v>
      </c>
      <c r="B4512" s="27" t="s">
        <v>120</v>
      </c>
      <c r="C4512" s="27" t="s">
        <v>6</v>
      </c>
      <c r="D4512" s="27" t="s">
        <v>7</v>
      </c>
      <c r="E4512" s="28">
        <v>87300</v>
      </c>
      <c r="F4512" s="28">
        <v>77400</v>
      </c>
      <c r="G4512" s="27" t="s">
        <v>11</v>
      </c>
      <c r="H4512" s="27" t="s">
        <v>5817</v>
      </c>
      <c r="I4512" s="27" t="s">
        <v>9</v>
      </c>
    </row>
    <row r="4513" spans="1:9" x14ac:dyDescent="0.3">
      <c r="A4513" s="26">
        <v>45168</v>
      </c>
      <c r="B4513" s="27" t="s">
        <v>120</v>
      </c>
      <c r="C4513" s="27" t="s">
        <v>6</v>
      </c>
      <c r="D4513" s="27" t="s">
        <v>19</v>
      </c>
      <c r="E4513" s="28">
        <v>182800</v>
      </c>
      <c r="F4513" s="28">
        <v>234400</v>
      </c>
      <c r="G4513" s="27" t="s">
        <v>22</v>
      </c>
      <c r="H4513" s="27" t="s">
        <v>6106</v>
      </c>
      <c r="I4513" s="27" t="s">
        <v>9</v>
      </c>
    </row>
    <row r="4514" spans="1:9" x14ac:dyDescent="0.3">
      <c r="A4514" s="26">
        <v>45168</v>
      </c>
      <c r="B4514" s="27" t="s">
        <v>120</v>
      </c>
      <c r="C4514" s="27" t="s">
        <v>6</v>
      </c>
      <c r="D4514" s="27" t="s">
        <v>16</v>
      </c>
      <c r="E4514" s="28">
        <v>111100</v>
      </c>
      <c r="F4514" s="28">
        <v>111700</v>
      </c>
      <c r="G4514" s="27" t="s">
        <v>17</v>
      </c>
      <c r="H4514" s="27" t="s">
        <v>6426</v>
      </c>
      <c r="I4514" s="27" t="s">
        <v>9</v>
      </c>
    </row>
    <row r="4515" spans="1:9" x14ac:dyDescent="0.3">
      <c r="A4515" s="26">
        <v>45168</v>
      </c>
      <c r="B4515" s="27" t="s">
        <v>120</v>
      </c>
      <c r="C4515" s="27" t="s">
        <v>93</v>
      </c>
      <c r="D4515" s="27" t="s">
        <v>21</v>
      </c>
      <c r="E4515" s="28">
        <v>35900</v>
      </c>
      <c r="F4515" s="28">
        <v>39400</v>
      </c>
      <c r="G4515" s="27" t="s">
        <v>11</v>
      </c>
      <c r="H4515" s="27" t="s">
        <v>6785</v>
      </c>
      <c r="I4515" s="27" t="s">
        <v>9</v>
      </c>
    </row>
    <row r="4516" spans="1:9" x14ac:dyDescent="0.3">
      <c r="A4516" s="26">
        <v>45169</v>
      </c>
      <c r="B4516" s="27" t="s">
        <v>120</v>
      </c>
      <c r="C4516" s="27" t="s">
        <v>20</v>
      </c>
      <c r="D4516" s="27" t="s">
        <v>19</v>
      </c>
      <c r="E4516" s="28">
        <v>106613</v>
      </c>
      <c r="F4516" s="28">
        <v>79734</v>
      </c>
      <c r="G4516" s="27" t="s">
        <v>17</v>
      </c>
      <c r="H4516" s="27" t="s">
        <v>57</v>
      </c>
      <c r="I4516" s="27" t="s">
        <v>13</v>
      </c>
    </row>
    <row r="4517" spans="1:9" x14ac:dyDescent="0.3">
      <c r="A4517" s="26">
        <v>45169</v>
      </c>
      <c r="B4517" s="27" t="s">
        <v>120</v>
      </c>
      <c r="C4517" s="27" t="s">
        <v>15</v>
      </c>
      <c r="D4517" s="27" t="s">
        <v>7</v>
      </c>
      <c r="E4517" s="28">
        <v>94391</v>
      </c>
      <c r="F4517" s="28">
        <v>71838</v>
      </c>
      <c r="G4517" s="27" t="s">
        <v>17</v>
      </c>
      <c r="H4517" s="27" t="s">
        <v>500</v>
      </c>
      <c r="I4517" s="27" t="s">
        <v>13</v>
      </c>
    </row>
    <row r="4518" spans="1:9" x14ac:dyDescent="0.3">
      <c r="A4518" s="26">
        <v>45169</v>
      </c>
      <c r="B4518" s="27" t="s">
        <v>120</v>
      </c>
      <c r="C4518" s="27" t="s">
        <v>15</v>
      </c>
      <c r="D4518" s="27" t="s">
        <v>24</v>
      </c>
      <c r="E4518" s="28">
        <v>70310</v>
      </c>
      <c r="F4518" s="28">
        <v>22675</v>
      </c>
      <c r="G4518" s="27" t="s">
        <v>22</v>
      </c>
      <c r="H4518" s="27" t="s">
        <v>502</v>
      </c>
      <c r="I4518" s="27" t="s">
        <v>13</v>
      </c>
    </row>
    <row r="4519" spans="1:9" x14ac:dyDescent="0.3">
      <c r="A4519" s="26">
        <v>45169</v>
      </c>
      <c r="B4519" s="27" t="s">
        <v>120</v>
      </c>
      <c r="C4519" s="27" t="s">
        <v>18</v>
      </c>
      <c r="D4519" s="27" t="s">
        <v>19</v>
      </c>
      <c r="E4519" s="28">
        <v>88959</v>
      </c>
      <c r="F4519" s="28">
        <v>81423</v>
      </c>
      <c r="G4519" s="27" t="s">
        <v>17</v>
      </c>
      <c r="H4519" s="27" t="s">
        <v>807</v>
      </c>
      <c r="I4519" s="27" t="s">
        <v>13</v>
      </c>
    </row>
    <row r="4520" spans="1:9" x14ac:dyDescent="0.3">
      <c r="A4520" s="26">
        <v>45169</v>
      </c>
      <c r="B4520" s="27" t="s">
        <v>120</v>
      </c>
      <c r="C4520" s="27" t="s">
        <v>10</v>
      </c>
      <c r="D4520" s="27" t="s">
        <v>7</v>
      </c>
      <c r="E4520" s="28">
        <v>113932</v>
      </c>
      <c r="F4520" s="28">
        <v>17279</v>
      </c>
      <c r="G4520" s="27" t="s">
        <v>17</v>
      </c>
      <c r="H4520" s="27" t="s">
        <v>1061</v>
      </c>
      <c r="I4520" s="27" t="s">
        <v>13</v>
      </c>
    </row>
    <row r="4521" spans="1:9" x14ac:dyDescent="0.3">
      <c r="A4521" s="26">
        <v>45169</v>
      </c>
      <c r="B4521" s="27" t="s">
        <v>120</v>
      </c>
      <c r="C4521" s="27" t="s">
        <v>18</v>
      </c>
      <c r="D4521" s="27" t="s">
        <v>7</v>
      </c>
      <c r="E4521" s="28">
        <v>78826</v>
      </c>
      <c r="F4521" s="28">
        <v>131155</v>
      </c>
      <c r="G4521" s="27" t="s">
        <v>11</v>
      </c>
      <c r="H4521" s="27" t="s">
        <v>1316</v>
      </c>
      <c r="I4521" s="27" t="s">
        <v>13</v>
      </c>
    </row>
    <row r="4522" spans="1:9" x14ac:dyDescent="0.3">
      <c r="A4522" s="26">
        <v>45169</v>
      </c>
      <c r="B4522" s="27" t="s">
        <v>120</v>
      </c>
      <c r="C4522" s="27" t="s">
        <v>32</v>
      </c>
      <c r="D4522" s="27" t="s">
        <v>16</v>
      </c>
      <c r="E4522" s="28">
        <v>65138</v>
      </c>
      <c r="F4522" s="28">
        <v>163013</v>
      </c>
      <c r="G4522" s="27" t="s">
        <v>17</v>
      </c>
      <c r="H4522" s="27" t="s">
        <v>1497</v>
      </c>
      <c r="I4522" s="27" t="s">
        <v>13</v>
      </c>
    </row>
    <row r="4523" spans="1:9" x14ac:dyDescent="0.3">
      <c r="A4523" s="26">
        <v>45169</v>
      </c>
      <c r="B4523" s="27" t="s">
        <v>120</v>
      </c>
      <c r="C4523" s="27" t="s">
        <v>14</v>
      </c>
      <c r="D4523" s="27" t="s">
        <v>21</v>
      </c>
      <c r="E4523" s="28">
        <v>131271</v>
      </c>
      <c r="F4523" s="28">
        <v>38427</v>
      </c>
      <c r="G4523" s="27" t="s">
        <v>17</v>
      </c>
      <c r="H4523" s="27" t="s">
        <v>1656</v>
      </c>
      <c r="I4523" s="27" t="s">
        <v>13</v>
      </c>
    </row>
    <row r="4524" spans="1:9" x14ac:dyDescent="0.3">
      <c r="A4524" s="26">
        <v>45169</v>
      </c>
      <c r="B4524" s="27" t="s">
        <v>120</v>
      </c>
      <c r="C4524" s="27" t="s">
        <v>20</v>
      </c>
      <c r="D4524" s="27" t="s">
        <v>21</v>
      </c>
      <c r="E4524" s="28">
        <v>109022</v>
      </c>
      <c r="F4524" s="28">
        <v>96397</v>
      </c>
      <c r="G4524" s="27" t="s">
        <v>11</v>
      </c>
      <c r="H4524" s="27" t="s">
        <v>1717</v>
      </c>
      <c r="I4524" s="27" t="s">
        <v>13</v>
      </c>
    </row>
    <row r="4525" spans="1:9" x14ac:dyDescent="0.3">
      <c r="A4525" s="26">
        <v>45169</v>
      </c>
      <c r="B4525" s="27" t="s">
        <v>120</v>
      </c>
      <c r="C4525" s="27" t="s">
        <v>14</v>
      </c>
      <c r="D4525" s="27" t="s">
        <v>24</v>
      </c>
      <c r="E4525" s="28">
        <v>112424</v>
      </c>
      <c r="F4525" s="28">
        <v>111659</v>
      </c>
      <c r="G4525" s="27" t="s">
        <v>11</v>
      </c>
      <c r="H4525" s="27" t="s">
        <v>1734</v>
      </c>
      <c r="I4525" s="27" t="s">
        <v>13</v>
      </c>
    </row>
    <row r="4526" spans="1:9" x14ac:dyDescent="0.3">
      <c r="A4526" s="26">
        <v>45169</v>
      </c>
      <c r="B4526" s="27" t="s">
        <v>120</v>
      </c>
      <c r="C4526" s="27" t="s">
        <v>10</v>
      </c>
      <c r="D4526" s="27" t="s">
        <v>16</v>
      </c>
      <c r="E4526" s="28">
        <v>89904</v>
      </c>
      <c r="F4526" s="28">
        <v>135234</v>
      </c>
      <c r="G4526" s="27" t="s">
        <v>8</v>
      </c>
      <c r="H4526" s="27" t="s">
        <v>1759</v>
      </c>
      <c r="I4526" s="27" t="s">
        <v>13</v>
      </c>
    </row>
    <row r="4527" spans="1:9" x14ac:dyDescent="0.3">
      <c r="A4527" s="26">
        <v>45169</v>
      </c>
      <c r="B4527" s="27" t="s">
        <v>120</v>
      </c>
      <c r="C4527" s="27" t="s">
        <v>15</v>
      </c>
      <c r="D4527" s="27" t="s">
        <v>21</v>
      </c>
      <c r="E4527" s="28">
        <v>24337</v>
      </c>
      <c r="F4527" s="28">
        <v>101985</v>
      </c>
      <c r="G4527" s="27" t="s">
        <v>8</v>
      </c>
      <c r="H4527" s="27" t="s">
        <v>1978</v>
      </c>
      <c r="I4527" s="27" t="s">
        <v>13</v>
      </c>
    </row>
    <row r="4528" spans="1:9" x14ac:dyDescent="0.3">
      <c r="A4528" s="26">
        <v>45169</v>
      </c>
      <c r="B4528" s="27" t="s">
        <v>120</v>
      </c>
      <c r="C4528" s="27" t="s">
        <v>18</v>
      </c>
      <c r="D4528" s="27" t="s">
        <v>24</v>
      </c>
      <c r="E4528" s="28">
        <v>30829</v>
      </c>
      <c r="F4528" s="28">
        <v>94053</v>
      </c>
      <c r="G4528" s="27" t="s">
        <v>8</v>
      </c>
      <c r="H4528" s="27" t="s">
        <v>2525</v>
      </c>
      <c r="I4528" s="27" t="s">
        <v>13</v>
      </c>
    </row>
    <row r="4529" spans="1:9" x14ac:dyDescent="0.3">
      <c r="A4529" s="26">
        <v>45169</v>
      </c>
      <c r="B4529" s="27" t="s">
        <v>120</v>
      </c>
      <c r="C4529" s="27" t="s">
        <v>15</v>
      </c>
      <c r="D4529" s="27" t="s">
        <v>16</v>
      </c>
      <c r="E4529" s="28">
        <v>81676</v>
      </c>
      <c r="F4529" s="28">
        <v>99837</v>
      </c>
      <c r="G4529" s="27" t="s">
        <v>22</v>
      </c>
      <c r="H4529" s="27" t="s">
        <v>3175</v>
      </c>
      <c r="I4529" s="27" t="s">
        <v>13</v>
      </c>
    </row>
    <row r="4530" spans="1:9" x14ac:dyDescent="0.3">
      <c r="A4530" s="26">
        <v>45169</v>
      </c>
      <c r="B4530" s="27" t="s">
        <v>120</v>
      </c>
      <c r="C4530" s="27" t="s">
        <v>32</v>
      </c>
      <c r="D4530" s="27" t="s">
        <v>21</v>
      </c>
      <c r="E4530" s="28">
        <v>15949</v>
      </c>
      <c r="F4530" s="28">
        <v>12071</v>
      </c>
      <c r="G4530" s="27" t="s">
        <v>22</v>
      </c>
      <c r="H4530" s="27" t="s">
        <v>3320</v>
      </c>
      <c r="I4530" s="27" t="s">
        <v>13</v>
      </c>
    </row>
    <row r="4531" spans="1:9" x14ac:dyDescent="0.3">
      <c r="A4531" s="26">
        <v>45169</v>
      </c>
      <c r="B4531" s="27" t="s">
        <v>120</v>
      </c>
      <c r="C4531" s="27" t="s">
        <v>6</v>
      </c>
      <c r="D4531" s="27" t="s">
        <v>19</v>
      </c>
      <c r="E4531" s="28">
        <v>53800</v>
      </c>
      <c r="F4531" s="28">
        <v>39900</v>
      </c>
      <c r="G4531" s="27" t="s">
        <v>11</v>
      </c>
      <c r="H4531" s="27" t="s">
        <v>3490</v>
      </c>
      <c r="I4531" s="27" t="s">
        <v>9</v>
      </c>
    </row>
    <row r="4532" spans="1:9" x14ac:dyDescent="0.3">
      <c r="A4532" s="26">
        <v>45169</v>
      </c>
      <c r="B4532" s="27" t="s">
        <v>120</v>
      </c>
      <c r="C4532" s="27" t="s">
        <v>93</v>
      </c>
      <c r="D4532" s="27" t="s">
        <v>7</v>
      </c>
      <c r="E4532" s="28">
        <v>143000</v>
      </c>
      <c r="F4532" s="28">
        <v>126100</v>
      </c>
      <c r="G4532" s="27" t="s">
        <v>22</v>
      </c>
      <c r="H4532" s="27" t="s">
        <v>3881</v>
      </c>
      <c r="I4532" s="27" t="s">
        <v>9</v>
      </c>
    </row>
    <row r="4533" spans="1:9" x14ac:dyDescent="0.3">
      <c r="A4533" s="26">
        <v>45169</v>
      </c>
      <c r="B4533" s="27" t="s">
        <v>120</v>
      </c>
      <c r="C4533" s="27" t="s">
        <v>6</v>
      </c>
      <c r="D4533" s="27" t="s">
        <v>24</v>
      </c>
      <c r="E4533" s="28">
        <v>143200</v>
      </c>
      <c r="F4533" s="28">
        <v>162400</v>
      </c>
      <c r="G4533" s="27" t="s">
        <v>11</v>
      </c>
      <c r="H4533" s="27" t="s">
        <v>3883</v>
      </c>
      <c r="I4533" s="27" t="s">
        <v>9</v>
      </c>
    </row>
    <row r="4534" spans="1:9" x14ac:dyDescent="0.3">
      <c r="A4534" s="26">
        <v>45169</v>
      </c>
      <c r="B4534" s="27" t="s">
        <v>120</v>
      </c>
      <c r="C4534" s="27" t="s">
        <v>93</v>
      </c>
      <c r="D4534" s="27" t="s">
        <v>19</v>
      </c>
      <c r="E4534" s="28">
        <v>98800</v>
      </c>
      <c r="F4534" s="28">
        <v>102800</v>
      </c>
      <c r="G4534" s="27" t="s">
        <v>11</v>
      </c>
      <c r="H4534" s="27" t="s">
        <v>4188</v>
      </c>
      <c r="I4534" s="27" t="s">
        <v>9</v>
      </c>
    </row>
    <row r="4535" spans="1:9" x14ac:dyDescent="0.3">
      <c r="A4535" s="26">
        <v>45169</v>
      </c>
      <c r="B4535" s="27" t="s">
        <v>120</v>
      </c>
      <c r="C4535" s="27" t="s">
        <v>93</v>
      </c>
      <c r="D4535" s="27" t="s">
        <v>7</v>
      </c>
      <c r="E4535" s="28">
        <v>188800</v>
      </c>
      <c r="F4535" s="28">
        <v>198000</v>
      </c>
      <c r="G4535" s="27" t="s">
        <v>22</v>
      </c>
      <c r="H4535" s="27" t="s">
        <v>4443</v>
      </c>
      <c r="I4535" s="27" t="s">
        <v>9</v>
      </c>
    </row>
    <row r="4536" spans="1:9" x14ac:dyDescent="0.3">
      <c r="A4536" s="26">
        <v>45169</v>
      </c>
      <c r="B4536" s="27" t="s">
        <v>120</v>
      </c>
      <c r="C4536" s="27" t="s">
        <v>6</v>
      </c>
      <c r="D4536" s="27" t="s">
        <v>7</v>
      </c>
      <c r="E4536" s="28">
        <v>166000</v>
      </c>
      <c r="F4536" s="28">
        <v>124500</v>
      </c>
      <c r="G4536" s="27" t="s">
        <v>11</v>
      </c>
      <c r="H4536" s="27" t="s">
        <v>4699</v>
      </c>
      <c r="I4536" s="27" t="s">
        <v>9</v>
      </c>
    </row>
    <row r="4537" spans="1:9" x14ac:dyDescent="0.3">
      <c r="A4537" s="26">
        <v>45169</v>
      </c>
      <c r="B4537" s="27" t="s">
        <v>120</v>
      </c>
      <c r="C4537" s="27" t="s">
        <v>6</v>
      </c>
      <c r="D4537" s="27" t="s">
        <v>16</v>
      </c>
      <c r="E4537" s="28">
        <v>175200</v>
      </c>
      <c r="F4537" s="28">
        <v>177800</v>
      </c>
      <c r="G4537" s="27" t="s">
        <v>11</v>
      </c>
      <c r="H4537" s="27" t="s">
        <v>4880</v>
      </c>
      <c r="I4537" s="27" t="s">
        <v>9</v>
      </c>
    </row>
    <row r="4538" spans="1:9" x14ac:dyDescent="0.3">
      <c r="A4538" s="26">
        <v>45169</v>
      </c>
      <c r="B4538" s="27" t="s">
        <v>120</v>
      </c>
      <c r="C4538" s="27" t="s">
        <v>93</v>
      </c>
      <c r="D4538" s="27" t="s">
        <v>21</v>
      </c>
      <c r="E4538" s="28">
        <v>78300</v>
      </c>
      <c r="F4538" s="28">
        <v>65900</v>
      </c>
      <c r="G4538" s="27" t="s">
        <v>22</v>
      </c>
      <c r="H4538" s="27" t="s">
        <v>5039</v>
      </c>
      <c r="I4538" s="27" t="s">
        <v>9</v>
      </c>
    </row>
    <row r="4539" spans="1:9" x14ac:dyDescent="0.3">
      <c r="A4539" s="26">
        <v>45169</v>
      </c>
      <c r="B4539" s="27" t="s">
        <v>120</v>
      </c>
      <c r="C4539" s="27" t="s">
        <v>93</v>
      </c>
      <c r="D4539" s="27" t="s">
        <v>21</v>
      </c>
      <c r="E4539" s="28">
        <v>152200</v>
      </c>
      <c r="F4539" s="28">
        <v>162400</v>
      </c>
      <c r="G4539" s="27" t="s">
        <v>11</v>
      </c>
      <c r="H4539" s="27" t="s">
        <v>5100</v>
      </c>
      <c r="I4539" s="27" t="s">
        <v>9</v>
      </c>
    </row>
    <row r="4540" spans="1:9" x14ac:dyDescent="0.3">
      <c r="A4540" s="26">
        <v>45169</v>
      </c>
      <c r="B4540" s="27" t="s">
        <v>120</v>
      </c>
      <c r="C4540" s="27" t="s">
        <v>93</v>
      </c>
      <c r="D4540" s="27" t="s">
        <v>24</v>
      </c>
      <c r="E4540" s="28">
        <v>75400</v>
      </c>
      <c r="F4540" s="28">
        <v>76400</v>
      </c>
      <c r="G4540" s="27" t="s">
        <v>22</v>
      </c>
      <c r="H4540" s="27" t="s">
        <v>5117</v>
      </c>
      <c r="I4540" s="27" t="s">
        <v>9</v>
      </c>
    </row>
    <row r="4541" spans="1:9" x14ac:dyDescent="0.3">
      <c r="A4541" s="26">
        <v>45169</v>
      </c>
      <c r="B4541" s="27" t="s">
        <v>120</v>
      </c>
      <c r="C4541" s="27" t="s">
        <v>93</v>
      </c>
      <c r="D4541" s="27" t="s">
        <v>16</v>
      </c>
      <c r="E4541" s="28">
        <v>121100</v>
      </c>
      <c r="F4541" s="28">
        <v>120500</v>
      </c>
      <c r="G4541" s="27" t="s">
        <v>17</v>
      </c>
      <c r="H4541" s="27" t="s">
        <v>5142</v>
      </c>
      <c r="I4541" s="27" t="s">
        <v>9</v>
      </c>
    </row>
    <row r="4542" spans="1:9" x14ac:dyDescent="0.3">
      <c r="A4542" s="26">
        <v>45169</v>
      </c>
      <c r="B4542" s="27" t="s">
        <v>120</v>
      </c>
      <c r="C4542" s="27" t="s">
        <v>6</v>
      </c>
      <c r="D4542" s="27" t="s">
        <v>21</v>
      </c>
      <c r="E4542" s="28">
        <v>156400</v>
      </c>
      <c r="F4542" s="28">
        <v>162100</v>
      </c>
      <c r="G4542" s="27" t="s">
        <v>22</v>
      </c>
      <c r="H4542" s="27" t="s">
        <v>5362</v>
      </c>
      <c r="I4542" s="27" t="s">
        <v>9</v>
      </c>
    </row>
    <row r="4543" spans="1:9" x14ac:dyDescent="0.3">
      <c r="A4543" s="26">
        <v>45169</v>
      </c>
      <c r="B4543" s="27" t="s">
        <v>120</v>
      </c>
      <c r="C4543" s="27" t="s">
        <v>93</v>
      </c>
      <c r="D4543" s="27" t="s">
        <v>24</v>
      </c>
      <c r="E4543" s="28">
        <v>86300</v>
      </c>
      <c r="F4543" s="28">
        <v>70800</v>
      </c>
      <c r="G4543" s="27" t="s">
        <v>11</v>
      </c>
      <c r="H4543" s="27" t="s">
        <v>5910</v>
      </c>
      <c r="I4543" s="27" t="s">
        <v>9</v>
      </c>
    </row>
    <row r="4544" spans="1:9" x14ac:dyDescent="0.3">
      <c r="A4544" s="26">
        <v>45169</v>
      </c>
      <c r="B4544" s="27" t="s">
        <v>120</v>
      </c>
      <c r="C4544" s="27" t="s">
        <v>6</v>
      </c>
      <c r="D4544" s="27" t="s">
        <v>16</v>
      </c>
      <c r="E4544" s="28">
        <v>306800</v>
      </c>
      <c r="F4544" s="28">
        <v>214600</v>
      </c>
      <c r="G4544" s="27" t="s">
        <v>22</v>
      </c>
      <c r="H4544" s="27" t="s">
        <v>6560</v>
      </c>
      <c r="I4544" s="27" t="s">
        <v>9</v>
      </c>
    </row>
    <row r="4545" spans="1:9" x14ac:dyDescent="0.3">
      <c r="A4545" s="26">
        <v>45169</v>
      </c>
      <c r="B4545" s="27" t="s">
        <v>120</v>
      </c>
      <c r="C4545" s="27" t="s">
        <v>6</v>
      </c>
      <c r="D4545" s="27" t="s">
        <v>21</v>
      </c>
      <c r="E4545" s="28">
        <v>162700</v>
      </c>
      <c r="F4545" s="28">
        <v>154200</v>
      </c>
      <c r="G4545" s="27" t="s">
        <v>11</v>
      </c>
      <c r="H4545" s="27" t="s">
        <v>6705</v>
      </c>
      <c r="I4545" s="27" t="s">
        <v>9</v>
      </c>
    </row>
    <row r="4546" spans="1:9" x14ac:dyDescent="0.3">
      <c r="A4546" s="26">
        <v>45170</v>
      </c>
      <c r="B4546" s="27" t="s">
        <v>123</v>
      </c>
      <c r="C4546" s="27" t="s">
        <v>14</v>
      </c>
      <c r="D4546" s="27" t="s">
        <v>7</v>
      </c>
      <c r="E4546" s="28">
        <v>94185</v>
      </c>
      <c r="F4546" s="28">
        <v>125302</v>
      </c>
      <c r="G4546" s="27" t="s">
        <v>17</v>
      </c>
      <c r="H4546" s="27" t="s">
        <v>532</v>
      </c>
      <c r="I4546" s="27" t="s">
        <v>13</v>
      </c>
    </row>
    <row r="4547" spans="1:9" x14ac:dyDescent="0.3">
      <c r="A4547" s="26">
        <v>45170</v>
      </c>
      <c r="B4547" s="27" t="s">
        <v>123</v>
      </c>
      <c r="C4547" s="27" t="s">
        <v>15</v>
      </c>
      <c r="D4547" s="27" t="s">
        <v>21</v>
      </c>
      <c r="E4547" s="28">
        <v>87166</v>
      </c>
      <c r="F4547" s="28">
        <v>31364</v>
      </c>
      <c r="G4547" s="27" t="s">
        <v>17</v>
      </c>
      <c r="H4547" s="27" t="s">
        <v>639</v>
      </c>
      <c r="I4547" s="27" t="s">
        <v>13</v>
      </c>
    </row>
    <row r="4548" spans="1:9" x14ac:dyDescent="0.3">
      <c r="A4548" s="26">
        <v>45170</v>
      </c>
      <c r="B4548" s="27" t="s">
        <v>123</v>
      </c>
      <c r="C4548" s="27" t="s">
        <v>32</v>
      </c>
      <c r="D4548" s="27" t="s">
        <v>16</v>
      </c>
      <c r="E4548" s="28">
        <v>122631</v>
      </c>
      <c r="F4548" s="28">
        <v>35514</v>
      </c>
      <c r="G4548" s="27" t="s">
        <v>8</v>
      </c>
      <c r="H4548" s="27" t="s">
        <v>984</v>
      </c>
      <c r="I4548" s="27" t="s">
        <v>13</v>
      </c>
    </row>
    <row r="4549" spans="1:9" x14ac:dyDescent="0.3">
      <c r="A4549" s="26">
        <v>45170</v>
      </c>
      <c r="B4549" s="27" t="s">
        <v>123</v>
      </c>
      <c r="C4549" s="27" t="s">
        <v>14</v>
      </c>
      <c r="D4549" s="27" t="s">
        <v>19</v>
      </c>
      <c r="E4549" s="28">
        <v>73001</v>
      </c>
      <c r="F4549" s="28">
        <v>62491</v>
      </c>
      <c r="G4549" s="27" t="s">
        <v>11</v>
      </c>
      <c r="H4549" s="27" t="s">
        <v>1006</v>
      </c>
      <c r="I4549" s="27" t="s">
        <v>13</v>
      </c>
    </row>
    <row r="4550" spans="1:9" x14ac:dyDescent="0.3">
      <c r="A4550" s="26">
        <v>45170</v>
      </c>
      <c r="B4550" s="27" t="s">
        <v>123</v>
      </c>
      <c r="C4550" s="27" t="s">
        <v>15</v>
      </c>
      <c r="D4550" s="27" t="s">
        <v>24</v>
      </c>
      <c r="E4550" s="28">
        <v>56094</v>
      </c>
      <c r="F4550" s="28">
        <v>75819</v>
      </c>
      <c r="G4550" s="27" t="s">
        <v>11</v>
      </c>
      <c r="H4550" s="27" t="s">
        <v>1200</v>
      </c>
      <c r="I4550" s="27" t="s">
        <v>13</v>
      </c>
    </row>
    <row r="4551" spans="1:9" x14ac:dyDescent="0.3">
      <c r="A4551" s="26">
        <v>45170</v>
      </c>
      <c r="B4551" s="27" t="s">
        <v>123</v>
      </c>
      <c r="C4551" s="27" t="s">
        <v>15</v>
      </c>
      <c r="D4551" s="27" t="s">
        <v>24</v>
      </c>
      <c r="E4551" s="28">
        <v>75228</v>
      </c>
      <c r="F4551" s="28">
        <v>100965</v>
      </c>
      <c r="G4551" s="27" t="s">
        <v>8</v>
      </c>
      <c r="H4551" s="27" t="s">
        <v>1223</v>
      </c>
      <c r="I4551" s="27" t="s">
        <v>13</v>
      </c>
    </row>
    <row r="4552" spans="1:9" x14ac:dyDescent="0.3">
      <c r="A4552" s="26">
        <v>45170</v>
      </c>
      <c r="B4552" s="27" t="s">
        <v>123</v>
      </c>
      <c r="C4552" s="27" t="s">
        <v>20</v>
      </c>
      <c r="D4552" s="27" t="s">
        <v>7</v>
      </c>
      <c r="E4552" s="28">
        <v>142759</v>
      </c>
      <c r="F4552" s="28">
        <v>147398</v>
      </c>
      <c r="G4552" s="27" t="s">
        <v>8</v>
      </c>
      <c r="H4552" s="27" t="s">
        <v>1397</v>
      </c>
      <c r="I4552" s="27" t="s">
        <v>13</v>
      </c>
    </row>
    <row r="4553" spans="1:9" x14ac:dyDescent="0.3">
      <c r="A4553" s="26">
        <v>45170</v>
      </c>
      <c r="B4553" s="27" t="s">
        <v>123</v>
      </c>
      <c r="C4553" s="27" t="s">
        <v>15</v>
      </c>
      <c r="D4553" s="27" t="s">
        <v>19</v>
      </c>
      <c r="E4553" s="28">
        <v>141070</v>
      </c>
      <c r="F4553" s="28">
        <v>110723</v>
      </c>
      <c r="G4553" s="27" t="s">
        <v>8</v>
      </c>
      <c r="H4553" s="27" t="s">
        <v>1742</v>
      </c>
      <c r="I4553" s="27" t="s">
        <v>13</v>
      </c>
    </row>
    <row r="4554" spans="1:9" x14ac:dyDescent="0.3">
      <c r="A4554" s="26">
        <v>45170</v>
      </c>
      <c r="B4554" s="27" t="s">
        <v>123</v>
      </c>
      <c r="C4554" s="27" t="s">
        <v>18</v>
      </c>
      <c r="D4554" s="27" t="s">
        <v>19</v>
      </c>
      <c r="E4554" s="28">
        <v>62746</v>
      </c>
      <c r="F4554" s="28">
        <v>98504</v>
      </c>
      <c r="G4554" s="27" t="s">
        <v>17</v>
      </c>
      <c r="H4554" s="27" t="s">
        <v>2604</v>
      </c>
      <c r="I4554" s="27" t="s">
        <v>13</v>
      </c>
    </row>
    <row r="4555" spans="1:9" x14ac:dyDescent="0.3">
      <c r="A4555" s="26">
        <v>45170</v>
      </c>
      <c r="B4555" s="27" t="s">
        <v>123</v>
      </c>
      <c r="C4555" s="27" t="s">
        <v>15</v>
      </c>
      <c r="D4555" s="27" t="s">
        <v>21</v>
      </c>
      <c r="E4555" s="28">
        <v>66485</v>
      </c>
      <c r="F4555" s="28">
        <v>77574</v>
      </c>
      <c r="G4555" s="27" t="s">
        <v>8</v>
      </c>
      <c r="H4555" s="27" t="s">
        <v>2675</v>
      </c>
      <c r="I4555" s="27" t="s">
        <v>13</v>
      </c>
    </row>
    <row r="4556" spans="1:9" x14ac:dyDescent="0.3">
      <c r="A4556" s="26">
        <v>45170</v>
      </c>
      <c r="B4556" s="27" t="s">
        <v>123</v>
      </c>
      <c r="C4556" s="27" t="s">
        <v>6</v>
      </c>
      <c r="D4556" s="27" t="s">
        <v>7</v>
      </c>
      <c r="E4556" s="28">
        <v>108700</v>
      </c>
      <c r="F4556" s="28">
        <v>117600</v>
      </c>
      <c r="G4556" s="27" t="s">
        <v>22</v>
      </c>
      <c r="H4556" s="27" t="s">
        <v>3913</v>
      </c>
      <c r="I4556" s="27" t="s">
        <v>9</v>
      </c>
    </row>
    <row r="4557" spans="1:9" x14ac:dyDescent="0.3">
      <c r="A4557" s="26">
        <v>45170</v>
      </c>
      <c r="B4557" s="27" t="s">
        <v>123</v>
      </c>
      <c r="C4557" s="27" t="s">
        <v>6</v>
      </c>
      <c r="D4557" s="27" t="s">
        <v>21</v>
      </c>
      <c r="E4557" s="28">
        <v>90400</v>
      </c>
      <c r="F4557" s="28">
        <v>101100</v>
      </c>
      <c r="G4557" s="27" t="s">
        <v>11</v>
      </c>
      <c r="H4557" s="27" t="s">
        <v>4020</v>
      </c>
      <c r="I4557" s="27" t="s">
        <v>9</v>
      </c>
    </row>
    <row r="4558" spans="1:9" x14ac:dyDescent="0.3">
      <c r="A4558" s="26">
        <v>45170</v>
      </c>
      <c r="B4558" s="27" t="s">
        <v>123</v>
      </c>
      <c r="C4558" s="27" t="s">
        <v>6</v>
      </c>
      <c r="D4558" s="27" t="s">
        <v>16</v>
      </c>
      <c r="E4558" s="28">
        <v>137300</v>
      </c>
      <c r="F4558" s="28">
        <v>134900</v>
      </c>
      <c r="G4558" s="27" t="s">
        <v>22</v>
      </c>
      <c r="H4558" s="27" t="s">
        <v>4365</v>
      </c>
      <c r="I4558" s="27" t="s">
        <v>9</v>
      </c>
    </row>
    <row r="4559" spans="1:9" x14ac:dyDescent="0.3">
      <c r="A4559" s="26">
        <v>45170</v>
      </c>
      <c r="B4559" s="27" t="s">
        <v>123</v>
      </c>
      <c r="C4559" s="27" t="s">
        <v>93</v>
      </c>
      <c r="D4559" s="27" t="s">
        <v>19</v>
      </c>
      <c r="E4559" s="28">
        <v>104800</v>
      </c>
      <c r="F4559" s="28">
        <v>84700</v>
      </c>
      <c r="G4559" s="27" t="s">
        <v>11</v>
      </c>
      <c r="H4559" s="27" t="s">
        <v>4387</v>
      </c>
      <c r="I4559" s="27" t="s">
        <v>9</v>
      </c>
    </row>
    <row r="4560" spans="1:9" x14ac:dyDescent="0.3">
      <c r="A4560" s="26">
        <v>45170</v>
      </c>
      <c r="B4560" s="27" t="s">
        <v>123</v>
      </c>
      <c r="C4560" s="27" t="s">
        <v>6</v>
      </c>
      <c r="D4560" s="27" t="s">
        <v>24</v>
      </c>
      <c r="E4560" s="28">
        <v>49000</v>
      </c>
      <c r="F4560" s="28">
        <v>47800</v>
      </c>
      <c r="G4560" s="27" t="s">
        <v>22</v>
      </c>
      <c r="H4560" s="27" t="s">
        <v>4583</v>
      </c>
      <c r="I4560" s="27" t="s">
        <v>9</v>
      </c>
    </row>
    <row r="4561" spans="1:9" x14ac:dyDescent="0.3">
      <c r="A4561" s="26">
        <v>45170</v>
      </c>
      <c r="B4561" s="27" t="s">
        <v>123</v>
      </c>
      <c r="C4561" s="27" t="s">
        <v>6</v>
      </c>
      <c r="D4561" s="27" t="s">
        <v>24</v>
      </c>
      <c r="E4561" s="28">
        <v>72200</v>
      </c>
      <c r="F4561" s="28">
        <v>88200</v>
      </c>
      <c r="G4561" s="27" t="s">
        <v>11</v>
      </c>
      <c r="H4561" s="27" t="s">
        <v>4606</v>
      </c>
      <c r="I4561" s="27" t="s">
        <v>9</v>
      </c>
    </row>
    <row r="4562" spans="1:9" x14ac:dyDescent="0.3">
      <c r="A4562" s="26">
        <v>45170</v>
      </c>
      <c r="B4562" s="27" t="s">
        <v>123</v>
      </c>
      <c r="C4562" s="27" t="s">
        <v>93</v>
      </c>
      <c r="D4562" s="27" t="s">
        <v>7</v>
      </c>
      <c r="E4562" s="28">
        <v>196700</v>
      </c>
      <c r="F4562" s="28">
        <v>241300</v>
      </c>
      <c r="G4562" s="27" t="s">
        <v>22</v>
      </c>
      <c r="H4562" s="27" t="s">
        <v>4780</v>
      </c>
      <c r="I4562" s="27" t="s">
        <v>9</v>
      </c>
    </row>
    <row r="4563" spans="1:9" x14ac:dyDescent="0.3">
      <c r="A4563" s="26">
        <v>45170</v>
      </c>
      <c r="B4563" s="27" t="s">
        <v>123</v>
      </c>
      <c r="C4563" s="27" t="s">
        <v>6</v>
      </c>
      <c r="D4563" s="27" t="s">
        <v>19</v>
      </c>
      <c r="E4563" s="28">
        <v>148400</v>
      </c>
      <c r="F4563" s="28">
        <v>123400</v>
      </c>
      <c r="G4563" s="27" t="s">
        <v>22</v>
      </c>
      <c r="H4563" s="27" t="s">
        <v>5125</v>
      </c>
      <c r="I4563" s="27" t="s">
        <v>9</v>
      </c>
    </row>
    <row r="4564" spans="1:9" x14ac:dyDescent="0.3">
      <c r="A4564" s="26">
        <v>45170</v>
      </c>
      <c r="B4564" s="27" t="s">
        <v>123</v>
      </c>
      <c r="C4564" s="27" t="s">
        <v>6</v>
      </c>
      <c r="D4564" s="27" t="s">
        <v>19</v>
      </c>
      <c r="E4564" s="28">
        <v>88500</v>
      </c>
      <c r="F4564" s="28">
        <v>79900</v>
      </c>
      <c r="G4564" s="27" t="s">
        <v>11</v>
      </c>
      <c r="H4564" s="27" t="s">
        <v>5989</v>
      </c>
      <c r="I4564" s="27" t="s">
        <v>9</v>
      </c>
    </row>
    <row r="4565" spans="1:9" x14ac:dyDescent="0.3">
      <c r="A4565" s="26">
        <v>45170</v>
      </c>
      <c r="B4565" s="27" t="s">
        <v>123</v>
      </c>
      <c r="C4565" s="27" t="s">
        <v>93</v>
      </c>
      <c r="D4565" s="27" t="s">
        <v>21</v>
      </c>
      <c r="E4565" s="28">
        <v>96400</v>
      </c>
      <c r="F4565" s="28">
        <v>89000</v>
      </c>
      <c r="G4565" s="27" t="s">
        <v>11</v>
      </c>
      <c r="H4565" s="27" t="s">
        <v>6060</v>
      </c>
      <c r="I4565" s="27" t="s">
        <v>9</v>
      </c>
    </row>
    <row r="4566" spans="1:9" x14ac:dyDescent="0.3">
      <c r="A4566" s="26">
        <v>45171</v>
      </c>
      <c r="B4566" s="27" t="s">
        <v>123</v>
      </c>
      <c r="C4566" s="27" t="s">
        <v>15</v>
      </c>
      <c r="D4566" s="27" t="s">
        <v>24</v>
      </c>
      <c r="E4566" s="28">
        <v>140268</v>
      </c>
      <c r="F4566" s="28">
        <v>66477</v>
      </c>
      <c r="G4566" s="27" t="s">
        <v>8</v>
      </c>
      <c r="H4566" s="27" t="s">
        <v>498</v>
      </c>
      <c r="I4566" s="27" t="s">
        <v>13</v>
      </c>
    </row>
    <row r="4567" spans="1:9" x14ac:dyDescent="0.3">
      <c r="A4567" s="26">
        <v>45171</v>
      </c>
      <c r="B4567" s="27" t="s">
        <v>123</v>
      </c>
      <c r="C4567" s="27" t="s">
        <v>14</v>
      </c>
      <c r="D4567" s="27" t="s">
        <v>24</v>
      </c>
      <c r="E4567" s="28">
        <v>90078</v>
      </c>
      <c r="F4567" s="28">
        <v>94029</v>
      </c>
      <c r="G4567" s="27" t="s">
        <v>8</v>
      </c>
      <c r="H4567" s="27" t="s">
        <v>645</v>
      </c>
      <c r="I4567" s="27" t="s">
        <v>13</v>
      </c>
    </row>
    <row r="4568" spans="1:9" x14ac:dyDescent="0.3">
      <c r="A4568" s="26">
        <v>45171</v>
      </c>
      <c r="B4568" s="27" t="s">
        <v>123</v>
      </c>
      <c r="C4568" s="27" t="s">
        <v>10</v>
      </c>
      <c r="D4568" s="27" t="s">
        <v>16</v>
      </c>
      <c r="E4568" s="28">
        <v>30640</v>
      </c>
      <c r="F4568" s="28">
        <v>61232</v>
      </c>
      <c r="G4568" s="27" t="s">
        <v>8</v>
      </c>
      <c r="H4568" s="27" t="s">
        <v>1276</v>
      </c>
      <c r="I4568" s="27" t="s">
        <v>13</v>
      </c>
    </row>
    <row r="4569" spans="1:9" x14ac:dyDescent="0.3">
      <c r="A4569" s="26">
        <v>45171</v>
      </c>
      <c r="B4569" s="27" t="s">
        <v>123</v>
      </c>
      <c r="C4569" s="27" t="s">
        <v>32</v>
      </c>
      <c r="D4569" s="27" t="s">
        <v>16</v>
      </c>
      <c r="E4569" s="28">
        <v>101302</v>
      </c>
      <c r="F4569" s="28">
        <v>47564</v>
      </c>
      <c r="G4569" s="27" t="s">
        <v>22</v>
      </c>
      <c r="H4569" s="27" t="s">
        <v>1434</v>
      </c>
      <c r="I4569" s="27" t="s">
        <v>13</v>
      </c>
    </row>
    <row r="4570" spans="1:9" x14ac:dyDescent="0.3">
      <c r="A4570" s="26">
        <v>45171</v>
      </c>
      <c r="B4570" s="27" t="s">
        <v>123</v>
      </c>
      <c r="C4570" s="27" t="s">
        <v>20</v>
      </c>
      <c r="D4570" s="27" t="s">
        <v>19</v>
      </c>
      <c r="E4570" s="28">
        <v>140413</v>
      </c>
      <c r="F4570" s="28">
        <v>168103</v>
      </c>
      <c r="G4570" s="27" t="s">
        <v>17</v>
      </c>
      <c r="H4570" s="27" t="s">
        <v>1633</v>
      </c>
      <c r="I4570" s="27" t="s">
        <v>13</v>
      </c>
    </row>
    <row r="4571" spans="1:9" x14ac:dyDescent="0.3">
      <c r="A4571" s="26">
        <v>45171</v>
      </c>
      <c r="B4571" s="27" t="s">
        <v>123</v>
      </c>
      <c r="C4571" s="27" t="s">
        <v>20</v>
      </c>
      <c r="D4571" s="27" t="s">
        <v>21</v>
      </c>
      <c r="E4571" s="28">
        <v>50519</v>
      </c>
      <c r="F4571" s="28">
        <v>59968</v>
      </c>
      <c r="G4571" s="27" t="s">
        <v>17</v>
      </c>
      <c r="H4571" s="27" t="s">
        <v>1793</v>
      </c>
      <c r="I4571" s="27" t="s">
        <v>13</v>
      </c>
    </row>
    <row r="4572" spans="1:9" x14ac:dyDescent="0.3">
      <c r="A4572" s="26">
        <v>45171</v>
      </c>
      <c r="B4572" s="27" t="s">
        <v>123</v>
      </c>
      <c r="C4572" s="27" t="s">
        <v>10</v>
      </c>
      <c r="D4572" s="27" t="s">
        <v>21</v>
      </c>
      <c r="E4572" s="28">
        <v>52608</v>
      </c>
      <c r="F4572" s="28">
        <v>50178</v>
      </c>
      <c r="G4572" s="27" t="s">
        <v>17</v>
      </c>
      <c r="H4572" s="27" t="s">
        <v>2151</v>
      </c>
      <c r="I4572" s="27" t="s">
        <v>13</v>
      </c>
    </row>
    <row r="4573" spans="1:9" x14ac:dyDescent="0.3">
      <c r="A4573" s="26">
        <v>45171</v>
      </c>
      <c r="B4573" s="27" t="s">
        <v>123</v>
      </c>
      <c r="C4573" s="27" t="s">
        <v>15</v>
      </c>
      <c r="D4573" s="27" t="s">
        <v>7</v>
      </c>
      <c r="E4573" s="28">
        <v>65984</v>
      </c>
      <c r="F4573" s="28">
        <v>151261</v>
      </c>
      <c r="G4573" s="27" t="s">
        <v>11</v>
      </c>
      <c r="H4573" s="27" t="s">
        <v>2286</v>
      </c>
      <c r="I4573" s="27" t="s">
        <v>13</v>
      </c>
    </row>
    <row r="4574" spans="1:9" x14ac:dyDescent="0.3">
      <c r="A4574" s="26">
        <v>45171</v>
      </c>
      <c r="B4574" s="27" t="s">
        <v>123</v>
      </c>
      <c r="C4574" s="27" t="s">
        <v>18</v>
      </c>
      <c r="D4574" s="27" t="s">
        <v>16</v>
      </c>
      <c r="E4574" s="28">
        <v>50585</v>
      </c>
      <c r="F4574" s="28">
        <v>100568</v>
      </c>
      <c r="G4574" s="27" t="s">
        <v>11</v>
      </c>
      <c r="H4574" s="27" t="s">
        <v>2370</v>
      </c>
      <c r="I4574" s="27" t="s">
        <v>13</v>
      </c>
    </row>
    <row r="4575" spans="1:9" x14ac:dyDescent="0.3">
      <c r="A4575" s="26">
        <v>45171</v>
      </c>
      <c r="B4575" s="27" t="s">
        <v>123</v>
      </c>
      <c r="C4575" s="27" t="s">
        <v>32</v>
      </c>
      <c r="D4575" s="27" t="s">
        <v>7</v>
      </c>
      <c r="E4575" s="28">
        <v>54770</v>
      </c>
      <c r="F4575" s="28">
        <v>138373</v>
      </c>
      <c r="G4575" s="27" t="s">
        <v>22</v>
      </c>
      <c r="H4575" s="27" t="s">
        <v>2725</v>
      </c>
      <c r="I4575" s="27" t="s">
        <v>13</v>
      </c>
    </row>
    <row r="4576" spans="1:9" x14ac:dyDescent="0.3">
      <c r="A4576" s="26">
        <v>45171</v>
      </c>
      <c r="B4576" s="27" t="s">
        <v>123</v>
      </c>
      <c r="C4576" s="27" t="s">
        <v>20</v>
      </c>
      <c r="D4576" s="27" t="s">
        <v>19</v>
      </c>
      <c r="E4576" s="28">
        <v>84323</v>
      </c>
      <c r="F4576" s="28">
        <v>112694</v>
      </c>
      <c r="G4576" s="27" t="s">
        <v>11</v>
      </c>
      <c r="H4576" s="27" t="s">
        <v>2887</v>
      </c>
      <c r="I4576" s="27" t="s">
        <v>13</v>
      </c>
    </row>
    <row r="4577" spans="1:9" x14ac:dyDescent="0.3">
      <c r="A4577" s="26">
        <v>45171</v>
      </c>
      <c r="B4577" s="27" t="s">
        <v>123</v>
      </c>
      <c r="C4577" s="27" t="s">
        <v>93</v>
      </c>
      <c r="D4577" s="27" t="s">
        <v>24</v>
      </c>
      <c r="E4577" s="28">
        <v>129000</v>
      </c>
      <c r="F4577" s="28">
        <v>116900</v>
      </c>
      <c r="G4577" s="27" t="s">
        <v>17</v>
      </c>
      <c r="H4577" s="27" t="s">
        <v>3879</v>
      </c>
      <c r="I4577" s="27" t="s">
        <v>9</v>
      </c>
    </row>
    <row r="4578" spans="1:9" x14ac:dyDescent="0.3">
      <c r="A4578" s="26">
        <v>45171</v>
      </c>
      <c r="B4578" s="27" t="s">
        <v>123</v>
      </c>
      <c r="C4578" s="27" t="s">
        <v>6</v>
      </c>
      <c r="D4578" s="27" t="s">
        <v>24</v>
      </c>
      <c r="E4578" s="28">
        <v>194800</v>
      </c>
      <c r="F4578" s="28">
        <v>249500</v>
      </c>
      <c r="G4578" s="27" t="s">
        <v>11</v>
      </c>
      <c r="H4578" s="27" t="s">
        <v>4026</v>
      </c>
      <c r="I4578" s="27" t="s">
        <v>9</v>
      </c>
    </row>
    <row r="4579" spans="1:9" x14ac:dyDescent="0.3">
      <c r="A4579" s="26">
        <v>45171</v>
      </c>
      <c r="B4579" s="27" t="s">
        <v>123</v>
      </c>
      <c r="C4579" s="27" t="s">
        <v>6</v>
      </c>
      <c r="D4579" s="27" t="s">
        <v>16</v>
      </c>
      <c r="E4579" s="28">
        <v>186600</v>
      </c>
      <c r="F4579" s="28">
        <v>245500</v>
      </c>
      <c r="G4579" s="27" t="s">
        <v>22</v>
      </c>
      <c r="H4579" s="27" t="s">
        <v>4659</v>
      </c>
      <c r="I4579" s="27" t="s">
        <v>9</v>
      </c>
    </row>
    <row r="4580" spans="1:9" x14ac:dyDescent="0.3">
      <c r="A4580" s="26">
        <v>45171</v>
      </c>
      <c r="B4580" s="27" t="s">
        <v>123</v>
      </c>
      <c r="C4580" s="27" t="s">
        <v>93</v>
      </c>
      <c r="D4580" s="27" t="s">
        <v>16</v>
      </c>
      <c r="E4580" s="28">
        <v>111500</v>
      </c>
      <c r="F4580" s="28">
        <v>109000</v>
      </c>
      <c r="G4580" s="27" t="s">
        <v>22</v>
      </c>
      <c r="H4580" s="27" t="s">
        <v>4817</v>
      </c>
      <c r="I4580" s="27" t="s">
        <v>9</v>
      </c>
    </row>
    <row r="4581" spans="1:9" x14ac:dyDescent="0.3">
      <c r="A4581" s="26">
        <v>45171</v>
      </c>
      <c r="B4581" s="27" t="s">
        <v>123</v>
      </c>
      <c r="C4581" s="27" t="s">
        <v>93</v>
      </c>
      <c r="D4581" s="27" t="s">
        <v>19</v>
      </c>
      <c r="E4581" s="28">
        <v>69100</v>
      </c>
      <c r="F4581" s="28">
        <v>99800</v>
      </c>
      <c r="G4581" s="27" t="s">
        <v>11</v>
      </c>
      <c r="H4581" s="27" t="s">
        <v>5016</v>
      </c>
      <c r="I4581" s="27" t="s">
        <v>9</v>
      </c>
    </row>
    <row r="4582" spans="1:9" x14ac:dyDescent="0.3">
      <c r="A4582" s="26">
        <v>45171</v>
      </c>
      <c r="B4582" s="27" t="s">
        <v>123</v>
      </c>
      <c r="C4582" s="27" t="s">
        <v>6</v>
      </c>
      <c r="D4582" s="27" t="s">
        <v>21</v>
      </c>
      <c r="E4582" s="28">
        <v>171000</v>
      </c>
      <c r="F4582" s="28">
        <v>174800</v>
      </c>
      <c r="G4582" s="27" t="s">
        <v>17</v>
      </c>
      <c r="H4582" s="27" t="s">
        <v>5176</v>
      </c>
      <c r="I4582" s="27" t="s">
        <v>9</v>
      </c>
    </row>
    <row r="4583" spans="1:9" x14ac:dyDescent="0.3">
      <c r="A4583" s="26">
        <v>45171</v>
      </c>
      <c r="B4583" s="27" t="s">
        <v>123</v>
      </c>
      <c r="C4583" s="27" t="s">
        <v>6</v>
      </c>
      <c r="D4583" s="27" t="s">
        <v>21</v>
      </c>
      <c r="E4583" s="28">
        <v>94100</v>
      </c>
      <c r="F4583" s="28">
        <v>90400</v>
      </c>
      <c r="G4583" s="27" t="s">
        <v>22</v>
      </c>
      <c r="H4583" s="27" t="s">
        <v>5536</v>
      </c>
      <c r="I4583" s="27" t="s">
        <v>9</v>
      </c>
    </row>
    <row r="4584" spans="1:9" x14ac:dyDescent="0.3">
      <c r="A4584" s="26">
        <v>45171</v>
      </c>
      <c r="B4584" s="27" t="s">
        <v>123</v>
      </c>
      <c r="C4584" s="27" t="s">
        <v>6</v>
      </c>
      <c r="D4584" s="27" t="s">
        <v>7</v>
      </c>
      <c r="E4584" s="28">
        <v>49800</v>
      </c>
      <c r="F4584" s="28">
        <v>44100</v>
      </c>
      <c r="G4584" s="27" t="s">
        <v>11</v>
      </c>
      <c r="H4584" s="27" t="s">
        <v>5671</v>
      </c>
      <c r="I4584" s="27" t="s">
        <v>9</v>
      </c>
    </row>
    <row r="4585" spans="1:9" x14ac:dyDescent="0.3">
      <c r="A4585" s="26">
        <v>45171</v>
      </c>
      <c r="B4585" s="27" t="s">
        <v>123</v>
      </c>
      <c r="C4585" s="27" t="s">
        <v>6</v>
      </c>
      <c r="D4585" s="27" t="s">
        <v>16</v>
      </c>
      <c r="E4585" s="28">
        <v>70400</v>
      </c>
      <c r="F4585" s="28">
        <v>86600</v>
      </c>
      <c r="G4585" s="27" t="s">
        <v>22</v>
      </c>
      <c r="H4585" s="27" t="s">
        <v>5755</v>
      </c>
      <c r="I4585" s="27" t="s">
        <v>9</v>
      </c>
    </row>
    <row r="4586" spans="1:9" x14ac:dyDescent="0.3">
      <c r="A4586" s="26">
        <v>45171</v>
      </c>
      <c r="B4586" s="27" t="s">
        <v>123</v>
      </c>
      <c r="C4586" s="27" t="s">
        <v>6</v>
      </c>
      <c r="D4586" s="27" t="s">
        <v>7</v>
      </c>
      <c r="E4586" s="28">
        <v>107000</v>
      </c>
      <c r="F4586" s="28">
        <v>93400</v>
      </c>
      <c r="G4586" s="27" t="s">
        <v>11</v>
      </c>
      <c r="H4586" s="27" t="s">
        <v>6110</v>
      </c>
      <c r="I4586" s="27" t="s">
        <v>9</v>
      </c>
    </row>
    <row r="4587" spans="1:9" x14ac:dyDescent="0.3">
      <c r="A4587" s="26">
        <v>45171</v>
      </c>
      <c r="B4587" s="27" t="s">
        <v>123</v>
      </c>
      <c r="C4587" s="27" t="s">
        <v>93</v>
      </c>
      <c r="D4587" s="27" t="s">
        <v>19</v>
      </c>
      <c r="E4587" s="28">
        <v>63000</v>
      </c>
      <c r="F4587" s="28">
        <v>70800</v>
      </c>
      <c r="G4587" s="27" t="s">
        <v>17</v>
      </c>
      <c r="H4587" s="27" t="s">
        <v>6272</v>
      </c>
      <c r="I4587" s="27" t="s">
        <v>9</v>
      </c>
    </row>
    <row r="4588" spans="1:9" x14ac:dyDescent="0.3">
      <c r="A4588" s="26">
        <v>45172</v>
      </c>
      <c r="B4588" s="27" t="s">
        <v>123</v>
      </c>
      <c r="C4588" s="27" t="s">
        <v>18</v>
      </c>
      <c r="D4588" s="27" t="s">
        <v>19</v>
      </c>
      <c r="E4588" s="28">
        <v>125951</v>
      </c>
      <c r="F4588" s="28">
        <v>142223</v>
      </c>
      <c r="G4588" s="27" t="s">
        <v>17</v>
      </c>
      <c r="H4588" s="27" t="s">
        <v>58</v>
      </c>
      <c r="I4588" s="27" t="s">
        <v>13</v>
      </c>
    </row>
    <row r="4589" spans="1:9" x14ac:dyDescent="0.3">
      <c r="A4589" s="26">
        <v>45172</v>
      </c>
      <c r="B4589" s="27" t="s">
        <v>123</v>
      </c>
      <c r="C4589" s="27" t="s">
        <v>10</v>
      </c>
      <c r="D4589" s="27" t="s">
        <v>24</v>
      </c>
      <c r="E4589" s="28">
        <v>15100</v>
      </c>
      <c r="F4589" s="28">
        <v>150502</v>
      </c>
      <c r="G4589" s="27" t="s">
        <v>22</v>
      </c>
      <c r="H4589" s="27" t="s">
        <v>451</v>
      </c>
      <c r="I4589" s="27" t="s">
        <v>13</v>
      </c>
    </row>
    <row r="4590" spans="1:9" x14ac:dyDescent="0.3">
      <c r="A4590" s="26">
        <v>45172</v>
      </c>
      <c r="B4590" s="27" t="s">
        <v>123</v>
      </c>
      <c r="C4590" s="27" t="s">
        <v>15</v>
      </c>
      <c r="D4590" s="27" t="s">
        <v>24</v>
      </c>
      <c r="E4590" s="28">
        <v>138991</v>
      </c>
      <c r="F4590" s="28">
        <v>119112</v>
      </c>
      <c r="G4590" s="27" t="s">
        <v>22</v>
      </c>
      <c r="H4590" s="27" t="s">
        <v>1327</v>
      </c>
      <c r="I4590" s="27" t="s">
        <v>13</v>
      </c>
    </row>
    <row r="4591" spans="1:9" x14ac:dyDescent="0.3">
      <c r="A4591" s="26">
        <v>45172</v>
      </c>
      <c r="B4591" s="27" t="s">
        <v>123</v>
      </c>
      <c r="C4591" s="27" t="s">
        <v>10</v>
      </c>
      <c r="D4591" s="27" t="s">
        <v>24</v>
      </c>
      <c r="E4591" s="28">
        <v>134518</v>
      </c>
      <c r="F4591" s="28">
        <v>101425</v>
      </c>
      <c r="G4591" s="27" t="s">
        <v>17</v>
      </c>
      <c r="H4591" s="27" t="s">
        <v>1482</v>
      </c>
      <c r="I4591" s="27" t="s">
        <v>13</v>
      </c>
    </row>
    <row r="4592" spans="1:9" x14ac:dyDescent="0.3">
      <c r="A4592" s="26">
        <v>45172</v>
      </c>
      <c r="B4592" s="27" t="s">
        <v>123</v>
      </c>
      <c r="C4592" s="27" t="s">
        <v>15</v>
      </c>
      <c r="D4592" s="27" t="s">
        <v>7</v>
      </c>
      <c r="E4592" s="28">
        <v>116537</v>
      </c>
      <c r="F4592" s="28">
        <v>9400</v>
      </c>
      <c r="G4592" s="27" t="s">
        <v>11</v>
      </c>
      <c r="H4592" s="27" t="s">
        <v>2329</v>
      </c>
      <c r="I4592" s="27" t="s">
        <v>13</v>
      </c>
    </row>
    <row r="4593" spans="1:9" x14ac:dyDescent="0.3">
      <c r="A4593" s="26">
        <v>45172</v>
      </c>
      <c r="B4593" s="27" t="s">
        <v>123</v>
      </c>
      <c r="C4593" s="27" t="s">
        <v>10</v>
      </c>
      <c r="D4593" s="27" t="s">
        <v>16</v>
      </c>
      <c r="E4593" s="28">
        <v>88294</v>
      </c>
      <c r="F4593" s="28">
        <v>33482</v>
      </c>
      <c r="G4593" s="27" t="s">
        <v>8</v>
      </c>
      <c r="H4593" s="27" t="s">
        <v>2375</v>
      </c>
      <c r="I4593" s="27" t="s">
        <v>13</v>
      </c>
    </row>
    <row r="4594" spans="1:9" x14ac:dyDescent="0.3">
      <c r="A4594" s="26">
        <v>45172</v>
      </c>
      <c r="B4594" s="27" t="s">
        <v>123</v>
      </c>
      <c r="C4594" s="27" t="s">
        <v>15</v>
      </c>
      <c r="D4594" s="27" t="s">
        <v>7</v>
      </c>
      <c r="E4594" s="28">
        <v>127585</v>
      </c>
      <c r="F4594" s="28">
        <v>125349</v>
      </c>
      <c r="G4594" s="27" t="s">
        <v>8</v>
      </c>
      <c r="H4594" s="27" t="s">
        <v>2492</v>
      </c>
      <c r="I4594" s="27" t="s">
        <v>13</v>
      </c>
    </row>
    <row r="4595" spans="1:9" x14ac:dyDescent="0.3">
      <c r="A4595" s="26">
        <v>45172</v>
      </c>
      <c r="B4595" s="27" t="s">
        <v>123</v>
      </c>
      <c r="C4595" s="27" t="s">
        <v>18</v>
      </c>
      <c r="D4595" s="27" t="s">
        <v>7</v>
      </c>
      <c r="E4595" s="28">
        <v>62500</v>
      </c>
      <c r="F4595" s="28">
        <v>161804</v>
      </c>
      <c r="G4595" s="27" t="s">
        <v>22</v>
      </c>
      <c r="H4595" s="27" t="s">
        <v>3126</v>
      </c>
      <c r="I4595" s="27" t="s">
        <v>13</v>
      </c>
    </row>
    <row r="4596" spans="1:9" x14ac:dyDescent="0.3">
      <c r="A4596" s="26">
        <v>45172</v>
      </c>
      <c r="B4596" s="27" t="s">
        <v>123</v>
      </c>
      <c r="C4596" s="27" t="s">
        <v>18</v>
      </c>
      <c r="D4596" s="27" t="s">
        <v>16</v>
      </c>
      <c r="E4596" s="28">
        <v>116661</v>
      </c>
      <c r="F4596" s="28">
        <v>88802</v>
      </c>
      <c r="G4596" s="27" t="s">
        <v>22</v>
      </c>
      <c r="H4596" s="27" t="s">
        <v>3390</v>
      </c>
      <c r="I4596" s="27" t="s">
        <v>13</v>
      </c>
    </row>
    <row r="4597" spans="1:9" x14ac:dyDescent="0.3">
      <c r="A4597" s="26">
        <v>45172</v>
      </c>
      <c r="B4597" s="27" t="s">
        <v>123</v>
      </c>
      <c r="C4597" s="27" t="s">
        <v>32</v>
      </c>
      <c r="D4597" s="27" t="s">
        <v>24</v>
      </c>
      <c r="E4597" s="28">
        <v>115668</v>
      </c>
      <c r="F4597" s="28">
        <v>15342</v>
      </c>
      <c r="G4597" s="27" t="s">
        <v>17</v>
      </c>
      <c r="H4597" s="27" t="s">
        <v>3411</v>
      </c>
      <c r="I4597" s="27" t="s">
        <v>13</v>
      </c>
    </row>
    <row r="4598" spans="1:9" x14ac:dyDescent="0.3">
      <c r="A4598" s="26">
        <v>45172</v>
      </c>
      <c r="B4598" s="27" t="s">
        <v>123</v>
      </c>
      <c r="C4598" s="27" t="s">
        <v>6</v>
      </c>
      <c r="D4598" s="27" t="s">
        <v>19</v>
      </c>
      <c r="E4598" s="28">
        <v>113400</v>
      </c>
      <c r="F4598" s="28">
        <v>118600</v>
      </c>
      <c r="G4598" s="27" t="s">
        <v>22</v>
      </c>
      <c r="H4598" s="27" t="s">
        <v>3448</v>
      </c>
      <c r="I4598" s="27" t="s">
        <v>9</v>
      </c>
    </row>
    <row r="4599" spans="1:9" x14ac:dyDescent="0.3">
      <c r="A4599" s="26">
        <v>45172</v>
      </c>
      <c r="B4599" s="27" t="s">
        <v>123</v>
      </c>
      <c r="C4599" s="27" t="s">
        <v>93</v>
      </c>
      <c r="D4599" s="27" t="s">
        <v>24</v>
      </c>
      <c r="E4599" s="28">
        <v>79100</v>
      </c>
      <c r="F4599" s="28">
        <v>91900</v>
      </c>
      <c r="G4599" s="27" t="s">
        <v>11</v>
      </c>
      <c r="H4599" s="27" t="s">
        <v>3832</v>
      </c>
      <c r="I4599" s="27" t="s">
        <v>9</v>
      </c>
    </row>
    <row r="4600" spans="1:9" x14ac:dyDescent="0.3">
      <c r="A4600" s="26">
        <v>45172</v>
      </c>
      <c r="B4600" s="27" t="s">
        <v>123</v>
      </c>
      <c r="C4600" s="27" t="s">
        <v>6</v>
      </c>
      <c r="D4600" s="27" t="s">
        <v>24</v>
      </c>
      <c r="E4600" s="28">
        <v>158200</v>
      </c>
      <c r="F4600" s="28">
        <v>122900</v>
      </c>
      <c r="G4600" s="27" t="s">
        <v>17</v>
      </c>
      <c r="H4600" s="27" t="s">
        <v>4710</v>
      </c>
      <c r="I4600" s="27" t="s">
        <v>9</v>
      </c>
    </row>
    <row r="4601" spans="1:9" x14ac:dyDescent="0.3">
      <c r="A4601" s="26">
        <v>45172</v>
      </c>
      <c r="B4601" s="27" t="s">
        <v>123</v>
      </c>
      <c r="C4601" s="27" t="s">
        <v>6</v>
      </c>
      <c r="D4601" s="27" t="s">
        <v>24</v>
      </c>
      <c r="E4601" s="28">
        <v>163800</v>
      </c>
      <c r="F4601" s="28">
        <v>209600</v>
      </c>
      <c r="G4601" s="27" t="s">
        <v>11</v>
      </c>
      <c r="H4601" s="27" t="s">
        <v>4865</v>
      </c>
      <c r="I4601" s="27" t="s">
        <v>9</v>
      </c>
    </row>
    <row r="4602" spans="1:9" x14ac:dyDescent="0.3">
      <c r="A4602" s="26">
        <v>45172</v>
      </c>
      <c r="B4602" s="27" t="s">
        <v>123</v>
      </c>
      <c r="C4602" s="27" t="s">
        <v>6</v>
      </c>
      <c r="D4602" s="27" t="s">
        <v>7</v>
      </c>
      <c r="E4602" s="28">
        <v>222700</v>
      </c>
      <c r="F4602" s="28">
        <v>278200</v>
      </c>
      <c r="G4602" s="27" t="s">
        <v>22</v>
      </c>
      <c r="H4602" s="27" t="s">
        <v>5714</v>
      </c>
      <c r="I4602" s="27" t="s">
        <v>9</v>
      </c>
    </row>
    <row r="4603" spans="1:9" x14ac:dyDescent="0.3">
      <c r="A4603" s="26">
        <v>45172</v>
      </c>
      <c r="B4603" s="27" t="s">
        <v>123</v>
      </c>
      <c r="C4603" s="27" t="s">
        <v>6</v>
      </c>
      <c r="D4603" s="27" t="s">
        <v>16</v>
      </c>
      <c r="E4603" s="28">
        <v>86100</v>
      </c>
      <c r="F4603" s="28">
        <v>86600</v>
      </c>
      <c r="G4603" s="27" t="s">
        <v>22</v>
      </c>
      <c r="H4603" s="27" t="s">
        <v>5760</v>
      </c>
      <c r="I4603" s="27" t="s">
        <v>9</v>
      </c>
    </row>
    <row r="4604" spans="1:9" x14ac:dyDescent="0.3">
      <c r="A4604" s="26">
        <v>45172</v>
      </c>
      <c r="B4604" s="27" t="s">
        <v>123</v>
      </c>
      <c r="C4604" s="27" t="s">
        <v>6</v>
      </c>
      <c r="D4604" s="27" t="s">
        <v>7</v>
      </c>
      <c r="E4604" s="28">
        <v>164600</v>
      </c>
      <c r="F4604" s="28">
        <v>185600</v>
      </c>
      <c r="G4604" s="27" t="s">
        <v>11</v>
      </c>
      <c r="H4604" s="27" t="s">
        <v>5877</v>
      </c>
      <c r="I4604" s="27" t="s">
        <v>9</v>
      </c>
    </row>
    <row r="4605" spans="1:9" x14ac:dyDescent="0.3">
      <c r="A4605" s="26">
        <v>45172</v>
      </c>
      <c r="B4605" s="27" t="s">
        <v>123</v>
      </c>
      <c r="C4605" s="27" t="s">
        <v>93</v>
      </c>
      <c r="D4605" s="27" t="s">
        <v>7</v>
      </c>
      <c r="E4605" s="28">
        <v>107200</v>
      </c>
      <c r="F4605" s="28">
        <v>91300</v>
      </c>
      <c r="G4605" s="27" t="s">
        <v>11</v>
      </c>
      <c r="H4605" s="27" t="s">
        <v>6511</v>
      </c>
      <c r="I4605" s="27" t="s">
        <v>9</v>
      </c>
    </row>
    <row r="4606" spans="1:9" x14ac:dyDescent="0.3">
      <c r="A4606" s="26">
        <v>45172</v>
      </c>
      <c r="B4606" s="27" t="s">
        <v>123</v>
      </c>
      <c r="C4606" s="27" t="s">
        <v>6</v>
      </c>
      <c r="D4606" s="27" t="s">
        <v>16</v>
      </c>
      <c r="E4606" s="28">
        <v>129500</v>
      </c>
      <c r="F4606" s="28">
        <v>153400</v>
      </c>
      <c r="G4606" s="27" t="s">
        <v>11</v>
      </c>
      <c r="H4606" s="27" t="s">
        <v>6775</v>
      </c>
      <c r="I4606" s="27" t="s">
        <v>9</v>
      </c>
    </row>
    <row r="4607" spans="1:9" x14ac:dyDescent="0.3">
      <c r="A4607" s="26">
        <v>45172</v>
      </c>
      <c r="B4607" s="27" t="s">
        <v>123</v>
      </c>
      <c r="C4607" s="27" t="s">
        <v>6</v>
      </c>
      <c r="D4607" s="27" t="s">
        <v>24</v>
      </c>
      <c r="E4607" s="28">
        <v>103900</v>
      </c>
      <c r="F4607" s="28">
        <v>79000</v>
      </c>
      <c r="G4607" s="27" t="s">
        <v>17</v>
      </c>
      <c r="H4607" s="27" t="s">
        <v>6796</v>
      </c>
      <c r="I4607" s="27" t="s">
        <v>9</v>
      </c>
    </row>
    <row r="4608" spans="1:9" x14ac:dyDescent="0.3">
      <c r="A4608" s="26">
        <v>45173</v>
      </c>
      <c r="B4608" s="27" t="s">
        <v>123</v>
      </c>
      <c r="C4608" s="27" t="s">
        <v>10</v>
      </c>
      <c r="D4608" s="27" t="s">
        <v>19</v>
      </c>
      <c r="E4608" s="28">
        <v>134439</v>
      </c>
      <c r="F4608" s="28">
        <v>13971</v>
      </c>
      <c r="G4608" s="27" t="s">
        <v>22</v>
      </c>
      <c r="H4608" s="27" t="s">
        <v>909</v>
      </c>
      <c r="I4608" s="27" t="s">
        <v>13</v>
      </c>
    </row>
    <row r="4609" spans="1:9" x14ac:dyDescent="0.3">
      <c r="A4609" s="26">
        <v>45173</v>
      </c>
      <c r="B4609" s="27" t="s">
        <v>123</v>
      </c>
      <c r="C4609" s="27" t="s">
        <v>10</v>
      </c>
      <c r="D4609" s="27" t="s">
        <v>16</v>
      </c>
      <c r="E4609" s="28">
        <v>104035</v>
      </c>
      <c r="F4609" s="28">
        <v>143177</v>
      </c>
      <c r="G4609" s="27" t="s">
        <v>22</v>
      </c>
      <c r="H4609" s="27" t="s">
        <v>976</v>
      </c>
      <c r="I4609" s="27" t="s">
        <v>13</v>
      </c>
    </row>
    <row r="4610" spans="1:9" x14ac:dyDescent="0.3">
      <c r="A4610" s="26">
        <v>45173</v>
      </c>
      <c r="B4610" s="27" t="s">
        <v>123</v>
      </c>
      <c r="C4610" s="27" t="s">
        <v>10</v>
      </c>
      <c r="D4610" s="27" t="s">
        <v>16</v>
      </c>
      <c r="E4610" s="28">
        <v>49075</v>
      </c>
      <c r="F4610" s="28">
        <v>43271</v>
      </c>
      <c r="G4610" s="27" t="s">
        <v>22</v>
      </c>
      <c r="H4610" s="27" t="s">
        <v>1122</v>
      </c>
      <c r="I4610" s="27" t="s">
        <v>13</v>
      </c>
    </row>
    <row r="4611" spans="1:9" x14ac:dyDescent="0.3">
      <c r="A4611" s="26">
        <v>45173</v>
      </c>
      <c r="B4611" s="27" t="s">
        <v>123</v>
      </c>
      <c r="C4611" s="27" t="s">
        <v>32</v>
      </c>
      <c r="D4611" s="27" t="s">
        <v>24</v>
      </c>
      <c r="E4611" s="28">
        <v>54143</v>
      </c>
      <c r="F4611" s="28">
        <v>77454</v>
      </c>
      <c r="G4611" s="27" t="s">
        <v>17</v>
      </c>
      <c r="H4611" s="27" t="s">
        <v>1413</v>
      </c>
      <c r="I4611" s="27" t="s">
        <v>13</v>
      </c>
    </row>
    <row r="4612" spans="1:9" x14ac:dyDescent="0.3">
      <c r="A4612" s="26">
        <v>45173</v>
      </c>
      <c r="B4612" s="27" t="s">
        <v>123</v>
      </c>
      <c r="C4612" s="27" t="s">
        <v>32</v>
      </c>
      <c r="D4612" s="27" t="s">
        <v>19</v>
      </c>
      <c r="E4612" s="28">
        <v>125485</v>
      </c>
      <c r="F4612" s="28">
        <v>165047</v>
      </c>
      <c r="G4612" s="27" t="s">
        <v>17</v>
      </c>
      <c r="H4612" s="27" t="s">
        <v>1760</v>
      </c>
      <c r="I4612" s="27" t="s">
        <v>13</v>
      </c>
    </row>
    <row r="4613" spans="1:9" x14ac:dyDescent="0.3">
      <c r="A4613" s="26">
        <v>45173</v>
      </c>
      <c r="B4613" s="27" t="s">
        <v>123</v>
      </c>
      <c r="C4613" s="27" t="s">
        <v>15</v>
      </c>
      <c r="D4613" s="27" t="s">
        <v>16</v>
      </c>
      <c r="E4613" s="28">
        <v>74388</v>
      </c>
      <c r="F4613" s="28">
        <v>139000</v>
      </c>
      <c r="G4613" s="27" t="s">
        <v>8</v>
      </c>
      <c r="H4613" s="27" t="s">
        <v>2281</v>
      </c>
      <c r="I4613" s="27" t="s">
        <v>13</v>
      </c>
    </row>
    <row r="4614" spans="1:9" x14ac:dyDescent="0.3">
      <c r="A4614" s="26">
        <v>45173</v>
      </c>
      <c r="B4614" s="27" t="s">
        <v>123</v>
      </c>
      <c r="C4614" s="27" t="s">
        <v>18</v>
      </c>
      <c r="D4614" s="27" t="s">
        <v>19</v>
      </c>
      <c r="E4614" s="28">
        <v>82691</v>
      </c>
      <c r="F4614" s="28">
        <v>10919</v>
      </c>
      <c r="G4614" s="27" t="s">
        <v>8</v>
      </c>
      <c r="H4614" s="27" t="s">
        <v>2363</v>
      </c>
      <c r="I4614" s="27" t="s">
        <v>13</v>
      </c>
    </row>
    <row r="4615" spans="1:9" x14ac:dyDescent="0.3">
      <c r="A4615" s="26">
        <v>45173</v>
      </c>
      <c r="B4615" s="27" t="s">
        <v>123</v>
      </c>
      <c r="C4615" s="27" t="s">
        <v>10</v>
      </c>
      <c r="D4615" s="27" t="s">
        <v>16</v>
      </c>
      <c r="E4615" s="28">
        <v>91205</v>
      </c>
      <c r="F4615" s="28">
        <v>132788</v>
      </c>
      <c r="G4615" s="27" t="s">
        <v>8</v>
      </c>
      <c r="H4615" s="27" t="s">
        <v>2691</v>
      </c>
      <c r="I4615" s="27" t="s">
        <v>13</v>
      </c>
    </row>
    <row r="4616" spans="1:9" x14ac:dyDescent="0.3">
      <c r="A4616" s="26">
        <v>45173</v>
      </c>
      <c r="B4616" s="27" t="s">
        <v>123</v>
      </c>
      <c r="C4616" s="27" t="s">
        <v>10</v>
      </c>
      <c r="D4616" s="27" t="s">
        <v>16</v>
      </c>
      <c r="E4616" s="28">
        <v>36479</v>
      </c>
      <c r="F4616" s="28">
        <v>46531</v>
      </c>
      <c r="G4616" s="27" t="s">
        <v>22</v>
      </c>
      <c r="H4616" s="27" t="s">
        <v>2773</v>
      </c>
      <c r="I4616" s="27" t="s">
        <v>13</v>
      </c>
    </row>
    <row r="4617" spans="1:9" x14ac:dyDescent="0.3">
      <c r="A4617" s="26">
        <v>45173</v>
      </c>
      <c r="B4617" s="27" t="s">
        <v>123</v>
      </c>
      <c r="C4617" s="27" t="s">
        <v>14</v>
      </c>
      <c r="D4617" s="27" t="s">
        <v>24</v>
      </c>
      <c r="E4617" s="28">
        <v>66020</v>
      </c>
      <c r="F4617" s="28">
        <v>168509</v>
      </c>
      <c r="G4617" s="27" t="s">
        <v>11</v>
      </c>
      <c r="H4617" s="27" t="s">
        <v>3106</v>
      </c>
      <c r="I4617" s="27" t="s">
        <v>13</v>
      </c>
    </row>
    <row r="4618" spans="1:9" x14ac:dyDescent="0.3">
      <c r="A4618" s="26">
        <v>45173</v>
      </c>
      <c r="B4618" s="27" t="s">
        <v>123</v>
      </c>
      <c r="C4618" s="27" t="s">
        <v>32</v>
      </c>
      <c r="D4618" s="27" t="s">
        <v>19</v>
      </c>
      <c r="E4618" s="28">
        <v>117738</v>
      </c>
      <c r="F4618" s="28">
        <v>76594</v>
      </c>
      <c r="G4618" s="27" t="s">
        <v>17</v>
      </c>
      <c r="H4618" s="27" t="s">
        <v>3172</v>
      </c>
      <c r="I4618" s="27" t="s">
        <v>13</v>
      </c>
    </row>
    <row r="4619" spans="1:9" x14ac:dyDescent="0.3">
      <c r="A4619" s="26">
        <v>45173</v>
      </c>
      <c r="B4619" s="27" t="s">
        <v>123</v>
      </c>
      <c r="C4619" s="27" t="s">
        <v>6</v>
      </c>
      <c r="D4619" s="27" t="s">
        <v>19</v>
      </c>
      <c r="E4619" s="28">
        <v>112500</v>
      </c>
      <c r="F4619" s="28">
        <v>122000</v>
      </c>
      <c r="G4619" s="27" t="s">
        <v>11</v>
      </c>
      <c r="H4619" s="27" t="s">
        <v>4290</v>
      </c>
      <c r="I4619" s="27" t="s">
        <v>9</v>
      </c>
    </row>
    <row r="4620" spans="1:9" x14ac:dyDescent="0.3">
      <c r="A4620" s="26">
        <v>45173</v>
      </c>
      <c r="B4620" s="27" t="s">
        <v>123</v>
      </c>
      <c r="C4620" s="27" t="s">
        <v>6</v>
      </c>
      <c r="D4620" s="27" t="s">
        <v>16</v>
      </c>
      <c r="E4620" s="28">
        <v>94800</v>
      </c>
      <c r="F4620" s="28">
        <v>115200</v>
      </c>
      <c r="G4620" s="27" t="s">
        <v>11</v>
      </c>
      <c r="H4620" s="27" t="s">
        <v>4357</v>
      </c>
      <c r="I4620" s="27" t="s">
        <v>9</v>
      </c>
    </row>
    <row r="4621" spans="1:9" x14ac:dyDescent="0.3">
      <c r="A4621" s="26">
        <v>45173</v>
      </c>
      <c r="B4621" s="27" t="s">
        <v>123</v>
      </c>
      <c r="C4621" s="27" t="s">
        <v>6</v>
      </c>
      <c r="D4621" s="27" t="s">
        <v>16</v>
      </c>
      <c r="E4621" s="28">
        <v>116300</v>
      </c>
      <c r="F4621" s="28">
        <v>176700</v>
      </c>
      <c r="G4621" s="27" t="s">
        <v>11</v>
      </c>
      <c r="H4621" s="27" t="s">
        <v>4505</v>
      </c>
      <c r="I4621" s="27" t="s">
        <v>9</v>
      </c>
    </row>
    <row r="4622" spans="1:9" x14ac:dyDescent="0.3">
      <c r="A4622" s="26">
        <v>45173</v>
      </c>
      <c r="B4622" s="27" t="s">
        <v>123</v>
      </c>
      <c r="C4622" s="27" t="s">
        <v>6</v>
      </c>
      <c r="D4622" s="27" t="s">
        <v>24</v>
      </c>
      <c r="E4622" s="28">
        <v>77700</v>
      </c>
      <c r="F4622" s="28">
        <v>93900</v>
      </c>
      <c r="G4622" s="27" t="s">
        <v>11</v>
      </c>
      <c r="H4622" s="27" t="s">
        <v>4796</v>
      </c>
      <c r="I4622" s="27" t="s">
        <v>9</v>
      </c>
    </row>
    <row r="4623" spans="1:9" x14ac:dyDescent="0.3">
      <c r="A4623" s="26">
        <v>45173</v>
      </c>
      <c r="B4623" s="27" t="s">
        <v>123</v>
      </c>
      <c r="C4623" s="27" t="s">
        <v>6</v>
      </c>
      <c r="D4623" s="27" t="s">
        <v>19</v>
      </c>
      <c r="E4623" s="28">
        <v>169700</v>
      </c>
      <c r="F4623" s="28">
        <v>159400</v>
      </c>
      <c r="G4623" s="27" t="s">
        <v>22</v>
      </c>
      <c r="H4623" s="27" t="s">
        <v>5143</v>
      </c>
      <c r="I4623" s="27" t="s">
        <v>9</v>
      </c>
    </row>
    <row r="4624" spans="1:9" x14ac:dyDescent="0.3">
      <c r="A4624" s="26">
        <v>45173</v>
      </c>
      <c r="B4624" s="27" t="s">
        <v>123</v>
      </c>
      <c r="C4624" s="27" t="s">
        <v>6</v>
      </c>
      <c r="D4624" s="27" t="s">
        <v>16</v>
      </c>
      <c r="E4624" s="28">
        <v>57500</v>
      </c>
      <c r="F4624" s="28">
        <v>53900</v>
      </c>
      <c r="G4624" s="27" t="s">
        <v>11</v>
      </c>
      <c r="H4624" s="27" t="s">
        <v>5666</v>
      </c>
      <c r="I4624" s="27" t="s">
        <v>9</v>
      </c>
    </row>
    <row r="4625" spans="1:9" x14ac:dyDescent="0.3">
      <c r="A4625" s="26">
        <v>45173</v>
      </c>
      <c r="B4625" s="27" t="s">
        <v>123</v>
      </c>
      <c r="C4625" s="27" t="s">
        <v>93</v>
      </c>
      <c r="D4625" s="27" t="s">
        <v>19</v>
      </c>
      <c r="E4625" s="28">
        <v>144100</v>
      </c>
      <c r="F4625" s="28">
        <v>188200</v>
      </c>
      <c r="G4625" s="27" t="s">
        <v>11</v>
      </c>
      <c r="H4625" s="27" t="s">
        <v>5748</v>
      </c>
      <c r="I4625" s="27" t="s">
        <v>9</v>
      </c>
    </row>
    <row r="4626" spans="1:9" x14ac:dyDescent="0.3">
      <c r="A4626" s="26">
        <v>45173</v>
      </c>
      <c r="B4626" s="27" t="s">
        <v>123</v>
      </c>
      <c r="C4626" s="27" t="s">
        <v>6</v>
      </c>
      <c r="D4626" s="27" t="s">
        <v>16</v>
      </c>
      <c r="E4626" s="28">
        <v>93700</v>
      </c>
      <c r="F4626" s="28">
        <v>128700</v>
      </c>
      <c r="G4626" s="27" t="s">
        <v>22</v>
      </c>
      <c r="H4626" s="27" t="s">
        <v>6076</v>
      </c>
      <c r="I4626" s="27" t="s">
        <v>9</v>
      </c>
    </row>
    <row r="4627" spans="1:9" x14ac:dyDescent="0.3">
      <c r="A4627" s="26">
        <v>45173</v>
      </c>
      <c r="B4627" s="27" t="s">
        <v>123</v>
      </c>
      <c r="C4627" s="27" t="s">
        <v>6</v>
      </c>
      <c r="D4627" s="27" t="s">
        <v>16</v>
      </c>
      <c r="E4627" s="28">
        <v>133600</v>
      </c>
      <c r="F4627" s="28">
        <v>119900</v>
      </c>
      <c r="G4627" s="27" t="s">
        <v>11</v>
      </c>
      <c r="H4627" s="27" t="s">
        <v>6158</v>
      </c>
      <c r="I4627" s="27" t="s">
        <v>9</v>
      </c>
    </row>
    <row r="4628" spans="1:9" x14ac:dyDescent="0.3">
      <c r="A4628" s="26">
        <v>45173</v>
      </c>
      <c r="B4628" s="27" t="s">
        <v>123</v>
      </c>
      <c r="C4628" s="27" t="s">
        <v>93</v>
      </c>
      <c r="D4628" s="27" t="s">
        <v>24</v>
      </c>
      <c r="E4628" s="28">
        <v>113100</v>
      </c>
      <c r="F4628" s="28">
        <v>115000</v>
      </c>
      <c r="G4628" s="27" t="s">
        <v>17</v>
      </c>
      <c r="H4628" s="27" t="s">
        <v>6491</v>
      </c>
      <c r="I4628" s="27" t="s">
        <v>9</v>
      </c>
    </row>
    <row r="4629" spans="1:9" x14ac:dyDescent="0.3">
      <c r="A4629" s="26">
        <v>45173</v>
      </c>
      <c r="B4629" s="27" t="s">
        <v>123</v>
      </c>
      <c r="C4629" s="27" t="s">
        <v>6</v>
      </c>
      <c r="D4629" s="27" t="s">
        <v>19</v>
      </c>
      <c r="E4629" s="28">
        <v>107600</v>
      </c>
      <c r="F4629" s="28">
        <v>120900</v>
      </c>
      <c r="G4629" s="27" t="s">
        <v>22</v>
      </c>
      <c r="H4629" s="27" t="s">
        <v>6557</v>
      </c>
      <c r="I4629" s="27" t="s">
        <v>9</v>
      </c>
    </row>
    <row r="4630" spans="1:9" x14ac:dyDescent="0.3">
      <c r="A4630" s="26">
        <v>45174</v>
      </c>
      <c r="B4630" s="27" t="s">
        <v>123</v>
      </c>
      <c r="C4630" s="27" t="s">
        <v>10</v>
      </c>
      <c r="D4630" s="27" t="s">
        <v>19</v>
      </c>
      <c r="E4630" s="28">
        <v>137776</v>
      </c>
      <c r="F4630" s="28">
        <v>156982</v>
      </c>
      <c r="G4630" s="27" t="s">
        <v>22</v>
      </c>
      <c r="H4630" s="27" t="s">
        <v>211</v>
      </c>
      <c r="I4630" s="27" t="s">
        <v>13</v>
      </c>
    </row>
    <row r="4631" spans="1:9" x14ac:dyDescent="0.3">
      <c r="A4631" s="26">
        <v>45174</v>
      </c>
      <c r="B4631" s="27" t="s">
        <v>123</v>
      </c>
      <c r="C4631" s="27" t="s">
        <v>20</v>
      </c>
      <c r="D4631" s="27" t="s">
        <v>16</v>
      </c>
      <c r="E4631" s="28">
        <v>66591</v>
      </c>
      <c r="F4631" s="28">
        <v>109089</v>
      </c>
      <c r="G4631" s="27" t="s">
        <v>22</v>
      </c>
      <c r="H4631" s="27" t="s">
        <v>569</v>
      </c>
      <c r="I4631" s="27" t="s">
        <v>13</v>
      </c>
    </row>
    <row r="4632" spans="1:9" x14ac:dyDescent="0.3">
      <c r="A4632" s="26">
        <v>45174</v>
      </c>
      <c r="B4632" s="27" t="s">
        <v>123</v>
      </c>
      <c r="C4632" s="27" t="s">
        <v>32</v>
      </c>
      <c r="D4632" s="27" t="s">
        <v>21</v>
      </c>
      <c r="E4632" s="28">
        <v>141305</v>
      </c>
      <c r="F4632" s="28">
        <v>19773</v>
      </c>
      <c r="G4632" s="27" t="s">
        <v>8</v>
      </c>
      <c r="H4632" s="27" t="s">
        <v>690</v>
      </c>
      <c r="I4632" s="27" t="s">
        <v>13</v>
      </c>
    </row>
    <row r="4633" spans="1:9" x14ac:dyDescent="0.3">
      <c r="A4633" s="26">
        <v>45174</v>
      </c>
      <c r="B4633" s="27" t="s">
        <v>123</v>
      </c>
      <c r="C4633" s="27" t="s">
        <v>18</v>
      </c>
      <c r="D4633" s="27" t="s">
        <v>24</v>
      </c>
      <c r="E4633" s="28">
        <v>41034</v>
      </c>
      <c r="F4633" s="28">
        <v>164679</v>
      </c>
      <c r="G4633" s="27" t="s">
        <v>22</v>
      </c>
      <c r="H4633" s="27" t="s">
        <v>1512</v>
      </c>
      <c r="I4633" s="27" t="s">
        <v>13</v>
      </c>
    </row>
    <row r="4634" spans="1:9" x14ac:dyDescent="0.3">
      <c r="A4634" s="26">
        <v>45174</v>
      </c>
      <c r="B4634" s="27" t="s">
        <v>123</v>
      </c>
      <c r="C4634" s="27" t="s">
        <v>32</v>
      </c>
      <c r="D4634" s="27" t="s">
        <v>21</v>
      </c>
      <c r="E4634" s="28">
        <v>33473</v>
      </c>
      <c r="F4634" s="28">
        <v>151924</v>
      </c>
      <c r="G4634" s="27" t="s">
        <v>11</v>
      </c>
      <c r="H4634" s="27" t="s">
        <v>2095</v>
      </c>
      <c r="I4634" s="27" t="s">
        <v>13</v>
      </c>
    </row>
    <row r="4635" spans="1:9" x14ac:dyDescent="0.3">
      <c r="A4635" s="26">
        <v>45174</v>
      </c>
      <c r="B4635" s="27" t="s">
        <v>123</v>
      </c>
      <c r="C4635" s="27" t="s">
        <v>10</v>
      </c>
      <c r="D4635" s="27" t="s">
        <v>21</v>
      </c>
      <c r="E4635" s="28">
        <v>80580</v>
      </c>
      <c r="F4635" s="28">
        <v>29834</v>
      </c>
      <c r="G4635" s="27" t="s">
        <v>22</v>
      </c>
      <c r="H4635" s="27" t="s">
        <v>2133</v>
      </c>
      <c r="I4635" s="27" t="s">
        <v>13</v>
      </c>
    </row>
    <row r="4636" spans="1:9" x14ac:dyDescent="0.3">
      <c r="A4636" s="26">
        <v>45174</v>
      </c>
      <c r="B4636" s="27" t="s">
        <v>123</v>
      </c>
      <c r="C4636" s="27" t="s">
        <v>32</v>
      </c>
      <c r="D4636" s="27" t="s">
        <v>19</v>
      </c>
      <c r="E4636" s="28">
        <v>42088</v>
      </c>
      <c r="F4636" s="28">
        <v>133174</v>
      </c>
      <c r="G4636" s="27" t="s">
        <v>17</v>
      </c>
      <c r="H4636" s="27" t="s">
        <v>2223</v>
      </c>
      <c r="I4636" s="27" t="s">
        <v>13</v>
      </c>
    </row>
    <row r="4637" spans="1:9" x14ac:dyDescent="0.3">
      <c r="A4637" s="26">
        <v>45174</v>
      </c>
      <c r="B4637" s="27" t="s">
        <v>123</v>
      </c>
      <c r="C4637" s="27" t="s">
        <v>6</v>
      </c>
      <c r="D4637" s="27" t="s">
        <v>19</v>
      </c>
      <c r="E4637" s="28">
        <v>97700</v>
      </c>
      <c r="F4637" s="28">
        <v>108200</v>
      </c>
      <c r="G4637" s="27" t="s">
        <v>11</v>
      </c>
      <c r="H4637" s="27" t="s">
        <v>3592</v>
      </c>
      <c r="I4637" s="27" t="s">
        <v>9</v>
      </c>
    </row>
    <row r="4638" spans="1:9" x14ac:dyDescent="0.3">
      <c r="A4638" s="26">
        <v>45174</v>
      </c>
      <c r="B4638" s="27" t="s">
        <v>123</v>
      </c>
      <c r="C4638" s="27" t="s">
        <v>93</v>
      </c>
      <c r="D4638" s="27" t="s">
        <v>16</v>
      </c>
      <c r="E4638" s="28">
        <v>63600</v>
      </c>
      <c r="F4638" s="28">
        <v>76900</v>
      </c>
      <c r="G4638" s="27" t="s">
        <v>22</v>
      </c>
      <c r="H4638" s="27" t="s">
        <v>3950</v>
      </c>
      <c r="I4638" s="27" t="s">
        <v>9</v>
      </c>
    </row>
    <row r="4639" spans="1:9" x14ac:dyDescent="0.3">
      <c r="A4639" s="26">
        <v>45174</v>
      </c>
      <c r="B4639" s="27" t="s">
        <v>123</v>
      </c>
      <c r="C4639" s="27" t="s">
        <v>6</v>
      </c>
      <c r="D4639" s="27" t="s">
        <v>21</v>
      </c>
      <c r="E4639" s="28">
        <v>182400</v>
      </c>
      <c r="F4639" s="28">
        <v>154000</v>
      </c>
      <c r="G4639" s="27" t="s">
        <v>11</v>
      </c>
      <c r="H4639" s="27" t="s">
        <v>4071</v>
      </c>
      <c r="I4639" s="27" t="s">
        <v>9</v>
      </c>
    </row>
    <row r="4640" spans="1:9" x14ac:dyDescent="0.3">
      <c r="A4640" s="26">
        <v>45174</v>
      </c>
      <c r="B4640" s="27" t="s">
        <v>123</v>
      </c>
      <c r="C4640" s="27" t="s">
        <v>6</v>
      </c>
      <c r="D4640" s="27" t="s">
        <v>24</v>
      </c>
      <c r="E4640" s="28">
        <v>132000</v>
      </c>
      <c r="F4640" s="28">
        <v>119800</v>
      </c>
      <c r="G4640" s="27" t="s">
        <v>11</v>
      </c>
      <c r="H4640" s="27" t="s">
        <v>4895</v>
      </c>
      <c r="I4640" s="27" t="s">
        <v>9</v>
      </c>
    </row>
    <row r="4641" spans="1:9" x14ac:dyDescent="0.3">
      <c r="A4641" s="26">
        <v>45174</v>
      </c>
      <c r="B4641" s="27" t="s">
        <v>123</v>
      </c>
      <c r="C4641" s="27" t="s">
        <v>6</v>
      </c>
      <c r="D4641" s="27" t="s">
        <v>21</v>
      </c>
      <c r="E4641" s="28">
        <v>94900</v>
      </c>
      <c r="F4641" s="28">
        <v>95100</v>
      </c>
      <c r="G4641" s="27" t="s">
        <v>22</v>
      </c>
      <c r="H4641" s="27" t="s">
        <v>5479</v>
      </c>
      <c r="I4641" s="27" t="s">
        <v>9</v>
      </c>
    </row>
    <row r="4642" spans="1:9" x14ac:dyDescent="0.3">
      <c r="A4642" s="26">
        <v>45174</v>
      </c>
      <c r="B4642" s="27" t="s">
        <v>123</v>
      </c>
      <c r="C4642" s="27" t="s">
        <v>6</v>
      </c>
      <c r="D4642" s="27" t="s">
        <v>21</v>
      </c>
      <c r="E4642" s="28">
        <v>66300</v>
      </c>
      <c r="F4642" s="28">
        <v>76900</v>
      </c>
      <c r="G4642" s="27" t="s">
        <v>11</v>
      </c>
      <c r="H4642" s="27" t="s">
        <v>5517</v>
      </c>
      <c r="I4642" s="27" t="s">
        <v>9</v>
      </c>
    </row>
    <row r="4643" spans="1:9" x14ac:dyDescent="0.3">
      <c r="A4643" s="26">
        <v>45174</v>
      </c>
      <c r="B4643" s="27" t="s">
        <v>123</v>
      </c>
      <c r="C4643" s="27" t="s">
        <v>6</v>
      </c>
      <c r="D4643" s="27" t="s">
        <v>19</v>
      </c>
      <c r="E4643" s="28">
        <v>70900</v>
      </c>
      <c r="F4643" s="28">
        <v>66300</v>
      </c>
      <c r="G4643" s="27" t="s">
        <v>17</v>
      </c>
      <c r="H4643" s="27" t="s">
        <v>5608</v>
      </c>
      <c r="I4643" s="27" t="s">
        <v>9</v>
      </c>
    </row>
    <row r="4644" spans="1:9" x14ac:dyDescent="0.3">
      <c r="A4644" s="26">
        <v>45175</v>
      </c>
      <c r="B4644" s="27" t="s">
        <v>123</v>
      </c>
      <c r="C4644" s="27" t="s">
        <v>15</v>
      </c>
      <c r="D4644" s="27" t="s">
        <v>7</v>
      </c>
      <c r="E4644" s="28">
        <v>38536</v>
      </c>
      <c r="F4644" s="28">
        <v>12390</v>
      </c>
      <c r="G4644" s="27" t="s">
        <v>8</v>
      </c>
      <c r="H4644" s="27" t="s">
        <v>1036</v>
      </c>
      <c r="I4644" s="27" t="s">
        <v>13</v>
      </c>
    </row>
    <row r="4645" spans="1:9" x14ac:dyDescent="0.3">
      <c r="A4645" s="26">
        <v>45175</v>
      </c>
      <c r="B4645" s="27" t="s">
        <v>123</v>
      </c>
      <c r="C4645" s="27" t="s">
        <v>14</v>
      </c>
      <c r="D4645" s="27" t="s">
        <v>24</v>
      </c>
      <c r="E4645" s="28">
        <v>51592</v>
      </c>
      <c r="F4645" s="28">
        <v>130227</v>
      </c>
      <c r="G4645" s="27" t="s">
        <v>17</v>
      </c>
      <c r="H4645" s="27" t="s">
        <v>1370</v>
      </c>
      <c r="I4645" s="27" t="s">
        <v>13</v>
      </c>
    </row>
    <row r="4646" spans="1:9" x14ac:dyDescent="0.3">
      <c r="A4646" s="26">
        <v>45175</v>
      </c>
      <c r="B4646" s="27" t="s">
        <v>123</v>
      </c>
      <c r="C4646" s="27" t="s">
        <v>10</v>
      </c>
      <c r="D4646" s="27" t="s">
        <v>7</v>
      </c>
      <c r="E4646" s="28">
        <v>111844</v>
      </c>
      <c r="F4646" s="28">
        <v>94810</v>
      </c>
      <c r="G4646" s="27" t="s">
        <v>17</v>
      </c>
      <c r="H4646" s="27" t="s">
        <v>1494</v>
      </c>
      <c r="I4646" s="27" t="s">
        <v>13</v>
      </c>
    </row>
    <row r="4647" spans="1:9" x14ac:dyDescent="0.3">
      <c r="A4647" s="26">
        <v>45175</v>
      </c>
      <c r="B4647" s="27" t="s">
        <v>123</v>
      </c>
      <c r="C4647" s="27" t="s">
        <v>10</v>
      </c>
      <c r="D4647" s="27" t="s">
        <v>21</v>
      </c>
      <c r="E4647" s="28">
        <v>75547</v>
      </c>
      <c r="F4647" s="28">
        <v>108449</v>
      </c>
      <c r="G4647" s="27" t="s">
        <v>8</v>
      </c>
      <c r="H4647" s="27" t="s">
        <v>1709</v>
      </c>
      <c r="I4647" s="27" t="s">
        <v>13</v>
      </c>
    </row>
    <row r="4648" spans="1:9" x14ac:dyDescent="0.3">
      <c r="A4648" s="26">
        <v>45175</v>
      </c>
      <c r="B4648" s="27" t="s">
        <v>123</v>
      </c>
      <c r="C4648" s="27" t="s">
        <v>10</v>
      </c>
      <c r="D4648" s="27" t="s">
        <v>7</v>
      </c>
      <c r="E4648" s="28">
        <v>130993</v>
      </c>
      <c r="F4648" s="28">
        <v>13740</v>
      </c>
      <c r="G4648" s="27" t="s">
        <v>17</v>
      </c>
      <c r="H4648" s="27" t="s">
        <v>2468</v>
      </c>
      <c r="I4648" s="27" t="s">
        <v>13</v>
      </c>
    </row>
    <row r="4649" spans="1:9" x14ac:dyDescent="0.3">
      <c r="A4649" s="26">
        <v>45175</v>
      </c>
      <c r="B4649" s="27" t="s">
        <v>123</v>
      </c>
      <c r="C4649" s="27" t="s">
        <v>10</v>
      </c>
      <c r="D4649" s="27" t="s">
        <v>19</v>
      </c>
      <c r="E4649" s="28">
        <v>77067</v>
      </c>
      <c r="F4649" s="28">
        <v>10965</v>
      </c>
      <c r="G4649" s="27" t="s">
        <v>17</v>
      </c>
      <c r="H4649" s="27" t="s">
        <v>2709</v>
      </c>
      <c r="I4649" s="27" t="s">
        <v>13</v>
      </c>
    </row>
    <row r="4650" spans="1:9" x14ac:dyDescent="0.3">
      <c r="A4650" s="26">
        <v>45175</v>
      </c>
      <c r="B4650" s="27" t="s">
        <v>123</v>
      </c>
      <c r="C4650" s="27" t="s">
        <v>15</v>
      </c>
      <c r="D4650" s="27" t="s">
        <v>16</v>
      </c>
      <c r="E4650" s="28">
        <v>34759</v>
      </c>
      <c r="F4650" s="28">
        <v>11813</v>
      </c>
      <c r="G4650" s="27" t="s">
        <v>11</v>
      </c>
      <c r="H4650" s="27" t="s">
        <v>3292</v>
      </c>
      <c r="I4650" s="27" t="s">
        <v>13</v>
      </c>
    </row>
    <row r="4651" spans="1:9" x14ac:dyDescent="0.3">
      <c r="A4651" s="26">
        <v>45175</v>
      </c>
      <c r="B4651" s="27" t="s">
        <v>123</v>
      </c>
      <c r="C4651" s="27" t="s">
        <v>6</v>
      </c>
      <c r="D4651" s="27" t="s">
        <v>7</v>
      </c>
      <c r="E4651" s="28">
        <v>76400</v>
      </c>
      <c r="F4651" s="28">
        <v>91800</v>
      </c>
      <c r="G4651" s="27" t="s">
        <v>11</v>
      </c>
      <c r="H4651" s="27" t="s">
        <v>4418</v>
      </c>
      <c r="I4651" s="27" t="s">
        <v>9</v>
      </c>
    </row>
    <row r="4652" spans="1:9" x14ac:dyDescent="0.3">
      <c r="A4652" s="26">
        <v>45175</v>
      </c>
      <c r="B4652" s="27" t="s">
        <v>123</v>
      </c>
      <c r="C4652" s="27" t="s">
        <v>6</v>
      </c>
      <c r="D4652" s="27" t="s">
        <v>24</v>
      </c>
      <c r="E4652" s="28">
        <v>81200</v>
      </c>
      <c r="F4652" s="28">
        <v>90000</v>
      </c>
      <c r="G4652" s="27" t="s">
        <v>17</v>
      </c>
      <c r="H4652" s="27" t="s">
        <v>4753</v>
      </c>
      <c r="I4652" s="27" t="s">
        <v>9</v>
      </c>
    </row>
    <row r="4653" spans="1:9" x14ac:dyDescent="0.3">
      <c r="A4653" s="26">
        <v>45175</v>
      </c>
      <c r="B4653" s="27" t="s">
        <v>123</v>
      </c>
      <c r="C4653" s="27" t="s">
        <v>93</v>
      </c>
      <c r="D4653" s="27" t="s">
        <v>7</v>
      </c>
      <c r="E4653" s="28">
        <v>34100</v>
      </c>
      <c r="F4653" s="28">
        <v>35100</v>
      </c>
      <c r="G4653" s="27" t="s">
        <v>11</v>
      </c>
      <c r="H4653" s="27" t="s">
        <v>4877</v>
      </c>
      <c r="I4653" s="27" t="s">
        <v>9</v>
      </c>
    </row>
    <row r="4654" spans="1:9" x14ac:dyDescent="0.3">
      <c r="A4654" s="26">
        <v>45175</v>
      </c>
      <c r="B4654" s="27" t="s">
        <v>123</v>
      </c>
      <c r="C4654" s="27" t="s">
        <v>6</v>
      </c>
      <c r="D4654" s="27" t="s">
        <v>21</v>
      </c>
      <c r="E4654" s="28">
        <v>127900</v>
      </c>
      <c r="F4654" s="28">
        <v>125100</v>
      </c>
      <c r="G4654" s="27" t="s">
        <v>22</v>
      </c>
      <c r="H4654" s="27" t="s">
        <v>5092</v>
      </c>
      <c r="I4654" s="27" t="s">
        <v>9</v>
      </c>
    </row>
    <row r="4655" spans="1:9" x14ac:dyDescent="0.3">
      <c r="A4655" s="26">
        <v>45175</v>
      </c>
      <c r="B4655" s="27" t="s">
        <v>123</v>
      </c>
      <c r="C4655" s="27" t="s">
        <v>6</v>
      </c>
      <c r="D4655" s="27" t="s">
        <v>7</v>
      </c>
      <c r="E4655" s="28">
        <v>281500</v>
      </c>
      <c r="F4655" s="28">
        <v>344700</v>
      </c>
      <c r="G4655" s="27" t="s">
        <v>17</v>
      </c>
      <c r="H4655" s="27" t="s">
        <v>5853</v>
      </c>
      <c r="I4655" s="27" t="s">
        <v>9</v>
      </c>
    </row>
    <row r="4656" spans="1:9" x14ac:dyDescent="0.3">
      <c r="A4656" s="26">
        <v>45175</v>
      </c>
      <c r="B4656" s="27" t="s">
        <v>123</v>
      </c>
      <c r="C4656" s="27" t="s">
        <v>93</v>
      </c>
      <c r="D4656" s="27" t="s">
        <v>19</v>
      </c>
      <c r="E4656" s="28">
        <v>63600</v>
      </c>
      <c r="F4656" s="28">
        <v>54200</v>
      </c>
      <c r="G4656" s="27" t="s">
        <v>17</v>
      </c>
      <c r="H4656" s="27" t="s">
        <v>6094</v>
      </c>
      <c r="I4656" s="27" t="s">
        <v>9</v>
      </c>
    </row>
    <row r="4657" spans="1:9" x14ac:dyDescent="0.3">
      <c r="A4657" s="26">
        <v>45175</v>
      </c>
      <c r="B4657" s="27" t="s">
        <v>123</v>
      </c>
      <c r="C4657" s="27" t="s">
        <v>6</v>
      </c>
      <c r="D4657" s="27" t="s">
        <v>16</v>
      </c>
      <c r="E4657" s="28">
        <v>199900</v>
      </c>
      <c r="F4657" s="28">
        <v>224500</v>
      </c>
      <c r="G4657" s="27" t="s">
        <v>22</v>
      </c>
      <c r="H4657" s="27" t="s">
        <v>6677</v>
      </c>
      <c r="I4657" s="27" t="s">
        <v>9</v>
      </c>
    </row>
    <row r="4658" spans="1:9" x14ac:dyDescent="0.3">
      <c r="A4658" s="26">
        <v>45176</v>
      </c>
      <c r="B4658" s="27" t="s">
        <v>123</v>
      </c>
      <c r="C4658" s="27" t="s">
        <v>10</v>
      </c>
      <c r="D4658" s="27" t="s">
        <v>7</v>
      </c>
      <c r="E4658" s="28">
        <v>123140</v>
      </c>
      <c r="F4658" s="28">
        <v>30168</v>
      </c>
      <c r="G4658" s="27" t="s">
        <v>11</v>
      </c>
      <c r="H4658" s="27" t="s">
        <v>689</v>
      </c>
      <c r="I4658" s="27" t="s">
        <v>13</v>
      </c>
    </row>
    <row r="4659" spans="1:9" x14ac:dyDescent="0.3">
      <c r="A4659" s="26">
        <v>45176</v>
      </c>
      <c r="B4659" s="27" t="s">
        <v>123</v>
      </c>
      <c r="C4659" s="27" t="s">
        <v>15</v>
      </c>
      <c r="D4659" s="27" t="s">
        <v>7</v>
      </c>
      <c r="E4659" s="28">
        <v>95065</v>
      </c>
      <c r="F4659" s="28">
        <v>76919</v>
      </c>
      <c r="G4659" s="27" t="s">
        <v>11</v>
      </c>
      <c r="H4659" s="27" t="s">
        <v>890</v>
      </c>
      <c r="I4659" s="27" t="s">
        <v>13</v>
      </c>
    </row>
    <row r="4660" spans="1:9" x14ac:dyDescent="0.3">
      <c r="A4660" s="26">
        <v>45176</v>
      </c>
      <c r="B4660" s="27" t="s">
        <v>123</v>
      </c>
      <c r="C4660" s="27" t="s">
        <v>14</v>
      </c>
      <c r="D4660" s="27" t="s">
        <v>16</v>
      </c>
      <c r="E4660" s="28">
        <v>84447</v>
      </c>
      <c r="F4660" s="28">
        <v>136066</v>
      </c>
      <c r="G4660" s="27" t="s">
        <v>11</v>
      </c>
      <c r="H4660" s="27" t="s">
        <v>1066</v>
      </c>
      <c r="I4660" s="27" t="s">
        <v>13</v>
      </c>
    </row>
    <row r="4661" spans="1:9" x14ac:dyDescent="0.3">
      <c r="A4661" s="26">
        <v>45176</v>
      </c>
      <c r="B4661" s="27" t="s">
        <v>123</v>
      </c>
      <c r="C4661" s="27" t="s">
        <v>14</v>
      </c>
      <c r="D4661" s="27" t="s">
        <v>24</v>
      </c>
      <c r="E4661" s="28">
        <v>15642</v>
      </c>
      <c r="F4661" s="28">
        <v>91184</v>
      </c>
      <c r="G4661" s="27" t="s">
        <v>22</v>
      </c>
      <c r="H4661" s="27" t="s">
        <v>1094</v>
      </c>
      <c r="I4661" s="27" t="s">
        <v>13</v>
      </c>
    </row>
    <row r="4662" spans="1:9" x14ac:dyDescent="0.3">
      <c r="A4662" s="26">
        <v>45176</v>
      </c>
      <c r="B4662" s="27" t="s">
        <v>123</v>
      </c>
      <c r="C4662" s="27" t="s">
        <v>32</v>
      </c>
      <c r="D4662" s="27" t="s">
        <v>19</v>
      </c>
      <c r="E4662" s="28">
        <v>113661</v>
      </c>
      <c r="F4662" s="28">
        <v>151790</v>
      </c>
      <c r="G4662" s="27" t="s">
        <v>8</v>
      </c>
      <c r="H4662" s="27" t="s">
        <v>2782</v>
      </c>
      <c r="I4662" s="27" t="s">
        <v>13</v>
      </c>
    </row>
    <row r="4663" spans="1:9" x14ac:dyDescent="0.3">
      <c r="A4663" s="26">
        <v>45176</v>
      </c>
      <c r="B4663" s="27" t="s">
        <v>123</v>
      </c>
      <c r="C4663" s="27" t="s">
        <v>14</v>
      </c>
      <c r="D4663" s="27" t="s">
        <v>16</v>
      </c>
      <c r="E4663" s="28">
        <v>34569</v>
      </c>
      <c r="F4663" s="28">
        <v>96069</v>
      </c>
      <c r="G4663" s="27" t="s">
        <v>17</v>
      </c>
      <c r="H4663" s="27" t="s">
        <v>3170</v>
      </c>
      <c r="I4663" s="27" t="s">
        <v>13</v>
      </c>
    </row>
    <row r="4664" spans="1:9" x14ac:dyDescent="0.3">
      <c r="A4664" s="26">
        <v>45176</v>
      </c>
      <c r="B4664" s="27" t="s">
        <v>123</v>
      </c>
      <c r="C4664" s="27" t="s">
        <v>93</v>
      </c>
      <c r="D4664" s="27" t="s">
        <v>7</v>
      </c>
      <c r="E4664" s="28">
        <v>101800</v>
      </c>
      <c r="F4664" s="28">
        <v>102900</v>
      </c>
      <c r="G4664" s="27" t="s">
        <v>11</v>
      </c>
      <c r="H4664" s="27" t="s">
        <v>4070</v>
      </c>
      <c r="I4664" s="27" t="s">
        <v>9</v>
      </c>
    </row>
    <row r="4665" spans="1:9" x14ac:dyDescent="0.3">
      <c r="A4665" s="26">
        <v>45176</v>
      </c>
      <c r="B4665" s="27" t="s">
        <v>123</v>
      </c>
      <c r="C4665" s="27" t="s">
        <v>6</v>
      </c>
      <c r="D4665" s="27" t="s">
        <v>7</v>
      </c>
      <c r="E4665" s="28">
        <v>80100</v>
      </c>
      <c r="F4665" s="28">
        <v>100100</v>
      </c>
      <c r="G4665" s="27" t="s">
        <v>22</v>
      </c>
      <c r="H4665" s="27" t="s">
        <v>4271</v>
      </c>
      <c r="I4665" s="27" t="s">
        <v>9</v>
      </c>
    </row>
    <row r="4666" spans="1:9" x14ac:dyDescent="0.3">
      <c r="A4666" s="26">
        <v>45176</v>
      </c>
      <c r="B4666" s="27" t="s">
        <v>123</v>
      </c>
      <c r="C4666" s="27" t="s">
        <v>6</v>
      </c>
      <c r="D4666" s="27" t="s">
        <v>16</v>
      </c>
      <c r="E4666" s="28">
        <v>163100</v>
      </c>
      <c r="F4666" s="28">
        <v>145800</v>
      </c>
      <c r="G4666" s="27" t="s">
        <v>11</v>
      </c>
      <c r="H4666" s="27" t="s">
        <v>4448</v>
      </c>
      <c r="I4666" s="27" t="s">
        <v>9</v>
      </c>
    </row>
    <row r="4667" spans="1:9" x14ac:dyDescent="0.3">
      <c r="A4667" s="26">
        <v>45176</v>
      </c>
      <c r="B4667" s="27" t="s">
        <v>123</v>
      </c>
      <c r="C4667" s="27" t="s">
        <v>6</v>
      </c>
      <c r="D4667" s="27" t="s">
        <v>24</v>
      </c>
      <c r="E4667" s="28">
        <v>192400</v>
      </c>
      <c r="F4667" s="28">
        <v>279600</v>
      </c>
      <c r="G4667" s="27" t="s">
        <v>17</v>
      </c>
      <c r="H4667" s="27" t="s">
        <v>4476</v>
      </c>
      <c r="I4667" s="27" t="s">
        <v>9</v>
      </c>
    </row>
    <row r="4668" spans="1:9" x14ac:dyDescent="0.3">
      <c r="A4668" s="26">
        <v>45176</v>
      </c>
      <c r="B4668" s="27" t="s">
        <v>123</v>
      </c>
      <c r="C4668" s="27" t="s">
        <v>6</v>
      </c>
      <c r="D4668" s="27" t="s">
        <v>19</v>
      </c>
      <c r="E4668" s="28">
        <v>118700</v>
      </c>
      <c r="F4668" s="28">
        <v>124100</v>
      </c>
      <c r="G4668" s="27" t="s">
        <v>22</v>
      </c>
      <c r="H4668" s="27" t="s">
        <v>6167</v>
      </c>
      <c r="I4668" s="27" t="s">
        <v>9</v>
      </c>
    </row>
    <row r="4669" spans="1:9" x14ac:dyDescent="0.3">
      <c r="A4669" s="26">
        <v>45176</v>
      </c>
      <c r="B4669" s="27" t="s">
        <v>123</v>
      </c>
      <c r="C4669" s="27" t="s">
        <v>6</v>
      </c>
      <c r="D4669" s="27" t="s">
        <v>16</v>
      </c>
      <c r="E4669" s="28">
        <v>91800</v>
      </c>
      <c r="F4669" s="28">
        <v>115500</v>
      </c>
      <c r="G4669" s="27" t="s">
        <v>17</v>
      </c>
      <c r="H4669" s="27" t="s">
        <v>6555</v>
      </c>
      <c r="I4669" s="27" t="s">
        <v>9</v>
      </c>
    </row>
    <row r="4670" spans="1:9" x14ac:dyDescent="0.3">
      <c r="A4670" s="26">
        <v>45177</v>
      </c>
      <c r="B4670" s="27" t="s">
        <v>123</v>
      </c>
      <c r="C4670" s="27" t="s">
        <v>14</v>
      </c>
      <c r="D4670" s="27" t="s">
        <v>16</v>
      </c>
      <c r="E4670" s="28">
        <v>79683</v>
      </c>
      <c r="F4670" s="28">
        <v>119349</v>
      </c>
      <c r="G4670" s="27" t="s">
        <v>11</v>
      </c>
      <c r="H4670" s="27" t="s">
        <v>148</v>
      </c>
      <c r="I4670" s="27" t="s">
        <v>13</v>
      </c>
    </row>
    <row r="4671" spans="1:9" x14ac:dyDescent="0.3">
      <c r="A4671" s="26">
        <v>45177</v>
      </c>
      <c r="B4671" s="27" t="s">
        <v>123</v>
      </c>
      <c r="C4671" s="27" t="s">
        <v>18</v>
      </c>
      <c r="D4671" s="27" t="s">
        <v>19</v>
      </c>
      <c r="E4671" s="28">
        <v>52239</v>
      </c>
      <c r="F4671" s="28">
        <v>26892</v>
      </c>
      <c r="G4671" s="27" t="s">
        <v>17</v>
      </c>
      <c r="H4671" s="27" t="s">
        <v>434</v>
      </c>
      <c r="I4671" s="27" t="s">
        <v>13</v>
      </c>
    </row>
    <row r="4672" spans="1:9" x14ac:dyDescent="0.3">
      <c r="A4672" s="26">
        <v>45177</v>
      </c>
      <c r="B4672" s="27" t="s">
        <v>123</v>
      </c>
      <c r="C4672" s="27" t="s">
        <v>14</v>
      </c>
      <c r="D4672" s="27" t="s">
        <v>7</v>
      </c>
      <c r="E4672" s="28">
        <v>131502</v>
      </c>
      <c r="F4672" s="28">
        <v>40969</v>
      </c>
      <c r="G4672" s="27" t="s">
        <v>17</v>
      </c>
      <c r="H4672" s="27" t="s">
        <v>454</v>
      </c>
      <c r="I4672" s="27" t="s">
        <v>13</v>
      </c>
    </row>
    <row r="4673" spans="1:9" x14ac:dyDescent="0.3">
      <c r="A4673" s="26">
        <v>45177</v>
      </c>
      <c r="B4673" s="27" t="s">
        <v>123</v>
      </c>
      <c r="C4673" s="27" t="s">
        <v>14</v>
      </c>
      <c r="D4673" s="27" t="s">
        <v>16</v>
      </c>
      <c r="E4673" s="28">
        <v>27568</v>
      </c>
      <c r="F4673" s="28">
        <v>29420</v>
      </c>
      <c r="G4673" s="27" t="s">
        <v>11</v>
      </c>
      <c r="H4673" s="27" t="s">
        <v>870</v>
      </c>
      <c r="I4673" s="27" t="s">
        <v>13</v>
      </c>
    </row>
    <row r="4674" spans="1:9" x14ac:dyDescent="0.3">
      <c r="A4674" s="26">
        <v>45177</v>
      </c>
      <c r="B4674" s="27" t="s">
        <v>123</v>
      </c>
      <c r="C4674" s="27" t="s">
        <v>10</v>
      </c>
      <c r="D4674" s="27" t="s">
        <v>19</v>
      </c>
      <c r="E4674" s="28">
        <v>105896</v>
      </c>
      <c r="F4674" s="28">
        <v>62780</v>
      </c>
      <c r="G4674" s="27" t="s">
        <v>17</v>
      </c>
      <c r="H4674" s="27" t="s">
        <v>1361</v>
      </c>
      <c r="I4674" s="27" t="s">
        <v>13</v>
      </c>
    </row>
    <row r="4675" spans="1:9" x14ac:dyDescent="0.3">
      <c r="A4675" s="26">
        <v>45177</v>
      </c>
      <c r="B4675" s="27" t="s">
        <v>123</v>
      </c>
      <c r="C4675" s="27" t="s">
        <v>14</v>
      </c>
      <c r="D4675" s="27" t="s">
        <v>21</v>
      </c>
      <c r="E4675" s="28">
        <v>130931</v>
      </c>
      <c r="F4675" s="28">
        <v>35798</v>
      </c>
      <c r="G4675" s="27" t="s">
        <v>17</v>
      </c>
      <c r="H4675" s="27" t="s">
        <v>1522</v>
      </c>
      <c r="I4675" s="27" t="s">
        <v>13</v>
      </c>
    </row>
    <row r="4676" spans="1:9" x14ac:dyDescent="0.3">
      <c r="A4676" s="26">
        <v>45177</v>
      </c>
      <c r="B4676" s="27" t="s">
        <v>123</v>
      </c>
      <c r="C4676" s="27" t="s">
        <v>10</v>
      </c>
      <c r="D4676" s="27" t="s">
        <v>7</v>
      </c>
      <c r="E4676" s="28">
        <v>10770</v>
      </c>
      <c r="F4676" s="28">
        <v>166097</v>
      </c>
      <c r="G4676" s="27" t="s">
        <v>11</v>
      </c>
      <c r="H4676" s="27" t="s">
        <v>1870</v>
      </c>
      <c r="I4676" s="27" t="s">
        <v>13</v>
      </c>
    </row>
    <row r="4677" spans="1:9" x14ac:dyDescent="0.3">
      <c r="A4677" s="26">
        <v>45177</v>
      </c>
      <c r="B4677" s="27" t="s">
        <v>123</v>
      </c>
      <c r="C4677" s="27" t="s">
        <v>20</v>
      </c>
      <c r="D4677" s="27" t="s">
        <v>19</v>
      </c>
      <c r="E4677" s="28">
        <v>30151</v>
      </c>
      <c r="F4677" s="28">
        <v>88332</v>
      </c>
      <c r="G4677" s="27" t="s">
        <v>8</v>
      </c>
      <c r="H4677" s="27" t="s">
        <v>2624</v>
      </c>
      <c r="I4677" s="27" t="s">
        <v>13</v>
      </c>
    </row>
    <row r="4678" spans="1:9" x14ac:dyDescent="0.3">
      <c r="A4678" s="26">
        <v>45177</v>
      </c>
      <c r="B4678" s="27" t="s">
        <v>123</v>
      </c>
      <c r="C4678" s="27" t="s">
        <v>32</v>
      </c>
      <c r="D4678" s="27" t="s">
        <v>21</v>
      </c>
      <c r="E4678" s="28">
        <v>30530</v>
      </c>
      <c r="F4678" s="28">
        <v>32449</v>
      </c>
      <c r="G4678" s="27" t="s">
        <v>17</v>
      </c>
      <c r="H4678" s="27" t="s">
        <v>2627</v>
      </c>
      <c r="I4678" s="27" t="s">
        <v>13</v>
      </c>
    </row>
    <row r="4679" spans="1:9" x14ac:dyDescent="0.3">
      <c r="A4679" s="26">
        <v>45177</v>
      </c>
      <c r="B4679" s="27" t="s">
        <v>123</v>
      </c>
      <c r="C4679" s="27" t="s">
        <v>15</v>
      </c>
      <c r="D4679" s="27" t="s">
        <v>7</v>
      </c>
      <c r="E4679" s="28">
        <v>23170</v>
      </c>
      <c r="F4679" s="28">
        <v>20409</v>
      </c>
      <c r="G4679" s="27" t="s">
        <v>8</v>
      </c>
      <c r="H4679" s="27" t="s">
        <v>3272</v>
      </c>
      <c r="I4679" s="27" t="s">
        <v>13</v>
      </c>
    </row>
    <row r="4680" spans="1:9" x14ac:dyDescent="0.3">
      <c r="A4680" s="26">
        <v>45177</v>
      </c>
      <c r="B4680" s="27" t="s">
        <v>123</v>
      </c>
      <c r="C4680" s="27" t="s">
        <v>6</v>
      </c>
      <c r="D4680" s="27" t="s">
        <v>16</v>
      </c>
      <c r="E4680" s="28">
        <v>100300</v>
      </c>
      <c r="F4680" s="28">
        <v>126000</v>
      </c>
      <c r="G4680" s="27" t="s">
        <v>11</v>
      </c>
      <c r="H4680" s="27" t="s">
        <v>3529</v>
      </c>
      <c r="I4680" s="27" t="s">
        <v>9</v>
      </c>
    </row>
    <row r="4681" spans="1:9" x14ac:dyDescent="0.3">
      <c r="A4681" s="26">
        <v>45177</v>
      </c>
      <c r="B4681" s="27" t="s">
        <v>123</v>
      </c>
      <c r="C4681" s="27" t="s">
        <v>93</v>
      </c>
      <c r="D4681" s="27" t="s">
        <v>19</v>
      </c>
      <c r="E4681" s="28">
        <v>72800</v>
      </c>
      <c r="F4681" s="28">
        <v>59400</v>
      </c>
      <c r="G4681" s="27" t="s">
        <v>11</v>
      </c>
      <c r="H4681" s="27" t="s">
        <v>3815</v>
      </c>
      <c r="I4681" s="27" t="s">
        <v>9</v>
      </c>
    </row>
    <row r="4682" spans="1:9" x14ac:dyDescent="0.3">
      <c r="A4682" s="26">
        <v>45177</v>
      </c>
      <c r="B4682" s="27" t="s">
        <v>123</v>
      </c>
      <c r="C4682" s="27" t="s">
        <v>93</v>
      </c>
      <c r="D4682" s="27" t="s">
        <v>7</v>
      </c>
      <c r="E4682" s="28">
        <v>83500</v>
      </c>
      <c r="F4682" s="28">
        <v>93900</v>
      </c>
      <c r="G4682" s="27" t="s">
        <v>17</v>
      </c>
      <c r="H4682" s="27" t="s">
        <v>3835</v>
      </c>
      <c r="I4682" s="27" t="s">
        <v>9</v>
      </c>
    </row>
    <row r="4683" spans="1:9" x14ac:dyDescent="0.3">
      <c r="A4683" s="26">
        <v>45177</v>
      </c>
      <c r="B4683" s="27" t="s">
        <v>123</v>
      </c>
      <c r="C4683" s="27" t="s">
        <v>93</v>
      </c>
      <c r="D4683" s="27" t="s">
        <v>16</v>
      </c>
      <c r="E4683" s="28">
        <v>125800</v>
      </c>
      <c r="F4683" s="28">
        <v>115000</v>
      </c>
      <c r="G4683" s="27" t="s">
        <v>22</v>
      </c>
      <c r="H4683" s="27" t="s">
        <v>4251</v>
      </c>
      <c r="I4683" s="27" t="s">
        <v>9</v>
      </c>
    </row>
    <row r="4684" spans="1:9" x14ac:dyDescent="0.3">
      <c r="A4684" s="26">
        <v>45177</v>
      </c>
      <c r="B4684" s="27" t="s">
        <v>123</v>
      </c>
      <c r="C4684" s="27" t="s">
        <v>93</v>
      </c>
      <c r="D4684" s="27" t="s">
        <v>19</v>
      </c>
      <c r="E4684" s="28">
        <v>56500</v>
      </c>
      <c r="F4684" s="28">
        <v>70700</v>
      </c>
      <c r="G4684" s="27" t="s">
        <v>22</v>
      </c>
      <c r="H4684" s="27" t="s">
        <v>4744</v>
      </c>
      <c r="I4684" s="27" t="s">
        <v>9</v>
      </c>
    </row>
    <row r="4685" spans="1:9" x14ac:dyDescent="0.3">
      <c r="A4685" s="26">
        <v>45177</v>
      </c>
      <c r="B4685" s="27" t="s">
        <v>123</v>
      </c>
      <c r="C4685" s="27" t="s">
        <v>6</v>
      </c>
      <c r="D4685" s="27" t="s">
        <v>21</v>
      </c>
      <c r="E4685" s="28">
        <v>282500</v>
      </c>
      <c r="F4685" s="28">
        <v>293100</v>
      </c>
      <c r="G4685" s="27" t="s">
        <v>22</v>
      </c>
      <c r="H4685" s="27" t="s">
        <v>4905</v>
      </c>
      <c r="I4685" s="27" t="s">
        <v>9</v>
      </c>
    </row>
    <row r="4686" spans="1:9" x14ac:dyDescent="0.3">
      <c r="A4686" s="26">
        <v>45177</v>
      </c>
      <c r="B4686" s="27" t="s">
        <v>123</v>
      </c>
      <c r="C4686" s="27" t="s">
        <v>6</v>
      </c>
      <c r="D4686" s="27" t="s">
        <v>7</v>
      </c>
      <c r="E4686" s="28">
        <v>189800</v>
      </c>
      <c r="F4686" s="28">
        <v>184700</v>
      </c>
      <c r="G4686" s="27" t="s">
        <v>11</v>
      </c>
      <c r="H4686" s="27" t="s">
        <v>5254</v>
      </c>
      <c r="I4686" s="27" t="s">
        <v>9</v>
      </c>
    </row>
    <row r="4687" spans="1:9" x14ac:dyDescent="0.3">
      <c r="A4687" s="26">
        <v>45177</v>
      </c>
      <c r="B4687" s="27" t="s">
        <v>123</v>
      </c>
      <c r="C4687" s="27" t="s">
        <v>6</v>
      </c>
      <c r="D4687" s="27" t="s">
        <v>19</v>
      </c>
      <c r="E4687" s="28">
        <v>98600</v>
      </c>
      <c r="F4687" s="28">
        <v>79300</v>
      </c>
      <c r="G4687" s="27" t="s">
        <v>17</v>
      </c>
      <c r="H4687" s="27" t="s">
        <v>6009</v>
      </c>
      <c r="I4687" s="27" t="s">
        <v>9</v>
      </c>
    </row>
    <row r="4688" spans="1:9" x14ac:dyDescent="0.3">
      <c r="A4688" s="26">
        <v>45177</v>
      </c>
      <c r="B4688" s="27" t="s">
        <v>123</v>
      </c>
      <c r="C4688" s="27" t="s">
        <v>93</v>
      </c>
      <c r="D4688" s="27" t="s">
        <v>21</v>
      </c>
      <c r="E4688" s="28">
        <v>95000</v>
      </c>
      <c r="F4688" s="28">
        <v>94200</v>
      </c>
      <c r="G4688" s="27" t="s">
        <v>17</v>
      </c>
      <c r="H4688" s="27" t="s">
        <v>6012</v>
      </c>
      <c r="I4688" s="27" t="s">
        <v>9</v>
      </c>
    </row>
    <row r="4689" spans="1:9" x14ac:dyDescent="0.3">
      <c r="A4689" s="26">
        <v>45177</v>
      </c>
      <c r="B4689" s="27" t="s">
        <v>123</v>
      </c>
      <c r="C4689" s="27" t="s">
        <v>6</v>
      </c>
      <c r="D4689" s="27" t="s">
        <v>7</v>
      </c>
      <c r="E4689" s="28">
        <v>65300</v>
      </c>
      <c r="F4689" s="28">
        <v>84100</v>
      </c>
      <c r="G4689" s="27" t="s">
        <v>17</v>
      </c>
      <c r="H4689" s="27" t="s">
        <v>6657</v>
      </c>
      <c r="I4689" s="27" t="s">
        <v>9</v>
      </c>
    </row>
    <row r="4690" spans="1:9" x14ac:dyDescent="0.3">
      <c r="A4690" s="26">
        <v>45178</v>
      </c>
      <c r="B4690" s="27" t="s">
        <v>123</v>
      </c>
      <c r="C4690" s="27" t="s">
        <v>14</v>
      </c>
      <c r="D4690" s="27" t="s">
        <v>16</v>
      </c>
      <c r="E4690" s="28">
        <v>57660</v>
      </c>
      <c r="F4690" s="28">
        <v>155517</v>
      </c>
      <c r="G4690" s="27" t="s">
        <v>8</v>
      </c>
      <c r="H4690" s="27" t="s">
        <v>97</v>
      </c>
      <c r="I4690" s="27" t="s">
        <v>13</v>
      </c>
    </row>
    <row r="4691" spans="1:9" x14ac:dyDescent="0.3">
      <c r="A4691" s="26">
        <v>45178</v>
      </c>
      <c r="B4691" s="27" t="s">
        <v>123</v>
      </c>
      <c r="C4691" s="27" t="s">
        <v>15</v>
      </c>
      <c r="D4691" s="27" t="s">
        <v>24</v>
      </c>
      <c r="E4691" s="28">
        <v>89877</v>
      </c>
      <c r="F4691" s="28">
        <v>167308</v>
      </c>
      <c r="G4691" s="27" t="s">
        <v>11</v>
      </c>
      <c r="H4691" s="27" t="s">
        <v>465</v>
      </c>
      <c r="I4691" s="27" t="s">
        <v>13</v>
      </c>
    </row>
    <row r="4692" spans="1:9" x14ac:dyDescent="0.3">
      <c r="A4692" s="26">
        <v>45178</v>
      </c>
      <c r="B4692" s="27" t="s">
        <v>123</v>
      </c>
      <c r="C4692" s="27" t="s">
        <v>10</v>
      </c>
      <c r="D4692" s="27" t="s">
        <v>7</v>
      </c>
      <c r="E4692" s="28">
        <v>124375</v>
      </c>
      <c r="F4692" s="28">
        <v>157028</v>
      </c>
      <c r="G4692" s="27" t="s">
        <v>17</v>
      </c>
      <c r="H4692" s="27" t="s">
        <v>730</v>
      </c>
      <c r="I4692" s="27" t="s">
        <v>13</v>
      </c>
    </row>
    <row r="4693" spans="1:9" x14ac:dyDescent="0.3">
      <c r="A4693" s="26">
        <v>45178</v>
      </c>
      <c r="B4693" s="27" t="s">
        <v>123</v>
      </c>
      <c r="C4693" s="27" t="s">
        <v>20</v>
      </c>
      <c r="D4693" s="27" t="s">
        <v>19</v>
      </c>
      <c r="E4693" s="28">
        <v>80455</v>
      </c>
      <c r="F4693" s="28">
        <v>145426</v>
      </c>
      <c r="G4693" s="27" t="s">
        <v>8</v>
      </c>
      <c r="H4693" s="27" t="s">
        <v>868</v>
      </c>
      <c r="I4693" s="27" t="s">
        <v>13</v>
      </c>
    </row>
    <row r="4694" spans="1:9" x14ac:dyDescent="0.3">
      <c r="A4694" s="26">
        <v>45178</v>
      </c>
      <c r="B4694" s="27" t="s">
        <v>123</v>
      </c>
      <c r="C4694" s="27" t="s">
        <v>15</v>
      </c>
      <c r="D4694" s="27" t="s">
        <v>7</v>
      </c>
      <c r="E4694" s="28">
        <v>142018</v>
      </c>
      <c r="F4694" s="28">
        <v>23948</v>
      </c>
      <c r="G4694" s="27" t="s">
        <v>22</v>
      </c>
      <c r="H4694" s="27" t="s">
        <v>1459</v>
      </c>
      <c r="I4694" s="27" t="s">
        <v>13</v>
      </c>
    </row>
    <row r="4695" spans="1:9" x14ac:dyDescent="0.3">
      <c r="A4695" s="26">
        <v>45178</v>
      </c>
      <c r="B4695" s="27" t="s">
        <v>123</v>
      </c>
      <c r="C4695" s="27" t="s">
        <v>18</v>
      </c>
      <c r="D4695" s="27" t="s">
        <v>7</v>
      </c>
      <c r="E4695" s="28">
        <v>28201</v>
      </c>
      <c r="F4695" s="28">
        <v>119857</v>
      </c>
      <c r="G4695" s="27" t="s">
        <v>11</v>
      </c>
      <c r="H4695" s="27" t="s">
        <v>1770</v>
      </c>
      <c r="I4695" s="27" t="s">
        <v>13</v>
      </c>
    </row>
    <row r="4696" spans="1:9" x14ac:dyDescent="0.3">
      <c r="A4696" s="26">
        <v>45178</v>
      </c>
      <c r="B4696" s="27" t="s">
        <v>123</v>
      </c>
      <c r="C4696" s="27" t="s">
        <v>20</v>
      </c>
      <c r="D4696" s="27" t="s">
        <v>19</v>
      </c>
      <c r="E4696" s="28">
        <v>94239</v>
      </c>
      <c r="F4696" s="28">
        <v>16145</v>
      </c>
      <c r="G4696" s="27" t="s">
        <v>22</v>
      </c>
      <c r="H4696" s="27" t="s">
        <v>1903</v>
      </c>
      <c r="I4696" s="27" t="s">
        <v>13</v>
      </c>
    </row>
    <row r="4697" spans="1:9" x14ac:dyDescent="0.3">
      <c r="A4697" s="26">
        <v>45178</v>
      </c>
      <c r="B4697" s="27" t="s">
        <v>123</v>
      </c>
      <c r="C4697" s="27" t="s">
        <v>18</v>
      </c>
      <c r="D4697" s="27" t="s">
        <v>7</v>
      </c>
      <c r="E4697" s="28">
        <v>120918</v>
      </c>
      <c r="F4697" s="28">
        <v>78057</v>
      </c>
      <c r="G4697" s="27" t="s">
        <v>8</v>
      </c>
      <c r="H4697" s="27" t="s">
        <v>2090</v>
      </c>
      <c r="I4697" s="27" t="s">
        <v>13</v>
      </c>
    </row>
    <row r="4698" spans="1:9" x14ac:dyDescent="0.3">
      <c r="A4698" s="26">
        <v>45178</v>
      </c>
      <c r="B4698" s="27" t="s">
        <v>123</v>
      </c>
      <c r="C4698" s="27" t="s">
        <v>32</v>
      </c>
      <c r="D4698" s="27" t="s">
        <v>16</v>
      </c>
      <c r="E4698" s="28">
        <v>86880</v>
      </c>
      <c r="F4698" s="28">
        <v>123526</v>
      </c>
      <c r="G4698" s="27" t="s">
        <v>17</v>
      </c>
      <c r="H4698" s="27" t="s">
        <v>2512</v>
      </c>
      <c r="I4698" s="27" t="s">
        <v>13</v>
      </c>
    </row>
    <row r="4699" spans="1:9" x14ac:dyDescent="0.3">
      <c r="A4699" s="26">
        <v>45178</v>
      </c>
      <c r="B4699" s="27" t="s">
        <v>123</v>
      </c>
      <c r="C4699" s="27" t="s">
        <v>15</v>
      </c>
      <c r="D4699" s="27" t="s">
        <v>7</v>
      </c>
      <c r="E4699" s="28">
        <v>125499</v>
      </c>
      <c r="F4699" s="28">
        <v>72933</v>
      </c>
      <c r="G4699" s="27" t="s">
        <v>8</v>
      </c>
      <c r="H4699" s="27" t="s">
        <v>2548</v>
      </c>
      <c r="I4699" s="27" t="s">
        <v>13</v>
      </c>
    </row>
    <row r="4700" spans="1:9" x14ac:dyDescent="0.3">
      <c r="A4700" s="26">
        <v>45178</v>
      </c>
      <c r="B4700" s="27" t="s">
        <v>123</v>
      </c>
      <c r="C4700" s="27" t="s">
        <v>15</v>
      </c>
      <c r="D4700" s="27" t="s">
        <v>24</v>
      </c>
      <c r="E4700" s="28">
        <v>138566</v>
      </c>
      <c r="F4700" s="28">
        <v>112027</v>
      </c>
      <c r="G4700" s="27" t="s">
        <v>11</v>
      </c>
      <c r="H4700" s="27" t="s">
        <v>2671</v>
      </c>
      <c r="I4700" s="27" t="s">
        <v>13</v>
      </c>
    </row>
    <row r="4701" spans="1:9" x14ac:dyDescent="0.3">
      <c r="A4701" s="26">
        <v>45178</v>
      </c>
      <c r="B4701" s="27" t="s">
        <v>123</v>
      </c>
      <c r="C4701" s="27" t="s">
        <v>18</v>
      </c>
      <c r="D4701" s="27" t="s">
        <v>24</v>
      </c>
      <c r="E4701" s="28">
        <v>55703</v>
      </c>
      <c r="F4701" s="28">
        <v>125032</v>
      </c>
      <c r="G4701" s="27" t="s">
        <v>17</v>
      </c>
      <c r="H4701" s="27" t="s">
        <v>3166</v>
      </c>
      <c r="I4701" s="27" t="s">
        <v>13</v>
      </c>
    </row>
    <row r="4702" spans="1:9" x14ac:dyDescent="0.3">
      <c r="A4702" s="26">
        <v>45178</v>
      </c>
      <c r="B4702" s="27" t="s">
        <v>123</v>
      </c>
      <c r="C4702" s="27" t="s">
        <v>14</v>
      </c>
      <c r="D4702" s="27" t="s">
        <v>21</v>
      </c>
      <c r="E4702" s="28">
        <v>24828</v>
      </c>
      <c r="F4702" s="28">
        <v>69075</v>
      </c>
      <c r="G4702" s="27" t="s">
        <v>17</v>
      </c>
      <c r="H4702" s="27" t="s">
        <v>3203</v>
      </c>
      <c r="I4702" s="27" t="s">
        <v>13</v>
      </c>
    </row>
    <row r="4703" spans="1:9" x14ac:dyDescent="0.3">
      <c r="A4703" s="26">
        <v>45178</v>
      </c>
      <c r="B4703" s="27" t="s">
        <v>123</v>
      </c>
      <c r="C4703" s="27" t="s">
        <v>6</v>
      </c>
      <c r="D4703" s="27" t="s">
        <v>16</v>
      </c>
      <c r="E4703" s="28">
        <v>96500</v>
      </c>
      <c r="F4703" s="28">
        <v>115400</v>
      </c>
      <c r="G4703" s="27" t="s">
        <v>22</v>
      </c>
      <c r="H4703" s="27" t="s">
        <v>3497</v>
      </c>
      <c r="I4703" s="27" t="s">
        <v>9</v>
      </c>
    </row>
    <row r="4704" spans="1:9" x14ac:dyDescent="0.3">
      <c r="A4704" s="26">
        <v>45178</v>
      </c>
      <c r="B4704" s="27" t="s">
        <v>123</v>
      </c>
      <c r="C4704" s="27" t="s">
        <v>93</v>
      </c>
      <c r="D4704" s="27" t="s">
        <v>24</v>
      </c>
      <c r="E4704" s="28">
        <v>87100</v>
      </c>
      <c r="F4704" s="28">
        <v>70000</v>
      </c>
      <c r="G4704" s="27" t="s">
        <v>11</v>
      </c>
      <c r="H4704" s="27" t="s">
        <v>3846</v>
      </c>
      <c r="I4704" s="27" t="s">
        <v>9</v>
      </c>
    </row>
    <row r="4705" spans="1:9" x14ac:dyDescent="0.3">
      <c r="A4705" s="26">
        <v>45178</v>
      </c>
      <c r="B4705" s="27" t="s">
        <v>123</v>
      </c>
      <c r="C4705" s="27" t="s">
        <v>93</v>
      </c>
      <c r="D4705" s="27" t="s">
        <v>7</v>
      </c>
      <c r="E4705" s="28">
        <v>77200</v>
      </c>
      <c r="F4705" s="28">
        <v>102600</v>
      </c>
      <c r="G4705" s="27" t="s">
        <v>11</v>
      </c>
      <c r="H4705" s="27" t="s">
        <v>4111</v>
      </c>
      <c r="I4705" s="27" t="s">
        <v>9</v>
      </c>
    </row>
    <row r="4706" spans="1:9" x14ac:dyDescent="0.3">
      <c r="A4706" s="26">
        <v>45178</v>
      </c>
      <c r="B4706" s="27" t="s">
        <v>123</v>
      </c>
      <c r="C4706" s="27" t="s">
        <v>6</v>
      </c>
      <c r="D4706" s="27" t="s">
        <v>19</v>
      </c>
      <c r="E4706" s="28">
        <v>101600</v>
      </c>
      <c r="F4706" s="28">
        <v>101000</v>
      </c>
      <c r="G4706" s="27" t="s">
        <v>11</v>
      </c>
      <c r="H4706" s="27" t="s">
        <v>4249</v>
      </c>
      <c r="I4706" s="27" t="s">
        <v>9</v>
      </c>
    </row>
    <row r="4707" spans="1:9" x14ac:dyDescent="0.3">
      <c r="A4707" s="26">
        <v>45178</v>
      </c>
      <c r="B4707" s="27" t="s">
        <v>123</v>
      </c>
      <c r="C4707" s="27" t="s">
        <v>6</v>
      </c>
      <c r="D4707" s="27" t="s">
        <v>7</v>
      </c>
      <c r="E4707" s="28">
        <v>56400</v>
      </c>
      <c r="F4707" s="28">
        <v>60000</v>
      </c>
      <c r="G4707" s="27" t="s">
        <v>11</v>
      </c>
      <c r="H4707" s="27" t="s">
        <v>4842</v>
      </c>
      <c r="I4707" s="27" t="s">
        <v>9</v>
      </c>
    </row>
    <row r="4708" spans="1:9" x14ac:dyDescent="0.3">
      <c r="A4708" s="26">
        <v>45178</v>
      </c>
      <c r="B4708" s="27" t="s">
        <v>123</v>
      </c>
      <c r="C4708" s="27" t="s">
        <v>6</v>
      </c>
      <c r="D4708" s="27" t="s">
        <v>7</v>
      </c>
      <c r="E4708" s="28">
        <v>52800</v>
      </c>
      <c r="F4708" s="28">
        <v>53900</v>
      </c>
      <c r="G4708" s="27" t="s">
        <v>11</v>
      </c>
      <c r="H4708" s="27" t="s">
        <v>5153</v>
      </c>
      <c r="I4708" s="27" t="s">
        <v>9</v>
      </c>
    </row>
    <row r="4709" spans="1:9" x14ac:dyDescent="0.3">
      <c r="A4709" s="26">
        <v>45178</v>
      </c>
      <c r="B4709" s="27" t="s">
        <v>123</v>
      </c>
      <c r="C4709" s="27" t="s">
        <v>6</v>
      </c>
      <c r="D4709" s="27" t="s">
        <v>19</v>
      </c>
      <c r="E4709" s="28">
        <v>157100</v>
      </c>
      <c r="F4709" s="28">
        <v>186400</v>
      </c>
      <c r="G4709" s="27" t="s">
        <v>22</v>
      </c>
      <c r="H4709" s="27" t="s">
        <v>5287</v>
      </c>
      <c r="I4709" s="27" t="s">
        <v>9</v>
      </c>
    </row>
    <row r="4710" spans="1:9" x14ac:dyDescent="0.3">
      <c r="A4710" s="26">
        <v>45178</v>
      </c>
      <c r="B4710" s="27" t="s">
        <v>123</v>
      </c>
      <c r="C4710" s="27" t="s">
        <v>93</v>
      </c>
      <c r="D4710" s="27" t="s">
        <v>7</v>
      </c>
      <c r="E4710" s="28">
        <v>53200</v>
      </c>
      <c r="F4710" s="28">
        <v>61500</v>
      </c>
      <c r="G4710" s="27" t="s">
        <v>22</v>
      </c>
      <c r="H4710" s="27" t="s">
        <v>5474</v>
      </c>
      <c r="I4710" s="27" t="s">
        <v>9</v>
      </c>
    </row>
    <row r="4711" spans="1:9" x14ac:dyDescent="0.3">
      <c r="A4711" s="26">
        <v>45178</v>
      </c>
      <c r="B4711" s="27" t="s">
        <v>123</v>
      </c>
      <c r="C4711" s="27" t="s">
        <v>6</v>
      </c>
      <c r="D4711" s="27" t="s">
        <v>16</v>
      </c>
      <c r="E4711" s="28">
        <v>168200</v>
      </c>
      <c r="F4711" s="28">
        <v>149000</v>
      </c>
      <c r="G4711" s="27" t="s">
        <v>11</v>
      </c>
      <c r="H4711" s="27" t="s">
        <v>5897</v>
      </c>
      <c r="I4711" s="27" t="s">
        <v>9</v>
      </c>
    </row>
    <row r="4712" spans="1:9" x14ac:dyDescent="0.3">
      <c r="A4712" s="26">
        <v>45178</v>
      </c>
      <c r="B4712" s="27" t="s">
        <v>123</v>
      </c>
      <c r="C4712" s="27" t="s">
        <v>93</v>
      </c>
      <c r="D4712" s="27" t="s">
        <v>7</v>
      </c>
      <c r="E4712" s="28">
        <v>83600</v>
      </c>
      <c r="F4712" s="28">
        <v>115100</v>
      </c>
      <c r="G4712" s="27" t="s">
        <v>22</v>
      </c>
      <c r="H4712" s="27" t="s">
        <v>5933</v>
      </c>
      <c r="I4712" s="27" t="s">
        <v>9</v>
      </c>
    </row>
    <row r="4713" spans="1:9" x14ac:dyDescent="0.3">
      <c r="A4713" s="26">
        <v>45178</v>
      </c>
      <c r="B4713" s="27" t="s">
        <v>123</v>
      </c>
      <c r="C4713" s="27" t="s">
        <v>93</v>
      </c>
      <c r="D4713" s="27" t="s">
        <v>24</v>
      </c>
      <c r="E4713" s="28">
        <v>83200</v>
      </c>
      <c r="F4713" s="28">
        <v>84900</v>
      </c>
      <c r="G4713" s="27" t="s">
        <v>11</v>
      </c>
      <c r="H4713" s="27" t="s">
        <v>6056</v>
      </c>
      <c r="I4713" s="27" t="s">
        <v>9</v>
      </c>
    </row>
    <row r="4714" spans="1:9" x14ac:dyDescent="0.3">
      <c r="A4714" s="26">
        <v>45178</v>
      </c>
      <c r="B4714" s="27" t="s">
        <v>123</v>
      </c>
      <c r="C4714" s="27" t="s">
        <v>93</v>
      </c>
      <c r="D4714" s="27" t="s">
        <v>24</v>
      </c>
      <c r="E4714" s="28">
        <v>202200</v>
      </c>
      <c r="F4714" s="28">
        <v>150500</v>
      </c>
      <c r="G4714" s="27" t="s">
        <v>22</v>
      </c>
      <c r="H4714" s="27" t="s">
        <v>6551</v>
      </c>
      <c r="I4714" s="27" t="s">
        <v>9</v>
      </c>
    </row>
    <row r="4715" spans="1:9" x14ac:dyDescent="0.3">
      <c r="A4715" s="26">
        <v>45178</v>
      </c>
      <c r="B4715" s="27" t="s">
        <v>123</v>
      </c>
      <c r="C4715" s="27" t="s">
        <v>6</v>
      </c>
      <c r="D4715" s="27" t="s">
        <v>21</v>
      </c>
      <c r="E4715" s="28">
        <v>238600</v>
      </c>
      <c r="F4715" s="28">
        <v>288100</v>
      </c>
      <c r="G4715" s="27" t="s">
        <v>11</v>
      </c>
      <c r="H4715" s="27" t="s">
        <v>6588</v>
      </c>
      <c r="I4715" s="27" t="s">
        <v>9</v>
      </c>
    </row>
    <row r="4716" spans="1:9" x14ac:dyDescent="0.3">
      <c r="A4716" s="26">
        <v>45179</v>
      </c>
      <c r="B4716" s="27" t="s">
        <v>123</v>
      </c>
      <c r="C4716" s="27" t="s">
        <v>18</v>
      </c>
      <c r="D4716" s="27" t="s">
        <v>19</v>
      </c>
      <c r="E4716" s="28">
        <v>56814</v>
      </c>
      <c r="F4716" s="28">
        <v>131144</v>
      </c>
      <c r="G4716" s="27" t="s">
        <v>11</v>
      </c>
      <c r="H4716" s="27" t="s">
        <v>375</v>
      </c>
      <c r="I4716" s="27" t="s">
        <v>13</v>
      </c>
    </row>
    <row r="4717" spans="1:9" x14ac:dyDescent="0.3">
      <c r="A4717" s="26">
        <v>45179</v>
      </c>
      <c r="B4717" s="27" t="s">
        <v>123</v>
      </c>
      <c r="C4717" s="27" t="s">
        <v>32</v>
      </c>
      <c r="D4717" s="27" t="s">
        <v>7</v>
      </c>
      <c r="E4717" s="28">
        <v>146413</v>
      </c>
      <c r="F4717" s="28">
        <v>17250</v>
      </c>
      <c r="G4717" s="27" t="s">
        <v>17</v>
      </c>
      <c r="H4717" s="27" t="s">
        <v>464</v>
      </c>
      <c r="I4717" s="27" t="s">
        <v>13</v>
      </c>
    </row>
    <row r="4718" spans="1:9" x14ac:dyDescent="0.3">
      <c r="A4718" s="26">
        <v>45179</v>
      </c>
      <c r="B4718" s="27" t="s">
        <v>123</v>
      </c>
      <c r="C4718" s="27" t="s">
        <v>18</v>
      </c>
      <c r="D4718" s="27" t="s">
        <v>19</v>
      </c>
      <c r="E4718" s="28">
        <v>128984</v>
      </c>
      <c r="F4718" s="28">
        <v>49445</v>
      </c>
      <c r="G4718" s="27" t="s">
        <v>8</v>
      </c>
      <c r="H4718" s="27" t="s">
        <v>722</v>
      </c>
      <c r="I4718" s="27" t="s">
        <v>13</v>
      </c>
    </row>
    <row r="4719" spans="1:9" x14ac:dyDescent="0.3">
      <c r="A4719" s="26">
        <v>45179</v>
      </c>
      <c r="B4719" s="27" t="s">
        <v>123</v>
      </c>
      <c r="C4719" s="27" t="s">
        <v>10</v>
      </c>
      <c r="D4719" s="27" t="s">
        <v>19</v>
      </c>
      <c r="E4719" s="28">
        <v>49980</v>
      </c>
      <c r="F4719" s="28">
        <v>169496</v>
      </c>
      <c r="G4719" s="27" t="s">
        <v>11</v>
      </c>
      <c r="H4719" s="27" t="s">
        <v>1063</v>
      </c>
      <c r="I4719" s="27" t="s">
        <v>13</v>
      </c>
    </row>
    <row r="4720" spans="1:9" x14ac:dyDescent="0.3">
      <c r="A4720" s="26">
        <v>45179</v>
      </c>
      <c r="B4720" s="27" t="s">
        <v>123</v>
      </c>
      <c r="C4720" s="27" t="s">
        <v>14</v>
      </c>
      <c r="D4720" s="27" t="s">
        <v>19</v>
      </c>
      <c r="E4720" s="28">
        <v>32715</v>
      </c>
      <c r="F4720" s="28">
        <v>43218</v>
      </c>
      <c r="G4720" s="27" t="s">
        <v>11</v>
      </c>
      <c r="H4720" s="27" t="s">
        <v>1973</v>
      </c>
      <c r="I4720" s="27" t="s">
        <v>13</v>
      </c>
    </row>
    <row r="4721" spans="1:9" x14ac:dyDescent="0.3">
      <c r="A4721" s="26">
        <v>45179</v>
      </c>
      <c r="B4721" s="27" t="s">
        <v>123</v>
      </c>
      <c r="C4721" s="27" t="s">
        <v>10</v>
      </c>
      <c r="D4721" s="27" t="s">
        <v>19</v>
      </c>
      <c r="E4721" s="28">
        <v>65931</v>
      </c>
      <c r="F4721" s="28">
        <v>138963</v>
      </c>
      <c r="G4721" s="27" t="s">
        <v>17</v>
      </c>
      <c r="H4721" s="27" t="s">
        <v>2816</v>
      </c>
      <c r="I4721" s="27" t="s">
        <v>13</v>
      </c>
    </row>
    <row r="4722" spans="1:9" x14ac:dyDescent="0.3">
      <c r="A4722" s="26">
        <v>45179</v>
      </c>
      <c r="B4722" s="27" t="s">
        <v>123</v>
      </c>
      <c r="C4722" s="27" t="s">
        <v>20</v>
      </c>
      <c r="D4722" s="27" t="s">
        <v>19</v>
      </c>
      <c r="E4722" s="28">
        <v>35598</v>
      </c>
      <c r="F4722" s="28">
        <v>127254</v>
      </c>
      <c r="G4722" s="27" t="s">
        <v>22</v>
      </c>
      <c r="H4722" s="27" t="s">
        <v>2859</v>
      </c>
      <c r="I4722" s="27" t="s">
        <v>13</v>
      </c>
    </row>
    <row r="4723" spans="1:9" x14ac:dyDescent="0.3">
      <c r="A4723" s="26">
        <v>45179</v>
      </c>
      <c r="B4723" s="27" t="s">
        <v>123</v>
      </c>
      <c r="C4723" s="27" t="s">
        <v>15</v>
      </c>
      <c r="D4723" s="27" t="s">
        <v>19</v>
      </c>
      <c r="E4723" s="28">
        <v>115422</v>
      </c>
      <c r="F4723" s="28">
        <v>123429</v>
      </c>
      <c r="G4723" s="27" t="s">
        <v>11</v>
      </c>
      <c r="H4723" s="27" t="s">
        <v>2901</v>
      </c>
      <c r="I4723" s="27" t="s">
        <v>13</v>
      </c>
    </row>
    <row r="4724" spans="1:9" x14ac:dyDescent="0.3">
      <c r="A4724" s="26">
        <v>45179</v>
      </c>
      <c r="B4724" s="27" t="s">
        <v>123</v>
      </c>
      <c r="C4724" s="27" t="s">
        <v>93</v>
      </c>
      <c r="D4724" s="27" t="s">
        <v>19</v>
      </c>
      <c r="E4724" s="28">
        <v>76200</v>
      </c>
      <c r="F4724" s="28">
        <v>92600</v>
      </c>
      <c r="G4724" s="27" t="s">
        <v>22</v>
      </c>
      <c r="H4724" s="27" t="s">
        <v>3756</v>
      </c>
      <c r="I4724" s="27" t="s">
        <v>9</v>
      </c>
    </row>
    <row r="4725" spans="1:9" x14ac:dyDescent="0.3">
      <c r="A4725" s="26">
        <v>45179</v>
      </c>
      <c r="B4725" s="27" t="s">
        <v>123</v>
      </c>
      <c r="C4725" s="27" t="s">
        <v>6</v>
      </c>
      <c r="D4725" s="27" t="s">
        <v>7</v>
      </c>
      <c r="E4725" s="28">
        <v>122600</v>
      </c>
      <c r="F4725" s="28">
        <v>121600</v>
      </c>
      <c r="G4725" s="27" t="s">
        <v>11</v>
      </c>
      <c r="H4725" s="27" t="s">
        <v>3845</v>
      </c>
      <c r="I4725" s="27" t="s">
        <v>9</v>
      </c>
    </row>
    <row r="4726" spans="1:9" x14ac:dyDescent="0.3">
      <c r="A4726" s="26">
        <v>45179</v>
      </c>
      <c r="B4726" s="27" t="s">
        <v>123</v>
      </c>
      <c r="C4726" s="27" t="s">
        <v>6</v>
      </c>
      <c r="D4726" s="27" t="s">
        <v>19</v>
      </c>
      <c r="E4726" s="28">
        <v>62300</v>
      </c>
      <c r="F4726" s="28">
        <v>66900</v>
      </c>
      <c r="G4726" s="27" t="s">
        <v>11</v>
      </c>
      <c r="H4726" s="27" t="s">
        <v>4103</v>
      </c>
      <c r="I4726" s="27" t="s">
        <v>9</v>
      </c>
    </row>
    <row r="4727" spans="1:9" x14ac:dyDescent="0.3">
      <c r="A4727" s="26">
        <v>45179</v>
      </c>
      <c r="B4727" s="27" t="s">
        <v>123</v>
      </c>
      <c r="C4727" s="27" t="s">
        <v>93</v>
      </c>
      <c r="D4727" s="27" t="s">
        <v>19</v>
      </c>
      <c r="E4727" s="28">
        <v>60100</v>
      </c>
      <c r="F4727" s="28">
        <v>64800</v>
      </c>
      <c r="G4727" s="27" t="s">
        <v>11</v>
      </c>
      <c r="H4727" s="27" t="s">
        <v>4445</v>
      </c>
      <c r="I4727" s="27" t="s">
        <v>9</v>
      </c>
    </row>
    <row r="4728" spans="1:9" x14ac:dyDescent="0.3">
      <c r="A4728" s="26">
        <v>45179</v>
      </c>
      <c r="B4728" s="27" t="s">
        <v>123</v>
      </c>
      <c r="C4728" s="27" t="s">
        <v>6</v>
      </c>
      <c r="D4728" s="27" t="s">
        <v>19</v>
      </c>
      <c r="E4728" s="28">
        <v>112500</v>
      </c>
      <c r="F4728" s="28">
        <v>120800</v>
      </c>
      <c r="G4728" s="27" t="s">
        <v>11</v>
      </c>
      <c r="H4728" s="27" t="s">
        <v>5357</v>
      </c>
      <c r="I4728" s="27" t="s">
        <v>9</v>
      </c>
    </row>
    <row r="4729" spans="1:9" x14ac:dyDescent="0.3">
      <c r="A4729" s="26">
        <v>45179</v>
      </c>
      <c r="B4729" s="27" t="s">
        <v>123</v>
      </c>
      <c r="C4729" s="27" t="s">
        <v>6</v>
      </c>
      <c r="D4729" s="27" t="s">
        <v>19</v>
      </c>
      <c r="E4729" s="28">
        <v>157000</v>
      </c>
      <c r="F4729" s="28">
        <v>180600</v>
      </c>
      <c r="G4729" s="27" t="s">
        <v>11</v>
      </c>
      <c r="H4729" s="27" t="s">
        <v>6201</v>
      </c>
      <c r="I4729" s="27" t="s">
        <v>9</v>
      </c>
    </row>
    <row r="4730" spans="1:9" x14ac:dyDescent="0.3">
      <c r="A4730" s="26">
        <v>45179</v>
      </c>
      <c r="B4730" s="27" t="s">
        <v>123</v>
      </c>
      <c r="C4730" s="27" t="s">
        <v>6</v>
      </c>
      <c r="D4730" s="27" t="s">
        <v>19</v>
      </c>
      <c r="E4730" s="28">
        <v>60800</v>
      </c>
      <c r="F4730" s="28">
        <v>76000</v>
      </c>
      <c r="G4730" s="27" t="s">
        <v>11</v>
      </c>
      <c r="H4730" s="27" t="s">
        <v>6244</v>
      </c>
      <c r="I4730" s="27" t="s">
        <v>9</v>
      </c>
    </row>
    <row r="4731" spans="1:9" x14ac:dyDescent="0.3">
      <c r="A4731" s="26">
        <v>45179</v>
      </c>
      <c r="B4731" s="27" t="s">
        <v>123</v>
      </c>
      <c r="C4731" s="27" t="s">
        <v>6</v>
      </c>
      <c r="D4731" s="27" t="s">
        <v>19</v>
      </c>
      <c r="E4731" s="28">
        <v>152500</v>
      </c>
      <c r="F4731" s="28">
        <v>118400</v>
      </c>
      <c r="G4731" s="27" t="s">
        <v>22</v>
      </c>
      <c r="H4731" s="27" t="s">
        <v>6286</v>
      </c>
      <c r="I4731" s="27" t="s">
        <v>9</v>
      </c>
    </row>
    <row r="4732" spans="1:9" x14ac:dyDescent="0.3">
      <c r="A4732" s="26">
        <v>45180</v>
      </c>
      <c r="B4732" s="27" t="s">
        <v>123</v>
      </c>
      <c r="C4732" s="27" t="s">
        <v>32</v>
      </c>
      <c r="D4732" s="27" t="s">
        <v>7</v>
      </c>
      <c r="E4732" s="28">
        <v>96019</v>
      </c>
      <c r="F4732" s="28">
        <v>162471</v>
      </c>
      <c r="G4732" s="27" t="s">
        <v>11</v>
      </c>
      <c r="H4732" s="27" t="s">
        <v>289</v>
      </c>
      <c r="I4732" s="27" t="s">
        <v>13</v>
      </c>
    </row>
    <row r="4733" spans="1:9" x14ac:dyDescent="0.3">
      <c r="A4733" s="26">
        <v>45180</v>
      </c>
      <c r="B4733" s="27" t="s">
        <v>123</v>
      </c>
      <c r="C4733" s="27" t="s">
        <v>10</v>
      </c>
      <c r="D4733" s="27" t="s">
        <v>24</v>
      </c>
      <c r="E4733" s="28">
        <v>95862</v>
      </c>
      <c r="F4733" s="28">
        <v>154234</v>
      </c>
      <c r="G4733" s="27" t="s">
        <v>8</v>
      </c>
      <c r="H4733" s="27" t="s">
        <v>295</v>
      </c>
      <c r="I4733" s="27" t="s">
        <v>13</v>
      </c>
    </row>
    <row r="4734" spans="1:9" x14ac:dyDescent="0.3">
      <c r="A4734" s="26">
        <v>45180</v>
      </c>
      <c r="B4734" s="27" t="s">
        <v>123</v>
      </c>
      <c r="C4734" s="27" t="s">
        <v>15</v>
      </c>
      <c r="D4734" s="27" t="s">
        <v>16</v>
      </c>
      <c r="E4734" s="28">
        <v>135040</v>
      </c>
      <c r="F4734" s="28">
        <v>59126</v>
      </c>
      <c r="G4734" s="27" t="s">
        <v>22</v>
      </c>
      <c r="H4734" s="27" t="s">
        <v>497</v>
      </c>
      <c r="I4734" s="27" t="s">
        <v>13</v>
      </c>
    </row>
    <row r="4735" spans="1:9" x14ac:dyDescent="0.3">
      <c r="A4735" s="26">
        <v>45180</v>
      </c>
      <c r="B4735" s="27" t="s">
        <v>123</v>
      </c>
      <c r="C4735" s="27" t="s">
        <v>14</v>
      </c>
      <c r="D4735" s="27" t="s">
        <v>21</v>
      </c>
      <c r="E4735" s="28">
        <v>134514</v>
      </c>
      <c r="F4735" s="28">
        <v>77159</v>
      </c>
      <c r="G4735" s="27" t="s">
        <v>8</v>
      </c>
      <c r="H4735" s="27" t="s">
        <v>664</v>
      </c>
      <c r="I4735" s="27" t="s">
        <v>13</v>
      </c>
    </row>
    <row r="4736" spans="1:9" x14ac:dyDescent="0.3">
      <c r="A4736" s="26">
        <v>45180</v>
      </c>
      <c r="B4736" s="27" t="s">
        <v>123</v>
      </c>
      <c r="C4736" s="27" t="s">
        <v>10</v>
      </c>
      <c r="D4736" s="27" t="s">
        <v>21</v>
      </c>
      <c r="E4736" s="28">
        <v>36279</v>
      </c>
      <c r="F4736" s="28">
        <v>82696</v>
      </c>
      <c r="G4736" s="27" t="s">
        <v>17</v>
      </c>
      <c r="H4736" s="27" t="s">
        <v>826</v>
      </c>
      <c r="I4736" s="27" t="s">
        <v>13</v>
      </c>
    </row>
    <row r="4737" spans="1:9" x14ac:dyDescent="0.3">
      <c r="A4737" s="26">
        <v>45180</v>
      </c>
      <c r="B4737" s="27" t="s">
        <v>123</v>
      </c>
      <c r="C4737" s="27" t="s">
        <v>32</v>
      </c>
      <c r="D4737" s="27" t="s">
        <v>24</v>
      </c>
      <c r="E4737" s="28">
        <v>143002</v>
      </c>
      <c r="F4737" s="28">
        <v>61483</v>
      </c>
      <c r="G4737" s="27" t="s">
        <v>22</v>
      </c>
      <c r="H4737" s="27" t="s">
        <v>1437</v>
      </c>
      <c r="I4737" s="27" t="s">
        <v>13</v>
      </c>
    </row>
    <row r="4738" spans="1:9" x14ac:dyDescent="0.3">
      <c r="A4738" s="26">
        <v>45180</v>
      </c>
      <c r="B4738" s="27" t="s">
        <v>123</v>
      </c>
      <c r="C4738" s="27" t="s">
        <v>20</v>
      </c>
      <c r="D4738" s="27" t="s">
        <v>19</v>
      </c>
      <c r="E4738" s="28">
        <v>45280</v>
      </c>
      <c r="F4738" s="28">
        <v>21460</v>
      </c>
      <c r="G4738" s="27" t="s">
        <v>11</v>
      </c>
      <c r="H4738" s="27" t="s">
        <v>1735</v>
      </c>
      <c r="I4738" s="27" t="s">
        <v>13</v>
      </c>
    </row>
    <row r="4739" spans="1:9" x14ac:dyDescent="0.3">
      <c r="A4739" s="26">
        <v>45180</v>
      </c>
      <c r="B4739" s="27" t="s">
        <v>123</v>
      </c>
      <c r="C4739" s="27" t="s">
        <v>20</v>
      </c>
      <c r="D4739" s="27" t="s">
        <v>24</v>
      </c>
      <c r="E4739" s="28">
        <v>97496</v>
      </c>
      <c r="F4739" s="28">
        <v>31376</v>
      </c>
      <c r="G4739" s="27" t="s">
        <v>22</v>
      </c>
      <c r="H4739" s="27" t="s">
        <v>1806</v>
      </c>
      <c r="I4739" s="27" t="s">
        <v>13</v>
      </c>
    </row>
    <row r="4740" spans="1:9" x14ac:dyDescent="0.3">
      <c r="A4740" s="26">
        <v>45180</v>
      </c>
      <c r="B4740" s="27" t="s">
        <v>123</v>
      </c>
      <c r="C4740" s="27" t="s">
        <v>14</v>
      </c>
      <c r="D4740" s="27" t="s">
        <v>24</v>
      </c>
      <c r="E4740" s="28">
        <v>126837</v>
      </c>
      <c r="F4740" s="28">
        <v>46036</v>
      </c>
      <c r="G4740" s="27" t="s">
        <v>8</v>
      </c>
      <c r="H4740" s="27" t="s">
        <v>2410</v>
      </c>
      <c r="I4740" s="27" t="s">
        <v>13</v>
      </c>
    </row>
    <row r="4741" spans="1:9" x14ac:dyDescent="0.3">
      <c r="A4741" s="26">
        <v>45180</v>
      </c>
      <c r="B4741" s="27" t="s">
        <v>123</v>
      </c>
      <c r="C4741" s="27" t="s">
        <v>15</v>
      </c>
      <c r="D4741" s="27" t="s">
        <v>21</v>
      </c>
      <c r="E4741" s="28">
        <v>36607</v>
      </c>
      <c r="F4741" s="28">
        <v>62149</v>
      </c>
      <c r="G4741" s="27" t="s">
        <v>11</v>
      </c>
      <c r="H4741" s="27" t="s">
        <v>3035</v>
      </c>
      <c r="I4741" s="27" t="s">
        <v>13</v>
      </c>
    </row>
    <row r="4742" spans="1:9" x14ac:dyDescent="0.3">
      <c r="A4742" s="26">
        <v>45180</v>
      </c>
      <c r="B4742" s="27" t="s">
        <v>123</v>
      </c>
      <c r="C4742" s="27" t="s">
        <v>15</v>
      </c>
      <c r="D4742" s="27" t="s">
        <v>21</v>
      </c>
      <c r="E4742" s="28">
        <v>127426</v>
      </c>
      <c r="F4742" s="28">
        <v>26578</v>
      </c>
      <c r="G4742" s="27" t="s">
        <v>8</v>
      </c>
      <c r="H4742" s="27" t="s">
        <v>3045</v>
      </c>
      <c r="I4742" s="27" t="s">
        <v>13</v>
      </c>
    </row>
    <row r="4743" spans="1:9" x14ac:dyDescent="0.3">
      <c r="A4743" s="26">
        <v>45180</v>
      </c>
      <c r="B4743" s="27" t="s">
        <v>123</v>
      </c>
      <c r="C4743" s="27" t="s">
        <v>18</v>
      </c>
      <c r="D4743" s="27" t="s">
        <v>19</v>
      </c>
      <c r="E4743" s="28">
        <v>72098</v>
      </c>
      <c r="F4743" s="28">
        <v>123333</v>
      </c>
      <c r="G4743" s="27" t="s">
        <v>11</v>
      </c>
      <c r="H4743" s="27" t="s">
        <v>3314</v>
      </c>
      <c r="I4743" s="27" t="s">
        <v>13</v>
      </c>
    </row>
    <row r="4744" spans="1:9" x14ac:dyDescent="0.3">
      <c r="A4744" s="26">
        <v>45180</v>
      </c>
      <c r="B4744" s="27" t="s">
        <v>123</v>
      </c>
      <c r="C4744" s="27" t="s">
        <v>6</v>
      </c>
      <c r="D4744" s="27" t="s">
        <v>7</v>
      </c>
      <c r="E4744" s="28">
        <v>110100</v>
      </c>
      <c r="F4744" s="28">
        <v>91800</v>
      </c>
      <c r="G4744" s="27" t="s">
        <v>22</v>
      </c>
      <c r="H4744" s="27" t="s">
        <v>3670</v>
      </c>
      <c r="I4744" s="27" t="s">
        <v>9</v>
      </c>
    </row>
    <row r="4745" spans="1:9" x14ac:dyDescent="0.3">
      <c r="A4745" s="26">
        <v>45180</v>
      </c>
      <c r="B4745" s="27" t="s">
        <v>123</v>
      </c>
      <c r="C4745" s="27" t="s">
        <v>93</v>
      </c>
      <c r="D4745" s="27" t="s">
        <v>24</v>
      </c>
      <c r="E4745" s="28">
        <v>150000</v>
      </c>
      <c r="F4745" s="28">
        <v>179600</v>
      </c>
      <c r="G4745" s="27" t="s">
        <v>11</v>
      </c>
      <c r="H4745" s="27" t="s">
        <v>3676</v>
      </c>
      <c r="I4745" s="27" t="s">
        <v>9</v>
      </c>
    </row>
    <row r="4746" spans="1:9" x14ac:dyDescent="0.3">
      <c r="A4746" s="26">
        <v>45180</v>
      </c>
      <c r="B4746" s="27" t="s">
        <v>123</v>
      </c>
      <c r="C4746" s="27" t="s">
        <v>93</v>
      </c>
      <c r="D4746" s="27" t="s">
        <v>16</v>
      </c>
      <c r="E4746" s="28">
        <v>156000</v>
      </c>
      <c r="F4746" s="28">
        <v>144700</v>
      </c>
      <c r="G4746" s="27" t="s">
        <v>11</v>
      </c>
      <c r="H4746" s="27" t="s">
        <v>3878</v>
      </c>
      <c r="I4746" s="27" t="s">
        <v>9</v>
      </c>
    </row>
    <row r="4747" spans="1:9" x14ac:dyDescent="0.3">
      <c r="A4747" s="26">
        <v>45180</v>
      </c>
      <c r="B4747" s="27" t="s">
        <v>123</v>
      </c>
      <c r="C4747" s="27" t="s">
        <v>93</v>
      </c>
      <c r="D4747" s="27" t="s">
        <v>21</v>
      </c>
      <c r="E4747" s="28">
        <v>77100</v>
      </c>
      <c r="F4747" s="28">
        <v>82500</v>
      </c>
      <c r="G4747" s="27" t="s">
        <v>11</v>
      </c>
      <c r="H4747" s="27" t="s">
        <v>4045</v>
      </c>
      <c r="I4747" s="27" t="s">
        <v>9</v>
      </c>
    </row>
    <row r="4748" spans="1:9" x14ac:dyDescent="0.3">
      <c r="A4748" s="26">
        <v>45180</v>
      </c>
      <c r="B4748" s="27" t="s">
        <v>123</v>
      </c>
      <c r="C4748" s="27" t="s">
        <v>6</v>
      </c>
      <c r="D4748" s="27" t="s">
        <v>21</v>
      </c>
      <c r="E4748" s="28">
        <v>73500</v>
      </c>
      <c r="F4748" s="28">
        <v>82600</v>
      </c>
      <c r="G4748" s="27" t="s">
        <v>22</v>
      </c>
      <c r="H4748" s="27" t="s">
        <v>4207</v>
      </c>
      <c r="I4748" s="27" t="s">
        <v>9</v>
      </c>
    </row>
    <row r="4749" spans="1:9" x14ac:dyDescent="0.3">
      <c r="A4749" s="26">
        <v>45180</v>
      </c>
      <c r="B4749" s="27" t="s">
        <v>123</v>
      </c>
      <c r="C4749" s="27" t="s">
        <v>6</v>
      </c>
      <c r="D4749" s="27" t="s">
        <v>24</v>
      </c>
      <c r="E4749" s="28">
        <v>98500</v>
      </c>
      <c r="F4749" s="28">
        <v>116400</v>
      </c>
      <c r="G4749" s="27" t="s">
        <v>11</v>
      </c>
      <c r="H4749" s="27" t="s">
        <v>4820</v>
      </c>
      <c r="I4749" s="27" t="s">
        <v>9</v>
      </c>
    </row>
    <row r="4750" spans="1:9" x14ac:dyDescent="0.3">
      <c r="A4750" s="26">
        <v>45180</v>
      </c>
      <c r="B4750" s="27" t="s">
        <v>123</v>
      </c>
      <c r="C4750" s="27" t="s">
        <v>6</v>
      </c>
      <c r="D4750" s="27" t="s">
        <v>19</v>
      </c>
      <c r="E4750" s="28">
        <v>158400</v>
      </c>
      <c r="F4750" s="28">
        <v>162700</v>
      </c>
      <c r="G4750" s="27" t="s">
        <v>11</v>
      </c>
      <c r="H4750" s="27" t="s">
        <v>5118</v>
      </c>
      <c r="I4750" s="27" t="s">
        <v>9</v>
      </c>
    </row>
    <row r="4751" spans="1:9" x14ac:dyDescent="0.3">
      <c r="A4751" s="26">
        <v>45180</v>
      </c>
      <c r="B4751" s="27" t="s">
        <v>123</v>
      </c>
      <c r="C4751" s="27" t="s">
        <v>93</v>
      </c>
      <c r="D4751" s="27" t="s">
        <v>24</v>
      </c>
      <c r="E4751" s="28">
        <v>275900</v>
      </c>
      <c r="F4751" s="28">
        <v>217400</v>
      </c>
      <c r="G4751" s="27" t="s">
        <v>11</v>
      </c>
      <c r="H4751" s="27" t="s">
        <v>5189</v>
      </c>
      <c r="I4751" s="27" t="s">
        <v>9</v>
      </c>
    </row>
    <row r="4752" spans="1:9" x14ac:dyDescent="0.3">
      <c r="A4752" s="26">
        <v>45180</v>
      </c>
      <c r="B4752" s="27" t="s">
        <v>123</v>
      </c>
      <c r="C4752" s="27" t="s">
        <v>6</v>
      </c>
      <c r="D4752" s="27" t="s">
        <v>24</v>
      </c>
      <c r="E4752" s="28">
        <v>253900</v>
      </c>
      <c r="F4752" s="28">
        <v>211100</v>
      </c>
      <c r="G4752" s="27" t="s">
        <v>11</v>
      </c>
      <c r="H4752" s="27" t="s">
        <v>5795</v>
      </c>
      <c r="I4752" s="27" t="s">
        <v>9</v>
      </c>
    </row>
    <row r="4753" spans="1:9" x14ac:dyDescent="0.3">
      <c r="A4753" s="26">
        <v>45180</v>
      </c>
      <c r="B4753" s="27" t="s">
        <v>123</v>
      </c>
      <c r="C4753" s="27" t="s">
        <v>6</v>
      </c>
      <c r="D4753" s="27" t="s">
        <v>21</v>
      </c>
      <c r="E4753" s="28">
        <v>142400</v>
      </c>
      <c r="F4753" s="28">
        <v>139300</v>
      </c>
      <c r="G4753" s="27" t="s">
        <v>11</v>
      </c>
      <c r="H4753" s="27" t="s">
        <v>6420</v>
      </c>
      <c r="I4753" s="27" t="s">
        <v>9</v>
      </c>
    </row>
    <row r="4754" spans="1:9" x14ac:dyDescent="0.3">
      <c r="A4754" s="26">
        <v>45180</v>
      </c>
      <c r="B4754" s="27" t="s">
        <v>123</v>
      </c>
      <c r="C4754" s="27" t="s">
        <v>93</v>
      </c>
      <c r="D4754" s="27" t="s">
        <v>21</v>
      </c>
      <c r="E4754" s="28">
        <v>56100</v>
      </c>
      <c r="F4754" s="28">
        <v>59700</v>
      </c>
      <c r="G4754" s="27" t="s">
        <v>22</v>
      </c>
      <c r="H4754" s="27" t="s">
        <v>6430</v>
      </c>
      <c r="I4754" s="27" t="s">
        <v>9</v>
      </c>
    </row>
    <row r="4755" spans="1:9" x14ac:dyDescent="0.3">
      <c r="A4755" s="26">
        <v>45180</v>
      </c>
      <c r="B4755" s="27" t="s">
        <v>123</v>
      </c>
      <c r="C4755" s="27" t="s">
        <v>6</v>
      </c>
      <c r="D4755" s="27" t="s">
        <v>19</v>
      </c>
      <c r="E4755" s="28">
        <v>136700</v>
      </c>
      <c r="F4755" s="28">
        <v>157900</v>
      </c>
      <c r="G4755" s="27" t="s">
        <v>11</v>
      </c>
      <c r="H4755" s="27" t="s">
        <v>6699</v>
      </c>
      <c r="I4755" s="27" t="s">
        <v>9</v>
      </c>
    </row>
    <row r="4756" spans="1:9" x14ac:dyDescent="0.3">
      <c r="A4756" s="26">
        <v>45181</v>
      </c>
      <c r="B4756" s="27" t="s">
        <v>123</v>
      </c>
      <c r="C4756" s="27" t="s">
        <v>14</v>
      </c>
      <c r="D4756" s="27" t="s">
        <v>24</v>
      </c>
      <c r="E4756" s="28">
        <v>13881</v>
      </c>
      <c r="F4756" s="28">
        <v>23410</v>
      </c>
      <c r="G4756" s="27" t="s">
        <v>17</v>
      </c>
      <c r="H4756" s="27" t="s">
        <v>364</v>
      </c>
      <c r="I4756" s="27" t="s">
        <v>13</v>
      </c>
    </row>
    <row r="4757" spans="1:9" x14ac:dyDescent="0.3">
      <c r="A4757" s="26">
        <v>45181</v>
      </c>
      <c r="B4757" s="27" t="s">
        <v>123</v>
      </c>
      <c r="C4757" s="27" t="s">
        <v>14</v>
      </c>
      <c r="D4757" s="27" t="s">
        <v>19</v>
      </c>
      <c r="E4757" s="28">
        <v>97258</v>
      </c>
      <c r="F4757" s="28">
        <v>16723</v>
      </c>
      <c r="G4757" s="27" t="s">
        <v>22</v>
      </c>
      <c r="H4757" s="27" t="s">
        <v>543</v>
      </c>
      <c r="I4757" s="27" t="s">
        <v>13</v>
      </c>
    </row>
    <row r="4758" spans="1:9" x14ac:dyDescent="0.3">
      <c r="A4758" s="26">
        <v>45181</v>
      </c>
      <c r="B4758" s="27" t="s">
        <v>123</v>
      </c>
      <c r="C4758" s="27" t="s">
        <v>20</v>
      </c>
      <c r="D4758" s="27" t="s">
        <v>21</v>
      </c>
      <c r="E4758" s="28">
        <v>120583</v>
      </c>
      <c r="F4758" s="28">
        <v>142648</v>
      </c>
      <c r="G4758" s="27" t="s">
        <v>8</v>
      </c>
      <c r="H4758" s="27" t="s">
        <v>762</v>
      </c>
      <c r="I4758" s="27" t="s">
        <v>13</v>
      </c>
    </row>
    <row r="4759" spans="1:9" x14ac:dyDescent="0.3">
      <c r="A4759" s="26">
        <v>45181</v>
      </c>
      <c r="B4759" s="27" t="s">
        <v>123</v>
      </c>
      <c r="C4759" s="27" t="s">
        <v>10</v>
      </c>
      <c r="D4759" s="27" t="s">
        <v>16</v>
      </c>
      <c r="E4759" s="28">
        <v>19046</v>
      </c>
      <c r="F4759" s="28">
        <v>97849</v>
      </c>
      <c r="G4759" s="27" t="s">
        <v>8</v>
      </c>
      <c r="H4759" s="27" t="s">
        <v>816</v>
      </c>
      <c r="I4759" s="27" t="s">
        <v>13</v>
      </c>
    </row>
    <row r="4760" spans="1:9" x14ac:dyDescent="0.3">
      <c r="A4760" s="26">
        <v>45181</v>
      </c>
      <c r="B4760" s="27" t="s">
        <v>123</v>
      </c>
      <c r="C4760" s="27" t="s">
        <v>14</v>
      </c>
      <c r="D4760" s="27" t="s">
        <v>19</v>
      </c>
      <c r="E4760" s="28">
        <v>111743</v>
      </c>
      <c r="F4760" s="28">
        <v>152045</v>
      </c>
      <c r="G4760" s="27" t="s">
        <v>8</v>
      </c>
      <c r="H4760" s="27" t="s">
        <v>1429</v>
      </c>
      <c r="I4760" s="27" t="s">
        <v>13</v>
      </c>
    </row>
    <row r="4761" spans="1:9" x14ac:dyDescent="0.3">
      <c r="A4761" s="26">
        <v>45181</v>
      </c>
      <c r="B4761" s="27" t="s">
        <v>123</v>
      </c>
      <c r="C4761" s="27" t="s">
        <v>15</v>
      </c>
      <c r="D4761" s="27" t="s">
        <v>19</v>
      </c>
      <c r="E4761" s="28">
        <v>31281</v>
      </c>
      <c r="F4761" s="28">
        <v>61808</v>
      </c>
      <c r="G4761" s="27" t="s">
        <v>22</v>
      </c>
      <c r="H4761" s="27" t="s">
        <v>1773</v>
      </c>
      <c r="I4761" s="27" t="s">
        <v>13</v>
      </c>
    </row>
    <row r="4762" spans="1:9" x14ac:dyDescent="0.3">
      <c r="A4762" s="26">
        <v>45181</v>
      </c>
      <c r="B4762" s="27" t="s">
        <v>123</v>
      </c>
      <c r="C4762" s="27" t="s">
        <v>10</v>
      </c>
      <c r="D4762" s="27" t="s">
        <v>19</v>
      </c>
      <c r="E4762" s="28">
        <v>99060</v>
      </c>
      <c r="F4762" s="28">
        <v>138764</v>
      </c>
      <c r="G4762" s="27" t="s">
        <v>22</v>
      </c>
      <c r="H4762" s="27" t="s">
        <v>2122</v>
      </c>
      <c r="I4762" s="27" t="s">
        <v>13</v>
      </c>
    </row>
    <row r="4763" spans="1:9" x14ac:dyDescent="0.3">
      <c r="A4763" s="26">
        <v>45181</v>
      </c>
      <c r="B4763" s="27" t="s">
        <v>123</v>
      </c>
      <c r="C4763" s="27" t="s">
        <v>32</v>
      </c>
      <c r="D4763" s="27" t="s">
        <v>7</v>
      </c>
      <c r="E4763" s="28">
        <v>52877</v>
      </c>
      <c r="F4763" s="28">
        <v>128155</v>
      </c>
      <c r="G4763" s="27" t="s">
        <v>8</v>
      </c>
      <c r="H4763" s="27" t="s">
        <v>2566</v>
      </c>
      <c r="I4763" s="27" t="s">
        <v>13</v>
      </c>
    </row>
    <row r="4764" spans="1:9" x14ac:dyDescent="0.3">
      <c r="A4764" s="26">
        <v>45181</v>
      </c>
      <c r="B4764" s="27" t="s">
        <v>123</v>
      </c>
      <c r="C4764" s="27" t="s">
        <v>18</v>
      </c>
      <c r="D4764" s="27" t="s">
        <v>21</v>
      </c>
      <c r="E4764" s="28">
        <v>24852</v>
      </c>
      <c r="F4764" s="28">
        <v>88852</v>
      </c>
      <c r="G4764" s="27" t="s">
        <v>11</v>
      </c>
      <c r="H4764" s="27" t="s">
        <v>2742</v>
      </c>
      <c r="I4764" s="27" t="s">
        <v>13</v>
      </c>
    </row>
    <row r="4765" spans="1:9" x14ac:dyDescent="0.3">
      <c r="A4765" s="26">
        <v>45181</v>
      </c>
      <c r="B4765" s="27" t="s">
        <v>123</v>
      </c>
      <c r="C4765" s="27" t="s">
        <v>15</v>
      </c>
      <c r="D4765" s="27" t="s">
        <v>21</v>
      </c>
      <c r="E4765" s="28">
        <v>47402</v>
      </c>
      <c r="F4765" s="28">
        <v>118857</v>
      </c>
      <c r="G4765" s="27" t="s">
        <v>8</v>
      </c>
      <c r="H4765" s="27" t="s">
        <v>3259</v>
      </c>
      <c r="I4765" s="27" t="s">
        <v>13</v>
      </c>
    </row>
    <row r="4766" spans="1:9" x14ac:dyDescent="0.3">
      <c r="A4766" s="26">
        <v>45181</v>
      </c>
      <c r="B4766" s="27" t="s">
        <v>123</v>
      </c>
      <c r="C4766" s="27" t="s">
        <v>32</v>
      </c>
      <c r="D4766" s="27" t="s">
        <v>24</v>
      </c>
      <c r="E4766" s="28">
        <v>122716</v>
      </c>
      <c r="F4766" s="28">
        <v>138305</v>
      </c>
      <c r="G4766" s="27" t="s">
        <v>22</v>
      </c>
      <c r="H4766" s="27" t="s">
        <v>3386</v>
      </c>
      <c r="I4766" s="27" t="s">
        <v>13</v>
      </c>
    </row>
    <row r="4767" spans="1:9" x14ac:dyDescent="0.3">
      <c r="A4767" s="26">
        <v>45181</v>
      </c>
      <c r="B4767" s="27" t="s">
        <v>123</v>
      </c>
      <c r="C4767" s="27" t="s">
        <v>6</v>
      </c>
      <c r="D4767" s="27" t="s">
        <v>24</v>
      </c>
      <c r="E4767" s="28">
        <v>58000</v>
      </c>
      <c r="F4767" s="28">
        <v>47400</v>
      </c>
      <c r="G4767" s="27" t="s">
        <v>17</v>
      </c>
      <c r="H4767" s="27" t="s">
        <v>3745</v>
      </c>
      <c r="I4767" s="27" t="s">
        <v>9</v>
      </c>
    </row>
    <row r="4768" spans="1:9" x14ac:dyDescent="0.3">
      <c r="A4768" s="26">
        <v>45181</v>
      </c>
      <c r="B4768" s="27" t="s">
        <v>123</v>
      </c>
      <c r="C4768" s="27" t="s">
        <v>6</v>
      </c>
      <c r="D4768" s="27" t="s">
        <v>19</v>
      </c>
      <c r="E4768" s="28">
        <v>91400</v>
      </c>
      <c r="F4768" s="28">
        <v>99000</v>
      </c>
      <c r="G4768" s="27" t="s">
        <v>22</v>
      </c>
      <c r="H4768" s="27" t="s">
        <v>3924</v>
      </c>
      <c r="I4768" s="27" t="s">
        <v>9</v>
      </c>
    </row>
    <row r="4769" spans="1:9" x14ac:dyDescent="0.3">
      <c r="A4769" s="26">
        <v>45181</v>
      </c>
      <c r="B4769" s="27" t="s">
        <v>123</v>
      </c>
      <c r="C4769" s="27" t="s">
        <v>6</v>
      </c>
      <c r="D4769" s="27" t="s">
        <v>21</v>
      </c>
      <c r="E4769" s="28">
        <v>115900</v>
      </c>
      <c r="F4769" s="28">
        <v>108100</v>
      </c>
      <c r="G4769" s="27" t="s">
        <v>11</v>
      </c>
      <c r="H4769" s="27" t="s">
        <v>4143</v>
      </c>
      <c r="I4769" s="27" t="s">
        <v>9</v>
      </c>
    </row>
    <row r="4770" spans="1:9" x14ac:dyDescent="0.3">
      <c r="A4770" s="26">
        <v>45181</v>
      </c>
      <c r="B4770" s="27" t="s">
        <v>123</v>
      </c>
      <c r="C4770" s="27" t="s">
        <v>6</v>
      </c>
      <c r="D4770" s="27" t="s">
        <v>16</v>
      </c>
      <c r="E4770" s="28">
        <v>95600</v>
      </c>
      <c r="F4770" s="28">
        <v>124300</v>
      </c>
      <c r="G4770" s="27" t="s">
        <v>22</v>
      </c>
      <c r="H4770" s="27" t="s">
        <v>4197</v>
      </c>
      <c r="I4770" s="27" t="s">
        <v>9</v>
      </c>
    </row>
    <row r="4771" spans="1:9" x14ac:dyDescent="0.3">
      <c r="A4771" s="26">
        <v>45181</v>
      </c>
      <c r="B4771" s="27" t="s">
        <v>123</v>
      </c>
      <c r="C4771" s="27" t="s">
        <v>93</v>
      </c>
      <c r="D4771" s="27" t="s">
        <v>19</v>
      </c>
      <c r="E4771" s="28">
        <v>125800</v>
      </c>
      <c r="F4771" s="28">
        <v>106200</v>
      </c>
      <c r="G4771" s="27" t="s">
        <v>11</v>
      </c>
      <c r="H4771" s="27" t="s">
        <v>4812</v>
      </c>
      <c r="I4771" s="27" t="s">
        <v>9</v>
      </c>
    </row>
    <row r="4772" spans="1:9" x14ac:dyDescent="0.3">
      <c r="A4772" s="26">
        <v>45181</v>
      </c>
      <c r="B4772" s="27" t="s">
        <v>123</v>
      </c>
      <c r="C4772" s="27" t="s">
        <v>93</v>
      </c>
      <c r="D4772" s="27" t="s">
        <v>19</v>
      </c>
      <c r="E4772" s="28">
        <v>144500</v>
      </c>
      <c r="F4772" s="28">
        <v>151200</v>
      </c>
      <c r="G4772" s="27" t="s">
        <v>11</v>
      </c>
      <c r="H4772" s="27" t="s">
        <v>5156</v>
      </c>
      <c r="I4772" s="27" t="s">
        <v>9</v>
      </c>
    </row>
    <row r="4773" spans="1:9" x14ac:dyDescent="0.3">
      <c r="A4773" s="26">
        <v>45181</v>
      </c>
      <c r="B4773" s="27" t="s">
        <v>123</v>
      </c>
      <c r="C4773" s="27" t="s">
        <v>93</v>
      </c>
      <c r="D4773" s="27" t="s">
        <v>19</v>
      </c>
      <c r="E4773" s="28">
        <v>105800</v>
      </c>
      <c r="F4773" s="28">
        <v>108600</v>
      </c>
      <c r="G4773" s="27" t="s">
        <v>11</v>
      </c>
      <c r="H4773" s="27" t="s">
        <v>5506</v>
      </c>
      <c r="I4773" s="27" t="s">
        <v>9</v>
      </c>
    </row>
    <row r="4774" spans="1:9" x14ac:dyDescent="0.3">
      <c r="A4774" s="26">
        <v>45181</v>
      </c>
      <c r="B4774" s="27" t="s">
        <v>123</v>
      </c>
      <c r="C4774" s="27" t="s">
        <v>6</v>
      </c>
      <c r="D4774" s="27" t="s">
        <v>7</v>
      </c>
      <c r="E4774" s="28">
        <v>135900</v>
      </c>
      <c r="F4774" s="28">
        <v>134800</v>
      </c>
      <c r="G4774" s="27" t="s">
        <v>22</v>
      </c>
      <c r="H4774" s="27" t="s">
        <v>5951</v>
      </c>
      <c r="I4774" s="27" t="s">
        <v>9</v>
      </c>
    </row>
    <row r="4775" spans="1:9" x14ac:dyDescent="0.3">
      <c r="A4775" s="26">
        <v>45181</v>
      </c>
      <c r="B4775" s="27" t="s">
        <v>123</v>
      </c>
      <c r="C4775" s="27" t="s">
        <v>6</v>
      </c>
      <c r="D4775" s="27" t="s">
        <v>21</v>
      </c>
      <c r="E4775" s="28">
        <v>114800</v>
      </c>
      <c r="F4775" s="28">
        <v>142600</v>
      </c>
      <c r="G4775" s="27" t="s">
        <v>11</v>
      </c>
      <c r="H4775" s="27" t="s">
        <v>6127</v>
      </c>
      <c r="I4775" s="27" t="s">
        <v>9</v>
      </c>
    </row>
    <row r="4776" spans="1:9" x14ac:dyDescent="0.3">
      <c r="A4776" s="26">
        <v>45181</v>
      </c>
      <c r="B4776" s="27" t="s">
        <v>123</v>
      </c>
      <c r="C4776" s="27" t="s">
        <v>6</v>
      </c>
      <c r="D4776" s="27" t="s">
        <v>21</v>
      </c>
      <c r="E4776" s="28">
        <v>120800</v>
      </c>
      <c r="F4776" s="28">
        <v>107500</v>
      </c>
      <c r="G4776" s="27" t="s">
        <v>11</v>
      </c>
      <c r="H4776" s="27" t="s">
        <v>6644</v>
      </c>
      <c r="I4776" s="27" t="s">
        <v>9</v>
      </c>
    </row>
    <row r="4777" spans="1:9" x14ac:dyDescent="0.3">
      <c r="A4777" s="26">
        <v>45181</v>
      </c>
      <c r="B4777" s="27" t="s">
        <v>123</v>
      </c>
      <c r="C4777" s="27" t="s">
        <v>6</v>
      </c>
      <c r="D4777" s="27" t="s">
        <v>24</v>
      </c>
      <c r="E4777" s="28">
        <v>146000</v>
      </c>
      <c r="F4777" s="28">
        <v>143300</v>
      </c>
      <c r="G4777" s="27" t="s">
        <v>22</v>
      </c>
      <c r="H4777" s="27" t="s">
        <v>6771</v>
      </c>
      <c r="I4777" s="27" t="s">
        <v>9</v>
      </c>
    </row>
    <row r="4778" spans="1:9" x14ac:dyDescent="0.3">
      <c r="A4778" s="26">
        <v>45182</v>
      </c>
      <c r="B4778" s="27" t="s">
        <v>123</v>
      </c>
      <c r="C4778" s="27" t="s">
        <v>20</v>
      </c>
      <c r="D4778" s="27" t="s">
        <v>7</v>
      </c>
      <c r="E4778" s="28">
        <v>149139</v>
      </c>
      <c r="F4778" s="28">
        <v>118994</v>
      </c>
      <c r="G4778" s="27" t="s">
        <v>8</v>
      </c>
      <c r="H4778" s="27" t="s">
        <v>463</v>
      </c>
      <c r="I4778" s="27" t="s">
        <v>13</v>
      </c>
    </row>
    <row r="4779" spans="1:9" x14ac:dyDescent="0.3">
      <c r="A4779" s="26">
        <v>45182</v>
      </c>
      <c r="B4779" s="27" t="s">
        <v>123</v>
      </c>
      <c r="C4779" s="27" t="s">
        <v>14</v>
      </c>
      <c r="D4779" s="27" t="s">
        <v>24</v>
      </c>
      <c r="E4779" s="28">
        <v>98904</v>
      </c>
      <c r="F4779" s="28">
        <v>99659</v>
      </c>
      <c r="G4779" s="27" t="s">
        <v>17</v>
      </c>
      <c r="H4779" s="27" t="s">
        <v>869</v>
      </c>
      <c r="I4779" s="27" t="s">
        <v>13</v>
      </c>
    </row>
    <row r="4780" spans="1:9" x14ac:dyDescent="0.3">
      <c r="A4780" s="26">
        <v>45182</v>
      </c>
      <c r="B4780" s="27" t="s">
        <v>123</v>
      </c>
      <c r="C4780" s="27" t="s">
        <v>14</v>
      </c>
      <c r="D4780" s="27" t="s">
        <v>24</v>
      </c>
      <c r="E4780" s="28">
        <v>125095</v>
      </c>
      <c r="F4780" s="28">
        <v>27238</v>
      </c>
      <c r="G4780" s="27" t="s">
        <v>17</v>
      </c>
      <c r="H4780" s="27" t="s">
        <v>940</v>
      </c>
      <c r="I4780" s="27" t="s">
        <v>13</v>
      </c>
    </row>
    <row r="4781" spans="1:9" x14ac:dyDescent="0.3">
      <c r="A4781" s="26">
        <v>45182</v>
      </c>
      <c r="B4781" s="27" t="s">
        <v>123</v>
      </c>
      <c r="C4781" s="27" t="s">
        <v>32</v>
      </c>
      <c r="D4781" s="27" t="s">
        <v>16</v>
      </c>
      <c r="E4781" s="28">
        <v>13539</v>
      </c>
      <c r="F4781" s="28">
        <v>12391</v>
      </c>
      <c r="G4781" s="27" t="s">
        <v>8</v>
      </c>
      <c r="H4781" s="27" t="s">
        <v>1323</v>
      </c>
      <c r="I4781" s="27" t="s">
        <v>13</v>
      </c>
    </row>
    <row r="4782" spans="1:9" x14ac:dyDescent="0.3">
      <c r="A4782" s="26">
        <v>45182</v>
      </c>
      <c r="B4782" s="27" t="s">
        <v>123</v>
      </c>
      <c r="C4782" s="27" t="s">
        <v>18</v>
      </c>
      <c r="D4782" s="27" t="s">
        <v>16</v>
      </c>
      <c r="E4782" s="28">
        <v>43161</v>
      </c>
      <c r="F4782" s="28">
        <v>33071</v>
      </c>
      <c r="G4782" s="27" t="s">
        <v>17</v>
      </c>
      <c r="H4782" s="27" t="s">
        <v>1461</v>
      </c>
      <c r="I4782" s="27" t="s">
        <v>13</v>
      </c>
    </row>
    <row r="4783" spans="1:9" x14ac:dyDescent="0.3">
      <c r="A4783" s="26">
        <v>45182</v>
      </c>
      <c r="B4783" s="27" t="s">
        <v>123</v>
      </c>
      <c r="C4783" s="27" t="s">
        <v>15</v>
      </c>
      <c r="D4783" s="27" t="s">
        <v>16</v>
      </c>
      <c r="E4783" s="28">
        <v>147065</v>
      </c>
      <c r="F4783" s="28">
        <v>139972</v>
      </c>
      <c r="G4783" s="27" t="s">
        <v>8</v>
      </c>
      <c r="H4783" s="27" t="s">
        <v>1802</v>
      </c>
      <c r="I4783" s="27" t="s">
        <v>13</v>
      </c>
    </row>
    <row r="4784" spans="1:9" x14ac:dyDescent="0.3">
      <c r="A4784" s="26">
        <v>45182</v>
      </c>
      <c r="B4784" s="27" t="s">
        <v>123</v>
      </c>
      <c r="C4784" s="27" t="s">
        <v>10</v>
      </c>
      <c r="D4784" s="27" t="s">
        <v>7</v>
      </c>
      <c r="E4784" s="28">
        <v>78041</v>
      </c>
      <c r="F4784" s="28">
        <v>159525</v>
      </c>
      <c r="G4784" s="27" t="s">
        <v>17</v>
      </c>
      <c r="H4784" s="27" t="s">
        <v>1906</v>
      </c>
      <c r="I4784" s="27" t="s">
        <v>13</v>
      </c>
    </row>
    <row r="4785" spans="1:9" x14ac:dyDescent="0.3">
      <c r="A4785" s="26">
        <v>45182</v>
      </c>
      <c r="B4785" s="27" t="s">
        <v>123</v>
      </c>
      <c r="C4785" s="27" t="s">
        <v>10</v>
      </c>
      <c r="D4785" s="27" t="s">
        <v>7</v>
      </c>
      <c r="E4785" s="28">
        <v>78041</v>
      </c>
      <c r="F4785" s="28">
        <v>159525</v>
      </c>
      <c r="G4785" s="27" t="s">
        <v>17</v>
      </c>
      <c r="H4785" s="27" t="s">
        <v>1906</v>
      </c>
      <c r="I4785" s="27" t="s">
        <v>13</v>
      </c>
    </row>
    <row r="4786" spans="1:9" x14ac:dyDescent="0.3">
      <c r="A4786" s="26">
        <v>45182</v>
      </c>
      <c r="B4786" s="27" t="s">
        <v>123</v>
      </c>
      <c r="C4786" s="27" t="s">
        <v>20</v>
      </c>
      <c r="D4786" s="27" t="s">
        <v>21</v>
      </c>
      <c r="E4786" s="28">
        <v>132445</v>
      </c>
      <c r="F4786" s="28">
        <v>9212</v>
      </c>
      <c r="G4786" s="27" t="s">
        <v>17</v>
      </c>
      <c r="H4786" s="27" t="s">
        <v>2141</v>
      </c>
      <c r="I4786" s="27" t="s">
        <v>13</v>
      </c>
    </row>
    <row r="4787" spans="1:9" x14ac:dyDescent="0.3">
      <c r="A4787" s="26">
        <v>45182</v>
      </c>
      <c r="B4787" s="27" t="s">
        <v>123</v>
      </c>
      <c r="C4787" s="27" t="s">
        <v>18</v>
      </c>
      <c r="D4787" s="27" t="s">
        <v>16</v>
      </c>
      <c r="E4787" s="28">
        <v>141141</v>
      </c>
      <c r="F4787" s="28">
        <v>121685</v>
      </c>
      <c r="G4787" s="27" t="s">
        <v>17</v>
      </c>
      <c r="H4787" s="27" t="s">
        <v>2645</v>
      </c>
      <c r="I4787" s="27" t="s">
        <v>13</v>
      </c>
    </row>
    <row r="4788" spans="1:9" x14ac:dyDescent="0.3">
      <c r="A4788" s="26">
        <v>45182</v>
      </c>
      <c r="B4788" s="27" t="s">
        <v>123</v>
      </c>
      <c r="C4788" s="27" t="s">
        <v>15</v>
      </c>
      <c r="D4788" s="27" t="s">
        <v>21</v>
      </c>
      <c r="E4788" s="28">
        <v>58625</v>
      </c>
      <c r="F4788" s="28">
        <v>34452</v>
      </c>
      <c r="G4788" s="27" t="s">
        <v>8</v>
      </c>
      <c r="H4788" s="27" t="s">
        <v>2777</v>
      </c>
      <c r="I4788" s="27" t="s">
        <v>13</v>
      </c>
    </row>
    <row r="4789" spans="1:9" x14ac:dyDescent="0.3">
      <c r="A4789" s="26">
        <v>45182</v>
      </c>
      <c r="B4789" s="27" t="s">
        <v>123</v>
      </c>
      <c r="C4789" s="27" t="s">
        <v>14</v>
      </c>
      <c r="D4789" s="27" t="s">
        <v>19</v>
      </c>
      <c r="E4789" s="28">
        <v>88102</v>
      </c>
      <c r="F4789" s="28">
        <v>168141</v>
      </c>
      <c r="G4789" s="27" t="s">
        <v>11</v>
      </c>
      <c r="H4789" s="27" t="s">
        <v>2838</v>
      </c>
      <c r="I4789" s="27" t="s">
        <v>13</v>
      </c>
    </row>
    <row r="4790" spans="1:9" x14ac:dyDescent="0.3">
      <c r="A4790" s="26">
        <v>45182</v>
      </c>
      <c r="B4790" s="27" t="s">
        <v>123</v>
      </c>
      <c r="C4790" s="27" t="s">
        <v>20</v>
      </c>
      <c r="D4790" s="27" t="s">
        <v>19</v>
      </c>
      <c r="E4790" s="28">
        <v>52439</v>
      </c>
      <c r="F4790" s="28">
        <v>109463</v>
      </c>
      <c r="G4790" s="27" t="s">
        <v>17</v>
      </c>
      <c r="H4790" s="27" t="s">
        <v>2966</v>
      </c>
      <c r="I4790" s="27" t="s">
        <v>13</v>
      </c>
    </row>
    <row r="4791" spans="1:9" x14ac:dyDescent="0.3">
      <c r="A4791" s="26">
        <v>45182</v>
      </c>
      <c r="B4791" s="27" t="s">
        <v>123</v>
      </c>
      <c r="C4791" s="27" t="s">
        <v>10</v>
      </c>
      <c r="D4791" s="27" t="s">
        <v>7</v>
      </c>
      <c r="E4791" s="28">
        <v>35550</v>
      </c>
      <c r="F4791" s="28">
        <v>151698</v>
      </c>
      <c r="G4791" s="27" t="s">
        <v>11</v>
      </c>
      <c r="H4791" s="27" t="s">
        <v>3073</v>
      </c>
      <c r="I4791" s="27" t="s">
        <v>13</v>
      </c>
    </row>
    <row r="4792" spans="1:9" x14ac:dyDescent="0.3">
      <c r="A4792" s="26">
        <v>45182</v>
      </c>
      <c r="B4792" s="27" t="s">
        <v>123</v>
      </c>
      <c r="C4792" s="27" t="s">
        <v>18</v>
      </c>
      <c r="D4792" s="27" t="s">
        <v>19</v>
      </c>
      <c r="E4792" s="28">
        <v>66968</v>
      </c>
      <c r="F4792" s="28">
        <v>65036</v>
      </c>
      <c r="G4792" s="27" t="s">
        <v>17</v>
      </c>
      <c r="H4792" s="27" t="s">
        <v>3436</v>
      </c>
      <c r="I4792" s="27" t="s">
        <v>13</v>
      </c>
    </row>
    <row r="4793" spans="1:9" x14ac:dyDescent="0.3">
      <c r="A4793" s="26">
        <v>45182</v>
      </c>
      <c r="B4793" s="27" t="s">
        <v>123</v>
      </c>
      <c r="C4793" s="27" t="s">
        <v>93</v>
      </c>
      <c r="D4793" s="27" t="s">
        <v>7</v>
      </c>
      <c r="E4793" s="28">
        <v>97500</v>
      </c>
      <c r="F4793" s="28">
        <v>84300</v>
      </c>
      <c r="G4793" s="27" t="s">
        <v>11</v>
      </c>
      <c r="H4793" s="27" t="s">
        <v>3844</v>
      </c>
      <c r="I4793" s="27" t="s">
        <v>9</v>
      </c>
    </row>
    <row r="4794" spans="1:9" x14ac:dyDescent="0.3">
      <c r="A4794" s="26">
        <v>45182</v>
      </c>
      <c r="B4794" s="27" t="s">
        <v>123</v>
      </c>
      <c r="C4794" s="27" t="s">
        <v>6</v>
      </c>
      <c r="D4794" s="27" t="s">
        <v>24</v>
      </c>
      <c r="E4794" s="28">
        <v>67600</v>
      </c>
      <c r="F4794" s="28">
        <v>66100</v>
      </c>
      <c r="G4794" s="27" t="s">
        <v>11</v>
      </c>
      <c r="H4794" s="27" t="s">
        <v>4250</v>
      </c>
      <c r="I4794" s="27" t="s">
        <v>9</v>
      </c>
    </row>
    <row r="4795" spans="1:9" x14ac:dyDescent="0.3">
      <c r="A4795" s="26">
        <v>45182</v>
      </c>
      <c r="B4795" s="27" t="s">
        <v>123</v>
      </c>
      <c r="C4795" s="27" t="s">
        <v>93</v>
      </c>
      <c r="D4795" s="27" t="s">
        <v>24</v>
      </c>
      <c r="E4795" s="28">
        <v>65700</v>
      </c>
      <c r="F4795" s="28">
        <v>72500</v>
      </c>
      <c r="G4795" s="27" t="s">
        <v>11</v>
      </c>
      <c r="H4795" s="27" t="s">
        <v>4321</v>
      </c>
      <c r="I4795" s="27" t="s">
        <v>9</v>
      </c>
    </row>
    <row r="4796" spans="1:9" x14ac:dyDescent="0.3">
      <c r="A4796" s="26">
        <v>45182</v>
      </c>
      <c r="B4796" s="27" t="s">
        <v>123</v>
      </c>
      <c r="C4796" s="27" t="s">
        <v>93</v>
      </c>
      <c r="D4796" s="27" t="s">
        <v>16</v>
      </c>
      <c r="E4796" s="28">
        <v>155100</v>
      </c>
      <c r="F4796" s="28">
        <v>189300</v>
      </c>
      <c r="G4796" s="27" t="s">
        <v>11</v>
      </c>
      <c r="H4796" s="27" t="s">
        <v>4706</v>
      </c>
      <c r="I4796" s="27" t="s">
        <v>9</v>
      </c>
    </row>
    <row r="4797" spans="1:9" x14ac:dyDescent="0.3">
      <c r="A4797" s="26">
        <v>45182</v>
      </c>
      <c r="B4797" s="27" t="s">
        <v>123</v>
      </c>
      <c r="C4797" s="27" t="s">
        <v>6</v>
      </c>
      <c r="D4797" s="27" t="s">
        <v>16</v>
      </c>
      <c r="E4797" s="28">
        <v>68700</v>
      </c>
      <c r="F4797" s="28">
        <v>83000</v>
      </c>
      <c r="G4797" s="27" t="s">
        <v>17</v>
      </c>
      <c r="H4797" s="27" t="s">
        <v>4844</v>
      </c>
      <c r="I4797" s="27" t="s">
        <v>9</v>
      </c>
    </row>
    <row r="4798" spans="1:9" x14ac:dyDescent="0.3">
      <c r="A4798" s="26">
        <v>45182</v>
      </c>
      <c r="B4798" s="27" t="s">
        <v>123</v>
      </c>
      <c r="C4798" s="27" t="s">
        <v>93</v>
      </c>
      <c r="D4798" s="27" t="s">
        <v>16</v>
      </c>
      <c r="E4798" s="28">
        <v>83700</v>
      </c>
      <c r="F4798" s="28">
        <v>88600</v>
      </c>
      <c r="G4798" s="27" t="s">
        <v>11</v>
      </c>
      <c r="H4798" s="27" t="s">
        <v>5185</v>
      </c>
      <c r="I4798" s="27" t="s">
        <v>9</v>
      </c>
    </row>
    <row r="4799" spans="1:9" x14ac:dyDescent="0.3">
      <c r="A4799" s="26">
        <v>45182</v>
      </c>
      <c r="B4799" s="27" t="s">
        <v>123</v>
      </c>
      <c r="C4799" s="27" t="s">
        <v>93</v>
      </c>
      <c r="D4799" s="27" t="s">
        <v>7</v>
      </c>
      <c r="E4799" s="28">
        <v>135200</v>
      </c>
      <c r="F4799" s="28">
        <v>108700</v>
      </c>
      <c r="G4799" s="27" t="s">
        <v>11</v>
      </c>
      <c r="H4799" s="27" t="s">
        <v>5290</v>
      </c>
      <c r="I4799" s="27" t="s">
        <v>9</v>
      </c>
    </row>
    <row r="4800" spans="1:9" x14ac:dyDescent="0.3">
      <c r="A4800" s="26">
        <v>45182</v>
      </c>
      <c r="B4800" s="27" t="s">
        <v>123</v>
      </c>
      <c r="C4800" s="27" t="s">
        <v>6</v>
      </c>
      <c r="D4800" s="27" t="s">
        <v>21</v>
      </c>
      <c r="E4800" s="28">
        <v>161700</v>
      </c>
      <c r="F4800" s="28">
        <v>156600</v>
      </c>
      <c r="G4800" s="27" t="s">
        <v>11</v>
      </c>
      <c r="H4800" s="27" t="s">
        <v>5525</v>
      </c>
      <c r="I4800" s="27" t="s">
        <v>9</v>
      </c>
    </row>
    <row r="4801" spans="1:9" x14ac:dyDescent="0.3">
      <c r="A4801" s="26">
        <v>45182</v>
      </c>
      <c r="B4801" s="27" t="s">
        <v>123</v>
      </c>
      <c r="C4801" s="27" t="s">
        <v>93</v>
      </c>
      <c r="D4801" s="27" t="s">
        <v>16</v>
      </c>
      <c r="E4801" s="28">
        <v>73700</v>
      </c>
      <c r="F4801" s="28">
        <v>101300</v>
      </c>
      <c r="G4801" s="27" t="s">
        <v>11</v>
      </c>
      <c r="H4801" s="27" t="s">
        <v>6030</v>
      </c>
      <c r="I4801" s="27" t="s">
        <v>9</v>
      </c>
    </row>
    <row r="4802" spans="1:9" x14ac:dyDescent="0.3">
      <c r="A4802" s="26">
        <v>45182</v>
      </c>
      <c r="B4802" s="27" t="s">
        <v>123</v>
      </c>
      <c r="C4802" s="27" t="s">
        <v>6</v>
      </c>
      <c r="D4802" s="27" t="s">
        <v>21</v>
      </c>
      <c r="E4802" s="28">
        <v>81600</v>
      </c>
      <c r="F4802" s="28">
        <v>78100</v>
      </c>
      <c r="G4802" s="27" t="s">
        <v>22</v>
      </c>
      <c r="H4802" s="27" t="s">
        <v>6162</v>
      </c>
      <c r="I4802" s="27" t="s">
        <v>9</v>
      </c>
    </row>
    <row r="4803" spans="1:9" x14ac:dyDescent="0.3">
      <c r="A4803" s="26">
        <v>45182</v>
      </c>
      <c r="B4803" s="27" t="s">
        <v>123</v>
      </c>
      <c r="C4803" s="27" t="s">
        <v>6</v>
      </c>
      <c r="D4803" s="27" t="s">
        <v>19</v>
      </c>
      <c r="E4803" s="28">
        <v>60300</v>
      </c>
      <c r="F4803" s="28">
        <v>71000</v>
      </c>
      <c r="G4803" s="27" t="s">
        <v>11</v>
      </c>
      <c r="H4803" s="27" t="s">
        <v>6223</v>
      </c>
      <c r="I4803" s="27" t="s">
        <v>9</v>
      </c>
    </row>
    <row r="4804" spans="1:9" x14ac:dyDescent="0.3">
      <c r="A4804" s="26">
        <v>45182</v>
      </c>
      <c r="B4804" s="27" t="s">
        <v>123</v>
      </c>
      <c r="C4804" s="27" t="s">
        <v>6</v>
      </c>
      <c r="D4804" s="27" t="s">
        <v>19</v>
      </c>
      <c r="E4804" s="28">
        <v>90300</v>
      </c>
      <c r="F4804" s="28">
        <v>83200</v>
      </c>
      <c r="G4804" s="27" t="s">
        <v>22</v>
      </c>
      <c r="H4804" s="27" t="s">
        <v>6351</v>
      </c>
      <c r="I4804" s="27" t="s">
        <v>9</v>
      </c>
    </row>
    <row r="4805" spans="1:9" x14ac:dyDescent="0.3">
      <c r="A4805" s="26">
        <v>45182</v>
      </c>
      <c r="B4805" s="27" t="s">
        <v>123</v>
      </c>
      <c r="C4805" s="27" t="s">
        <v>6</v>
      </c>
      <c r="D4805" s="27" t="s">
        <v>7</v>
      </c>
      <c r="E4805" s="28">
        <v>124600</v>
      </c>
      <c r="F4805" s="28">
        <v>120400</v>
      </c>
      <c r="G4805" s="27" t="s">
        <v>17</v>
      </c>
      <c r="H4805" s="27" t="s">
        <v>6458</v>
      </c>
      <c r="I4805" s="27" t="s">
        <v>9</v>
      </c>
    </row>
    <row r="4806" spans="1:9" x14ac:dyDescent="0.3">
      <c r="A4806" s="26">
        <v>45182</v>
      </c>
      <c r="B4806" s="27" t="s">
        <v>123</v>
      </c>
      <c r="C4806" s="27" t="s">
        <v>93</v>
      </c>
      <c r="D4806" s="27" t="s">
        <v>19</v>
      </c>
      <c r="E4806" s="28">
        <v>137500</v>
      </c>
      <c r="F4806" s="28">
        <v>127800</v>
      </c>
      <c r="G4806" s="27" t="s">
        <v>22</v>
      </c>
      <c r="H4806" s="27" t="s">
        <v>6821</v>
      </c>
      <c r="I4806" s="27" t="s">
        <v>9</v>
      </c>
    </row>
    <row r="4807" spans="1:9" x14ac:dyDescent="0.3">
      <c r="A4807" s="26">
        <v>45182</v>
      </c>
      <c r="B4807" s="27" t="s">
        <v>123</v>
      </c>
      <c r="C4807" s="27" t="s">
        <v>6</v>
      </c>
      <c r="D4807" s="27" t="s">
        <v>7</v>
      </c>
      <c r="E4807" s="28">
        <v>88400</v>
      </c>
      <c r="F4807" s="28">
        <v>96900</v>
      </c>
      <c r="G4807" s="27" t="s">
        <v>11</v>
      </c>
      <c r="H4807" s="27" t="s">
        <v>6825</v>
      </c>
      <c r="I4807" s="27" t="s">
        <v>9</v>
      </c>
    </row>
    <row r="4808" spans="1:9" x14ac:dyDescent="0.3">
      <c r="A4808" s="26">
        <v>45183</v>
      </c>
      <c r="B4808" s="27" t="s">
        <v>123</v>
      </c>
      <c r="C4808" s="27" t="s">
        <v>15</v>
      </c>
      <c r="D4808" s="27" t="s">
        <v>19</v>
      </c>
      <c r="E4808" s="28">
        <v>26978</v>
      </c>
      <c r="F4808" s="28">
        <v>113737</v>
      </c>
      <c r="G4808" s="27" t="s">
        <v>17</v>
      </c>
      <c r="H4808" s="27" t="s">
        <v>621</v>
      </c>
      <c r="I4808" s="27" t="s">
        <v>13</v>
      </c>
    </row>
    <row r="4809" spans="1:9" x14ac:dyDescent="0.3">
      <c r="A4809" s="26">
        <v>45183</v>
      </c>
      <c r="B4809" s="27" t="s">
        <v>123</v>
      </c>
      <c r="C4809" s="27" t="s">
        <v>15</v>
      </c>
      <c r="D4809" s="27" t="s">
        <v>7</v>
      </c>
      <c r="E4809" s="28">
        <v>137439</v>
      </c>
      <c r="F4809" s="28">
        <v>31307</v>
      </c>
      <c r="G4809" s="27" t="s">
        <v>8</v>
      </c>
      <c r="H4809" s="27" t="s">
        <v>1584</v>
      </c>
      <c r="I4809" s="27" t="s">
        <v>13</v>
      </c>
    </row>
    <row r="4810" spans="1:9" x14ac:dyDescent="0.3">
      <c r="A4810" s="26">
        <v>45183</v>
      </c>
      <c r="B4810" s="27" t="s">
        <v>123</v>
      </c>
      <c r="C4810" s="27" t="s">
        <v>32</v>
      </c>
      <c r="D4810" s="27" t="s">
        <v>19</v>
      </c>
      <c r="E4810" s="28">
        <v>113232</v>
      </c>
      <c r="F4810" s="28">
        <v>165206</v>
      </c>
      <c r="G4810" s="27" t="s">
        <v>22</v>
      </c>
      <c r="H4810" s="27" t="s">
        <v>2485</v>
      </c>
      <c r="I4810" s="27" t="s">
        <v>13</v>
      </c>
    </row>
    <row r="4811" spans="1:9" x14ac:dyDescent="0.3">
      <c r="A4811" s="26">
        <v>45183</v>
      </c>
      <c r="B4811" s="27" t="s">
        <v>123</v>
      </c>
      <c r="C4811" s="27" t="s">
        <v>18</v>
      </c>
      <c r="D4811" s="27" t="s">
        <v>16</v>
      </c>
      <c r="E4811" s="28">
        <v>125427</v>
      </c>
      <c r="F4811" s="28">
        <v>69405</v>
      </c>
      <c r="G4811" s="27" t="s">
        <v>8</v>
      </c>
      <c r="H4811" s="27" t="s">
        <v>2652</v>
      </c>
      <c r="I4811" s="27" t="s">
        <v>13</v>
      </c>
    </row>
    <row r="4812" spans="1:9" x14ac:dyDescent="0.3">
      <c r="A4812" s="26">
        <v>45183</v>
      </c>
      <c r="B4812" s="27" t="s">
        <v>123</v>
      </c>
      <c r="C4812" s="27" t="s">
        <v>20</v>
      </c>
      <c r="D4812" s="27" t="s">
        <v>21</v>
      </c>
      <c r="E4812" s="28">
        <v>108954</v>
      </c>
      <c r="F4812" s="28">
        <v>19690</v>
      </c>
      <c r="G4812" s="27" t="s">
        <v>17</v>
      </c>
      <c r="H4812" s="27" t="s">
        <v>2698</v>
      </c>
      <c r="I4812" s="27" t="s">
        <v>13</v>
      </c>
    </row>
    <row r="4813" spans="1:9" x14ac:dyDescent="0.3">
      <c r="A4813" s="26">
        <v>45183</v>
      </c>
      <c r="B4813" s="27" t="s">
        <v>123</v>
      </c>
      <c r="C4813" s="27" t="s">
        <v>10</v>
      </c>
      <c r="D4813" s="27" t="s">
        <v>16</v>
      </c>
      <c r="E4813" s="28">
        <v>111472</v>
      </c>
      <c r="F4813" s="28">
        <v>83304</v>
      </c>
      <c r="G4813" s="27" t="s">
        <v>11</v>
      </c>
      <c r="H4813" s="27" t="s">
        <v>2918</v>
      </c>
      <c r="I4813" s="27" t="s">
        <v>13</v>
      </c>
    </row>
    <row r="4814" spans="1:9" x14ac:dyDescent="0.3">
      <c r="A4814" s="26">
        <v>45183</v>
      </c>
      <c r="B4814" s="27" t="s">
        <v>123</v>
      </c>
      <c r="C4814" s="27" t="s">
        <v>15</v>
      </c>
      <c r="D4814" s="27" t="s">
        <v>21</v>
      </c>
      <c r="E4814" s="28">
        <v>61854</v>
      </c>
      <c r="F4814" s="28">
        <v>91645</v>
      </c>
      <c r="G4814" s="27" t="s">
        <v>22</v>
      </c>
      <c r="H4814" s="27" t="s">
        <v>3403</v>
      </c>
      <c r="I4814" s="27" t="s">
        <v>13</v>
      </c>
    </row>
    <row r="4815" spans="1:9" x14ac:dyDescent="0.3">
      <c r="A4815" s="26">
        <v>45183</v>
      </c>
      <c r="B4815" s="27" t="s">
        <v>123</v>
      </c>
      <c r="C4815" s="27" t="s">
        <v>93</v>
      </c>
      <c r="D4815" s="27" t="s">
        <v>19</v>
      </c>
      <c r="E4815" s="28">
        <v>111200</v>
      </c>
      <c r="F4815" s="28">
        <v>87500</v>
      </c>
      <c r="G4815" s="27" t="s">
        <v>17</v>
      </c>
      <c r="H4815" s="27" t="s">
        <v>4002</v>
      </c>
      <c r="I4815" s="27" t="s">
        <v>9</v>
      </c>
    </row>
    <row r="4816" spans="1:9" x14ac:dyDescent="0.3">
      <c r="A4816" s="26">
        <v>45183</v>
      </c>
      <c r="B4816" s="27" t="s">
        <v>123</v>
      </c>
      <c r="C4816" s="27" t="s">
        <v>6</v>
      </c>
      <c r="D4816" s="27" t="s">
        <v>7</v>
      </c>
      <c r="E4816" s="28">
        <v>74000</v>
      </c>
      <c r="F4816" s="28">
        <v>89400</v>
      </c>
      <c r="G4816" s="27" t="s">
        <v>17</v>
      </c>
      <c r="H4816" s="27" t="s">
        <v>4967</v>
      </c>
      <c r="I4816" s="27" t="s">
        <v>9</v>
      </c>
    </row>
    <row r="4817" spans="1:9" x14ac:dyDescent="0.3">
      <c r="A4817" s="26">
        <v>45183</v>
      </c>
      <c r="B4817" s="27" t="s">
        <v>123</v>
      </c>
      <c r="C4817" s="27" t="s">
        <v>93</v>
      </c>
      <c r="D4817" s="27" t="s">
        <v>19</v>
      </c>
      <c r="E4817" s="28">
        <v>90700</v>
      </c>
      <c r="F4817" s="28">
        <v>98700</v>
      </c>
      <c r="G4817" s="27" t="s">
        <v>11</v>
      </c>
      <c r="H4817" s="27" t="s">
        <v>5870</v>
      </c>
      <c r="I4817" s="27" t="s">
        <v>9</v>
      </c>
    </row>
    <row r="4818" spans="1:9" x14ac:dyDescent="0.3">
      <c r="A4818" s="26">
        <v>45183</v>
      </c>
      <c r="B4818" s="27" t="s">
        <v>123</v>
      </c>
      <c r="C4818" s="27" t="s">
        <v>93</v>
      </c>
      <c r="D4818" s="27" t="s">
        <v>16</v>
      </c>
      <c r="E4818" s="28">
        <v>77400</v>
      </c>
      <c r="F4818" s="28">
        <v>78100</v>
      </c>
      <c r="G4818" s="27" t="s">
        <v>22</v>
      </c>
      <c r="H4818" s="27" t="s">
        <v>6037</v>
      </c>
      <c r="I4818" s="27" t="s">
        <v>9</v>
      </c>
    </row>
    <row r="4819" spans="1:9" x14ac:dyDescent="0.3">
      <c r="A4819" s="26">
        <v>45183</v>
      </c>
      <c r="B4819" s="27" t="s">
        <v>123</v>
      </c>
      <c r="C4819" s="27" t="s">
        <v>6</v>
      </c>
      <c r="D4819" s="27" t="s">
        <v>21</v>
      </c>
      <c r="E4819" s="28">
        <v>149800</v>
      </c>
      <c r="F4819" s="28">
        <v>148700</v>
      </c>
      <c r="G4819" s="27" t="s">
        <v>11</v>
      </c>
      <c r="H4819" s="27" t="s">
        <v>6083</v>
      </c>
      <c r="I4819" s="27" t="s">
        <v>9</v>
      </c>
    </row>
    <row r="4820" spans="1:9" x14ac:dyDescent="0.3">
      <c r="A4820" s="26">
        <v>45183</v>
      </c>
      <c r="B4820" s="27" t="s">
        <v>123</v>
      </c>
      <c r="C4820" s="27" t="s">
        <v>6</v>
      </c>
      <c r="D4820" s="27" t="s">
        <v>16</v>
      </c>
      <c r="E4820" s="28">
        <v>123400</v>
      </c>
      <c r="F4820" s="28">
        <v>112700</v>
      </c>
      <c r="G4820" s="27" t="s">
        <v>22</v>
      </c>
      <c r="H4820" s="27" t="s">
        <v>6303</v>
      </c>
      <c r="I4820" s="27" t="s">
        <v>9</v>
      </c>
    </row>
    <row r="4821" spans="1:9" x14ac:dyDescent="0.3">
      <c r="A4821" s="26">
        <v>45183</v>
      </c>
      <c r="B4821" s="27" t="s">
        <v>123</v>
      </c>
      <c r="C4821" s="27" t="s">
        <v>6</v>
      </c>
      <c r="D4821" s="27" t="s">
        <v>21</v>
      </c>
      <c r="E4821" s="28">
        <v>323400</v>
      </c>
      <c r="F4821" s="28">
        <v>334800</v>
      </c>
      <c r="G4821" s="27" t="s">
        <v>22</v>
      </c>
      <c r="H4821" s="27" t="s">
        <v>6788</v>
      </c>
      <c r="I4821" s="27" t="s">
        <v>9</v>
      </c>
    </row>
    <row r="4822" spans="1:9" x14ac:dyDescent="0.3">
      <c r="A4822" s="26">
        <v>45184</v>
      </c>
      <c r="B4822" s="27" t="s">
        <v>123</v>
      </c>
      <c r="C4822" s="27" t="s">
        <v>10</v>
      </c>
      <c r="D4822" s="27" t="s">
        <v>16</v>
      </c>
      <c r="E4822" s="28">
        <v>149062</v>
      </c>
      <c r="F4822" s="28">
        <v>24625</v>
      </c>
      <c r="G4822" s="27" t="s">
        <v>17</v>
      </c>
      <c r="H4822" s="27" t="s">
        <v>395</v>
      </c>
      <c r="I4822" s="27" t="s">
        <v>13</v>
      </c>
    </row>
    <row r="4823" spans="1:9" x14ac:dyDescent="0.3">
      <c r="A4823" s="26">
        <v>45184</v>
      </c>
      <c r="B4823" s="27" t="s">
        <v>123</v>
      </c>
      <c r="C4823" s="27" t="s">
        <v>20</v>
      </c>
      <c r="D4823" s="27" t="s">
        <v>24</v>
      </c>
      <c r="E4823" s="28">
        <v>59698</v>
      </c>
      <c r="F4823" s="28">
        <v>141076</v>
      </c>
      <c r="G4823" s="27" t="s">
        <v>8</v>
      </c>
      <c r="H4823" s="27" t="s">
        <v>493</v>
      </c>
      <c r="I4823" s="27" t="s">
        <v>13</v>
      </c>
    </row>
    <row r="4824" spans="1:9" x14ac:dyDescent="0.3">
      <c r="A4824" s="26">
        <v>45184</v>
      </c>
      <c r="B4824" s="27" t="s">
        <v>123</v>
      </c>
      <c r="C4824" s="27" t="s">
        <v>15</v>
      </c>
      <c r="D4824" s="27" t="s">
        <v>24</v>
      </c>
      <c r="E4824" s="28">
        <v>17676</v>
      </c>
      <c r="F4824" s="28">
        <v>78471</v>
      </c>
      <c r="G4824" s="27" t="s">
        <v>8</v>
      </c>
      <c r="H4824" s="27" t="s">
        <v>672</v>
      </c>
      <c r="I4824" s="27" t="s">
        <v>13</v>
      </c>
    </row>
    <row r="4825" spans="1:9" x14ac:dyDescent="0.3">
      <c r="A4825" s="26">
        <v>45184</v>
      </c>
      <c r="B4825" s="27" t="s">
        <v>123</v>
      </c>
      <c r="C4825" s="27" t="s">
        <v>10</v>
      </c>
      <c r="D4825" s="27" t="s">
        <v>16</v>
      </c>
      <c r="E4825" s="28">
        <v>138839</v>
      </c>
      <c r="F4825" s="28">
        <v>33124</v>
      </c>
      <c r="G4825" s="27" t="s">
        <v>22</v>
      </c>
      <c r="H4825" s="27" t="s">
        <v>901</v>
      </c>
      <c r="I4825" s="27" t="s">
        <v>13</v>
      </c>
    </row>
    <row r="4826" spans="1:9" x14ac:dyDescent="0.3">
      <c r="A4826" s="26">
        <v>45184</v>
      </c>
      <c r="B4826" s="27" t="s">
        <v>123</v>
      </c>
      <c r="C4826" s="27" t="s">
        <v>32</v>
      </c>
      <c r="D4826" s="27" t="s">
        <v>16</v>
      </c>
      <c r="E4826" s="28">
        <v>69376</v>
      </c>
      <c r="F4826" s="28">
        <v>132481</v>
      </c>
      <c r="G4826" s="27" t="s">
        <v>22</v>
      </c>
      <c r="H4826" s="27" t="s">
        <v>931</v>
      </c>
      <c r="I4826" s="27" t="s">
        <v>13</v>
      </c>
    </row>
    <row r="4827" spans="1:9" x14ac:dyDescent="0.3">
      <c r="A4827" s="26">
        <v>45184</v>
      </c>
      <c r="B4827" s="27" t="s">
        <v>123</v>
      </c>
      <c r="C4827" s="27" t="s">
        <v>18</v>
      </c>
      <c r="D4827" s="27" t="s">
        <v>24</v>
      </c>
      <c r="E4827" s="28">
        <v>118670</v>
      </c>
      <c r="F4827" s="28">
        <v>10775</v>
      </c>
      <c r="G4827" s="27" t="s">
        <v>22</v>
      </c>
      <c r="H4827" s="27" t="s">
        <v>1197</v>
      </c>
      <c r="I4827" s="27" t="s">
        <v>13</v>
      </c>
    </row>
    <row r="4828" spans="1:9" x14ac:dyDescent="0.3">
      <c r="A4828" s="26">
        <v>45184</v>
      </c>
      <c r="B4828" s="27" t="s">
        <v>123</v>
      </c>
      <c r="C4828" s="27" t="s">
        <v>14</v>
      </c>
      <c r="D4828" s="27" t="s">
        <v>7</v>
      </c>
      <c r="E4828" s="28">
        <v>44212</v>
      </c>
      <c r="F4828" s="28">
        <v>60028</v>
      </c>
      <c r="G4828" s="27" t="s">
        <v>11</v>
      </c>
      <c r="H4828" s="27" t="s">
        <v>1781</v>
      </c>
      <c r="I4828" s="27" t="s">
        <v>13</v>
      </c>
    </row>
    <row r="4829" spans="1:9" x14ac:dyDescent="0.3">
      <c r="A4829" s="26">
        <v>45184</v>
      </c>
      <c r="B4829" s="27" t="s">
        <v>123</v>
      </c>
      <c r="C4829" s="27" t="s">
        <v>14</v>
      </c>
      <c r="D4829" s="27" t="s">
        <v>21</v>
      </c>
      <c r="E4829" s="28">
        <v>110580</v>
      </c>
      <c r="F4829" s="28">
        <v>77538</v>
      </c>
      <c r="G4829" s="27" t="s">
        <v>8</v>
      </c>
      <c r="H4829" s="27" t="s">
        <v>1815</v>
      </c>
      <c r="I4829" s="27" t="s">
        <v>13</v>
      </c>
    </row>
    <row r="4830" spans="1:9" x14ac:dyDescent="0.3">
      <c r="A4830" s="26">
        <v>45184</v>
      </c>
      <c r="B4830" s="27" t="s">
        <v>123</v>
      </c>
      <c r="C4830" s="27" t="s">
        <v>18</v>
      </c>
      <c r="D4830" s="27" t="s">
        <v>24</v>
      </c>
      <c r="E4830" s="28">
        <v>135443</v>
      </c>
      <c r="F4830" s="28">
        <v>55700</v>
      </c>
      <c r="G4830" s="27" t="s">
        <v>8</v>
      </c>
      <c r="H4830" s="27" t="s">
        <v>2039</v>
      </c>
      <c r="I4830" s="27" t="s">
        <v>13</v>
      </c>
    </row>
    <row r="4831" spans="1:9" x14ac:dyDescent="0.3">
      <c r="A4831" s="26">
        <v>45184</v>
      </c>
      <c r="B4831" s="27" t="s">
        <v>123</v>
      </c>
      <c r="C4831" s="27" t="s">
        <v>20</v>
      </c>
      <c r="D4831" s="27" t="s">
        <v>21</v>
      </c>
      <c r="E4831" s="28">
        <v>111053</v>
      </c>
      <c r="F4831" s="28">
        <v>23350</v>
      </c>
      <c r="G4831" s="27" t="s">
        <v>8</v>
      </c>
      <c r="H4831" s="27" t="s">
        <v>2075</v>
      </c>
      <c r="I4831" s="27" t="s">
        <v>13</v>
      </c>
    </row>
    <row r="4832" spans="1:9" x14ac:dyDescent="0.3">
      <c r="A4832" s="26">
        <v>45184</v>
      </c>
      <c r="B4832" s="27" t="s">
        <v>123</v>
      </c>
      <c r="C4832" s="27" t="s">
        <v>10</v>
      </c>
      <c r="D4832" s="27" t="s">
        <v>24</v>
      </c>
      <c r="E4832" s="28">
        <v>17184</v>
      </c>
      <c r="F4832" s="28">
        <v>146679</v>
      </c>
      <c r="G4832" s="27" t="s">
        <v>8</v>
      </c>
      <c r="H4832" s="27" t="s">
        <v>2156</v>
      </c>
      <c r="I4832" s="27" t="s">
        <v>13</v>
      </c>
    </row>
    <row r="4833" spans="1:9" x14ac:dyDescent="0.3">
      <c r="A4833" s="26">
        <v>45184</v>
      </c>
      <c r="B4833" s="27" t="s">
        <v>123</v>
      </c>
      <c r="C4833" s="27" t="s">
        <v>18</v>
      </c>
      <c r="D4833" s="27" t="s">
        <v>7</v>
      </c>
      <c r="E4833" s="28">
        <v>16482</v>
      </c>
      <c r="F4833" s="28">
        <v>66380</v>
      </c>
      <c r="G4833" s="27" t="s">
        <v>17</v>
      </c>
      <c r="H4833" s="27" t="s">
        <v>2589</v>
      </c>
      <c r="I4833" s="27" t="s">
        <v>13</v>
      </c>
    </row>
    <row r="4834" spans="1:9" x14ac:dyDescent="0.3">
      <c r="A4834" s="26">
        <v>45184</v>
      </c>
      <c r="B4834" s="27" t="s">
        <v>123</v>
      </c>
      <c r="C4834" s="27" t="s">
        <v>20</v>
      </c>
      <c r="D4834" s="27" t="s">
        <v>19</v>
      </c>
      <c r="E4834" s="28">
        <v>136889</v>
      </c>
      <c r="F4834" s="28">
        <v>20140</v>
      </c>
      <c r="G4834" s="27" t="s">
        <v>11</v>
      </c>
      <c r="H4834" s="27" t="s">
        <v>2682</v>
      </c>
      <c r="I4834" s="27" t="s">
        <v>13</v>
      </c>
    </row>
    <row r="4835" spans="1:9" x14ac:dyDescent="0.3">
      <c r="A4835" s="26">
        <v>45184</v>
      </c>
      <c r="B4835" s="27" t="s">
        <v>123</v>
      </c>
      <c r="C4835" s="27" t="s">
        <v>14</v>
      </c>
      <c r="D4835" s="27" t="s">
        <v>16</v>
      </c>
      <c r="E4835" s="28">
        <v>59973</v>
      </c>
      <c r="F4835" s="28">
        <v>168333</v>
      </c>
      <c r="G4835" s="27" t="s">
        <v>17</v>
      </c>
      <c r="H4835" s="27" t="s">
        <v>3195</v>
      </c>
      <c r="I4835" s="27" t="s">
        <v>13</v>
      </c>
    </row>
    <row r="4836" spans="1:9" x14ac:dyDescent="0.3">
      <c r="A4836" s="26">
        <v>45184</v>
      </c>
      <c r="B4836" s="27" t="s">
        <v>123</v>
      </c>
      <c r="C4836" s="27" t="s">
        <v>93</v>
      </c>
      <c r="D4836" s="27" t="s">
        <v>16</v>
      </c>
      <c r="E4836" s="28">
        <v>190300</v>
      </c>
      <c r="F4836" s="28">
        <v>222500</v>
      </c>
      <c r="G4836" s="27" t="s">
        <v>22</v>
      </c>
      <c r="H4836" s="27" t="s">
        <v>3776</v>
      </c>
      <c r="I4836" s="27" t="s">
        <v>9</v>
      </c>
    </row>
    <row r="4837" spans="1:9" x14ac:dyDescent="0.3">
      <c r="A4837" s="26">
        <v>45184</v>
      </c>
      <c r="B4837" s="27" t="s">
        <v>123</v>
      </c>
      <c r="C4837" s="27" t="s">
        <v>6</v>
      </c>
      <c r="D4837" s="27" t="s">
        <v>24</v>
      </c>
      <c r="E4837" s="28">
        <v>268400</v>
      </c>
      <c r="F4837" s="28">
        <v>277800</v>
      </c>
      <c r="G4837" s="27" t="s">
        <v>22</v>
      </c>
      <c r="H4837" s="27" t="s">
        <v>3874</v>
      </c>
      <c r="I4837" s="27" t="s">
        <v>9</v>
      </c>
    </row>
    <row r="4838" spans="1:9" x14ac:dyDescent="0.3">
      <c r="A4838" s="26">
        <v>45184</v>
      </c>
      <c r="B4838" s="27" t="s">
        <v>123</v>
      </c>
      <c r="C4838" s="27" t="s">
        <v>6</v>
      </c>
      <c r="D4838" s="27" t="s">
        <v>24</v>
      </c>
      <c r="E4838" s="28">
        <v>146500</v>
      </c>
      <c r="F4838" s="28">
        <v>145700</v>
      </c>
      <c r="G4838" s="27" t="s">
        <v>22</v>
      </c>
      <c r="H4838" s="27" t="s">
        <v>4053</v>
      </c>
      <c r="I4838" s="27" t="s">
        <v>9</v>
      </c>
    </row>
    <row r="4839" spans="1:9" x14ac:dyDescent="0.3">
      <c r="A4839" s="26">
        <v>45184</v>
      </c>
      <c r="B4839" s="27" t="s">
        <v>123</v>
      </c>
      <c r="C4839" s="27" t="s">
        <v>6</v>
      </c>
      <c r="D4839" s="27" t="s">
        <v>16</v>
      </c>
      <c r="E4839" s="28">
        <v>72300</v>
      </c>
      <c r="F4839" s="28">
        <v>66600</v>
      </c>
      <c r="G4839" s="27" t="s">
        <v>11</v>
      </c>
      <c r="H4839" s="27" t="s">
        <v>4282</v>
      </c>
      <c r="I4839" s="27" t="s">
        <v>9</v>
      </c>
    </row>
    <row r="4840" spans="1:9" x14ac:dyDescent="0.3">
      <c r="A4840" s="26">
        <v>45184</v>
      </c>
      <c r="B4840" s="27" t="s">
        <v>123</v>
      </c>
      <c r="C4840" s="27" t="s">
        <v>6</v>
      </c>
      <c r="D4840" s="27" t="s">
        <v>16</v>
      </c>
      <c r="E4840" s="28">
        <v>109100</v>
      </c>
      <c r="F4840" s="28">
        <v>80300</v>
      </c>
      <c r="G4840" s="27" t="s">
        <v>22</v>
      </c>
      <c r="H4840" s="27" t="s">
        <v>4312</v>
      </c>
      <c r="I4840" s="27" t="s">
        <v>9</v>
      </c>
    </row>
    <row r="4841" spans="1:9" x14ac:dyDescent="0.3">
      <c r="A4841" s="26">
        <v>45184</v>
      </c>
      <c r="B4841" s="27" t="s">
        <v>123</v>
      </c>
      <c r="C4841" s="27" t="s">
        <v>93</v>
      </c>
      <c r="D4841" s="27" t="s">
        <v>24</v>
      </c>
      <c r="E4841" s="28">
        <v>70400</v>
      </c>
      <c r="F4841" s="28">
        <v>69700</v>
      </c>
      <c r="G4841" s="27" t="s">
        <v>11</v>
      </c>
      <c r="H4841" s="27" t="s">
        <v>4580</v>
      </c>
      <c r="I4841" s="27" t="s">
        <v>9</v>
      </c>
    </row>
    <row r="4842" spans="1:9" x14ac:dyDescent="0.3">
      <c r="A4842" s="26">
        <v>45184</v>
      </c>
      <c r="B4842" s="27" t="s">
        <v>123</v>
      </c>
      <c r="C4842" s="27" t="s">
        <v>6</v>
      </c>
      <c r="D4842" s="27" t="s">
        <v>7</v>
      </c>
      <c r="E4842" s="28">
        <v>228300</v>
      </c>
      <c r="F4842" s="28">
        <v>221500</v>
      </c>
      <c r="G4842" s="27" t="s">
        <v>17</v>
      </c>
      <c r="H4842" s="27" t="s">
        <v>5164</v>
      </c>
      <c r="I4842" s="27" t="s">
        <v>9</v>
      </c>
    </row>
    <row r="4843" spans="1:9" x14ac:dyDescent="0.3">
      <c r="A4843" s="26">
        <v>45184</v>
      </c>
      <c r="B4843" s="27" t="s">
        <v>123</v>
      </c>
      <c r="C4843" s="27" t="s">
        <v>93</v>
      </c>
      <c r="D4843" s="27" t="s">
        <v>21</v>
      </c>
      <c r="E4843" s="28">
        <v>92200</v>
      </c>
      <c r="F4843" s="28">
        <v>94100</v>
      </c>
      <c r="G4843" s="27" t="s">
        <v>17</v>
      </c>
      <c r="H4843" s="27" t="s">
        <v>5198</v>
      </c>
      <c r="I4843" s="27" t="s">
        <v>9</v>
      </c>
    </row>
    <row r="4844" spans="1:9" x14ac:dyDescent="0.3">
      <c r="A4844" s="26">
        <v>45184</v>
      </c>
      <c r="B4844" s="27" t="s">
        <v>123</v>
      </c>
      <c r="C4844" s="27" t="s">
        <v>93</v>
      </c>
      <c r="D4844" s="27" t="s">
        <v>24</v>
      </c>
      <c r="E4844" s="28">
        <v>118800</v>
      </c>
      <c r="F4844" s="28">
        <v>140400</v>
      </c>
      <c r="G4844" s="27" t="s">
        <v>11</v>
      </c>
      <c r="H4844" s="27" t="s">
        <v>5423</v>
      </c>
      <c r="I4844" s="27" t="s">
        <v>9</v>
      </c>
    </row>
    <row r="4845" spans="1:9" x14ac:dyDescent="0.3">
      <c r="A4845" s="26">
        <v>45184</v>
      </c>
      <c r="B4845" s="27" t="s">
        <v>123</v>
      </c>
      <c r="C4845" s="27" t="s">
        <v>93</v>
      </c>
      <c r="D4845" s="27" t="s">
        <v>21</v>
      </c>
      <c r="E4845" s="28">
        <v>106400</v>
      </c>
      <c r="F4845" s="28">
        <v>116300</v>
      </c>
      <c r="G4845" s="27" t="s">
        <v>22</v>
      </c>
      <c r="H4845" s="27" t="s">
        <v>5459</v>
      </c>
      <c r="I4845" s="27" t="s">
        <v>9</v>
      </c>
    </row>
    <row r="4846" spans="1:9" x14ac:dyDescent="0.3">
      <c r="A4846" s="26">
        <v>45184</v>
      </c>
      <c r="B4846" s="27" t="s">
        <v>123</v>
      </c>
      <c r="C4846" s="27" t="s">
        <v>93</v>
      </c>
      <c r="D4846" s="27" t="s">
        <v>24</v>
      </c>
      <c r="E4846" s="28">
        <v>65400</v>
      </c>
      <c r="F4846" s="28">
        <v>77700</v>
      </c>
      <c r="G4846" s="27" t="s">
        <v>11</v>
      </c>
      <c r="H4846" s="27" t="s">
        <v>5541</v>
      </c>
      <c r="I4846" s="27" t="s">
        <v>9</v>
      </c>
    </row>
    <row r="4847" spans="1:9" x14ac:dyDescent="0.3">
      <c r="A4847" s="26">
        <v>45184</v>
      </c>
      <c r="B4847" s="27" t="s">
        <v>123</v>
      </c>
      <c r="C4847" s="27" t="s">
        <v>6</v>
      </c>
      <c r="D4847" s="27" t="s">
        <v>7</v>
      </c>
      <c r="E4847" s="28">
        <v>134300</v>
      </c>
      <c r="F4847" s="28">
        <v>146100</v>
      </c>
      <c r="G4847" s="27" t="s">
        <v>17</v>
      </c>
      <c r="H4847" s="27" t="s">
        <v>5974</v>
      </c>
      <c r="I4847" s="27" t="s">
        <v>9</v>
      </c>
    </row>
    <row r="4848" spans="1:9" x14ac:dyDescent="0.3">
      <c r="A4848" s="26">
        <v>45184</v>
      </c>
      <c r="B4848" s="27" t="s">
        <v>123</v>
      </c>
      <c r="C4848" s="27" t="s">
        <v>6</v>
      </c>
      <c r="D4848" s="27" t="s">
        <v>19</v>
      </c>
      <c r="E4848" s="28">
        <v>162000</v>
      </c>
      <c r="F4848" s="28">
        <v>212100</v>
      </c>
      <c r="G4848" s="27" t="s">
        <v>11</v>
      </c>
      <c r="H4848" s="27" t="s">
        <v>6067</v>
      </c>
      <c r="I4848" s="27" t="s">
        <v>9</v>
      </c>
    </row>
    <row r="4849" spans="1:9" x14ac:dyDescent="0.3">
      <c r="A4849" s="26">
        <v>45184</v>
      </c>
      <c r="B4849" s="27" t="s">
        <v>123</v>
      </c>
      <c r="C4849" s="27" t="s">
        <v>6</v>
      </c>
      <c r="D4849" s="27" t="s">
        <v>16</v>
      </c>
      <c r="E4849" s="28">
        <v>138600</v>
      </c>
      <c r="F4849" s="28">
        <v>154000</v>
      </c>
      <c r="G4849" s="27" t="s">
        <v>11</v>
      </c>
      <c r="H4849" s="27" t="s">
        <v>6580</v>
      </c>
      <c r="I4849" s="27" t="s">
        <v>9</v>
      </c>
    </row>
    <row r="4850" spans="1:9" x14ac:dyDescent="0.3">
      <c r="A4850" s="26">
        <v>45185</v>
      </c>
      <c r="B4850" s="27" t="s">
        <v>123</v>
      </c>
      <c r="C4850" s="27" t="s">
        <v>32</v>
      </c>
      <c r="D4850" s="27" t="s">
        <v>21</v>
      </c>
      <c r="E4850" s="28">
        <v>135045</v>
      </c>
      <c r="F4850" s="28">
        <v>166212</v>
      </c>
      <c r="G4850" s="27" t="s">
        <v>11</v>
      </c>
      <c r="H4850" s="27" t="s">
        <v>515</v>
      </c>
      <c r="I4850" s="27" t="s">
        <v>13</v>
      </c>
    </row>
    <row r="4851" spans="1:9" x14ac:dyDescent="0.3">
      <c r="A4851" s="26">
        <v>45185</v>
      </c>
      <c r="B4851" s="27" t="s">
        <v>123</v>
      </c>
      <c r="C4851" s="27" t="s">
        <v>18</v>
      </c>
      <c r="D4851" s="27" t="s">
        <v>21</v>
      </c>
      <c r="E4851" s="28">
        <v>15260</v>
      </c>
      <c r="F4851" s="28">
        <v>159064</v>
      </c>
      <c r="G4851" s="27" t="s">
        <v>8</v>
      </c>
      <c r="H4851" s="27" t="s">
        <v>536</v>
      </c>
      <c r="I4851" s="27" t="s">
        <v>13</v>
      </c>
    </row>
    <row r="4852" spans="1:9" x14ac:dyDescent="0.3">
      <c r="A4852" s="26">
        <v>45185</v>
      </c>
      <c r="B4852" s="27" t="s">
        <v>123</v>
      </c>
      <c r="C4852" s="27" t="s">
        <v>32</v>
      </c>
      <c r="D4852" s="27" t="s">
        <v>16</v>
      </c>
      <c r="E4852" s="28">
        <v>54047</v>
      </c>
      <c r="F4852" s="28">
        <v>36976</v>
      </c>
      <c r="G4852" s="27" t="s">
        <v>22</v>
      </c>
      <c r="H4852" s="27" t="s">
        <v>717</v>
      </c>
      <c r="I4852" s="27" t="s">
        <v>13</v>
      </c>
    </row>
    <row r="4853" spans="1:9" x14ac:dyDescent="0.3">
      <c r="A4853" s="26">
        <v>45185</v>
      </c>
      <c r="B4853" s="27" t="s">
        <v>123</v>
      </c>
      <c r="C4853" s="27" t="s">
        <v>32</v>
      </c>
      <c r="D4853" s="27" t="s">
        <v>16</v>
      </c>
      <c r="E4853" s="28">
        <v>65965</v>
      </c>
      <c r="F4853" s="28">
        <v>58007</v>
      </c>
      <c r="G4853" s="27" t="s">
        <v>22</v>
      </c>
      <c r="H4853" s="27" t="s">
        <v>1545</v>
      </c>
      <c r="I4853" s="27" t="s">
        <v>13</v>
      </c>
    </row>
    <row r="4854" spans="1:9" x14ac:dyDescent="0.3">
      <c r="A4854" s="26">
        <v>45185</v>
      </c>
      <c r="B4854" s="27" t="s">
        <v>123</v>
      </c>
      <c r="C4854" s="27" t="s">
        <v>10</v>
      </c>
      <c r="D4854" s="27" t="s">
        <v>16</v>
      </c>
      <c r="E4854" s="28">
        <v>59902</v>
      </c>
      <c r="F4854" s="28">
        <v>93833</v>
      </c>
      <c r="G4854" s="27" t="s">
        <v>8</v>
      </c>
      <c r="H4854" s="27" t="s">
        <v>1772</v>
      </c>
      <c r="I4854" s="27" t="s">
        <v>13</v>
      </c>
    </row>
    <row r="4855" spans="1:9" x14ac:dyDescent="0.3">
      <c r="A4855" s="26">
        <v>45185</v>
      </c>
      <c r="B4855" s="27" t="s">
        <v>123</v>
      </c>
      <c r="C4855" s="27" t="s">
        <v>32</v>
      </c>
      <c r="D4855" s="27" t="s">
        <v>16</v>
      </c>
      <c r="E4855" s="28">
        <v>118271</v>
      </c>
      <c r="F4855" s="28">
        <v>48754</v>
      </c>
      <c r="G4855" s="27" t="s">
        <v>8</v>
      </c>
      <c r="H4855" s="27" t="s">
        <v>1997</v>
      </c>
      <c r="I4855" s="27" t="s">
        <v>13</v>
      </c>
    </row>
    <row r="4856" spans="1:9" x14ac:dyDescent="0.3">
      <c r="A4856" s="26">
        <v>45185</v>
      </c>
      <c r="B4856" s="27" t="s">
        <v>123</v>
      </c>
      <c r="C4856" s="27" t="s">
        <v>32</v>
      </c>
      <c r="D4856" s="27" t="s">
        <v>24</v>
      </c>
      <c r="E4856" s="28">
        <v>88233</v>
      </c>
      <c r="F4856" s="28">
        <v>169068</v>
      </c>
      <c r="G4856" s="27" t="s">
        <v>11</v>
      </c>
      <c r="H4856" s="27" t="s">
        <v>2403</v>
      </c>
      <c r="I4856" s="27" t="s">
        <v>13</v>
      </c>
    </row>
    <row r="4857" spans="1:9" x14ac:dyDescent="0.3">
      <c r="A4857" s="26">
        <v>45185</v>
      </c>
      <c r="B4857" s="27" t="s">
        <v>123</v>
      </c>
      <c r="C4857" s="27" t="s">
        <v>20</v>
      </c>
      <c r="D4857" s="27" t="s">
        <v>24</v>
      </c>
      <c r="E4857" s="28">
        <v>126918</v>
      </c>
      <c r="F4857" s="28">
        <v>37535</v>
      </c>
      <c r="G4857" s="27" t="s">
        <v>17</v>
      </c>
      <c r="H4857" s="27" t="s">
        <v>2601</v>
      </c>
      <c r="I4857" s="27" t="s">
        <v>13</v>
      </c>
    </row>
    <row r="4858" spans="1:9" x14ac:dyDescent="0.3">
      <c r="A4858" s="26">
        <v>45185</v>
      </c>
      <c r="B4858" s="27" t="s">
        <v>123</v>
      </c>
      <c r="C4858" s="27" t="s">
        <v>20</v>
      </c>
      <c r="D4858" s="27" t="s">
        <v>7</v>
      </c>
      <c r="E4858" s="28">
        <v>53904</v>
      </c>
      <c r="F4858" s="28">
        <v>64801</v>
      </c>
      <c r="G4858" s="27" t="s">
        <v>22</v>
      </c>
      <c r="H4858" s="27" t="s">
        <v>2732</v>
      </c>
      <c r="I4858" s="27" t="s">
        <v>13</v>
      </c>
    </row>
    <row r="4859" spans="1:9" x14ac:dyDescent="0.3">
      <c r="A4859" s="26">
        <v>45185</v>
      </c>
      <c r="B4859" s="27" t="s">
        <v>123</v>
      </c>
      <c r="C4859" s="27" t="s">
        <v>15</v>
      </c>
      <c r="D4859" s="27" t="s">
        <v>16</v>
      </c>
      <c r="E4859" s="28">
        <v>11179</v>
      </c>
      <c r="F4859" s="28">
        <v>45448</v>
      </c>
      <c r="G4859" s="27" t="s">
        <v>17</v>
      </c>
      <c r="H4859" s="27" t="s">
        <v>2832</v>
      </c>
      <c r="I4859" s="27" t="s">
        <v>13</v>
      </c>
    </row>
    <row r="4860" spans="1:9" x14ac:dyDescent="0.3">
      <c r="A4860" s="26">
        <v>45185</v>
      </c>
      <c r="B4860" s="27" t="s">
        <v>123</v>
      </c>
      <c r="C4860" s="27" t="s">
        <v>20</v>
      </c>
      <c r="D4860" s="27" t="s">
        <v>21</v>
      </c>
      <c r="E4860" s="28">
        <v>36640</v>
      </c>
      <c r="F4860" s="28">
        <v>39785</v>
      </c>
      <c r="G4860" s="27" t="s">
        <v>11</v>
      </c>
      <c r="H4860" s="27" t="s">
        <v>2962</v>
      </c>
      <c r="I4860" s="27" t="s">
        <v>13</v>
      </c>
    </row>
    <row r="4861" spans="1:9" x14ac:dyDescent="0.3">
      <c r="A4861" s="26">
        <v>45185</v>
      </c>
      <c r="B4861" s="27" t="s">
        <v>123</v>
      </c>
      <c r="C4861" s="27" t="s">
        <v>18</v>
      </c>
      <c r="D4861" s="27" t="s">
        <v>16</v>
      </c>
      <c r="E4861" s="28">
        <v>50176</v>
      </c>
      <c r="F4861" s="28">
        <v>82708</v>
      </c>
      <c r="G4861" s="27" t="s">
        <v>11</v>
      </c>
      <c r="H4861" s="27" t="s">
        <v>3149</v>
      </c>
      <c r="I4861" s="27" t="s">
        <v>13</v>
      </c>
    </row>
    <row r="4862" spans="1:9" x14ac:dyDescent="0.3">
      <c r="A4862" s="26">
        <v>45185</v>
      </c>
      <c r="B4862" s="27" t="s">
        <v>123</v>
      </c>
      <c r="C4862" s="27" t="s">
        <v>6</v>
      </c>
      <c r="D4862" s="27" t="s">
        <v>21</v>
      </c>
      <c r="E4862" s="28">
        <v>138300</v>
      </c>
      <c r="F4862" s="28">
        <v>138000</v>
      </c>
      <c r="G4862" s="27" t="s">
        <v>11</v>
      </c>
      <c r="H4862" s="27" t="s">
        <v>3896</v>
      </c>
      <c r="I4862" s="27" t="s">
        <v>9</v>
      </c>
    </row>
    <row r="4863" spans="1:9" x14ac:dyDescent="0.3">
      <c r="A4863" s="26">
        <v>45185</v>
      </c>
      <c r="B4863" s="27" t="s">
        <v>123</v>
      </c>
      <c r="C4863" s="27" t="s">
        <v>93</v>
      </c>
      <c r="D4863" s="27" t="s">
        <v>21</v>
      </c>
      <c r="E4863" s="28">
        <v>86000</v>
      </c>
      <c r="F4863" s="28">
        <v>82600</v>
      </c>
      <c r="G4863" s="27" t="s">
        <v>11</v>
      </c>
      <c r="H4863" s="27" t="s">
        <v>3917</v>
      </c>
      <c r="I4863" s="27" t="s">
        <v>9</v>
      </c>
    </row>
    <row r="4864" spans="1:9" x14ac:dyDescent="0.3">
      <c r="A4864" s="26">
        <v>45185</v>
      </c>
      <c r="B4864" s="27" t="s">
        <v>123</v>
      </c>
      <c r="C4864" s="27" t="s">
        <v>6</v>
      </c>
      <c r="D4864" s="27" t="s">
        <v>16</v>
      </c>
      <c r="E4864" s="28">
        <v>149000</v>
      </c>
      <c r="F4864" s="28">
        <v>187500</v>
      </c>
      <c r="G4864" s="27" t="s">
        <v>17</v>
      </c>
      <c r="H4864" s="27" t="s">
        <v>4098</v>
      </c>
      <c r="I4864" s="27" t="s">
        <v>9</v>
      </c>
    </row>
    <row r="4865" spans="1:9" x14ac:dyDescent="0.3">
      <c r="A4865" s="26">
        <v>45185</v>
      </c>
      <c r="B4865" s="27" t="s">
        <v>123</v>
      </c>
      <c r="C4865" s="27" t="s">
        <v>6</v>
      </c>
      <c r="D4865" s="27" t="s">
        <v>16</v>
      </c>
      <c r="E4865" s="28">
        <v>91900</v>
      </c>
      <c r="F4865" s="28">
        <v>74900</v>
      </c>
      <c r="G4865" s="27" t="s">
        <v>17</v>
      </c>
      <c r="H4865" s="27" t="s">
        <v>4928</v>
      </c>
      <c r="I4865" s="27" t="s">
        <v>9</v>
      </c>
    </row>
    <row r="4866" spans="1:9" x14ac:dyDescent="0.3">
      <c r="A4866" s="26">
        <v>45185</v>
      </c>
      <c r="B4866" s="27" t="s">
        <v>123</v>
      </c>
      <c r="C4866" s="27" t="s">
        <v>6</v>
      </c>
      <c r="D4866" s="27" t="s">
        <v>16</v>
      </c>
      <c r="E4866" s="28">
        <v>90700</v>
      </c>
      <c r="F4866" s="28">
        <v>127600</v>
      </c>
      <c r="G4866" s="27" t="s">
        <v>11</v>
      </c>
      <c r="H4866" s="27" t="s">
        <v>5155</v>
      </c>
      <c r="I4866" s="27" t="s">
        <v>9</v>
      </c>
    </row>
    <row r="4867" spans="1:9" x14ac:dyDescent="0.3">
      <c r="A4867" s="26">
        <v>45185</v>
      </c>
      <c r="B4867" s="27" t="s">
        <v>123</v>
      </c>
      <c r="C4867" s="27" t="s">
        <v>6</v>
      </c>
      <c r="D4867" s="27" t="s">
        <v>16</v>
      </c>
      <c r="E4867" s="28">
        <v>125400</v>
      </c>
      <c r="F4867" s="28">
        <v>133700</v>
      </c>
      <c r="G4867" s="27" t="s">
        <v>11</v>
      </c>
      <c r="H4867" s="27" t="s">
        <v>5381</v>
      </c>
      <c r="I4867" s="27" t="s">
        <v>9</v>
      </c>
    </row>
    <row r="4868" spans="1:9" x14ac:dyDescent="0.3">
      <c r="A4868" s="26">
        <v>45185</v>
      </c>
      <c r="B4868" s="27" t="s">
        <v>123</v>
      </c>
      <c r="C4868" s="27" t="s">
        <v>6</v>
      </c>
      <c r="D4868" s="27" t="s">
        <v>24</v>
      </c>
      <c r="E4868" s="28">
        <v>177800</v>
      </c>
      <c r="F4868" s="28">
        <v>209900</v>
      </c>
      <c r="G4868" s="27" t="s">
        <v>17</v>
      </c>
      <c r="H4868" s="27" t="s">
        <v>5788</v>
      </c>
      <c r="I4868" s="27" t="s">
        <v>9</v>
      </c>
    </row>
    <row r="4869" spans="1:9" x14ac:dyDescent="0.3">
      <c r="A4869" s="26">
        <v>45185</v>
      </c>
      <c r="B4869" s="27" t="s">
        <v>123</v>
      </c>
      <c r="C4869" s="27" t="s">
        <v>6</v>
      </c>
      <c r="D4869" s="27" t="s">
        <v>24</v>
      </c>
      <c r="E4869" s="28">
        <v>125100</v>
      </c>
      <c r="F4869" s="28">
        <v>75100</v>
      </c>
      <c r="G4869" s="27" t="s">
        <v>11</v>
      </c>
      <c r="H4869" s="27" t="s">
        <v>5986</v>
      </c>
      <c r="I4869" s="27" t="s">
        <v>9</v>
      </c>
    </row>
    <row r="4870" spans="1:9" x14ac:dyDescent="0.3">
      <c r="A4870" s="26">
        <v>45185</v>
      </c>
      <c r="B4870" s="27" t="s">
        <v>123</v>
      </c>
      <c r="C4870" s="27" t="s">
        <v>93</v>
      </c>
      <c r="D4870" s="27" t="s">
        <v>7</v>
      </c>
      <c r="E4870" s="28">
        <v>112900</v>
      </c>
      <c r="F4870" s="28">
        <v>108500</v>
      </c>
      <c r="G4870" s="27" t="s">
        <v>11</v>
      </c>
      <c r="H4870" s="27" t="s">
        <v>6117</v>
      </c>
      <c r="I4870" s="27" t="s">
        <v>9</v>
      </c>
    </row>
    <row r="4871" spans="1:9" x14ac:dyDescent="0.3">
      <c r="A4871" s="26">
        <v>45185</v>
      </c>
      <c r="B4871" s="27" t="s">
        <v>123</v>
      </c>
      <c r="C4871" s="27" t="s">
        <v>6</v>
      </c>
      <c r="D4871" s="27" t="s">
        <v>16</v>
      </c>
      <c r="E4871" s="28">
        <v>128500</v>
      </c>
      <c r="F4871" s="28">
        <v>122600</v>
      </c>
      <c r="G4871" s="27" t="s">
        <v>17</v>
      </c>
      <c r="H4871" s="27" t="s">
        <v>6217</v>
      </c>
      <c r="I4871" s="27" t="s">
        <v>9</v>
      </c>
    </row>
    <row r="4872" spans="1:9" x14ac:dyDescent="0.3">
      <c r="A4872" s="26">
        <v>45185</v>
      </c>
      <c r="B4872" s="27" t="s">
        <v>123</v>
      </c>
      <c r="C4872" s="27" t="s">
        <v>93</v>
      </c>
      <c r="D4872" s="27" t="s">
        <v>21</v>
      </c>
      <c r="E4872" s="28">
        <v>150100</v>
      </c>
      <c r="F4872" s="28">
        <v>193200</v>
      </c>
      <c r="G4872" s="27" t="s">
        <v>22</v>
      </c>
      <c r="H4872" s="27" t="s">
        <v>6347</v>
      </c>
      <c r="I4872" s="27" t="s">
        <v>9</v>
      </c>
    </row>
    <row r="4873" spans="1:9" x14ac:dyDescent="0.3">
      <c r="A4873" s="26">
        <v>45185</v>
      </c>
      <c r="B4873" s="27" t="s">
        <v>123</v>
      </c>
      <c r="C4873" s="27" t="s">
        <v>6</v>
      </c>
      <c r="D4873" s="27" t="s">
        <v>16</v>
      </c>
      <c r="E4873" s="28">
        <v>113400</v>
      </c>
      <c r="F4873" s="28">
        <v>153900</v>
      </c>
      <c r="G4873" s="27" t="s">
        <v>11</v>
      </c>
      <c r="H4873" s="27" t="s">
        <v>6534</v>
      </c>
      <c r="I4873" s="27" t="s">
        <v>9</v>
      </c>
    </row>
    <row r="4874" spans="1:9" x14ac:dyDescent="0.3">
      <c r="A4874" s="26">
        <v>45186</v>
      </c>
      <c r="B4874" s="27" t="s">
        <v>123</v>
      </c>
      <c r="C4874" s="27" t="s">
        <v>15</v>
      </c>
      <c r="D4874" s="27" t="s">
        <v>16</v>
      </c>
      <c r="E4874" s="28">
        <v>51030</v>
      </c>
      <c r="F4874" s="28">
        <v>102952</v>
      </c>
      <c r="G4874" s="27" t="s">
        <v>11</v>
      </c>
      <c r="H4874" s="27" t="s">
        <v>279</v>
      </c>
      <c r="I4874" s="27" t="s">
        <v>13</v>
      </c>
    </row>
    <row r="4875" spans="1:9" x14ac:dyDescent="0.3">
      <c r="A4875" s="26">
        <v>45186</v>
      </c>
      <c r="B4875" s="27" t="s">
        <v>123</v>
      </c>
      <c r="C4875" s="27" t="s">
        <v>15</v>
      </c>
      <c r="D4875" s="27" t="s">
        <v>7</v>
      </c>
      <c r="E4875" s="28">
        <v>91697</v>
      </c>
      <c r="F4875" s="28">
        <v>31226</v>
      </c>
      <c r="G4875" s="27" t="s">
        <v>11</v>
      </c>
      <c r="H4875" s="27" t="s">
        <v>390</v>
      </c>
      <c r="I4875" s="27" t="s">
        <v>13</v>
      </c>
    </row>
    <row r="4876" spans="1:9" x14ac:dyDescent="0.3">
      <c r="A4876" s="26">
        <v>45186</v>
      </c>
      <c r="B4876" s="27" t="s">
        <v>123</v>
      </c>
      <c r="C4876" s="27" t="s">
        <v>10</v>
      </c>
      <c r="D4876" s="27" t="s">
        <v>7</v>
      </c>
      <c r="E4876" s="28">
        <v>68172</v>
      </c>
      <c r="F4876" s="28">
        <v>81933</v>
      </c>
      <c r="G4876" s="27" t="s">
        <v>22</v>
      </c>
      <c r="H4876" s="27" t="s">
        <v>457</v>
      </c>
      <c r="I4876" s="27" t="s">
        <v>13</v>
      </c>
    </row>
    <row r="4877" spans="1:9" x14ac:dyDescent="0.3">
      <c r="A4877" s="26">
        <v>45186</v>
      </c>
      <c r="B4877" s="27" t="s">
        <v>123</v>
      </c>
      <c r="C4877" s="27" t="s">
        <v>20</v>
      </c>
      <c r="D4877" s="27" t="s">
        <v>24</v>
      </c>
      <c r="E4877" s="28">
        <v>34432</v>
      </c>
      <c r="F4877" s="28">
        <v>22741</v>
      </c>
      <c r="G4877" s="27" t="s">
        <v>22</v>
      </c>
      <c r="H4877" s="27" t="s">
        <v>859</v>
      </c>
      <c r="I4877" s="27" t="s">
        <v>13</v>
      </c>
    </row>
    <row r="4878" spans="1:9" x14ac:dyDescent="0.3">
      <c r="A4878" s="26">
        <v>45186</v>
      </c>
      <c r="B4878" s="27" t="s">
        <v>123</v>
      </c>
      <c r="C4878" s="27" t="s">
        <v>18</v>
      </c>
      <c r="D4878" s="27" t="s">
        <v>21</v>
      </c>
      <c r="E4878" s="28">
        <v>102889</v>
      </c>
      <c r="F4878" s="28">
        <v>88296</v>
      </c>
      <c r="G4878" s="27" t="s">
        <v>11</v>
      </c>
      <c r="H4878" s="27" t="s">
        <v>935</v>
      </c>
      <c r="I4878" s="27" t="s">
        <v>13</v>
      </c>
    </row>
    <row r="4879" spans="1:9" x14ac:dyDescent="0.3">
      <c r="A4879" s="26">
        <v>45186</v>
      </c>
      <c r="B4879" s="27" t="s">
        <v>123</v>
      </c>
      <c r="C4879" s="27" t="s">
        <v>18</v>
      </c>
      <c r="D4879" s="27" t="s">
        <v>7</v>
      </c>
      <c r="E4879" s="28">
        <v>13423</v>
      </c>
      <c r="F4879" s="28">
        <v>158294</v>
      </c>
      <c r="G4879" s="27" t="s">
        <v>8</v>
      </c>
      <c r="H4879" s="27" t="s">
        <v>1075</v>
      </c>
      <c r="I4879" s="27" t="s">
        <v>13</v>
      </c>
    </row>
    <row r="4880" spans="1:9" x14ac:dyDescent="0.3">
      <c r="A4880" s="26">
        <v>45186</v>
      </c>
      <c r="B4880" s="27" t="s">
        <v>123</v>
      </c>
      <c r="C4880" s="27" t="s">
        <v>14</v>
      </c>
      <c r="D4880" s="27" t="s">
        <v>7</v>
      </c>
      <c r="E4880" s="28">
        <v>120138</v>
      </c>
      <c r="F4880" s="28">
        <v>162697</v>
      </c>
      <c r="G4880" s="27" t="s">
        <v>17</v>
      </c>
      <c r="H4880" s="27" t="s">
        <v>1271</v>
      </c>
      <c r="I4880" s="27" t="s">
        <v>13</v>
      </c>
    </row>
    <row r="4881" spans="1:9" x14ac:dyDescent="0.3">
      <c r="A4881" s="26">
        <v>45186</v>
      </c>
      <c r="B4881" s="27" t="s">
        <v>123</v>
      </c>
      <c r="C4881" s="27" t="s">
        <v>15</v>
      </c>
      <c r="D4881" s="27" t="s">
        <v>21</v>
      </c>
      <c r="E4881" s="28">
        <v>34055</v>
      </c>
      <c r="F4881" s="28">
        <v>17549</v>
      </c>
      <c r="G4881" s="27" t="s">
        <v>8</v>
      </c>
      <c r="H4881" s="27" t="s">
        <v>1698</v>
      </c>
      <c r="I4881" s="27" t="s">
        <v>13</v>
      </c>
    </row>
    <row r="4882" spans="1:9" x14ac:dyDescent="0.3">
      <c r="A4882" s="26">
        <v>45186</v>
      </c>
      <c r="B4882" s="27" t="s">
        <v>123</v>
      </c>
      <c r="C4882" s="27" t="s">
        <v>18</v>
      </c>
      <c r="D4882" s="27" t="s">
        <v>19</v>
      </c>
      <c r="E4882" s="28">
        <v>84722</v>
      </c>
      <c r="F4882" s="28">
        <v>136630</v>
      </c>
      <c r="G4882" s="27" t="s">
        <v>8</v>
      </c>
      <c r="H4882" s="27" t="s">
        <v>1917</v>
      </c>
      <c r="I4882" s="27" t="s">
        <v>13</v>
      </c>
    </row>
    <row r="4883" spans="1:9" x14ac:dyDescent="0.3">
      <c r="A4883" s="26">
        <v>45186</v>
      </c>
      <c r="B4883" s="27" t="s">
        <v>123</v>
      </c>
      <c r="C4883" s="27" t="s">
        <v>10</v>
      </c>
      <c r="D4883" s="27" t="s">
        <v>21</v>
      </c>
      <c r="E4883" s="28">
        <v>88101</v>
      </c>
      <c r="F4883" s="28">
        <v>63016</v>
      </c>
      <c r="G4883" s="27" t="s">
        <v>8</v>
      </c>
      <c r="H4883" s="27" t="s">
        <v>2007</v>
      </c>
      <c r="I4883" s="27" t="s">
        <v>13</v>
      </c>
    </row>
    <row r="4884" spans="1:9" x14ac:dyDescent="0.3">
      <c r="A4884" s="26">
        <v>45186</v>
      </c>
      <c r="B4884" s="27" t="s">
        <v>123</v>
      </c>
      <c r="C4884" s="27" t="s">
        <v>15</v>
      </c>
      <c r="D4884" s="27" t="s">
        <v>7</v>
      </c>
      <c r="E4884" s="28">
        <v>132478</v>
      </c>
      <c r="F4884" s="28">
        <v>87770</v>
      </c>
      <c r="G4884" s="27" t="s">
        <v>11</v>
      </c>
      <c r="H4884" s="27" t="s">
        <v>2260</v>
      </c>
      <c r="I4884" s="27" t="s">
        <v>13</v>
      </c>
    </row>
    <row r="4885" spans="1:9" x14ac:dyDescent="0.3">
      <c r="A4885" s="26">
        <v>45186</v>
      </c>
      <c r="B4885" s="27" t="s">
        <v>123</v>
      </c>
      <c r="C4885" s="27" t="s">
        <v>10</v>
      </c>
      <c r="D4885" s="27" t="s">
        <v>19</v>
      </c>
      <c r="E4885" s="28">
        <v>137481</v>
      </c>
      <c r="F4885" s="28">
        <v>141138</v>
      </c>
      <c r="G4885" s="27" t="s">
        <v>11</v>
      </c>
      <c r="H4885" s="27" t="s">
        <v>2876</v>
      </c>
      <c r="I4885" s="27" t="s">
        <v>13</v>
      </c>
    </row>
    <row r="4886" spans="1:9" x14ac:dyDescent="0.3">
      <c r="A4886" s="26">
        <v>45186</v>
      </c>
      <c r="B4886" s="27" t="s">
        <v>123</v>
      </c>
      <c r="C4886" s="27" t="s">
        <v>32</v>
      </c>
      <c r="D4886" s="27" t="s">
        <v>21</v>
      </c>
      <c r="E4886" s="28">
        <v>134228</v>
      </c>
      <c r="F4886" s="28">
        <v>165239</v>
      </c>
      <c r="G4886" s="27" t="s">
        <v>22</v>
      </c>
      <c r="H4886" s="27" t="s">
        <v>3136</v>
      </c>
      <c r="I4886" s="27" t="s">
        <v>13</v>
      </c>
    </row>
    <row r="4887" spans="1:9" x14ac:dyDescent="0.3">
      <c r="A4887" s="26">
        <v>45186</v>
      </c>
      <c r="B4887" s="27" t="s">
        <v>123</v>
      </c>
      <c r="C4887" s="27" t="s">
        <v>6</v>
      </c>
      <c r="D4887" s="27" t="s">
        <v>16</v>
      </c>
      <c r="E4887" s="28">
        <v>64500</v>
      </c>
      <c r="F4887" s="28">
        <v>47800</v>
      </c>
      <c r="G4887" s="27" t="s">
        <v>22</v>
      </c>
      <c r="H4887" s="27" t="s">
        <v>3660</v>
      </c>
      <c r="I4887" s="27" t="s">
        <v>9</v>
      </c>
    </row>
    <row r="4888" spans="1:9" x14ac:dyDescent="0.3">
      <c r="A4888" s="26">
        <v>45186</v>
      </c>
      <c r="B4888" s="27" t="s">
        <v>123</v>
      </c>
      <c r="C4888" s="27" t="s">
        <v>93</v>
      </c>
      <c r="D4888" s="27" t="s">
        <v>7</v>
      </c>
      <c r="E4888" s="28">
        <v>81100</v>
      </c>
      <c r="F4888" s="28">
        <v>74100</v>
      </c>
      <c r="G4888" s="27" t="s">
        <v>11</v>
      </c>
      <c r="H4888" s="27" t="s">
        <v>3771</v>
      </c>
      <c r="I4888" s="27" t="s">
        <v>9</v>
      </c>
    </row>
    <row r="4889" spans="1:9" x14ac:dyDescent="0.3">
      <c r="A4889" s="26">
        <v>45186</v>
      </c>
      <c r="B4889" s="27" t="s">
        <v>123</v>
      </c>
      <c r="C4889" s="27" t="s">
        <v>6</v>
      </c>
      <c r="D4889" s="27" t="s">
        <v>7</v>
      </c>
      <c r="E4889" s="28">
        <v>59200</v>
      </c>
      <c r="F4889" s="28">
        <v>56500</v>
      </c>
      <c r="G4889" s="27" t="s">
        <v>22</v>
      </c>
      <c r="H4889" s="27" t="s">
        <v>3838</v>
      </c>
      <c r="I4889" s="27" t="s">
        <v>9</v>
      </c>
    </row>
    <row r="4890" spans="1:9" x14ac:dyDescent="0.3">
      <c r="A4890" s="26">
        <v>45186</v>
      </c>
      <c r="B4890" s="27" t="s">
        <v>123</v>
      </c>
      <c r="C4890" s="27" t="s">
        <v>6</v>
      </c>
      <c r="D4890" s="27" t="s">
        <v>24</v>
      </c>
      <c r="E4890" s="28">
        <v>127200</v>
      </c>
      <c r="F4890" s="28">
        <v>112800</v>
      </c>
      <c r="G4890" s="27" t="s">
        <v>22</v>
      </c>
      <c r="H4890" s="27" t="s">
        <v>4240</v>
      </c>
      <c r="I4890" s="27" t="s">
        <v>9</v>
      </c>
    </row>
    <row r="4891" spans="1:9" x14ac:dyDescent="0.3">
      <c r="A4891" s="26">
        <v>45186</v>
      </c>
      <c r="B4891" s="27" t="s">
        <v>123</v>
      </c>
      <c r="C4891" s="27" t="s">
        <v>6</v>
      </c>
      <c r="D4891" s="27" t="s">
        <v>21</v>
      </c>
      <c r="E4891" s="28">
        <v>132600</v>
      </c>
      <c r="F4891" s="28">
        <v>155000</v>
      </c>
      <c r="G4891" s="27" t="s">
        <v>22</v>
      </c>
      <c r="H4891" s="27" t="s">
        <v>4316</v>
      </c>
      <c r="I4891" s="27" t="s">
        <v>9</v>
      </c>
    </row>
    <row r="4892" spans="1:9" x14ac:dyDescent="0.3">
      <c r="A4892" s="26">
        <v>45186</v>
      </c>
      <c r="B4892" s="27" t="s">
        <v>123</v>
      </c>
      <c r="C4892" s="27" t="s">
        <v>6</v>
      </c>
      <c r="D4892" s="27" t="s">
        <v>7</v>
      </c>
      <c r="E4892" s="28">
        <v>130900</v>
      </c>
      <c r="F4892" s="28">
        <v>168000</v>
      </c>
      <c r="G4892" s="27" t="s">
        <v>22</v>
      </c>
      <c r="H4892" s="27" t="s">
        <v>4457</v>
      </c>
      <c r="I4892" s="27" t="s">
        <v>9</v>
      </c>
    </row>
    <row r="4893" spans="1:9" x14ac:dyDescent="0.3">
      <c r="A4893" s="26">
        <v>45186</v>
      </c>
      <c r="B4893" s="27" t="s">
        <v>123</v>
      </c>
      <c r="C4893" s="27" t="s">
        <v>6</v>
      </c>
      <c r="D4893" s="27" t="s">
        <v>7</v>
      </c>
      <c r="E4893" s="28">
        <v>224000</v>
      </c>
      <c r="F4893" s="28">
        <v>254700</v>
      </c>
      <c r="G4893" s="27" t="s">
        <v>11</v>
      </c>
      <c r="H4893" s="27" t="s">
        <v>4654</v>
      </c>
      <c r="I4893" s="27" t="s">
        <v>9</v>
      </c>
    </row>
    <row r="4894" spans="1:9" x14ac:dyDescent="0.3">
      <c r="A4894" s="26">
        <v>45186</v>
      </c>
      <c r="B4894" s="27" t="s">
        <v>123</v>
      </c>
      <c r="C4894" s="27" t="s">
        <v>6</v>
      </c>
      <c r="D4894" s="27" t="s">
        <v>21</v>
      </c>
      <c r="E4894" s="28">
        <v>86800</v>
      </c>
      <c r="F4894" s="28">
        <v>99800</v>
      </c>
      <c r="G4894" s="27" t="s">
        <v>11</v>
      </c>
      <c r="H4894" s="27" t="s">
        <v>5081</v>
      </c>
      <c r="I4894" s="27" t="s">
        <v>9</v>
      </c>
    </row>
    <row r="4895" spans="1:9" x14ac:dyDescent="0.3">
      <c r="A4895" s="26">
        <v>45186</v>
      </c>
      <c r="B4895" s="27" t="s">
        <v>123</v>
      </c>
      <c r="C4895" s="27" t="s">
        <v>93</v>
      </c>
      <c r="D4895" s="27" t="s">
        <v>19</v>
      </c>
      <c r="E4895" s="28">
        <v>136300</v>
      </c>
      <c r="F4895" s="28">
        <v>143700</v>
      </c>
      <c r="G4895" s="27" t="s">
        <v>11</v>
      </c>
      <c r="H4895" s="27" t="s">
        <v>5301</v>
      </c>
      <c r="I4895" s="27" t="s">
        <v>9</v>
      </c>
    </row>
    <row r="4896" spans="1:9" x14ac:dyDescent="0.3">
      <c r="A4896" s="26">
        <v>45186</v>
      </c>
      <c r="B4896" s="27" t="s">
        <v>123</v>
      </c>
      <c r="C4896" s="27" t="s">
        <v>93</v>
      </c>
      <c r="D4896" s="27" t="s">
        <v>21</v>
      </c>
      <c r="E4896" s="28">
        <v>175700</v>
      </c>
      <c r="F4896" s="28">
        <v>163600</v>
      </c>
      <c r="G4896" s="27" t="s">
        <v>22</v>
      </c>
      <c r="H4896" s="27" t="s">
        <v>5391</v>
      </c>
      <c r="I4896" s="27" t="s">
        <v>9</v>
      </c>
    </row>
    <row r="4897" spans="1:9" x14ac:dyDescent="0.3">
      <c r="A4897" s="26">
        <v>45186</v>
      </c>
      <c r="B4897" s="27" t="s">
        <v>123</v>
      </c>
      <c r="C4897" s="27" t="s">
        <v>93</v>
      </c>
      <c r="D4897" s="27" t="s">
        <v>7</v>
      </c>
      <c r="E4897" s="28">
        <v>240700</v>
      </c>
      <c r="F4897" s="28">
        <v>318400</v>
      </c>
      <c r="G4897" s="27" t="s">
        <v>22</v>
      </c>
      <c r="H4897" s="27" t="s">
        <v>5645</v>
      </c>
      <c r="I4897" s="27" t="s">
        <v>9</v>
      </c>
    </row>
    <row r="4898" spans="1:9" x14ac:dyDescent="0.3">
      <c r="A4898" s="26">
        <v>45186</v>
      </c>
      <c r="B4898" s="27" t="s">
        <v>123</v>
      </c>
      <c r="C4898" s="27" t="s">
        <v>6</v>
      </c>
      <c r="D4898" s="27" t="s">
        <v>19</v>
      </c>
      <c r="E4898" s="28">
        <v>79700</v>
      </c>
      <c r="F4898" s="28">
        <v>75500</v>
      </c>
      <c r="G4898" s="27" t="s">
        <v>11</v>
      </c>
      <c r="H4898" s="27" t="s">
        <v>6261</v>
      </c>
      <c r="I4898" s="27" t="s">
        <v>9</v>
      </c>
    </row>
    <row r="4899" spans="1:9" x14ac:dyDescent="0.3">
      <c r="A4899" s="26">
        <v>45186</v>
      </c>
      <c r="B4899" s="27" t="s">
        <v>123</v>
      </c>
      <c r="C4899" s="27" t="s">
        <v>93</v>
      </c>
      <c r="D4899" s="27" t="s">
        <v>21</v>
      </c>
      <c r="E4899" s="28">
        <v>146700</v>
      </c>
      <c r="F4899" s="28">
        <v>184700</v>
      </c>
      <c r="G4899" s="27" t="s">
        <v>11</v>
      </c>
      <c r="H4899" s="27" t="s">
        <v>6521</v>
      </c>
      <c r="I4899" s="27" t="s">
        <v>9</v>
      </c>
    </row>
    <row r="4900" spans="1:9" x14ac:dyDescent="0.3">
      <c r="A4900" s="26">
        <v>45187</v>
      </c>
      <c r="B4900" s="27" t="s">
        <v>123</v>
      </c>
      <c r="C4900" s="27" t="s">
        <v>10</v>
      </c>
      <c r="D4900" s="27" t="s">
        <v>19</v>
      </c>
      <c r="E4900" s="28">
        <v>110361</v>
      </c>
      <c r="F4900" s="28">
        <v>34021</v>
      </c>
      <c r="G4900" s="27" t="s">
        <v>11</v>
      </c>
      <c r="H4900" s="27" t="s">
        <v>1023</v>
      </c>
      <c r="I4900" s="27" t="s">
        <v>13</v>
      </c>
    </row>
    <row r="4901" spans="1:9" x14ac:dyDescent="0.3">
      <c r="A4901" s="26">
        <v>45187</v>
      </c>
      <c r="B4901" s="27" t="s">
        <v>123</v>
      </c>
      <c r="C4901" s="27" t="s">
        <v>20</v>
      </c>
      <c r="D4901" s="27" t="s">
        <v>19</v>
      </c>
      <c r="E4901" s="28">
        <v>16772</v>
      </c>
      <c r="F4901" s="28">
        <v>52454</v>
      </c>
      <c r="G4901" s="27" t="s">
        <v>17</v>
      </c>
      <c r="H4901" s="27" t="s">
        <v>1258</v>
      </c>
      <c r="I4901" s="27" t="s">
        <v>13</v>
      </c>
    </row>
    <row r="4902" spans="1:9" x14ac:dyDescent="0.3">
      <c r="A4902" s="26">
        <v>45187</v>
      </c>
      <c r="B4902" s="27" t="s">
        <v>123</v>
      </c>
      <c r="C4902" s="27" t="s">
        <v>15</v>
      </c>
      <c r="D4902" s="27" t="s">
        <v>16</v>
      </c>
      <c r="E4902" s="28">
        <v>49833</v>
      </c>
      <c r="F4902" s="28">
        <v>78762</v>
      </c>
      <c r="G4902" s="27" t="s">
        <v>17</v>
      </c>
      <c r="H4902" s="27" t="s">
        <v>1352</v>
      </c>
      <c r="I4902" s="27" t="s">
        <v>13</v>
      </c>
    </row>
    <row r="4903" spans="1:9" x14ac:dyDescent="0.3">
      <c r="A4903" s="26">
        <v>45187</v>
      </c>
      <c r="B4903" s="27" t="s">
        <v>123</v>
      </c>
      <c r="C4903" s="27" t="s">
        <v>32</v>
      </c>
      <c r="D4903" s="27" t="s">
        <v>16</v>
      </c>
      <c r="E4903" s="28">
        <v>100777</v>
      </c>
      <c r="F4903" s="28">
        <v>99540</v>
      </c>
      <c r="G4903" s="27" t="s">
        <v>11</v>
      </c>
      <c r="H4903" s="27" t="s">
        <v>1947</v>
      </c>
      <c r="I4903" s="27" t="s">
        <v>13</v>
      </c>
    </row>
    <row r="4904" spans="1:9" x14ac:dyDescent="0.3">
      <c r="A4904" s="26">
        <v>45187</v>
      </c>
      <c r="B4904" s="27" t="s">
        <v>123</v>
      </c>
      <c r="C4904" s="27" t="s">
        <v>14</v>
      </c>
      <c r="D4904" s="27" t="s">
        <v>19</v>
      </c>
      <c r="E4904" s="28">
        <v>45509</v>
      </c>
      <c r="F4904" s="28">
        <v>95036</v>
      </c>
      <c r="G4904" s="27" t="s">
        <v>11</v>
      </c>
      <c r="H4904" s="27" t="s">
        <v>2251</v>
      </c>
      <c r="I4904" s="27" t="s">
        <v>13</v>
      </c>
    </row>
    <row r="4905" spans="1:9" x14ac:dyDescent="0.3">
      <c r="A4905" s="26">
        <v>45187</v>
      </c>
      <c r="B4905" s="27" t="s">
        <v>123</v>
      </c>
      <c r="C4905" s="27" t="s">
        <v>32</v>
      </c>
      <c r="D4905" s="27" t="s">
        <v>19</v>
      </c>
      <c r="E4905" s="28">
        <v>139129</v>
      </c>
      <c r="F4905" s="28">
        <v>94424</v>
      </c>
      <c r="G4905" s="27" t="s">
        <v>11</v>
      </c>
      <c r="H4905" s="27" t="s">
        <v>2639</v>
      </c>
      <c r="I4905" s="27" t="s">
        <v>13</v>
      </c>
    </row>
    <row r="4906" spans="1:9" x14ac:dyDescent="0.3">
      <c r="A4906" s="26">
        <v>45187</v>
      </c>
      <c r="B4906" s="27" t="s">
        <v>123</v>
      </c>
      <c r="C4906" s="27" t="s">
        <v>18</v>
      </c>
      <c r="D4906" s="27" t="s">
        <v>24</v>
      </c>
      <c r="E4906" s="28">
        <v>84088</v>
      </c>
      <c r="F4906" s="28">
        <v>164936</v>
      </c>
      <c r="G4906" s="27" t="s">
        <v>17</v>
      </c>
      <c r="H4906" s="27" t="s">
        <v>2822</v>
      </c>
      <c r="I4906" s="27" t="s">
        <v>13</v>
      </c>
    </row>
    <row r="4907" spans="1:9" x14ac:dyDescent="0.3">
      <c r="A4907" s="26">
        <v>45187</v>
      </c>
      <c r="B4907" s="27" t="s">
        <v>123</v>
      </c>
      <c r="C4907" s="27" t="s">
        <v>32</v>
      </c>
      <c r="D4907" s="27" t="s">
        <v>7</v>
      </c>
      <c r="E4907" s="28">
        <v>74949</v>
      </c>
      <c r="F4907" s="28">
        <v>59096</v>
      </c>
      <c r="G4907" s="27" t="s">
        <v>22</v>
      </c>
      <c r="H4907" s="27" t="s">
        <v>3060</v>
      </c>
      <c r="I4907" s="27" t="s">
        <v>13</v>
      </c>
    </row>
    <row r="4908" spans="1:9" x14ac:dyDescent="0.3">
      <c r="A4908" s="26">
        <v>45187</v>
      </c>
      <c r="B4908" s="27" t="s">
        <v>123</v>
      </c>
      <c r="C4908" s="27" t="s">
        <v>15</v>
      </c>
      <c r="D4908" s="27" t="s">
        <v>19</v>
      </c>
      <c r="E4908" s="28">
        <v>144095</v>
      </c>
      <c r="F4908" s="28">
        <v>72531</v>
      </c>
      <c r="G4908" s="27" t="s">
        <v>8</v>
      </c>
      <c r="H4908" s="27" t="s">
        <v>3246</v>
      </c>
      <c r="I4908" s="27" t="s">
        <v>13</v>
      </c>
    </row>
    <row r="4909" spans="1:9" x14ac:dyDescent="0.3">
      <c r="A4909" s="26">
        <v>45187</v>
      </c>
      <c r="B4909" s="27" t="s">
        <v>123</v>
      </c>
      <c r="C4909" s="27" t="s">
        <v>93</v>
      </c>
      <c r="D4909" s="27" t="s">
        <v>19</v>
      </c>
      <c r="E4909" s="28">
        <v>114300</v>
      </c>
      <c r="F4909" s="28">
        <v>93400</v>
      </c>
      <c r="G4909" s="27" t="s">
        <v>11</v>
      </c>
      <c r="H4909" s="27" t="s">
        <v>4405</v>
      </c>
      <c r="I4909" s="27" t="s">
        <v>9</v>
      </c>
    </row>
    <row r="4910" spans="1:9" x14ac:dyDescent="0.3">
      <c r="A4910" s="26">
        <v>45187</v>
      </c>
      <c r="B4910" s="27" t="s">
        <v>123</v>
      </c>
      <c r="C4910" s="27" t="s">
        <v>93</v>
      </c>
      <c r="D4910" s="27" t="s">
        <v>19</v>
      </c>
      <c r="E4910" s="28">
        <v>140200</v>
      </c>
      <c r="F4910" s="28">
        <v>136100</v>
      </c>
      <c r="G4910" s="27" t="s">
        <v>22</v>
      </c>
      <c r="H4910" s="27" t="s">
        <v>4641</v>
      </c>
      <c r="I4910" s="27" t="s">
        <v>9</v>
      </c>
    </row>
    <row r="4911" spans="1:9" x14ac:dyDescent="0.3">
      <c r="A4911" s="26">
        <v>45187</v>
      </c>
      <c r="B4911" s="27" t="s">
        <v>123</v>
      </c>
      <c r="C4911" s="27" t="s">
        <v>6</v>
      </c>
      <c r="D4911" s="27" t="s">
        <v>16</v>
      </c>
      <c r="E4911" s="28">
        <v>84200</v>
      </c>
      <c r="F4911" s="28">
        <v>71000</v>
      </c>
      <c r="G4911" s="27" t="s">
        <v>22</v>
      </c>
      <c r="H4911" s="27" t="s">
        <v>4735</v>
      </c>
      <c r="I4911" s="27" t="s">
        <v>9</v>
      </c>
    </row>
    <row r="4912" spans="1:9" x14ac:dyDescent="0.3">
      <c r="A4912" s="26">
        <v>45187</v>
      </c>
      <c r="B4912" s="27" t="s">
        <v>123</v>
      </c>
      <c r="C4912" s="27" t="s">
        <v>6</v>
      </c>
      <c r="D4912" s="27" t="s">
        <v>16</v>
      </c>
      <c r="E4912" s="28">
        <v>116700</v>
      </c>
      <c r="F4912" s="28">
        <v>122100</v>
      </c>
      <c r="G4912" s="27" t="s">
        <v>22</v>
      </c>
      <c r="H4912" s="27" t="s">
        <v>5331</v>
      </c>
      <c r="I4912" s="27" t="s">
        <v>9</v>
      </c>
    </row>
    <row r="4913" spans="1:9" x14ac:dyDescent="0.3">
      <c r="A4913" s="26">
        <v>45187</v>
      </c>
      <c r="B4913" s="27" t="s">
        <v>123</v>
      </c>
      <c r="C4913" s="27" t="s">
        <v>6</v>
      </c>
      <c r="D4913" s="27" t="s">
        <v>19</v>
      </c>
      <c r="E4913" s="28">
        <v>231300</v>
      </c>
      <c r="F4913" s="28">
        <v>269200</v>
      </c>
      <c r="G4913" s="27" t="s">
        <v>22</v>
      </c>
      <c r="H4913" s="27" t="s">
        <v>5636</v>
      </c>
      <c r="I4913" s="27" t="s">
        <v>9</v>
      </c>
    </row>
    <row r="4914" spans="1:9" x14ac:dyDescent="0.3">
      <c r="A4914" s="26">
        <v>45187</v>
      </c>
      <c r="B4914" s="27" t="s">
        <v>123</v>
      </c>
      <c r="C4914" s="27" t="s">
        <v>6</v>
      </c>
      <c r="D4914" s="27" t="s">
        <v>19</v>
      </c>
      <c r="E4914" s="28">
        <v>115500</v>
      </c>
      <c r="F4914" s="28">
        <v>140800</v>
      </c>
      <c r="G4914" s="27" t="s">
        <v>11</v>
      </c>
      <c r="H4914" s="27" t="s">
        <v>6024</v>
      </c>
      <c r="I4914" s="27" t="s">
        <v>9</v>
      </c>
    </row>
    <row r="4915" spans="1:9" x14ac:dyDescent="0.3">
      <c r="A4915" s="26">
        <v>45187</v>
      </c>
      <c r="B4915" s="27" t="s">
        <v>123</v>
      </c>
      <c r="C4915" s="27" t="s">
        <v>93</v>
      </c>
      <c r="D4915" s="27" t="s">
        <v>24</v>
      </c>
      <c r="E4915" s="28">
        <v>86500</v>
      </c>
      <c r="F4915" s="28">
        <v>82300</v>
      </c>
      <c r="G4915" s="27" t="s">
        <v>22</v>
      </c>
      <c r="H4915" s="27" t="s">
        <v>6207</v>
      </c>
      <c r="I4915" s="27" t="s">
        <v>9</v>
      </c>
    </row>
    <row r="4916" spans="1:9" x14ac:dyDescent="0.3">
      <c r="A4916" s="26">
        <v>45187</v>
      </c>
      <c r="B4916" s="27" t="s">
        <v>123</v>
      </c>
      <c r="C4916" s="27" t="s">
        <v>6</v>
      </c>
      <c r="D4916" s="27" t="s">
        <v>7</v>
      </c>
      <c r="E4916" s="28">
        <v>197000</v>
      </c>
      <c r="F4916" s="28">
        <v>231500</v>
      </c>
      <c r="G4916" s="27" t="s">
        <v>11</v>
      </c>
      <c r="H4916" s="27" t="s">
        <v>6445</v>
      </c>
      <c r="I4916" s="27" t="s">
        <v>9</v>
      </c>
    </row>
    <row r="4917" spans="1:9" x14ac:dyDescent="0.3">
      <c r="A4917" s="26">
        <v>45187</v>
      </c>
      <c r="B4917" s="27" t="s">
        <v>123</v>
      </c>
      <c r="C4917" s="27" t="s">
        <v>6</v>
      </c>
      <c r="D4917" s="27" t="s">
        <v>19</v>
      </c>
      <c r="E4917" s="28">
        <v>114500</v>
      </c>
      <c r="F4917" s="28">
        <v>112200</v>
      </c>
      <c r="G4917" s="27" t="s">
        <v>11</v>
      </c>
      <c r="H4917" s="27" t="s">
        <v>6631</v>
      </c>
      <c r="I4917" s="27" t="s">
        <v>9</v>
      </c>
    </row>
    <row r="4918" spans="1:9" x14ac:dyDescent="0.3">
      <c r="A4918" s="26">
        <v>45188</v>
      </c>
      <c r="B4918" s="27" t="s">
        <v>123</v>
      </c>
      <c r="C4918" s="27" t="s">
        <v>10</v>
      </c>
      <c r="D4918" s="27" t="s">
        <v>7</v>
      </c>
      <c r="E4918" s="28">
        <v>83741</v>
      </c>
      <c r="F4918" s="28">
        <v>43320</v>
      </c>
      <c r="G4918" s="27" t="s">
        <v>11</v>
      </c>
      <c r="H4918" s="27" t="s">
        <v>169</v>
      </c>
      <c r="I4918" s="27" t="s">
        <v>13</v>
      </c>
    </row>
    <row r="4919" spans="1:9" x14ac:dyDescent="0.3">
      <c r="A4919" s="26">
        <v>45188</v>
      </c>
      <c r="B4919" s="27" t="s">
        <v>123</v>
      </c>
      <c r="C4919" s="27" t="s">
        <v>32</v>
      </c>
      <c r="D4919" s="27" t="s">
        <v>16</v>
      </c>
      <c r="E4919" s="28">
        <v>115700</v>
      </c>
      <c r="F4919" s="28">
        <v>161879</v>
      </c>
      <c r="G4919" s="27" t="s">
        <v>17</v>
      </c>
      <c r="H4919" s="27" t="s">
        <v>749</v>
      </c>
      <c r="I4919" s="27" t="s">
        <v>13</v>
      </c>
    </row>
    <row r="4920" spans="1:9" x14ac:dyDescent="0.3">
      <c r="A4920" s="26">
        <v>45188</v>
      </c>
      <c r="B4920" s="27" t="s">
        <v>123</v>
      </c>
      <c r="C4920" s="27" t="s">
        <v>10</v>
      </c>
      <c r="D4920" s="27" t="s">
        <v>24</v>
      </c>
      <c r="E4920" s="28">
        <v>68825</v>
      </c>
      <c r="F4920" s="28">
        <v>155420</v>
      </c>
      <c r="G4920" s="27" t="s">
        <v>22</v>
      </c>
      <c r="H4920" s="27" t="s">
        <v>1295</v>
      </c>
      <c r="I4920" s="27" t="s">
        <v>13</v>
      </c>
    </row>
    <row r="4921" spans="1:9" x14ac:dyDescent="0.3">
      <c r="A4921" s="26">
        <v>45188</v>
      </c>
      <c r="B4921" s="27" t="s">
        <v>123</v>
      </c>
      <c r="C4921" s="27" t="s">
        <v>10</v>
      </c>
      <c r="D4921" s="27" t="s">
        <v>16</v>
      </c>
      <c r="E4921" s="28">
        <v>81997</v>
      </c>
      <c r="F4921" s="28">
        <v>63634</v>
      </c>
      <c r="G4921" s="27" t="s">
        <v>22</v>
      </c>
      <c r="H4921" s="27" t="s">
        <v>1550</v>
      </c>
      <c r="I4921" s="27" t="s">
        <v>13</v>
      </c>
    </row>
    <row r="4922" spans="1:9" x14ac:dyDescent="0.3">
      <c r="A4922" s="26">
        <v>45188</v>
      </c>
      <c r="B4922" s="27" t="s">
        <v>123</v>
      </c>
      <c r="C4922" s="27" t="s">
        <v>20</v>
      </c>
      <c r="D4922" s="27" t="s">
        <v>16</v>
      </c>
      <c r="E4922" s="28">
        <v>86742</v>
      </c>
      <c r="F4922" s="28">
        <v>99514</v>
      </c>
      <c r="G4922" s="27" t="s">
        <v>8</v>
      </c>
      <c r="H4922" s="27" t="s">
        <v>1645</v>
      </c>
      <c r="I4922" s="27" t="s">
        <v>13</v>
      </c>
    </row>
    <row r="4923" spans="1:9" x14ac:dyDescent="0.3">
      <c r="A4923" s="26">
        <v>45188</v>
      </c>
      <c r="B4923" s="27" t="s">
        <v>123</v>
      </c>
      <c r="C4923" s="27" t="s">
        <v>14</v>
      </c>
      <c r="D4923" s="27" t="s">
        <v>7</v>
      </c>
      <c r="E4923" s="28">
        <v>13078</v>
      </c>
      <c r="F4923" s="28">
        <v>51567</v>
      </c>
      <c r="G4923" s="27" t="s">
        <v>17</v>
      </c>
      <c r="H4923" s="27" t="s">
        <v>1965</v>
      </c>
      <c r="I4923" s="27" t="s">
        <v>13</v>
      </c>
    </row>
    <row r="4924" spans="1:9" x14ac:dyDescent="0.3">
      <c r="A4924" s="26">
        <v>45188</v>
      </c>
      <c r="B4924" s="27" t="s">
        <v>123</v>
      </c>
      <c r="C4924" s="27" t="s">
        <v>10</v>
      </c>
      <c r="D4924" s="27" t="s">
        <v>16</v>
      </c>
      <c r="E4924" s="28">
        <v>137262</v>
      </c>
      <c r="F4924" s="28">
        <v>36910</v>
      </c>
      <c r="G4924" s="27" t="s">
        <v>17</v>
      </c>
      <c r="H4924" s="27" t="s">
        <v>2011</v>
      </c>
      <c r="I4924" s="27" t="s">
        <v>13</v>
      </c>
    </row>
    <row r="4925" spans="1:9" x14ac:dyDescent="0.3">
      <c r="A4925" s="26">
        <v>45188</v>
      </c>
      <c r="B4925" s="27" t="s">
        <v>123</v>
      </c>
      <c r="C4925" s="27" t="s">
        <v>32</v>
      </c>
      <c r="D4925" s="27" t="s">
        <v>7</v>
      </c>
      <c r="E4925" s="28">
        <v>86189</v>
      </c>
      <c r="F4925" s="28">
        <v>141928</v>
      </c>
      <c r="G4925" s="27" t="s">
        <v>17</v>
      </c>
      <c r="H4925" s="27" t="s">
        <v>2215</v>
      </c>
      <c r="I4925" s="27" t="s">
        <v>13</v>
      </c>
    </row>
    <row r="4926" spans="1:9" x14ac:dyDescent="0.3">
      <c r="A4926" s="26">
        <v>45188</v>
      </c>
      <c r="B4926" s="27" t="s">
        <v>123</v>
      </c>
      <c r="C4926" s="27" t="s">
        <v>10</v>
      </c>
      <c r="D4926" s="27" t="s">
        <v>7</v>
      </c>
      <c r="E4926" s="28">
        <v>28610</v>
      </c>
      <c r="F4926" s="28">
        <v>126377</v>
      </c>
      <c r="G4926" s="27" t="s">
        <v>22</v>
      </c>
      <c r="H4926" s="27" t="s">
        <v>2219</v>
      </c>
      <c r="I4926" s="27" t="s">
        <v>13</v>
      </c>
    </row>
    <row r="4927" spans="1:9" x14ac:dyDescent="0.3">
      <c r="A4927" s="26">
        <v>45188</v>
      </c>
      <c r="B4927" s="27" t="s">
        <v>123</v>
      </c>
      <c r="C4927" s="27" t="s">
        <v>10</v>
      </c>
      <c r="D4927" s="27" t="s">
        <v>7</v>
      </c>
      <c r="E4927" s="28">
        <v>74305</v>
      </c>
      <c r="F4927" s="28">
        <v>21586</v>
      </c>
      <c r="G4927" s="27" t="s">
        <v>11</v>
      </c>
      <c r="H4927" s="27" t="s">
        <v>2504</v>
      </c>
      <c r="I4927" s="27" t="s">
        <v>13</v>
      </c>
    </row>
    <row r="4928" spans="1:9" x14ac:dyDescent="0.3">
      <c r="A4928" s="26">
        <v>45188</v>
      </c>
      <c r="B4928" s="27" t="s">
        <v>123</v>
      </c>
      <c r="C4928" s="27" t="s">
        <v>32</v>
      </c>
      <c r="D4928" s="27" t="s">
        <v>24</v>
      </c>
      <c r="E4928" s="28">
        <v>122141</v>
      </c>
      <c r="F4928" s="28">
        <v>103209</v>
      </c>
      <c r="G4928" s="27" t="s">
        <v>8</v>
      </c>
      <c r="H4928" s="27" t="s">
        <v>2744</v>
      </c>
      <c r="I4928" s="27" t="s">
        <v>13</v>
      </c>
    </row>
    <row r="4929" spans="1:9" x14ac:dyDescent="0.3">
      <c r="A4929" s="26">
        <v>45188</v>
      </c>
      <c r="B4929" s="27" t="s">
        <v>123</v>
      </c>
      <c r="C4929" s="27" t="s">
        <v>15</v>
      </c>
      <c r="D4929" s="27" t="s">
        <v>21</v>
      </c>
      <c r="E4929" s="28">
        <v>57798</v>
      </c>
      <c r="F4929" s="28">
        <v>154067</v>
      </c>
      <c r="G4929" s="27" t="s">
        <v>8</v>
      </c>
      <c r="H4929" s="27" t="s">
        <v>2978</v>
      </c>
      <c r="I4929" s="27" t="s">
        <v>13</v>
      </c>
    </row>
    <row r="4930" spans="1:9" x14ac:dyDescent="0.3">
      <c r="A4930" s="26">
        <v>45188</v>
      </c>
      <c r="B4930" s="27" t="s">
        <v>123</v>
      </c>
      <c r="C4930" s="27" t="s">
        <v>20</v>
      </c>
      <c r="D4930" s="27" t="s">
        <v>16</v>
      </c>
      <c r="E4930" s="28">
        <v>143667</v>
      </c>
      <c r="F4930" s="28">
        <v>57046</v>
      </c>
      <c r="G4930" s="27" t="s">
        <v>11</v>
      </c>
      <c r="H4930" s="27" t="s">
        <v>3416</v>
      </c>
      <c r="I4930" s="27" t="s">
        <v>13</v>
      </c>
    </row>
    <row r="4931" spans="1:9" x14ac:dyDescent="0.3">
      <c r="A4931" s="26">
        <v>45188</v>
      </c>
      <c r="B4931" s="27" t="s">
        <v>123</v>
      </c>
      <c r="C4931" s="27" t="s">
        <v>6</v>
      </c>
      <c r="D4931" s="27" t="s">
        <v>7</v>
      </c>
      <c r="E4931" s="28">
        <v>112800</v>
      </c>
      <c r="F4931" s="28">
        <v>92400</v>
      </c>
      <c r="G4931" s="27" t="s">
        <v>11</v>
      </c>
      <c r="H4931" s="27" t="s">
        <v>3550</v>
      </c>
      <c r="I4931" s="27" t="s">
        <v>9</v>
      </c>
    </row>
    <row r="4932" spans="1:9" x14ac:dyDescent="0.3">
      <c r="A4932" s="26">
        <v>45188</v>
      </c>
      <c r="B4932" s="27" t="s">
        <v>123</v>
      </c>
      <c r="C4932" s="27" t="s">
        <v>93</v>
      </c>
      <c r="D4932" s="27" t="s">
        <v>16</v>
      </c>
      <c r="E4932" s="28">
        <v>118500</v>
      </c>
      <c r="F4932" s="28">
        <v>113900</v>
      </c>
      <c r="G4932" s="27" t="s">
        <v>11</v>
      </c>
      <c r="H4932" s="27" t="s">
        <v>4130</v>
      </c>
      <c r="I4932" s="27" t="s">
        <v>9</v>
      </c>
    </row>
    <row r="4933" spans="1:9" x14ac:dyDescent="0.3">
      <c r="A4933" s="26">
        <v>45188</v>
      </c>
      <c r="B4933" s="27" t="s">
        <v>123</v>
      </c>
      <c r="C4933" s="27" t="s">
        <v>6</v>
      </c>
      <c r="D4933" s="27" t="s">
        <v>24</v>
      </c>
      <c r="E4933" s="28">
        <v>135800</v>
      </c>
      <c r="F4933" s="28">
        <v>134000</v>
      </c>
      <c r="G4933" s="27" t="s">
        <v>11</v>
      </c>
      <c r="H4933" s="27" t="s">
        <v>4678</v>
      </c>
      <c r="I4933" s="27" t="s">
        <v>9</v>
      </c>
    </row>
    <row r="4934" spans="1:9" x14ac:dyDescent="0.3">
      <c r="A4934" s="26">
        <v>45188</v>
      </c>
      <c r="B4934" s="27" t="s">
        <v>123</v>
      </c>
      <c r="C4934" s="27" t="s">
        <v>6</v>
      </c>
      <c r="D4934" s="27" t="s">
        <v>16</v>
      </c>
      <c r="E4934" s="28">
        <v>69200</v>
      </c>
      <c r="F4934" s="28">
        <v>81100</v>
      </c>
      <c r="G4934" s="27" t="s">
        <v>11</v>
      </c>
      <c r="H4934" s="27" t="s">
        <v>4933</v>
      </c>
      <c r="I4934" s="27" t="s">
        <v>9</v>
      </c>
    </row>
    <row r="4935" spans="1:9" x14ac:dyDescent="0.3">
      <c r="A4935" s="26">
        <v>45188</v>
      </c>
      <c r="B4935" s="27" t="s">
        <v>123</v>
      </c>
      <c r="C4935" s="27" t="s">
        <v>6</v>
      </c>
      <c r="D4935" s="27" t="s">
        <v>16</v>
      </c>
      <c r="E4935" s="28">
        <v>66800</v>
      </c>
      <c r="F4935" s="28">
        <v>76000</v>
      </c>
      <c r="G4935" s="27" t="s">
        <v>11</v>
      </c>
      <c r="H4935" s="27" t="s">
        <v>5028</v>
      </c>
      <c r="I4935" s="27" t="s">
        <v>9</v>
      </c>
    </row>
    <row r="4936" spans="1:9" x14ac:dyDescent="0.3">
      <c r="A4936" s="26">
        <v>45188</v>
      </c>
      <c r="B4936" s="27" t="s">
        <v>123</v>
      </c>
      <c r="C4936" s="27" t="s">
        <v>6</v>
      </c>
      <c r="D4936" s="27" t="s">
        <v>7</v>
      </c>
      <c r="E4936" s="28">
        <v>119700</v>
      </c>
      <c r="F4936" s="28">
        <v>117400</v>
      </c>
      <c r="G4936" s="27" t="s">
        <v>11</v>
      </c>
      <c r="H4936" s="27" t="s">
        <v>5349</v>
      </c>
      <c r="I4936" s="27" t="s">
        <v>9</v>
      </c>
    </row>
    <row r="4937" spans="1:9" x14ac:dyDescent="0.3">
      <c r="A4937" s="26">
        <v>45188</v>
      </c>
      <c r="B4937" s="27" t="s">
        <v>123</v>
      </c>
      <c r="C4937" s="27" t="s">
        <v>6</v>
      </c>
      <c r="D4937" s="27" t="s">
        <v>16</v>
      </c>
      <c r="E4937" s="28">
        <v>69200</v>
      </c>
      <c r="F4937" s="28">
        <v>76200</v>
      </c>
      <c r="G4937" s="27" t="s">
        <v>22</v>
      </c>
      <c r="H4937" s="27" t="s">
        <v>5395</v>
      </c>
      <c r="I4937" s="27" t="s">
        <v>9</v>
      </c>
    </row>
    <row r="4938" spans="1:9" x14ac:dyDescent="0.3">
      <c r="A4938" s="26">
        <v>45188</v>
      </c>
      <c r="B4938" s="27" t="s">
        <v>123</v>
      </c>
      <c r="C4938" s="27" t="s">
        <v>6</v>
      </c>
      <c r="D4938" s="27" t="s">
        <v>7</v>
      </c>
      <c r="E4938" s="28">
        <v>114900</v>
      </c>
      <c r="F4938" s="28">
        <v>105500</v>
      </c>
      <c r="G4938" s="27" t="s">
        <v>11</v>
      </c>
      <c r="H4938" s="27" t="s">
        <v>5600</v>
      </c>
      <c r="I4938" s="27" t="s">
        <v>9</v>
      </c>
    </row>
    <row r="4939" spans="1:9" x14ac:dyDescent="0.3">
      <c r="A4939" s="26">
        <v>45188</v>
      </c>
      <c r="B4939" s="27" t="s">
        <v>123</v>
      </c>
      <c r="C4939" s="27" t="s">
        <v>6</v>
      </c>
      <c r="D4939" s="27" t="s">
        <v>7</v>
      </c>
      <c r="E4939" s="28">
        <v>61300</v>
      </c>
      <c r="F4939" s="28">
        <v>64800</v>
      </c>
      <c r="G4939" s="27" t="s">
        <v>11</v>
      </c>
      <c r="H4939" s="27" t="s">
        <v>5604</v>
      </c>
      <c r="I4939" s="27" t="s">
        <v>9</v>
      </c>
    </row>
    <row r="4940" spans="1:9" x14ac:dyDescent="0.3">
      <c r="A4940" s="26">
        <v>45188</v>
      </c>
      <c r="B4940" s="27" t="s">
        <v>123</v>
      </c>
      <c r="C4940" s="27" t="s">
        <v>93</v>
      </c>
      <c r="D4940" s="27" t="s">
        <v>7</v>
      </c>
      <c r="E4940" s="28">
        <v>109400</v>
      </c>
      <c r="F4940" s="28">
        <v>100100</v>
      </c>
      <c r="G4940" s="27" t="s">
        <v>17</v>
      </c>
      <c r="H4940" s="27" t="s">
        <v>5889</v>
      </c>
      <c r="I4940" s="27" t="s">
        <v>9</v>
      </c>
    </row>
    <row r="4941" spans="1:9" x14ac:dyDescent="0.3">
      <c r="A4941" s="26">
        <v>45188</v>
      </c>
      <c r="B4941" s="27" t="s">
        <v>123</v>
      </c>
      <c r="C4941" s="27" t="s">
        <v>93</v>
      </c>
      <c r="D4941" s="27" t="s">
        <v>24</v>
      </c>
      <c r="E4941" s="28">
        <v>78100</v>
      </c>
      <c r="F4941" s="28">
        <v>90000</v>
      </c>
      <c r="G4941" s="27" t="s">
        <v>22</v>
      </c>
      <c r="H4941" s="27" t="s">
        <v>6129</v>
      </c>
      <c r="I4941" s="27" t="s">
        <v>9</v>
      </c>
    </row>
    <row r="4942" spans="1:9" x14ac:dyDescent="0.3">
      <c r="A4942" s="26">
        <v>45188</v>
      </c>
      <c r="B4942" s="27" t="s">
        <v>123</v>
      </c>
      <c r="C4942" s="27" t="s">
        <v>6</v>
      </c>
      <c r="D4942" s="27" t="s">
        <v>21</v>
      </c>
      <c r="E4942" s="28">
        <v>74700</v>
      </c>
      <c r="F4942" s="28">
        <v>69500</v>
      </c>
      <c r="G4942" s="27" t="s">
        <v>11</v>
      </c>
      <c r="H4942" s="27" t="s">
        <v>6363</v>
      </c>
      <c r="I4942" s="27" t="s">
        <v>9</v>
      </c>
    </row>
    <row r="4943" spans="1:9" x14ac:dyDescent="0.3">
      <c r="A4943" s="26">
        <v>45188</v>
      </c>
      <c r="B4943" s="27" t="s">
        <v>123</v>
      </c>
      <c r="C4943" s="27" t="s">
        <v>6</v>
      </c>
      <c r="D4943" s="27" t="s">
        <v>16</v>
      </c>
      <c r="E4943" s="28">
        <v>195200</v>
      </c>
      <c r="F4943" s="28">
        <v>207800</v>
      </c>
      <c r="G4943" s="27" t="s">
        <v>11</v>
      </c>
      <c r="H4943" s="27" t="s">
        <v>6801</v>
      </c>
      <c r="I4943" s="27" t="s">
        <v>9</v>
      </c>
    </row>
    <row r="4944" spans="1:9" x14ac:dyDescent="0.3">
      <c r="A4944" s="26">
        <v>45189</v>
      </c>
      <c r="B4944" s="27" t="s">
        <v>123</v>
      </c>
      <c r="C4944" s="27" t="s">
        <v>15</v>
      </c>
      <c r="D4944" s="27" t="s">
        <v>19</v>
      </c>
      <c r="E4944" s="28">
        <v>38783</v>
      </c>
      <c r="F4944" s="28">
        <v>28321</v>
      </c>
      <c r="G4944" s="27" t="s">
        <v>8</v>
      </c>
      <c r="H4944" s="27" t="s">
        <v>147</v>
      </c>
      <c r="I4944" s="27" t="s">
        <v>13</v>
      </c>
    </row>
    <row r="4945" spans="1:9" x14ac:dyDescent="0.3">
      <c r="A4945" s="26">
        <v>45189</v>
      </c>
      <c r="B4945" s="27" t="s">
        <v>123</v>
      </c>
      <c r="C4945" s="27" t="s">
        <v>10</v>
      </c>
      <c r="D4945" s="27" t="s">
        <v>16</v>
      </c>
      <c r="E4945" s="28">
        <v>14677</v>
      </c>
      <c r="F4945" s="28">
        <v>98275</v>
      </c>
      <c r="G4945" s="27" t="s">
        <v>17</v>
      </c>
      <c r="H4945" s="27" t="s">
        <v>164</v>
      </c>
      <c r="I4945" s="27" t="s">
        <v>13</v>
      </c>
    </row>
    <row r="4946" spans="1:9" x14ac:dyDescent="0.3">
      <c r="A4946" s="26">
        <v>45189</v>
      </c>
      <c r="B4946" s="27" t="s">
        <v>123</v>
      </c>
      <c r="C4946" s="27" t="s">
        <v>15</v>
      </c>
      <c r="D4946" s="27" t="s">
        <v>16</v>
      </c>
      <c r="E4946" s="28">
        <v>91340</v>
      </c>
      <c r="F4946" s="28">
        <v>75116</v>
      </c>
      <c r="G4946" s="27" t="s">
        <v>11</v>
      </c>
      <c r="H4946" s="27" t="s">
        <v>345</v>
      </c>
      <c r="I4946" s="27" t="s">
        <v>13</v>
      </c>
    </row>
    <row r="4947" spans="1:9" x14ac:dyDescent="0.3">
      <c r="A4947" s="26">
        <v>45189</v>
      </c>
      <c r="B4947" s="27" t="s">
        <v>123</v>
      </c>
      <c r="C4947" s="27" t="s">
        <v>14</v>
      </c>
      <c r="D4947" s="27" t="s">
        <v>16</v>
      </c>
      <c r="E4947" s="28">
        <v>52202</v>
      </c>
      <c r="F4947" s="28">
        <v>68780</v>
      </c>
      <c r="G4947" s="27" t="s">
        <v>17</v>
      </c>
      <c r="H4947" s="27" t="s">
        <v>365</v>
      </c>
      <c r="I4947" s="27" t="s">
        <v>13</v>
      </c>
    </row>
    <row r="4948" spans="1:9" x14ac:dyDescent="0.3">
      <c r="A4948" s="26">
        <v>45189</v>
      </c>
      <c r="B4948" s="27" t="s">
        <v>123</v>
      </c>
      <c r="C4948" s="27" t="s">
        <v>15</v>
      </c>
      <c r="D4948" s="27" t="s">
        <v>21</v>
      </c>
      <c r="E4948" s="28">
        <v>145182</v>
      </c>
      <c r="F4948" s="28">
        <v>106632</v>
      </c>
      <c r="G4948" s="27" t="s">
        <v>22</v>
      </c>
      <c r="H4948" s="27" t="s">
        <v>670</v>
      </c>
      <c r="I4948" s="27" t="s">
        <v>13</v>
      </c>
    </row>
    <row r="4949" spans="1:9" x14ac:dyDescent="0.3">
      <c r="A4949" s="26">
        <v>45189</v>
      </c>
      <c r="B4949" s="27" t="s">
        <v>123</v>
      </c>
      <c r="C4949" s="27" t="s">
        <v>14</v>
      </c>
      <c r="D4949" s="27" t="s">
        <v>16</v>
      </c>
      <c r="E4949" s="28">
        <v>61793</v>
      </c>
      <c r="F4949" s="28">
        <v>100687</v>
      </c>
      <c r="G4949" s="27" t="s">
        <v>8</v>
      </c>
      <c r="H4949" s="27" t="s">
        <v>1139</v>
      </c>
      <c r="I4949" s="27" t="s">
        <v>13</v>
      </c>
    </row>
    <row r="4950" spans="1:9" x14ac:dyDescent="0.3">
      <c r="A4950" s="26">
        <v>45189</v>
      </c>
      <c r="B4950" s="27" t="s">
        <v>123</v>
      </c>
      <c r="C4950" s="27" t="s">
        <v>32</v>
      </c>
      <c r="D4950" s="27" t="s">
        <v>24</v>
      </c>
      <c r="E4950" s="28">
        <v>132293</v>
      </c>
      <c r="F4950" s="28">
        <v>132500</v>
      </c>
      <c r="G4950" s="27" t="s">
        <v>22</v>
      </c>
      <c r="H4950" s="27" t="s">
        <v>1803</v>
      </c>
      <c r="I4950" s="27" t="s">
        <v>13</v>
      </c>
    </row>
    <row r="4951" spans="1:9" x14ac:dyDescent="0.3">
      <c r="A4951" s="26">
        <v>45189</v>
      </c>
      <c r="B4951" s="27" t="s">
        <v>123</v>
      </c>
      <c r="C4951" s="27" t="s">
        <v>14</v>
      </c>
      <c r="D4951" s="27" t="s">
        <v>21</v>
      </c>
      <c r="E4951" s="28">
        <v>144419</v>
      </c>
      <c r="F4951" s="28">
        <v>114646</v>
      </c>
      <c r="G4951" s="27" t="s">
        <v>22</v>
      </c>
      <c r="H4951" s="27" t="s">
        <v>2047</v>
      </c>
      <c r="I4951" s="27" t="s">
        <v>13</v>
      </c>
    </row>
    <row r="4952" spans="1:9" x14ac:dyDescent="0.3">
      <c r="A4952" s="26">
        <v>45189</v>
      </c>
      <c r="B4952" s="27" t="s">
        <v>123</v>
      </c>
      <c r="C4952" s="27" t="s">
        <v>18</v>
      </c>
      <c r="D4952" s="27" t="s">
        <v>19</v>
      </c>
      <c r="E4952" s="28">
        <v>54505</v>
      </c>
      <c r="F4952" s="28">
        <v>31585</v>
      </c>
      <c r="G4952" s="27" t="s">
        <v>17</v>
      </c>
      <c r="H4952" s="27" t="s">
        <v>2244</v>
      </c>
      <c r="I4952" s="27" t="s">
        <v>13</v>
      </c>
    </row>
    <row r="4953" spans="1:9" x14ac:dyDescent="0.3">
      <c r="A4953" s="26">
        <v>45189</v>
      </c>
      <c r="B4953" s="27" t="s">
        <v>123</v>
      </c>
      <c r="C4953" s="27" t="s">
        <v>15</v>
      </c>
      <c r="D4953" s="27" t="s">
        <v>24</v>
      </c>
      <c r="E4953" s="28">
        <v>79133</v>
      </c>
      <c r="F4953" s="28">
        <v>49388</v>
      </c>
      <c r="G4953" s="27" t="s">
        <v>8</v>
      </c>
      <c r="H4953" s="27" t="s">
        <v>2293</v>
      </c>
      <c r="I4953" s="27" t="s">
        <v>13</v>
      </c>
    </row>
    <row r="4954" spans="1:9" x14ac:dyDescent="0.3">
      <c r="A4954" s="26">
        <v>45189</v>
      </c>
      <c r="B4954" s="27" t="s">
        <v>123</v>
      </c>
      <c r="C4954" s="27" t="s">
        <v>18</v>
      </c>
      <c r="D4954" s="27" t="s">
        <v>21</v>
      </c>
      <c r="E4954" s="28">
        <v>80168</v>
      </c>
      <c r="F4954" s="28">
        <v>137457</v>
      </c>
      <c r="G4954" s="27" t="s">
        <v>22</v>
      </c>
      <c r="H4954" s="27" t="s">
        <v>2769</v>
      </c>
      <c r="I4954" s="27" t="s">
        <v>13</v>
      </c>
    </row>
    <row r="4955" spans="1:9" x14ac:dyDescent="0.3">
      <c r="A4955" s="26">
        <v>45189</v>
      </c>
      <c r="B4955" s="27" t="s">
        <v>123</v>
      </c>
      <c r="C4955" s="27" t="s">
        <v>20</v>
      </c>
      <c r="D4955" s="27" t="s">
        <v>19</v>
      </c>
      <c r="E4955" s="28">
        <v>56265</v>
      </c>
      <c r="F4955" s="28">
        <v>61841</v>
      </c>
      <c r="G4955" s="27" t="s">
        <v>22</v>
      </c>
      <c r="H4955" s="27" t="s">
        <v>2775</v>
      </c>
      <c r="I4955" s="27" t="s">
        <v>13</v>
      </c>
    </row>
    <row r="4956" spans="1:9" x14ac:dyDescent="0.3">
      <c r="A4956" s="26">
        <v>45189</v>
      </c>
      <c r="B4956" s="27" t="s">
        <v>123</v>
      </c>
      <c r="C4956" s="27" t="s">
        <v>18</v>
      </c>
      <c r="D4956" s="27" t="s">
        <v>19</v>
      </c>
      <c r="E4956" s="28">
        <v>75346</v>
      </c>
      <c r="F4956" s="28">
        <v>138729</v>
      </c>
      <c r="G4956" s="27" t="s">
        <v>22</v>
      </c>
      <c r="H4956" s="27" t="s">
        <v>3096</v>
      </c>
      <c r="I4956" s="27" t="s">
        <v>13</v>
      </c>
    </row>
    <row r="4957" spans="1:9" x14ac:dyDescent="0.3">
      <c r="A4957" s="26">
        <v>45189</v>
      </c>
      <c r="B4957" s="27" t="s">
        <v>123</v>
      </c>
      <c r="C4957" s="27" t="s">
        <v>20</v>
      </c>
      <c r="D4957" s="27" t="s">
        <v>24</v>
      </c>
      <c r="E4957" s="28">
        <v>95089</v>
      </c>
      <c r="F4957" s="28">
        <v>152820</v>
      </c>
      <c r="G4957" s="27" t="s">
        <v>22</v>
      </c>
      <c r="H4957" s="27" t="s">
        <v>3264</v>
      </c>
      <c r="I4957" s="27" t="s">
        <v>13</v>
      </c>
    </row>
    <row r="4958" spans="1:9" x14ac:dyDescent="0.3">
      <c r="A4958" s="26">
        <v>45189</v>
      </c>
      <c r="B4958" s="27" t="s">
        <v>123</v>
      </c>
      <c r="C4958" s="27" t="s">
        <v>18</v>
      </c>
      <c r="D4958" s="27" t="s">
        <v>24</v>
      </c>
      <c r="E4958" s="28">
        <v>113823</v>
      </c>
      <c r="F4958" s="28">
        <v>75136</v>
      </c>
      <c r="G4958" s="27" t="s">
        <v>11</v>
      </c>
      <c r="H4958" s="27" t="s">
        <v>3289</v>
      </c>
      <c r="I4958" s="27" t="s">
        <v>13</v>
      </c>
    </row>
    <row r="4959" spans="1:9" x14ac:dyDescent="0.3">
      <c r="A4959" s="26">
        <v>45189</v>
      </c>
      <c r="B4959" s="27" t="s">
        <v>123</v>
      </c>
      <c r="C4959" s="27" t="s">
        <v>6</v>
      </c>
      <c r="D4959" s="27" t="s">
        <v>19</v>
      </c>
      <c r="E4959" s="28">
        <v>94600</v>
      </c>
      <c r="F4959" s="28">
        <v>71300</v>
      </c>
      <c r="G4959" s="27" t="s">
        <v>11</v>
      </c>
      <c r="H4959" s="27" t="s">
        <v>3528</v>
      </c>
      <c r="I4959" s="27" t="s">
        <v>9</v>
      </c>
    </row>
    <row r="4960" spans="1:9" x14ac:dyDescent="0.3">
      <c r="A4960" s="26">
        <v>45189</v>
      </c>
      <c r="B4960" s="27" t="s">
        <v>123</v>
      </c>
      <c r="C4960" s="27" t="s">
        <v>6</v>
      </c>
      <c r="D4960" s="27" t="s">
        <v>16</v>
      </c>
      <c r="E4960" s="28">
        <v>75800</v>
      </c>
      <c r="F4960" s="28">
        <v>75900</v>
      </c>
      <c r="G4960" s="27" t="s">
        <v>22</v>
      </c>
      <c r="H4960" s="27" t="s">
        <v>3545</v>
      </c>
      <c r="I4960" s="27" t="s">
        <v>9</v>
      </c>
    </row>
    <row r="4961" spans="1:9" x14ac:dyDescent="0.3">
      <c r="A4961" s="26">
        <v>45189</v>
      </c>
      <c r="B4961" s="27" t="s">
        <v>123</v>
      </c>
      <c r="C4961" s="27" t="s">
        <v>6</v>
      </c>
      <c r="D4961" s="27" t="s">
        <v>16</v>
      </c>
      <c r="E4961" s="28">
        <v>80500</v>
      </c>
      <c r="F4961" s="28">
        <v>78000</v>
      </c>
      <c r="G4961" s="27" t="s">
        <v>11</v>
      </c>
      <c r="H4961" s="27" t="s">
        <v>3726</v>
      </c>
      <c r="I4961" s="27" t="s">
        <v>9</v>
      </c>
    </row>
    <row r="4962" spans="1:9" x14ac:dyDescent="0.3">
      <c r="A4962" s="26">
        <v>45189</v>
      </c>
      <c r="B4962" s="27" t="s">
        <v>123</v>
      </c>
      <c r="C4962" s="27" t="s">
        <v>93</v>
      </c>
      <c r="D4962" s="27" t="s">
        <v>16</v>
      </c>
      <c r="E4962" s="28">
        <v>80700</v>
      </c>
      <c r="F4962" s="28">
        <v>75800</v>
      </c>
      <c r="G4962" s="27" t="s">
        <v>22</v>
      </c>
      <c r="H4962" s="27" t="s">
        <v>3746</v>
      </c>
      <c r="I4962" s="27" t="s">
        <v>9</v>
      </c>
    </row>
    <row r="4963" spans="1:9" x14ac:dyDescent="0.3">
      <c r="A4963" s="26">
        <v>45189</v>
      </c>
      <c r="B4963" s="27" t="s">
        <v>123</v>
      </c>
      <c r="C4963" s="27" t="s">
        <v>93</v>
      </c>
      <c r="D4963" s="27" t="s">
        <v>21</v>
      </c>
      <c r="E4963" s="28">
        <v>151100</v>
      </c>
      <c r="F4963" s="28">
        <v>166700</v>
      </c>
      <c r="G4963" s="27" t="s">
        <v>11</v>
      </c>
      <c r="H4963" s="27" t="s">
        <v>4051</v>
      </c>
      <c r="I4963" s="27" t="s">
        <v>9</v>
      </c>
    </row>
    <row r="4964" spans="1:9" x14ac:dyDescent="0.3">
      <c r="A4964" s="26">
        <v>45189</v>
      </c>
      <c r="B4964" s="27" t="s">
        <v>123</v>
      </c>
      <c r="C4964" s="27" t="s">
        <v>93</v>
      </c>
      <c r="D4964" s="27" t="s">
        <v>16</v>
      </c>
      <c r="E4964" s="28">
        <v>94400</v>
      </c>
      <c r="F4964" s="28">
        <v>114100</v>
      </c>
      <c r="G4964" s="27" t="s">
        <v>22</v>
      </c>
      <c r="H4964" s="27" t="s">
        <v>4522</v>
      </c>
      <c r="I4964" s="27" t="s">
        <v>9</v>
      </c>
    </row>
    <row r="4965" spans="1:9" x14ac:dyDescent="0.3">
      <c r="A4965" s="26">
        <v>45189</v>
      </c>
      <c r="B4965" s="27" t="s">
        <v>123</v>
      </c>
      <c r="C4965" s="27" t="s">
        <v>6</v>
      </c>
      <c r="D4965" s="27" t="s">
        <v>24</v>
      </c>
      <c r="E4965" s="28">
        <v>42200</v>
      </c>
      <c r="F4965" s="28">
        <v>46000</v>
      </c>
      <c r="G4965" s="27" t="s">
        <v>11</v>
      </c>
      <c r="H4965" s="27" t="s">
        <v>5186</v>
      </c>
      <c r="I4965" s="27" t="s">
        <v>9</v>
      </c>
    </row>
    <row r="4966" spans="1:9" x14ac:dyDescent="0.3">
      <c r="A4966" s="26">
        <v>45189</v>
      </c>
      <c r="B4966" s="27" t="s">
        <v>123</v>
      </c>
      <c r="C4966" s="27" t="s">
        <v>6</v>
      </c>
      <c r="D4966" s="27" t="s">
        <v>21</v>
      </c>
      <c r="E4966" s="28">
        <v>136100</v>
      </c>
      <c r="F4966" s="28">
        <v>116800</v>
      </c>
      <c r="G4966" s="27" t="s">
        <v>11</v>
      </c>
      <c r="H4966" s="27" t="s">
        <v>5431</v>
      </c>
      <c r="I4966" s="27" t="s">
        <v>9</v>
      </c>
    </row>
    <row r="4967" spans="1:9" x14ac:dyDescent="0.3">
      <c r="A4967" s="26">
        <v>45189</v>
      </c>
      <c r="B4967" s="27" t="s">
        <v>123</v>
      </c>
      <c r="C4967" s="27" t="s">
        <v>6</v>
      </c>
      <c r="D4967" s="27" t="s">
        <v>19</v>
      </c>
      <c r="E4967" s="28">
        <v>139300</v>
      </c>
      <c r="F4967" s="28">
        <v>150800</v>
      </c>
      <c r="G4967" s="27" t="s">
        <v>11</v>
      </c>
      <c r="H4967" s="27" t="s">
        <v>5629</v>
      </c>
      <c r="I4967" s="27" t="s">
        <v>9</v>
      </c>
    </row>
    <row r="4968" spans="1:9" x14ac:dyDescent="0.3">
      <c r="A4968" s="26">
        <v>45189</v>
      </c>
      <c r="B4968" s="27" t="s">
        <v>123</v>
      </c>
      <c r="C4968" s="27" t="s">
        <v>6</v>
      </c>
      <c r="D4968" s="27" t="s">
        <v>24</v>
      </c>
      <c r="E4968" s="28">
        <v>41500</v>
      </c>
      <c r="F4968" s="28">
        <v>39700</v>
      </c>
      <c r="G4968" s="27" t="s">
        <v>11</v>
      </c>
      <c r="H4968" s="27" t="s">
        <v>5678</v>
      </c>
      <c r="I4968" s="27" t="s">
        <v>9</v>
      </c>
    </row>
    <row r="4969" spans="1:9" x14ac:dyDescent="0.3">
      <c r="A4969" s="26">
        <v>45189</v>
      </c>
      <c r="B4969" s="27" t="s">
        <v>123</v>
      </c>
      <c r="C4969" s="27" t="s">
        <v>6</v>
      </c>
      <c r="D4969" s="27" t="s">
        <v>21</v>
      </c>
      <c r="E4969" s="28">
        <v>92700</v>
      </c>
      <c r="F4969" s="28">
        <v>85400</v>
      </c>
      <c r="G4969" s="27" t="s">
        <v>22</v>
      </c>
      <c r="H4969" s="27" t="s">
        <v>6154</v>
      </c>
      <c r="I4969" s="27" t="s">
        <v>9</v>
      </c>
    </row>
    <row r="4970" spans="1:9" x14ac:dyDescent="0.3">
      <c r="A4970" s="26">
        <v>45189</v>
      </c>
      <c r="B4970" s="27" t="s">
        <v>123</v>
      </c>
      <c r="C4970" s="27" t="s">
        <v>93</v>
      </c>
      <c r="D4970" s="27" t="s">
        <v>19</v>
      </c>
      <c r="E4970" s="28">
        <v>122800</v>
      </c>
      <c r="F4970" s="28">
        <v>149500</v>
      </c>
      <c r="G4970" s="27" t="s">
        <v>11</v>
      </c>
      <c r="H4970" s="27" t="s">
        <v>6160</v>
      </c>
      <c r="I4970" s="27" t="s">
        <v>9</v>
      </c>
    </row>
    <row r="4971" spans="1:9" x14ac:dyDescent="0.3">
      <c r="A4971" s="26">
        <v>45189</v>
      </c>
      <c r="B4971" s="27" t="s">
        <v>123</v>
      </c>
      <c r="C4971" s="27" t="s">
        <v>93</v>
      </c>
      <c r="D4971" s="27" t="s">
        <v>19</v>
      </c>
      <c r="E4971" s="28">
        <v>226800</v>
      </c>
      <c r="F4971" s="28">
        <v>225500</v>
      </c>
      <c r="G4971" s="27" t="s">
        <v>22</v>
      </c>
      <c r="H4971" s="27" t="s">
        <v>6481</v>
      </c>
      <c r="I4971" s="27" t="s">
        <v>9</v>
      </c>
    </row>
    <row r="4972" spans="1:9" x14ac:dyDescent="0.3">
      <c r="A4972" s="26">
        <v>45189</v>
      </c>
      <c r="B4972" s="27" t="s">
        <v>123</v>
      </c>
      <c r="C4972" s="27" t="s">
        <v>6</v>
      </c>
      <c r="D4972" s="27" t="s">
        <v>24</v>
      </c>
      <c r="E4972" s="28">
        <v>102500</v>
      </c>
      <c r="F4972" s="28">
        <v>126600</v>
      </c>
      <c r="G4972" s="27" t="s">
        <v>11</v>
      </c>
      <c r="H4972" s="27" t="s">
        <v>6649</v>
      </c>
      <c r="I4972" s="27" t="s">
        <v>9</v>
      </c>
    </row>
    <row r="4973" spans="1:9" x14ac:dyDescent="0.3">
      <c r="A4973" s="26">
        <v>45189</v>
      </c>
      <c r="B4973" s="27" t="s">
        <v>123</v>
      </c>
      <c r="C4973" s="27" t="s">
        <v>6</v>
      </c>
      <c r="D4973" s="27" t="s">
        <v>24</v>
      </c>
      <c r="E4973" s="28">
        <v>144300</v>
      </c>
      <c r="F4973" s="28">
        <v>158300</v>
      </c>
      <c r="G4973" s="27" t="s">
        <v>11</v>
      </c>
      <c r="H4973" s="27" t="s">
        <v>6674</v>
      </c>
      <c r="I4973" s="27" t="s">
        <v>9</v>
      </c>
    </row>
    <row r="4974" spans="1:9" x14ac:dyDescent="0.3">
      <c r="A4974" s="26">
        <v>45190</v>
      </c>
      <c r="B4974" s="27" t="s">
        <v>123</v>
      </c>
      <c r="C4974" s="27" t="s">
        <v>18</v>
      </c>
      <c r="D4974" s="27" t="s">
        <v>7</v>
      </c>
      <c r="E4974" s="28">
        <v>115251</v>
      </c>
      <c r="F4974" s="28">
        <v>49725</v>
      </c>
      <c r="G4974" s="27" t="s">
        <v>17</v>
      </c>
      <c r="H4974" s="27" t="s">
        <v>514</v>
      </c>
      <c r="I4974" s="27" t="s">
        <v>13</v>
      </c>
    </row>
    <row r="4975" spans="1:9" x14ac:dyDescent="0.3">
      <c r="A4975" s="26">
        <v>45190</v>
      </c>
      <c r="B4975" s="27" t="s">
        <v>123</v>
      </c>
      <c r="C4975" s="27" t="s">
        <v>14</v>
      </c>
      <c r="D4975" s="27" t="s">
        <v>24</v>
      </c>
      <c r="E4975" s="28">
        <v>68009</v>
      </c>
      <c r="F4975" s="28">
        <v>130829</v>
      </c>
      <c r="G4975" s="27" t="s">
        <v>22</v>
      </c>
      <c r="H4975" s="27" t="s">
        <v>561</v>
      </c>
      <c r="I4975" s="27" t="s">
        <v>13</v>
      </c>
    </row>
    <row r="4976" spans="1:9" x14ac:dyDescent="0.3">
      <c r="A4976" s="26">
        <v>45190</v>
      </c>
      <c r="B4976" s="27" t="s">
        <v>123</v>
      </c>
      <c r="C4976" s="27" t="s">
        <v>14</v>
      </c>
      <c r="D4976" s="27" t="s">
        <v>7</v>
      </c>
      <c r="E4976" s="28">
        <v>57313</v>
      </c>
      <c r="F4976" s="28">
        <v>61760</v>
      </c>
      <c r="G4976" s="27" t="s">
        <v>8</v>
      </c>
      <c r="H4976" s="27" t="s">
        <v>713</v>
      </c>
      <c r="I4976" s="27" t="s">
        <v>13</v>
      </c>
    </row>
    <row r="4977" spans="1:9" x14ac:dyDescent="0.3">
      <c r="A4977" s="26">
        <v>45190</v>
      </c>
      <c r="B4977" s="27" t="s">
        <v>123</v>
      </c>
      <c r="C4977" s="27" t="s">
        <v>32</v>
      </c>
      <c r="D4977" s="27" t="s">
        <v>19</v>
      </c>
      <c r="E4977" s="28">
        <v>16089</v>
      </c>
      <c r="F4977" s="28">
        <v>84520</v>
      </c>
      <c r="G4977" s="27" t="s">
        <v>22</v>
      </c>
      <c r="H4977" s="27" t="s">
        <v>1108</v>
      </c>
      <c r="I4977" s="27" t="s">
        <v>13</v>
      </c>
    </row>
    <row r="4978" spans="1:9" x14ac:dyDescent="0.3">
      <c r="A4978" s="26">
        <v>45190</v>
      </c>
      <c r="B4978" s="27" t="s">
        <v>123</v>
      </c>
      <c r="C4978" s="27" t="s">
        <v>32</v>
      </c>
      <c r="D4978" s="27" t="s">
        <v>7</v>
      </c>
      <c r="E4978" s="28">
        <v>65414</v>
      </c>
      <c r="F4978" s="28">
        <v>97506</v>
      </c>
      <c r="G4978" s="27" t="s">
        <v>11</v>
      </c>
      <c r="H4978" s="27" t="s">
        <v>1299</v>
      </c>
      <c r="I4978" s="27" t="s">
        <v>13</v>
      </c>
    </row>
    <row r="4979" spans="1:9" x14ac:dyDescent="0.3">
      <c r="A4979" s="26">
        <v>45190</v>
      </c>
      <c r="B4979" s="27" t="s">
        <v>123</v>
      </c>
      <c r="C4979" s="27" t="s">
        <v>15</v>
      </c>
      <c r="D4979" s="27" t="s">
        <v>19</v>
      </c>
      <c r="E4979" s="28">
        <v>124862</v>
      </c>
      <c r="F4979" s="28">
        <v>72752</v>
      </c>
      <c r="G4979" s="27" t="s">
        <v>11</v>
      </c>
      <c r="H4979" s="27" t="s">
        <v>1649</v>
      </c>
      <c r="I4979" s="27" t="s">
        <v>13</v>
      </c>
    </row>
    <row r="4980" spans="1:9" x14ac:dyDescent="0.3">
      <c r="A4980" s="26">
        <v>45190</v>
      </c>
      <c r="B4980" s="27" t="s">
        <v>123</v>
      </c>
      <c r="C4980" s="27" t="s">
        <v>14</v>
      </c>
      <c r="D4980" s="27" t="s">
        <v>19</v>
      </c>
      <c r="E4980" s="28">
        <v>64471</v>
      </c>
      <c r="F4980" s="28">
        <v>90823</v>
      </c>
      <c r="G4980" s="27" t="s">
        <v>22</v>
      </c>
      <c r="H4980" s="27" t="s">
        <v>2450</v>
      </c>
      <c r="I4980" s="27" t="s">
        <v>13</v>
      </c>
    </row>
    <row r="4981" spans="1:9" x14ac:dyDescent="0.3">
      <c r="A4981" s="26">
        <v>45190</v>
      </c>
      <c r="B4981" s="27" t="s">
        <v>123</v>
      </c>
      <c r="C4981" s="27" t="s">
        <v>10</v>
      </c>
      <c r="D4981" s="27" t="s">
        <v>24</v>
      </c>
      <c r="E4981" s="28">
        <v>89414</v>
      </c>
      <c r="F4981" s="28">
        <v>50994</v>
      </c>
      <c r="G4981" s="27" t="s">
        <v>17</v>
      </c>
      <c r="H4981" s="27" t="s">
        <v>2488</v>
      </c>
      <c r="I4981" s="27" t="s">
        <v>13</v>
      </c>
    </row>
    <row r="4982" spans="1:9" x14ac:dyDescent="0.3">
      <c r="A4982" s="26">
        <v>45190</v>
      </c>
      <c r="B4982" s="27" t="s">
        <v>123</v>
      </c>
      <c r="C4982" s="27" t="s">
        <v>20</v>
      </c>
      <c r="D4982" s="27" t="s">
        <v>24</v>
      </c>
      <c r="E4982" s="28">
        <v>62916</v>
      </c>
      <c r="F4982" s="28">
        <v>47242</v>
      </c>
      <c r="G4982" s="27" t="s">
        <v>8</v>
      </c>
      <c r="H4982" s="27" t="s">
        <v>2746</v>
      </c>
      <c r="I4982" s="27" t="s">
        <v>13</v>
      </c>
    </row>
    <row r="4983" spans="1:9" x14ac:dyDescent="0.3">
      <c r="A4983" s="26">
        <v>45190</v>
      </c>
      <c r="B4983" s="27" t="s">
        <v>123</v>
      </c>
      <c r="C4983" s="27" t="s">
        <v>93</v>
      </c>
      <c r="D4983" s="27" t="s">
        <v>7</v>
      </c>
      <c r="E4983" s="28">
        <v>223200</v>
      </c>
      <c r="F4983" s="28">
        <v>240700</v>
      </c>
      <c r="G4983" s="27" t="s">
        <v>22</v>
      </c>
      <c r="H4983" s="27" t="s">
        <v>3895</v>
      </c>
      <c r="I4983" s="27" t="s">
        <v>9</v>
      </c>
    </row>
    <row r="4984" spans="1:9" x14ac:dyDescent="0.3">
      <c r="A4984" s="26">
        <v>45190</v>
      </c>
      <c r="B4984" s="27" t="s">
        <v>123</v>
      </c>
      <c r="C4984" s="27" t="s">
        <v>6</v>
      </c>
      <c r="D4984" s="27" t="s">
        <v>24</v>
      </c>
      <c r="E4984" s="28">
        <v>174300</v>
      </c>
      <c r="F4984" s="28">
        <v>129300</v>
      </c>
      <c r="G4984" s="27" t="s">
        <v>22</v>
      </c>
      <c r="H4984" s="27" t="s">
        <v>3942</v>
      </c>
      <c r="I4984" s="27" t="s">
        <v>9</v>
      </c>
    </row>
    <row r="4985" spans="1:9" x14ac:dyDescent="0.3">
      <c r="A4985" s="26">
        <v>45190</v>
      </c>
      <c r="B4985" s="27" t="s">
        <v>123</v>
      </c>
      <c r="C4985" s="27" t="s">
        <v>6</v>
      </c>
      <c r="D4985" s="27" t="s">
        <v>7</v>
      </c>
      <c r="E4985" s="28">
        <v>96400</v>
      </c>
      <c r="F4985" s="28">
        <v>112600</v>
      </c>
      <c r="G4985" s="27" t="s">
        <v>17</v>
      </c>
      <c r="H4985" s="27" t="s">
        <v>4094</v>
      </c>
      <c r="I4985" s="27" t="s">
        <v>9</v>
      </c>
    </row>
    <row r="4986" spans="1:9" x14ac:dyDescent="0.3">
      <c r="A4986" s="26">
        <v>45190</v>
      </c>
      <c r="B4986" s="27" t="s">
        <v>123</v>
      </c>
      <c r="C4986" s="27" t="s">
        <v>6</v>
      </c>
      <c r="D4986" s="27" t="s">
        <v>19</v>
      </c>
      <c r="E4986" s="28">
        <v>82600</v>
      </c>
      <c r="F4986" s="28">
        <v>100200</v>
      </c>
      <c r="G4986" s="27" t="s">
        <v>11</v>
      </c>
      <c r="H4986" s="27" t="s">
        <v>4491</v>
      </c>
      <c r="I4986" s="27" t="s">
        <v>9</v>
      </c>
    </row>
    <row r="4987" spans="1:9" x14ac:dyDescent="0.3">
      <c r="A4987" s="26">
        <v>45190</v>
      </c>
      <c r="B4987" s="27" t="s">
        <v>123</v>
      </c>
      <c r="C4987" s="27" t="s">
        <v>6</v>
      </c>
      <c r="D4987" s="27" t="s">
        <v>7</v>
      </c>
      <c r="E4987" s="28">
        <v>194000</v>
      </c>
      <c r="F4987" s="28">
        <v>205300</v>
      </c>
      <c r="G4987" s="27" t="s">
        <v>22</v>
      </c>
      <c r="H4987" s="27" t="s">
        <v>4682</v>
      </c>
      <c r="I4987" s="27" t="s">
        <v>9</v>
      </c>
    </row>
    <row r="4988" spans="1:9" x14ac:dyDescent="0.3">
      <c r="A4988" s="26">
        <v>45190</v>
      </c>
      <c r="B4988" s="27" t="s">
        <v>123</v>
      </c>
      <c r="C4988" s="27" t="s">
        <v>6</v>
      </c>
      <c r="D4988" s="27" t="s">
        <v>19</v>
      </c>
      <c r="E4988" s="28">
        <v>56300</v>
      </c>
      <c r="F4988" s="28">
        <v>87300</v>
      </c>
      <c r="G4988" s="27" t="s">
        <v>11</v>
      </c>
      <c r="H4988" s="27" t="s">
        <v>5032</v>
      </c>
      <c r="I4988" s="27" t="s">
        <v>9</v>
      </c>
    </row>
    <row r="4989" spans="1:9" x14ac:dyDescent="0.3">
      <c r="A4989" s="26">
        <v>45190</v>
      </c>
      <c r="B4989" s="27" t="s">
        <v>123</v>
      </c>
      <c r="C4989" s="27" t="s">
        <v>6</v>
      </c>
      <c r="D4989" s="27" t="s">
        <v>19</v>
      </c>
      <c r="E4989" s="28">
        <v>189300</v>
      </c>
      <c r="F4989" s="28">
        <v>172500</v>
      </c>
      <c r="G4989" s="27" t="s">
        <v>11</v>
      </c>
      <c r="H4989" s="27" t="s">
        <v>5835</v>
      </c>
      <c r="I4989" s="27" t="s">
        <v>9</v>
      </c>
    </row>
    <row r="4990" spans="1:9" x14ac:dyDescent="0.3">
      <c r="A4990" s="26">
        <v>45190</v>
      </c>
      <c r="B4990" s="27" t="s">
        <v>123</v>
      </c>
      <c r="C4990" s="27" t="s">
        <v>93</v>
      </c>
      <c r="D4990" s="27" t="s">
        <v>24</v>
      </c>
      <c r="E4990" s="28">
        <v>70800</v>
      </c>
      <c r="F4990" s="28">
        <v>63400</v>
      </c>
      <c r="G4990" s="27" t="s">
        <v>11</v>
      </c>
      <c r="H4990" s="27" t="s">
        <v>5873</v>
      </c>
      <c r="I4990" s="27" t="s">
        <v>9</v>
      </c>
    </row>
    <row r="4991" spans="1:9" x14ac:dyDescent="0.3">
      <c r="A4991" s="26">
        <v>45190</v>
      </c>
      <c r="B4991" s="27" t="s">
        <v>123</v>
      </c>
      <c r="C4991" s="27" t="s">
        <v>93</v>
      </c>
      <c r="D4991" s="27" t="s">
        <v>24</v>
      </c>
      <c r="E4991" s="28">
        <v>109600</v>
      </c>
      <c r="F4991" s="28">
        <v>129700</v>
      </c>
      <c r="G4991" s="27" t="s">
        <v>22</v>
      </c>
      <c r="H4991" s="27" t="s">
        <v>6131</v>
      </c>
      <c r="I4991" s="27" t="s">
        <v>9</v>
      </c>
    </row>
    <row r="4992" spans="1:9" x14ac:dyDescent="0.3">
      <c r="A4992" s="26">
        <v>45191</v>
      </c>
      <c r="B4992" s="27" t="s">
        <v>123</v>
      </c>
      <c r="C4992" s="27" t="s">
        <v>15</v>
      </c>
      <c r="D4992" s="27" t="s">
        <v>7</v>
      </c>
      <c r="E4992" s="28">
        <v>35112</v>
      </c>
      <c r="F4992" s="28">
        <v>116553</v>
      </c>
      <c r="G4992" s="27" t="s">
        <v>8</v>
      </c>
      <c r="H4992" s="27" t="s">
        <v>459</v>
      </c>
      <c r="I4992" s="27" t="s">
        <v>13</v>
      </c>
    </row>
    <row r="4993" spans="1:9" x14ac:dyDescent="0.3">
      <c r="A4993" s="26">
        <v>45191</v>
      </c>
      <c r="B4993" s="27" t="s">
        <v>123</v>
      </c>
      <c r="C4993" s="27" t="s">
        <v>10</v>
      </c>
      <c r="D4993" s="27" t="s">
        <v>21</v>
      </c>
      <c r="E4993" s="28">
        <v>18996</v>
      </c>
      <c r="F4993" s="28">
        <v>30678</v>
      </c>
      <c r="G4993" s="27" t="s">
        <v>8</v>
      </c>
      <c r="H4993" s="27" t="s">
        <v>460</v>
      </c>
      <c r="I4993" s="27" t="s">
        <v>13</v>
      </c>
    </row>
    <row r="4994" spans="1:9" x14ac:dyDescent="0.3">
      <c r="A4994" s="26">
        <v>45191</v>
      </c>
      <c r="B4994" s="27" t="s">
        <v>123</v>
      </c>
      <c r="C4994" s="27" t="s">
        <v>20</v>
      </c>
      <c r="D4994" s="27" t="s">
        <v>19</v>
      </c>
      <c r="E4994" s="28">
        <v>39445</v>
      </c>
      <c r="F4994" s="28">
        <v>115885</v>
      </c>
      <c r="G4994" s="27" t="s">
        <v>8</v>
      </c>
      <c r="H4994" s="27" t="s">
        <v>734</v>
      </c>
      <c r="I4994" s="27" t="s">
        <v>13</v>
      </c>
    </row>
    <row r="4995" spans="1:9" x14ac:dyDescent="0.3">
      <c r="A4995" s="26">
        <v>45191</v>
      </c>
      <c r="B4995" s="27" t="s">
        <v>123</v>
      </c>
      <c r="C4995" s="27" t="s">
        <v>10</v>
      </c>
      <c r="D4995" s="27" t="s">
        <v>19</v>
      </c>
      <c r="E4995" s="28">
        <v>28921</v>
      </c>
      <c r="F4995" s="28">
        <v>33240</v>
      </c>
      <c r="G4995" s="27" t="s">
        <v>8</v>
      </c>
      <c r="H4995" s="27" t="s">
        <v>2232</v>
      </c>
      <c r="I4995" s="27" t="s">
        <v>13</v>
      </c>
    </row>
    <row r="4996" spans="1:9" x14ac:dyDescent="0.3">
      <c r="A4996" s="26">
        <v>45191</v>
      </c>
      <c r="B4996" s="27" t="s">
        <v>123</v>
      </c>
      <c r="C4996" s="27" t="s">
        <v>20</v>
      </c>
      <c r="D4996" s="27" t="s">
        <v>24</v>
      </c>
      <c r="E4996" s="28">
        <v>85813</v>
      </c>
      <c r="F4996" s="28">
        <v>63351</v>
      </c>
      <c r="G4996" s="27" t="s">
        <v>22</v>
      </c>
      <c r="H4996" s="27" t="s">
        <v>2427</v>
      </c>
      <c r="I4996" s="27" t="s">
        <v>13</v>
      </c>
    </row>
    <row r="4997" spans="1:9" x14ac:dyDescent="0.3">
      <c r="A4997" s="26">
        <v>45191</v>
      </c>
      <c r="B4997" s="27" t="s">
        <v>123</v>
      </c>
      <c r="C4997" s="27" t="s">
        <v>20</v>
      </c>
      <c r="D4997" s="27" t="s">
        <v>19</v>
      </c>
      <c r="E4997" s="28">
        <v>32871</v>
      </c>
      <c r="F4997" s="28">
        <v>80136</v>
      </c>
      <c r="G4997" s="27" t="s">
        <v>17</v>
      </c>
      <c r="H4997" s="27" t="s">
        <v>2920</v>
      </c>
      <c r="I4997" s="27" t="s">
        <v>13</v>
      </c>
    </row>
    <row r="4998" spans="1:9" x14ac:dyDescent="0.3">
      <c r="A4998" s="26">
        <v>45191</v>
      </c>
      <c r="B4998" s="27" t="s">
        <v>123</v>
      </c>
      <c r="C4998" s="27" t="s">
        <v>93</v>
      </c>
      <c r="D4998" s="27" t="s">
        <v>7</v>
      </c>
      <c r="E4998" s="28">
        <v>106800</v>
      </c>
      <c r="F4998" s="28">
        <v>117000</v>
      </c>
      <c r="G4998" s="27" t="s">
        <v>11</v>
      </c>
      <c r="H4998" s="27" t="s">
        <v>3840</v>
      </c>
      <c r="I4998" s="27" t="s">
        <v>9</v>
      </c>
    </row>
    <row r="4999" spans="1:9" x14ac:dyDescent="0.3">
      <c r="A4999" s="26">
        <v>45191</v>
      </c>
      <c r="B4999" s="27" t="s">
        <v>123</v>
      </c>
      <c r="C4999" s="27" t="s">
        <v>93</v>
      </c>
      <c r="D4999" s="27" t="s">
        <v>21</v>
      </c>
      <c r="E4999" s="28">
        <v>62400</v>
      </c>
      <c r="F4999" s="28">
        <v>65300</v>
      </c>
      <c r="G4999" s="27" t="s">
        <v>22</v>
      </c>
      <c r="H4999" s="27" t="s">
        <v>3841</v>
      </c>
      <c r="I4999" s="27" t="s">
        <v>9</v>
      </c>
    </row>
    <row r="5000" spans="1:9" x14ac:dyDescent="0.3">
      <c r="A5000" s="26">
        <v>45191</v>
      </c>
      <c r="B5000" s="27" t="s">
        <v>123</v>
      </c>
      <c r="C5000" s="27" t="s">
        <v>93</v>
      </c>
      <c r="D5000" s="27" t="s">
        <v>19</v>
      </c>
      <c r="E5000" s="28">
        <v>59700</v>
      </c>
      <c r="F5000" s="28">
        <v>49600</v>
      </c>
      <c r="G5000" s="27" t="s">
        <v>11</v>
      </c>
      <c r="H5000" s="27" t="s">
        <v>4115</v>
      </c>
      <c r="I5000" s="27" t="s">
        <v>9</v>
      </c>
    </row>
    <row r="5001" spans="1:9" x14ac:dyDescent="0.3">
      <c r="A5001" s="26">
        <v>45191</v>
      </c>
      <c r="B5001" s="27" t="s">
        <v>123</v>
      </c>
      <c r="C5001" s="27" t="s">
        <v>6</v>
      </c>
      <c r="D5001" s="27" t="s">
        <v>19</v>
      </c>
      <c r="E5001" s="28">
        <v>229000</v>
      </c>
      <c r="F5001" s="28">
        <v>198400</v>
      </c>
      <c r="G5001" s="27" t="s">
        <v>22</v>
      </c>
      <c r="H5001" s="27" t="s">
        <v>5617</v>
      </c>
      <c r="I5001" s="27" t="s">
        <v>9</v>
      </c>
    </row>
    <row r="5002" spans="1:9" x14ac:dyDescent="0.3">
      <c r="A5002" s="26">
        <v>45191</v>
      </c>
      <c r="B5002" s="27" t="s">
        <v>123</v>
      </c>
      <c r="C5002" s="27" t="s">
        <v>6</v>
      </c>
      <c r="D5002" s="27" t="s">
        <v>24</v>
      </c>
      <c r="E5002" s="28">
        <v>124800</v>
      </c>
      <c r="F5002" s="28">
        <v>144000</v>
      </c>
      <c r="G5002" s="27" t="s">
        <v>11</v>
      </c>
      <c r="H5002" s="27" t="s">
        <v>5812</v>
      </c>
      <c r="I5002" s="27" t="s">
        <v>9</v>
      </c>
    </row>
    <row r="5003" spans="1:9" x14ac:dyDescent="0.3">
      <c r="A5003" s="26">
        <v>45191</v>
      </c>
      <c r="B5003" s="27" t="s">
        <v>123</v>
      </c>
      <c r="C5003" s="27" t="s">
        <v>6</v>
      </c>
      <c r="D5003" s="27" t="s">
        <v>19</v>
      </c>
      <c r="E5003" s="28">
        <v>86700</v>
      </c>
      <c r="F5003" s="28">
        <v>60200</v>
      </c>
      <c r="G5003" s="27" t="s">
        <v>11</v>
      </c>
      <c r="H5003" s="27" t="s">
        <v>6305</v>
      </c>
      <c r="I5003" s="27" t="s">
        <v>9</v>
      </c>
    </row>
    <row r="5004" spans="1:9" x14ac:dyDescent="0.3">
      <c r="A5004" s="26">
        <v>45192</v>
      </c>
      <c r="B5004" s="27" t="s">
        <v>123</v>
      </c>
      <c r="C5004" s="27" t="s">
        <v>14</v>
      </c>
      <c r="D5004" s="27" t="s">
        <v>19</v>
      </c>
      <c r="E5004" s="28">
        <v>25860</v>
      </c>
      <c r="F5004" s="28">
        <v>132052</v>
      </c>
      <c r="G5004" s="27" t="s">
        <v>17</v>
      </c>
      <c r="H5004" s="27" t="s">
        <v>59</v>
      </c>
      <c r="I5004" s="27" t="s">
        <v>13</v>
      </c>
    </row>
    <row r="5005" spans="1:9" x14ac:dyDescent="0.3">
      <c r="A5005" s="26">
        <v>45192</v>
      </c>
      <c r="B5005" s="27" t="s">
        <v>123</v>
      </c>
      <c r="C5005" s="27" t="s">
        <v>32</v>
      </c>
      <c r="D5005" s="27" t="s">
        <v>16</v>
      </c>
      <c r="E5005" s="28">
        <v>19612</v>
      </c>
      <c r="F5005" s="28">
        <v>163214</v>
      </c>
      <c r="G5005" s="27" t="s">
        <v>11</v>
      </c>
      <c r="H5005" s="27" t="s">
        <v>972</v>
      </c>
      <c r="I5005" s="27" t="s">
        <v>13</v>
      </c>
    </row>
    <row r="5006" spans="1:9" x14ac:dyDescent="0.3">
      <c r="A5006" s="26">
        <v>45192</v>
      </c>
      <c r="B5006" s="27" t="s">
        <v>123</v>
      </c>
      <c r="C5006" s="27" t="s">
        <v>15</v>
      </c>
      <c r="D5006" s="27" t="s">
        <v>21</v>
      </c>
      <c r="E5006" s="28">
        <v>104816</v>
      </c>
      <c r="F5006" s="28">
        <v>149541</v>
      </c>
      <c r="G5006" s="27" t="s">
        <v>17</v>
      </c>
      <c r="H5006" s="27" t="s">
        <v>1835</v>
      </c>
      <c r="I5006" s="27" t="s">
        <v>13</v>
      </c>
    </row>
    <row r="5007" spans="1:9" x14ac:dyDescent="0.3">
      <c r="A5007" s="26">
        <v>45192</v>
      </c>
      <c r="B5007" s="27" t="s">
        <v>123</v>
      </c>
      <c r="C5007" s="27" t="s">
        <v>14</v>
      </c>
      <c r="D5007" s="27" t="s">
        <v>16</v>
      </c>
      <c r="E5007" s="28">
        <v>143048</v>
      </c>
      <c r="F5007" s="28">
        <v>36965</v>
      </c>
      <c r="G5007" s="27" t="s">
        <v>22</v>
      </c>
      <c r="H5007" s="27" t="s">
        <v>2391</v>
      </c>
      <c r="I5007" s="27" t="s">
        <v>13</v>
      </c>
    </row>
    <row r="5008" spans="1:9" x14ac:dyDescent="0.3">
      <c r="A5008" s="26">
        <v>45192</v>
      </c>
      <c r="B5008" s="27" t="s">
        <v>123</v>
      </c>
      <c r="C5008" s="27" t="s">
        <v>18</v>
      </c>
      <c r="D5008" s="27" t="s">
        <v>16</v>
      </c>
      <c r="E5008" s="28">
        <v>97158</v>
      </c>
      <c r="F5008" s="28">
        <v>109496</v>
      </c>
      <c r="G5008" s="27" t="s">
        <v>11</v>
      </c>
      <c r="H5008" s="27" t="s">
        <v>2717</v>
      </c>
      <c r="I5008" s="27" t="s">
        <v>13</v>
      </c>
    </row>
    <row r="5009" spans="1:9" x14ac:dyDescent="0.3">
      <c r="A5009" s="26">
        <v>45192</v>
      </c>
      <c r="B5009" s="27" t="s">
        <v>123</v>
      </c>
      <c r="C5009" s="27" t="s">
        <v>93</v>
      </c>
      <c r="D5009" s="27" t="s">
        <v>19</v>
      </c>
      <c r="E5009" s="28">
        <v>91900</v>
      </c>
      <c r="F5009" s="28">
        <v>97900</v>
      </c>
      <c r="G5009" s="27" t="s">
        <v>22</v>
      </c>
      <c r="H5009" s="27" t="s">
        <v>3459</v>
      </c>
      <c r="I5009" s="27" t="s">
        <v>9</v>
      </c>
    </row>
    <row r="5010" spans="1:9" x14ac:dyDescent="0.3">
      <c r="A5010" s="26">
        <v>45192</v>
      </c>
      <c r="B5010" s="27" t="s">
        <v>123</v>
      </c>
      <c r="C5010" s="27" t="s">
        <v>93</v>
      </c>
      <c r="D5010" s="27" t="s">
        <v>16</v>
      </c>
      <c r="E5010" s="28">
        <v>137800</v>
      </c>
      <c r="F5010" s="28">
        <v>134400</v>
      </c>
      <c r="G5010" s="27" t="s">
        <v>11</v>
      </c>
      <c r="H5010" s="27" t="s">
        <v>4353</v>
      </c>
      <c r="I5010" s="27" t="s">
        <v>9</v>
      </c>
    </row>
    <row r="5011" spans="1:9" x14ac:dyDescent="0.3">
      <c r="A5011" s="26">
        <v>45192</v>
      </c>
      <c r="B5011" s="27" t="s">
        <v>123</v>
      </c>
      <c r="C5011" s="27" t="s">
        <v>6</v>
      </c>
      <c r="D5011" s="27" t="s">
        <v>21</v>
      </c>
      <c r="E5011" s="28">
        <v>222000</v>
      </c>
      <c r="F5011" s="28">
        <v>189400</v>
      </c>
      <c r="G5011" s="27" t="s">
        <v>11</v>
      </c>
      <c r="H5011" s="27" t="s">
        <v>5218</v>
      </c>
      <c r="I5011" s="27" t="s">
        <v>9</v>
      </c>
    </row>
    <row r="5012" spans="1:9" x14ac:dyDescent="0.3">
      <c r="A5012" s="26">
        <v>45192</v>
      </c>
      <c r="B5012" s="27" t="s">
        <v>123</v>
      </c>
      <c r="C5012" s="27" t="s">
        <v>6</v>
      </c>
      <c r="D5012" s="27" t="s">
        <v>16</v>
      </c>
      <c r="E5012" s="28">
        <v>240000</v>
      </c>
      <c r="F5012" s="28">
        <v>269400</v>
      </c>
      <c r="G5012" s="27" t="s">
        <v>22</v>
      </c>
      <c r="H5012" s="27" t="s">
        <v>5776</v>
      </c>
      <c r="I5012" s="27" t="s">
        <v>9</v>
      </c>
    </row>
    <row r="5013" spans="1:9" x14ac:dyDescent="0.3">
      <c r="A5013" s="26">
        <v>45192</v>
      </c>
      <c r="B5013" s="27" t="s">
        <v>123</v>
      </c>
      <c r="C5013" s="27" t="s">
        <v>6</v>
      </c>
      <c r="D5013" s="27" t="s">
        <v>16</v>
      </c>
      <c r="E5013" s="28">
        <v>105900</v>
      </c>
      <c r="F5013" s="28">
        <v>105300</v>
      </c>
      <c r="G5013" s="27" t="s">
        <v>11</v>
      </c>
      <c r="H5013" s="27" t="s">
        <v>6102</v>
      </c>
      <c r="I5013" s="27" t="s">
        <v>9</v>
      </c>
    </row>
    <row r="5014" spans="1:9" x14ac:dyDescent="0.3">
      <c r="A5014" s="26">
        <v>45193</v>
      </c>
      <c r="B5014" s="27" t="s">
        <v>123</v>
      </c>
      <c r="C5014" s="27" t="s">
        <v>14</v>
      </c>
      <c r="D5014" s="27" t="s">
        <v>7</v>
      </c>
      <c r="E5014" s="28">
        <v>141443</v>
      </c>
      <c r="F5014" s="28">
        <v>55742</v>
      </c>
      <c r="G5014" s="27" t="s">
        <v>8</v>
      </c>
      <c r="H5014" s="27" t="s">
        <v>184</v>
      </c>
      <c r="I5014" s="27" t="s">
        <v>13</v>
      </c>
    </row>
    <row r="5015" spans="1:9" x14ac:dyDescent="0.3">
      <c r="A5015" s="26">
        <v>45193</v>
      </c>
      <c r="B5015" s="27" t="s">
        <v>123</v>
      </c>
      <c r="C5015" s="27" t="s">
        <v>14</v>
      </c>
      <c r="D5015" s="27" t="s">
        <v>19</v>
      </c>
      <c r="E5015" s="28">
        <v>117871</v>
      </c>
      <c r="F5015" s="28">
        <v>115354</v>
      </c>
      <c r="G5015" s="27" t="s">
        <v>11</v>
      </c>
      <c r="H5015" s="27" t="s">
        <v>275</v>
      </c>
      <c r="I5015" s="27" t="s">
        <v>13</v>
      </c>
    </row>
    <row r="5016" spans="1:9" x14ac:dyDescent="0.3">
      <c r="A5016" s="26">
        <v>45193</v>
      </c>
      <c r="B5016" s="27" t="s">
        <v>123</v>
      </c>
      <c r="C5016" s="27" t="s">
        <v>15</v>
      </c>
      <c r="D5016" s="27" t="s">
        <v>24</v>
      </c>
      <c r="E5016" s="28">
        <v>22869</v>
      </c>
      <c r="F5016" s="28">
        <v>73592</v>
      </c>
      <c r="G5016" s="27" t="s">
        <v>11</v>
      </c>
      <c r="H5016" s="27" t="s">
        <v>352</v>
      </c>
      <c r="I5016" s="27" t="s">
        <v>13</v>
      </c>
    </row>
    <row r="5017" spans="1:9" x14ac:dyDescent="0.3">
      <c r="A5017" s="26">
        <v>45193</v>
      </c>
      <c r="B5017" s="27" t="s">
        <v>123</v>
      </c>
      <c r="C5017" s="27" t="s">
        <v>20</v>
      </c>
      <c r="D5017" s="27" t="s">
        <v>19</v>
      </c>
      <c r="E5017" s="28">
        <v>76986</v>
      </c>
      <c r="F5017" s="28">
        <v>9360</v>
      </c>
      <c r="G5017" s="27" t="s">
        <v>11</v>
      </c>
      <c r="H5017" s="27" t="s">
        <v>1816</v>
      </c>
      <c r="I5017" s="27" t="s">
        <v>13</v>
      </c>
    </row>
    <row r="5018" spans="1:9" x14ac:dyDescent="0.3">
      <c r="A5018" s="26">
        <v>45193</v>
      </c>
      <c r="B5018" s="27" t="s">
        <v>123</v>
      </c>
      <c r="C5018" s="27" t="s">
        <v>18</v>
      </c>
      <c r="D5018" s="27" t="s">
        <v>21</v>
      </c>
      <c r="E5018" s="28">
        <v>94854</v>
      </c>
      <c r="F5018" s="28">
        <v>93675</v>
      </c>
      <c r="G5018" s="27" t="s">
        <v>22</v>
      </c>
      <c r="H5018" s="27" t="s">
        <v>1905</v>
      </c>
      <c r="I5018" s="27" t="s">
        <v>13</v>
      </c>
    </row>
    <row r="5019" spans="1:9" x14ac:dyDescent="0.3">
      <c r="A5019" s="26">
        <v>45193</v>
      </c>
      <c r="B5019" s="27" t="s">
        <v>123</v>
      </c>
      <c r="C5019" s="27" t="s">
        <v>14</v>
      </c>
      <c r="D5019" s="27" t="s">
        <v>16</v>
      </c>
      <c r="E5019" s="28">
        <v>103960</v>
      </c>
      <c r="F5019" s="28">
        <v>43886</v>
      </c>
      <c r="G5019" s="27" t="s">
        <v>8</v>
      </c>
      <c r="H5019" s="27" t="s">
        <v>1909</v>
      </c>
      <c r="I5019" s="27" t="s">
        <v>13</v>
      </c>
    </row>
    <row r="5020" spans="1:9" x14ac:dyDescent="0.3">
      <c r="A5020" s="26">
        <v>45193</v>
      </c>
      <c r="B5020" s="27" t="s">
        <v>123</v>
      </c>
      <c r="C5020" s="27" t="s">
        <v>20</v>
      </c>
      <c r="D5020" s="27" t="s">
        <v>24</v>
      </c>
      <c r="E5020" s="28">
        <v>25383</v>
      </c>
      <c r="F5020" s="28">
        <v>55395</v>
      </c>
      <c r="G5020" s="27" t="s">
        <v>11</v>
      </c>
      <c r="H5020" s="27" t="s">
        <v>2136</v>
      </c>
      <c r="I5020" s="27" t="s">
        <v>13</v>
      </c>
    </row>
    <row r="5021" spans="1:9" x14ac:dyDescent="0.3">
      <c r="A5021" s="26">
        <v>45193</v>
      </c>
      <c r="B5021" s="27" t="s">
        <v>123</v>
      </c>
      <c r="C5021" s="27" t="s">
        <v>20</v>
      </c>
      <c r="D5021" s="27" t="s">
        <v>21</v>
      </c>
      <c r="E5021" s="28">
        <v>40208</v>
      </c>
      <c r="F5021" s="28">
        <v>68355</v>
      </c>
      <c r="G5021" s="27" t="s">
        <v>8</v>
      </c>
      <c r="H5021" s="27" t="s">
        <v>2418</v>
      </c>
      <c r="I5021" s="27" t="s">
        <v>13</v>
      </c>
    </row>
    <row r="5022" spans="1:9" x14ac:dyDescent="0.3">
      <c r="A5022" s="26">
        <v>45193</v>
      </c>
      <c r="B5022" s="27" t="s">
        <v>123</v>
      </c>
      <c r="C5022" s="27" t="s">
        <v>18</v>
      </c>
      <c r="D5022" s="27" t="s">
        <v>24</v>
      </c>
      <c r="E5022" s="28">
        <v>132793</v>
      </c>
      <c r="F5022" s="28">
        <v>17396</v>
      </c>
      <c r="G5022" s="27" t="s">
        <v>17</v>
      </c>
      <c r="H5022" s="27" t="s">
        <v>2768</v>
      </c>
      <c r="I5022" s="27" t="s">
        <v>13</v>
      </c>
    </row>
    <row r="5023" spans="1:9" x14ac:dyDescent="0.3">
      <c r="A5023" s="26">
        <v>45193</v>
      </c>
      <c r="B5023" s="27" t="s">
        <v>123</v>
      </c>
      <c r="C5023" s="27" t="s">
        <v>18</v>
      </c>
      <c r="D5023" s="27" t="s">
        <v>7</v>
      </c>
      <c r="E5023" s="28">
        <v>125029</v>
      </c>
      <c r="F5023" s="28">
        <v>152054</v>
      </c>
      <c r="G5023" s="27" t="s">
        <v>22</v>
      </c>
      <c r="H5023" s="27" t="s">
        <v>2953</v>
      </c>
      <c r="I5023" s="27" t="s">
        <v>13</v>
      </c>
    </row>
    <row r="5024" spans="1:9" x14ac:dyDescent="0.3">
      <c r="A5024" s="26">
        <v>45193</v>
      </c>
      <c r="B5024" s="27" t="s">
        <v>123</v>
      </c>
      <c r="C5024" s="27" t="s">
        <v>6</v>
      </c>
      <c r="D5024" s="27" t="s">
        <v>7</v>
      </c>
      <c r="E5024" s="28">
        <v>147700</v>
      </c>
      <c r="F5024" s="28">
        <v>133900</v>
      </c>
      <c r="G5024" s="27" t="s">
        <v>22</v>
      </c>
      <c r="H5024" s="27" t="s">
        <v>3565</v>
      </c>
      <c r="I5024" s="27" t="s">
        <v>9</v>
      </c>
    </row>
    <row r="5025" spans="1:9" x14ac:dyDescent="0.3">
      <c r="A5025" s="26">
        <v>45193</v>
      </c>
      <c r="B5025" s="27" t="s">
        <v>123</v>
      </c>
      <c r="C5025" s="27" t="s">
        <v>6</v>
      </c>
      <c r="D5025" s="27" t="s">
        <v>19</v>
      </c>
      <c r="E5025" s="28">
        <v>188100</v>
      </c>
      <c r="F5025" s="28">
        <v>205600</v>
      </c>
      <c r="G5025" s="27" t="s">
        <v>22</v>
      </c>
      <c r="H5025" s="27" t="s">
        <v>3656</v>
      </c>
      <c r="I5025" s="27" t="s">
        <v>9</v>
      </c>
    </row>
    <row r="5026" spans="1:9" x14ac:dyDescent="0.3">
      <c r="A5026" s="26">
        <v>45193</v>
      </c>
      <c r="B5026" s="27" t="s">
        <v>123</v>
      </c>
      <c r="C5026" s="27" t="s">
        <v>93</v>
      </c>
      <c r="D5026" s="27" t="s">
        <v>24</v>
      </c>
      <c r="E5026" s="28">
        <v>84500</v>
      </c>
      <c r="F5026" s="28">
        <v>95100</v>
      </c>
      <c r="G5026" s="27" t="s">
        <v>22</v>
      </c>
      <c r="H5026" s="27" t="s">
        <v>3733</v>
      </c>
      <c r="I5026" s="27" t="s">
        <v>9</v>
      </c>
    </row>
    <row r="5027" spans="1:9" x14ac:dyDescent="0.3">
      <c r="A5027" s="26">
        <v>45193</v>
      </c>
      <c r="B5027" s="27" t="s">
        <v>123</v>
      </c>
      <c r="C5027" s="27" t="s">
        <v>6</v>
      </c>
      <c r="D5027" s="27" t="s">
        <v>19</v>
      </c>
      <c r="E5027" s="28">
        <v>130100</v>
      </c>
      <c r="F5027" s="28">
        <v>143800</v>
      </c>
      <c r="G5027" s="27" t="s">
        <v>11</v>
      </c>
      <c r="H5027" s="27" t="s">
        <v>5199</v>
      </c>
      <c r="I5027" s="27" t="s">
        <v>9</v>
      </c>
    </row>
    <row r="5028" spans="1:9" x14ac:dyDescent="0.3">
      <c r="A5028" s="26">
        <v>45193</v>
      </c>
      <c r="B5028" s="27" t="s">
        <v>123</v>
      </c>
      <c r="C5028" s="27" t="s">
        <v>6</v>
      </c>
      <c r="D5028" s="27" t="s">
        <v>21</v>
      </c>
      <c r="E5028" s="28">
        <v>72000</v>
      </c>
      <c r="F5028" s="28">
        <v>61700</v>
      </c>
      <c r="G5028" s="27" t="s">
        <v>11</v>
      </c>
      <c r="H5028" s="27" t="s">
        <v>5289</v>
      </c>
      <c r="I5028" s="27" t="s">
        <v>9</v>
      </c>
    </row>
    <row r="5029" spans="1:9" x14ac:dyDescent="0.3">
      <c r="A5029" s="26">
        <v>45193</v>
      </c>
      <c r="B5029" s="27" t="s">
        <v>123</v>
      </c>
      <c r="C5029" s="27" t="s">
        <v>93</v>
      </c>
      <c r="D5029" s="27" t="s">
        <v>16</v>
      </c>
      <c r="E5029" s="28">
        <v>65400</v>
      </c>
      <c r="F5029" s="28">
        <v>80200</v>
      </c>
      <c r="G5029" s="27" t="s">
        <v>17</v>
      </c>
      <c r="H5029" s="27" t="s">
        <v>5293</v>
      </c>
      <c r="I5029" s="27" t="s">
        <v>9</v>
      </c>
    </row>
    <row r="5030" spans="1:9" x14ac:dyDescent="0.3">
      <c r="A5030" s="26">
        <v>45193</v>
      </c>
      <c r="B5030" s="27" t="s">
        <v>123</v>
      </c>
      <c r="C5030" s="27" t="s">
        <v>6</v>
      </c>
      <c r="D5030" s="27" t="s">
        <v>24</v>
      </c>
      <c r="E5030" s="28">
        <v>147500</v>
      </c>
      <c r="F5030" s="28">
        <v>157100</v>
      </c>
      <c r="G5030" s="27" t="s">
        <v>11</v>
      </c>
      <c r="H5030" s="27" t="s">
        <v>5520</v>
      </c>
      <c r="I5030" s="27" t="s">
        <v>9</v>
      </c>
    </row>
    <row r="5031" spans="1:9" x14ac:dyDescent="0.3">
      <c r="A5031" s="26">
        <v>45193</v>
      </c>
      <c r="B5031" s="27" t="s">
        <v>123</v>
      </c>
      <c r="C5031" s="27" t="s">
        <v>93</v>
      </c>
      <c r="D5031" s="27" t="s">
        <v>21</v>
      </c>
      <c r="E5031" s="28">
        <v>111600</v>
      </c>
      <c r="F5031" s="28">
        <v>118800</v>
      </c>
      <c r="G5031" s="27" t="s">
        <v>11</v>
      </c>
      <c r="H5031" s="27" t="s">
        <v>5803</v>
      </c>
      <c r="I5031" s="27" t="s">
        <v>9</v>
      </c>
    </row>
    <row r="5032" spans="1:9" x14ac:dyDescent="0.3">
      <c r="A5032" s="26">
        <v>45193</v>
      </c>
      <c r="B5032" s="27" t="s">
        <v>123</v>
      </c>
      <c r="C5032" s="27" t="s">
        <v>93</v>
      </c>
      <c r="D5032" s="27" t="s">
        <v>24</v>
      </c>
      <c r="E5032" s="28">
        <v>63500</v>
      </c>
      <c r="F5032" s="28">
        <v>53000</v>
      </c>
      <c r="G5032" s="27" t="s">
        <v>22</v>
      </c>
      <c r="H5032" s="27" t="s">
        <v>6153</v>
      </c>
      <c r="I5032" s="27" t="s">
        <v>9</v>
      </c>
    </row>
    <row r="5033" spans="1:9" x14ac:dyDescent="0.3">
      <c r="A5033" s="26">
        <v>45193</v>
      </c>
      <c r="B5033" s="27" t="s">
        <v>123</v>
      </c>
      <c r="C5033" s="27" t="s">
        <v>6</v>
      </c>
      <c r="D5033" s="27" t="s">
        <v>7</v>
      </c>
      <c r="E5033" s="28">
        <v>106600</v>
      </c>
      <c r="F5033" s="28">
        <v>108700</v>
      </c>
      <c r="G5033" s="27" t="s">
        <v>17</v>
      </c>
      <c r="H5033" s="27" t="s">
        <v>6338</v>
      </c>
      <c r="I5033" s="27" t="s">
        <v>9</v>
      </c>
    </row>
    <row r="5034" spans="1:9" x14ac:dyDescent="0.3">
      <c r="A5034" s="26">
        <v>45194</v>
      </c>
      <c r="B5034" s="27" t="s">
        <v>123</v>
      </c>
      <c r="C5034" s="27" t="s">
        <v>15</v>
      </c>
      <c r="D5034" s="27" t="s">
        <v>24</v>
      </c>
      <c r="E5034" s="28">
        <v>66218</v>
      </c>
      <c r="F5034" s="28">
        <v>116058</v>
      </c>
      <c r="G5034" s="27" t="s">
        <v>11</v>
      </c>
      <c r="H5034" s="27" t="s">
        <v>429</v>
      </c>
      <c r="I5034" s="27" t="s">
        <v>13</v>
      </c>
    </row>
    <row r="5035" spans="1:9" x14ac:dyDescent="0.3">
      <c r="A5035" s="26">
        <v>45194</v>
      </c>
      <c r="B5035" s="27" t="s">
        <v>123</v>
      </c>
      <c r="C5035" s="27" t="s">
        <v>20</v>
      </c>
      <c r="D5035" s="27" t="s">
        <v>21</v>
      </c>
      <c r="E5035" s="28">
        <v>86860</v>
      </c>
      <c r="F5035" s="28">
        <v>155573</v>
      </c>
      <c r="G5035" s="27" t="s">
        <v>17</v>
      </c>
      <c r="H5035" s="27" t="s">
        <v>796</v>
      </c>
      <c r="I5035" s="27" t="s">
        <v>13</v>
      </c>
    </row>
    <row r="5036" spans="1:9" x14ac:dyDescent="0.3">
      <c r="A5036" s="26">
        <v>45194</v>
      </c>
      <c r="B5036" s="27" t="s">
        <v>123</v>
      </c>
      <c r="C5036" s="27" t="s">
        <v>18</v>
      </c>
      <c r="D5036" s="27" t="s">
        <v>16</v>
      </c>
      <c r="E5036" s="28">
        <v>37737</v>
      </c>
      <c r="F5036" s="28">
        <v>45916</v>
      </c>
      <c r="G5036" s="27" t="s">
        <v>8</v>
      </c>
      <c r="H5036" s="27" t="s">
        <v>920</v>
      </c>
      <c r="I5036" s="27" t="s">
        <v>13</v>
      </c>
    </row>
    <row r="5037" spans="1:9" x14ac:dyDescent="0.3">
      <c r="A5037" s="26">
        <v>45194</v>
      </c>
      <c r="B5037" s="27" t="s">
        <v>123</v>
      </c>
      <c r="C5037" s="27" t="s">
        <v>20</v>
      </c>
      <c r="D5037" s="27" t="s">
        <v>19</v>
      </c>
      <c r="E5037" s="28">
        <v>49857</v>
      </c>
      <c r="F5037" s="28">
        <v>126788</v>
      </c>
      <c r="G5037" s="27" t="s">
        <v>22</v>
      </c>
      <c r="H5037" s="27" t="s">
        <v>1977</v>
      </c>
      <c r="I5037" s="27" t="s">
        <v>13</v>
      </c>
    </row>
    <row r="5038" spans="1:9" x14ac:dyDescent="0.3">
      <c r="A5038" s="26">
        <v>45194</v>
      </c>
      <c r="B5038" s="27" t="s">
        <v>123</v>
      </c>
      <c r="C5038" s="27" t="s">
        <v>10</v>
      </c>
      <c r="D5038" s="27" t="s">
        <v>19</v>
      </c>
      <c r="E5038" s="28">
        <v>110190</v>
      </c>
      <c r="F5038" s="28">
        <v>61768</v>
      </c>
      <c r="G5038" s="27" t="s">
        <v>11</v>
      </c>
      <c r="H5038" s="27" t="s">
        <v>2123</v>
      </c>
      <c r="I5038" s="27" t="s">
        <v>13</v>
      </c>
    </row>
    <row r="5039" spans="1:9" x14ac:dyDescent="0.3">
      <c r="A5039" s="26">
        <v>45194</v>
      </c>
      <c r="B5039" s="27" t="s">
        <v>123</v>
      </c>
      <c r="C5039" s="27" t="s">
        <v>14</v>
      </c>
      <c r="D5039" s="27" t="s">
        <v>24</v>
      </c>
      <c r="E5039" s="28">
        <v>74172</v>
      </c>
      <c r="F5039" s="28">
        <v>87119</v>
      </c>
      <c r="G5039" s="27" t="s">
        <v>11</v>
      </c>
      <c r="H5039" s="27" t="s">
        <v>2666</v>
      </c>
      <c r="I5039" s="27" t="s">
        <v>13</v>
      </c>
    </row>
    <row r="5040" spans="1:9" x14ac:dyDescent="0.3">
      <c r="A5040" s="26">
        <v>45194</v>
      </c>
      <c r="B5040" s="27" t="s">
        <v>123</v>
      </c>
      <c r="C5040" s="27" t="s">
        <v>20</v>
      </c>
      <c r="D5040" s="27" t="s">
        <v>19</v>
      </c>
      <c r="E5040" s="28">
        <v>49396</v>
      </c>
      <c r="F5040" s="28">
        <v>103784</v>
      </c>
      <c r="G5040" s="27" t="s">
        <v>8</v>
      </c>
      <c r="H5040" s="27" t="s">
        <v>2738</v>
      </c>
      <c r="I5040" s="27" t="s">
        <v>13</v>
      </c>
    </row>
    <row r="5041" spans="1:9" x14ac:dyDescent="0.3">
      <c r="A5041" s="26">
        <v>45194</v>
      </c>
      <c r="B5041" s="27" t="s">
        <v>123</v>
      </c>
      <c r="C5041" s="27" t="s">
        <v>10</v>
      </c>
      <c r="D5041" s="27" t="s">
        <v>19</v>
      </c>
      <c r="E5041" s="28">
        <v>14819</v>
      </c>
      <c r="F5041" s="28">
        <v>67478</v>
      </c>
      <c r="G5041" s="27" t="s">
        <v>17</v>
      </c>
      <c r="H5041" s="27" t="s">
        <v>3253</v>
      </c>
      <c r="I5041" s="27" t="s">
        <v>13</v>
      </c>
    </row>
    <row r="5042" spans="1:9" x14ac:dyDescent="0.3">
      <c r="A5042" s="26">
        <v>45194</v>
      </c>
      <c r="B5042" s="27" t="s">
        <v>123</v>
      </c>
      <c r="C5042" s="27" t="s">
        <v>20</v>
      </c>
      <c r="D5042" s="27" t="s">
        <v>19</v>
      </c>
      <c r="E5042" s="28">
        <v>28050</v>
      </c>
      <c r="F5042" s="28">
        <v>13421</v>
      </c>
      <c r="G5042" s="27" t="s">
        <v>8</v>
      </c>
      <c r="H5042" s="27" t="s">
        <v>3370</v>
      </c>
      <c r="I5042" s="27" t="s">
        <v>13</v>
      </c>
    </row>
    <row r="5043" spans="1:9" x14ac:dyDescent="0.3">
      <c r="A5043" s="26">
        <v>45194</v>
      </c>
      <c r="B5043" s="27" t="s">
        <v>123</v>
      </c>
      <c r="C5043" s="27" t="s">
        <v>6</v>
      </c>
      <c r="D5043" s="27" t="s">
        <v>24</v>
      </c>
      <c r="E5043" s="28">
        <v>59200</v>
      </c>
      <c r="F5043" s="28">
        <v>60100</v>
      </c>
      <c r="G5043" s="27" t="s">
        <v>11</v>
      </c>
      <c r="H5043" s="27" t="s">
        <v>3810</v>
      </c>
      <c r="I5043" s="27" t="s">
        <v>9</v>
      </c>
    </row>
    <row r="5044" spans="1:9" x14ac:dyDescent="0.3">
      <c r="A5044" s="26">
        <v>45194</v>
      </c>
      <c r="B5044" s="27" t="s">
        <v>123</v>
      </c>
      <c r="C5044" s="27" t="s">
        <v>6</v>
      </c>
      <c r="D5044" s="27" t="s">
        <v>21</v>
      </c>
      <c r="E5044" s="28">
        <v>197400</v>
      </c>
      <c r="F5044" s="28">
        <v>261100</v>
      </c>
      <c r="G5044" s="27" t="s">
        <v>11</v>
      </c>
      <c r="H5044" s="27" t="s">
        <v>4177</v>
      </c>
      <c r="I5044" s="27" t="s">
        <v>9</v>
      </c>
    </row>
    <row r="5045" spans="1:9" x14ac:dyDescent="0.3">
      <c r="A5045" s="26">
        <v>45194</v>
      </c>
      <c r="B5045" s="27" t="s">
        <v>123</v>
      </c>
      <c r="C5045" s="27" t="s">
        <v>93</v>
      </c>
      <c r="D5045" s="27" t="s">
        <v>16</v>
      </c>
      <c r="E5045" s="28">
        <v>124800</v>
      </c>
      <c r="F5045" s="28">
        <v>106400</v>
      </c>
      <c r="G5045" s="27" t="s">
        <v>17</v>
      </c>
      <c r="H5045" s="27" t="s">
        <v>4301</v>
      </c>
      <c r="I5045" s="27" t="s">
        <v>9</v>
      </c>
    </row>
    <row r="5046" spans="1:9" x14ac:dyDescent="0.3">
      <c r="A5046" s="26">
        <v>45194</v>
      </c>
      <c r="B5046" s="27" t="s">
        <v>123</v>
      </c>
      <c r="C5046" s="27" t="s">
        <v>6</v>
      </c>
      <c r="D5046" s="27" t="s">
        <v>19</v>
      </c>
      <c r="E5046" s="28">
        <v>150900</v>
      </c>
      <c r="F5046" s="28">
        <v>137300</v>
      </c>
      <c r="G5046" s="27" t="s">
        <v>11</v>
      </c>
      <c r="H5046" s="27" t="s">
        <v>5361</v>
      </c>
      <c r="I5046" s="27" t="s">
        <v>9</v>
      </c>
    </row>
    <row r="5047" spans="1:9" x14ac:dyDescent="0.3">
      <c r="A5047" s="26">
        <v>45194</v>
      </c>
      <c r="B5047" s="27" t="s">
        <v>123</v>
      </c>
      <c r="C5047" s="27" t="s">
        <v>6</v>
      </c>
      <c r="D5047" s="27" t="s">
        <v>19</v>
      </c>
      <c r="E5047" s="28">
        <v>34700</v>
      </c>
      <c r="F5047" s="28">
        <v>30700</v>
      </c>
      <c r="G5047" s="27" t="s">
        <v>22</v>
      </c>
      <c r="H5047" s="27" t="s">
        <v>5507</v>
      </c>
      <c r="I5047" s="27" t="s">
        <v>9</v>
      </c>
    </row>
    <row r="5048" spans="1:9" x14ac:dyDescent="0.3">
      <c r="A5048" s="26">
        <v>45194</v>
      </c>
      <c r="B5048" s="27" t="s">
        <v>123</v>
      </c>
      <c r="C5048" s="27" t="s">
        <v>6</v>
      </c>
      <c r="D5048" s="27" t="s">
        <v>24</v>
      </c>
      <c r="E5048" s="28">
        <v>96800</v>
      </c>
      <c r="F5048" s="28">
        <v>84200</v>
      </c>
      <c r="G5048" s="27" t="s">
        <v>11</v>
      </c>
      <c r="H5048" s="27" t="s">
        <v>6051</v>
      </c>
      <c r="I5048" s="27" t="s">
        <v>9</v>
      </c>
    </row>
    <row r="5049" spans="1:9" x14ac:dyDescent="0.3">
      <c r="A5049" s="26">
        <v>45194</v>
      </c>
      <c r="B5049" s="27" t="s">
        <v>123</v>
      </c>
      <c r="C5049" s="27" t="s">
        <v>6</v>
      </c>
      <c r="D5049" s="27" t="s">
        <v>19</v>
      </c>
      <c r="E5049" s="28">
        <v>56700</v>
      </c>
      <c r="F5049" s="28">
        <v>70900</v>
      </c>
      <c r="G5049" s="27" t="s">
        <v>17</v>
      </c>
      <c r="H5049" s="27" t="s">
        <v>6123</v>
      </c>
      <c r="I5049" s="27" t="s">
        <v>9</v>
      </c>
    </row>
    <row r="5050" spans="1:9" x14ac:dyDescent="0.3">
      <c r="A5050" s="26">
        <v>45194</v>
      </c>
      <c r="B5050" s="27" t="s">
        <v>123</v>
      </c>
      <c r="C5050" s="27" t="s">
        <v>93</v>
      </c>
      <c r="D5050" s="27" t="s">
        <v>19</v>
      </c>
      <c r="E5050" s="28">
        <v>167500</v>
      </c>
      <c r="F5050" s="28">
        <v>140500</v>
      </c>
      <c r="G5050" s="27" t="s">
        <v>11</v>
      </c>
      <c r="H5050" s="27" t="s">
        <v>6638</v>
      </c>
      <c r="I5050" s="27" t="s">
        <v>9</v>
      </c>
    </row>
    <row r="5051" spans="1:9" x14ac:dyDescent="0.3">
      <c r="A5051" s="26">
        <v>45194</v>
      </c>
      <c r="B5051" s="27" t="s">
        <v>123</v>
      </c>
      <c r="C5051" s="27" t="s">
        <v>93</v>
      </c>
      <c r="D5051" s="27" t="s">
        <v>19</v>
      </c>
      <c r="E5051" s="28">
        <v>165800</v>
      </c>
      <c r="F5051" s="28">
        <v>140400</v>
      </c>
      <c r="G5051" s="27" t="s">
        <v>22</v>
      </c>
      <c r="H5051" s="27" t="s">
        <v>6755</v>
      </c>
      <c r="I5051" s="27" t="s">
        <v>9</v>
      </c>
    </row>
    <row r="5052" spans="1:9" x14ac:dyDescent="0.3">
      <c r="A5052" s="26">
        <v>45195</v>
      </c>
      <c r="B5052" s="27" t="s">
        <v>123</v>
      </c>
      <c r="C5052" s="27" t="s">
        <v>20</v>
      </c>
      <c r="D5052" s="27" t="s">
        <v>24</v>
      </c>
      <c r="E5052" s="28">
        <v>130782</v>
      </c>
      <c r="F5052" s="28">
        <v>132865</v>
      </c>
      <c r="G5052" s="27" t="s">
        <v>22</v>
      </c>
      <c r="H5052" s="27" t="s">
        <v>676</v>
      </c>
      <c r="I5052" s="27" t="s">
        <v>13</v>
      </c>
    </row>
    <row r="5053" spans="1:9" x14ac:dyDescent="0.3">
      <c r="A5053" s="26">
        <v>45195</v>
      </c>
      <c r="B5053" s="27" t="s">
        <v>123</v>
      </c>
      <c r="C5053" s="27" t="s">
        <v>14</v>
      </c>
      <c r="D5053" s="27" t="s">
        <v>24</v>
      </c>
      <c r="E5053" s="28">
        <v>84963</v>
      </c>
      <c r="F5053" s="28">
        <v>92753</v>
      </c>
      <c r="G5053" s="27" t="s">
        <v>8</v>
      </c>
      <c r="H5053" s="27" t="s">
        <v>680</v>
      </c>
      <c r="I5053" s="27" t="s">
        <v>13</v>
      </c>
    </row>
    <row r="5054" spans="1:9" x14ac:dyDescent="0.3">
      <c r="A5054" s="26">
        <v>45195</v>
      </c>
      <c r="B5054" s="27" t="s">
        <v>123</v>
      </c>
      <c r="C5054" s="27" t="s">
        <v>10</v>
      </c>
      <c r="D5054" s="27" t="s">
        <v>21</v>
      </c>
      <c r="E5054" s="28">
        <v>90379</v>
      </c>
      <c r="F5054" s="28">
        <v>119260</v>
      </c>
      <c r="G5054" s="27" t="s">
        <v>11</v>
      </c>
      <c r="H5054" s="27" t="s">
        <v>975</v>
      </c>
      <c r="I5054" s="27" t="s">
        <v>13</v>
      </c>
    </row>
    <row r="5055" spans="1:9" x14ac:dyDescent="0.3">
      <c r="A5055" s="26">
        <v>45195</v>
      </c>
      <c r="B5055" s="27" t="s">
        <v>123</v>
      </c>
      <c r="C5055" s="27" t="s">
        <v>32</v>
      </c>
      <c r="D5055" s="27" t="s">
        <v>24</v>
      </c>
      <c r="E5055" s="28">
        <v>75410</v>
      </c>
      <c r="F5055" s="28">
        <v>58782</v>
      </c>
      <c r="G5055" s="27" t="s">
        <v>17</v>
      </c>
      <c r="H5055" s="27" t="s">
        <v>1275</v>
      </c>
      <c r="I5055" s="27" t="s">
        <v>13</v>
      </c>
    </row>
    <row r="5056" spans="1:9" x14ac:dyDescent="0.3">
      <c r="A5056" s="26">
        <v>45195</v>
      </c>
      <c r="B5056" s="27" t="s">
        <v>123</v>
      </c>
      <c r="C5056" s="27" t="s">
        <v>15</v>
      </c>
      <c r="D5056" s="27" t="s">
        <v>21</v>
      </c>
      <c r="E5056" s="28">
        <v>24860</v>
      </c>
      <c r="F5056" s="28">
        <v>54614</v>
      </c>
      <c r="G5056" s="27" t="s">
        <v>22</v>
      </c>
      <c r="H5056" s="27" t="s">
        <v>1517</v>
      </c>
      <c r="I5056" s="27" t="s">
        <v>13</v>
      </c>
    </row>
    <row r="5057" spans="1:9" x14ac:dyDescent="0.3">
      <c r="A5057" s="26">
        <v>45195</v>
      </c>
      <c r="B5057" s="27" t="s">
        <v>123</v>
      </c>
      <c r="C5057" s="27" t="s">
        <v>14</v>
      </c>
      <c r="D5057" s="27" t="s">
        <v>21</v>
      </c>
      <c r="E5057" s="28">
        <v>122658</v>
      </c>
      <c r="F5057" s="28">
        <v>152621</v>
      </c>
      <c r="G5057" s="27" t="s">
        <v>11</v>
      </c>
      <c r="H5057" s="27" t="s">
        <v>1657</v>
      </c>
      <c r="I5057" s="27" t="s">
        <v>13</v>
      </c>
    </row>
    <row r="5058" spans="1:9" x14ac:dyDescent="0.3">
      <c r="A5058" s="26">
        <v>45195</v>
      </c>
      <c r="B5058" s="27" t="s">
        <v>123</v>
      </c>
      <c r="C5058" s="27" t="s">
        <v>14</v>
      </c>
      <c r="D5058" s="27" t="s">
        <v>16</v>
      </c>
      <c r="E5058" s="28">
        <v>50503</v>
      </c>
      <c r="F5058" s="28">
        <v>156132</v>
      </c>
      <c r="G5058" s="27" t="s">
        <v>17</v>
      </c>
      <c r="H5058" s="27" t="s">
        <v>1748</v>
      </c>
      <c r="I5058" s="27" t="s">
        <v>13</v>
      </c>
    </row>
    <row r="5059" spans="1:9" x14ac:dyDescent="0.3">
      <c r="A5059" s="26">
        <v>45195</v>
      </c>
      <c r="B5059" s="27" t="s">
        <v>123</v>
      </c>
      <c r="C5059" s="27" t="s">
        <v>15</v>
      </c>
      <c r="D5059" s="27" t="s">
        <v>24</v>
      </c>
      <c r="E5059" s="28">
        <v>129554</v>
      </c>
      <c r="F5059" s="28">
        <v>152961</v>
      </c>
      <c r="G5059" s="27" t="s">
        <v>22</v>
      </c>
      <c r="H5059" s="27" t="s">
        <v>2033</v>
      </c>
      <c r="I5059" s="27" t="s">
        <v>13</v>
      </c>
    </row>
    <row r="5060" spans="1:9" x14ac:dyDescent="0.3">
      <c r="A5060" s="26">
        <v>45195</v>
      </c>
      <c r="B5060" s="27" t="s">
        <v>123</v>
      </c>
      <c r="C5060" s="27" t="s">
        <v>32</v>
      </c>
      <c r="D5060" s="27" t="s">
        <v>19</v>
      </c>
      <c r="E5060" s="28">
        <v>78580</v>
      </c>
      <c r="F5060" s="28">
        <v>51640</v>
      </c>
      <c r="G5060" s="27" t="s">
        <v>17</v>
      </c>
      <c r="H5060" s="27" t="s">
        <v>2259</v>
      </c>
      <c r="I5060" s="27" t="s">
        <v>13</v>
      </c>
    </row>
    <row r="5061" spans="1:9" x14ac:dyDescent="0.3">
      <c r="A5061" s="26">
        <v>45195</v>
      </c>
      <c r="B5061" s="27" t="s">
        <v>123</v>
      </c>
      <c r="C5061" s="27" t="s">
        <v>14</v>
      </c>
      <c r="D5061" s="27" t="s">
        <v>21</v>
      </c>
      <c r="E5061" s="28">
        <v>39676</v>
      </c>
      <c r="F5061" s="28">
        <v>149919</v>
      </c>
      <c r="G5061" s="27" t="s">
        <v>11</v>
      </c>
      <c r="H5061" s="27" t="s">
        <v>2340</v>
      </c>
      <c r="I5061" s="27" t="s">
        <v>13</v>
      </c>
    </row>
    <row r="5062" spans="1:9" x14ac:dyDescent="0.3">
      <c r="A5062" s="26">
        <v>45195</v>
      </c>
      <c r="B5062" s="27" t="s">
        <v>123</v>
      </c>
      <c r="C5062" s="27" t="s">
        <v>14</v>
      </c>
      <c r="D5062" s="27" t="s">
        <v>7</v>
      </c>
      <c r="E5062" s="28">
        <v>35723</v>
      </c>
      <c r="F5062" s="28">
        <v>59479</v>
      </c>
      <c r="G5062" s="27" t="s">
        <v>11</v>
      </c>
      <c r="H5062" s="27" t="s">
        <v>2804</v>
      </c>
      <c r="I5062" s="27" t="s">
        <v>13</v>
      </c>
    </row>
    <row r="5063" spans="1:9" x14ac:dyDescent="0.3">
      <c r="A5063" s="26">
        <v>45195</v>
      </c>
      <c r="B5063" s="27" t="s">
        <v>123</v>
      </c>
      <c r="C5063" s="27" t="s">
        <v>20</v>
      </c>
      <c r="D5063" s="27" t="s">
        <v>7</v>
      </c>
      <c r="E5063" s="28">
        <v>104855</v>
      </c>
      <c r="F5063" s="28">
        <v>147556</v>
      </c>
      <c r="G5063" s="27" t="s">
        <v>22</v>
      </c>
      <c r="H5063" s="27" t="s">
        <v>3101</v>
      </c>
      <c r="I5063" s="27" t="s">
        <v>13</v>
      </c>
    </row>
    <row r="5064" spans="1:9" x14ac:dyDescent="0.3">
      <c r="A5064" s="26">
        <v>45195</v>
      </c>
      <c r="B5064" s="27" t="s">
        <v>123</v>
      </c>
      <c r="C5064" s="27" t="s">
        <v>32</v>
      </c>
      <c r="D5064" s="27" t="s">
        <v>24</v>
      </c>
      <c r="E5064" s="28">
        <v>141403</v>
      </c>
      <c r="F5064" s="28">
        <v>76430</v>
      </c>
      <c r="G5064" s="27" t="s">
        <v>22</v>
      </c>
      <c r="H5064" s="27" t="s">
        <v>3181</v>
      </c>
      <c r="I5064" s="27" t="s">
        <v>13</v>
      </c>
    </row>
    <row r="5065" spans="1:9" x14ac:dyDescent="0.3">
      <c r="A5065" s="26">
        <v>45195</v>
      </c>
      <c r="B5065" s="27" t="s">
        <v>123</v>
      </c>
      <c r="C5065" s="27" t="s">
        <v>18</v>
      </c>
      <c r="D5065" s="27" t="s">
        <v>7</v>
      </c>
      <c r="E5065" s="28">
        <v>83904</v>
      </c>
      <c r="F5065" s="28">
        <v>68757</v>
      </c>
      <c r="G5065" s="27" t="s">
        <v>17</v>
      </c>
      <c r="H5065" s="27" t="s">
        <v>3344</v>
      </c>
      <c r="I5065" s="27" t="s">
        <v>13</v>
      </c>
    </row>
    <row r="5066" spans="1:9" x14ac:dyDescent="0.3">
      <c r="A5066" s="26">
        <v>45195</v>
      </c>
      <c r="B5066" s="27" t="s">
        <v>123</v>
      </c>
      <c r="C5066" s="27" t="s">
        <v>6</v>
      </c>
      <c r="D5066" s="27" t="s">
        <v>24</v>
      </c>
      <c r="E5066" s="28">
        <v>67700</v>
      </c>
      <c r="F5066" s="28">
        <v>75500</v>
      </c>
      <c r="G5066" s="27" t="s">
        <v>22</v>
      </c>
      <c r="H5066" s="27" t="s">
        <v>4057</v>
      </c>
      <c r="I5066" s="27" t="s">
        <v>9</v>
      </c>
    </row>
    <row r="5067" spans="1:9" x14ac:dyDescent="0.3">
      <c r="A5067" s="26">
        <v>45195</v>
      </c>
      <c r="B5067" s="27" t="s">
        <v>123</v>
      </c>
      <c r="C5067" s="27" t="s">
        <v>93</v>
      </c>
      <c r="D5067" s="27" t="s">
        <v>24</v>
      </c>
      <c r="E5067" s="28">
        <v>99800</v>
      </c>
      <c r="F5067" s="28">
        <v>128000</v>
      </c>
      <c r="G5067" s="27" t="s">
        <v>11</v>
      </c>
      <c r="H5067" s="27" t="s">
        <v>4061</v>
      </c>
      <c r="I5067" s="27" t="s">
        <v>9</v>
      </c>
    </row>
    <row r="5068" spans="1:9" x14ac:dyDescent="0.3">
      <c r="A5068" s="26">
        <v>45195</v>
      </c>
      <c r="B5068" s="27" t="s">
        <v>123</v>
      </c>
      <c r="C5068" s="27" t="s">
        <v>6</v>
      </c>
      <c r="D5068" s="27" t="s">
        <v>21</v>
      </c>
      <c r="E5068" s="28">
        <v>215000</v>
      </c>
      <c r="F5068" s="28">
        <v>242100</v>
      </c>
      <c r="G5068" s="27" t="s">
        <v>17</v>
      </c>
      <c r="H5068" s="27" t="s">
        <v>4356</v>
      </c>
      <c r="I5068" s="27" t="s">
        <v>9</v>
      </c>
    </row>
    <row r="5069" spans="1:9" x14ac:dyDescent="0.3">
      <c r="A5069" s="26">
        <v>45195</v>
      </c>
      <c r="B5069" s="27" t="s">
        <v>123</v>
      </c>
      <c r="C5069" s="27" t="s">
        <v>6</v>
      </c>
      <c r="D5069" s="27" t="s">
        <v>24</v>
      </c>
      <c r="E5069" s="28">
        <v>106200</v>
      </c>
      <c r="F5069" s="28">
        <v>83900</v>
      </c>
      <c r="G5069" s="27" t="s">
        <v>11</v>
      </c>
      <c r="H5069" s="27" t="s">
        <v>4658</v>
      </c>
      <c r="I5069" s="27" t="s">
        <v>9</v>
      </c>
    </row>
    <row r="5070" spans="1:9" x14ac:dyDescent="0.3">
      <c r="A5070" s="26">
        <v>45195</v>
      </c>
      <c r="B5070" s="27" t="s">
        <v>123</v>
      </c>
      <c r="C5070" s="27" t="s">
        <v>6</v>
      </c>
      <c r="D5070" s="27" t="s">
        <v>21</v>
      </c>
      <c r="E5070" s="28">
        <v>205200</v>
      </c>
      <c r="F5070" s="28">
        <v>258800</v>
      </c>
      <c r="G5070" s="27" t="s">
        <v>11</v>
      </c>
      <c r="H5070" s="27" t="s">
        <v>4900</v>
      </c>
      <c r="I5070" s="27" t="s">
        <v>9</v>
      </c>
    </row>
    <row r="5071" spans="1:9" x14ac:dyDescent="0.3">
      <c r="A5071" s="26">
        <v>45195</v>
      </c>
      <c r="B5071" s="27" t="s">
        <v>123</v>
      </c>
      <c r="C5071" s="27" t="s">
        <v>6</v>
      </c>
      <c r="D5071" s="27" t="s">
        <v>21</v>
      </c>
      <c r="E5071" s="28">
        <v>196000</v>
      </c>
      <c r="F5071" s="28">
        <v>162900</v>
      </c>
      <c r="G5071" s="27" t="s">
        <v>22</v>
      </c>
      <c r="H5071" s="27" t="s">
        <v>5040</v>
      </c>
      <c r="I5071" s="27" t="s">
        <v>9</v>
      </c>
    </row>
    <row r="5072" spans="1:9" x14ac:dyDescent="0.3">
      <c r="A5072" s="26">
        <v>45195</v>
      </c>
      <c r="B5072" s="27" t="s">
        <v>123</v>
      </c>
      <c r="C5072" s="27" t="s">
        <v>6</v>
      </c>
      <c r="D5072" s="27" t="s">
        <v>16</v>
      </c>
      <c r="E5072" s="28">
        <v>183500</v>
      </c>
      <c r="F5072" s="28">
        <v>245100</v>
      </c>
      <c r="G5072" s="27" t="s">
        <v>11</v>
      </c>
      <c r="H5072" s="27" t="s">
        <v>5131</v>
      </c>
      <c r="I5072" s="27" t="s">
        <v>9</v>
      </c>
    </row>
    <row r="5073" spans="1:9" x14ac:dyDescent="0.3">
      <c r="A5073" s="26">
        <v>45195</v>
      </c>
      <c r="B5073" s="27" t="s">
        <v>123</v>
      </c>
      <c r="C5073" s="27" t="s">
        <v>93</v>
      </c>
      <c r="D5073" s="27" t="s">
        <v>24</v>
      </c>
      <c r="E5073" s="28">
        <v>147900</v>
      </c>
      <c r="F5073" s="28">
        <v>154400</v>
      </c>
      <c r="G5073" s="27" t="s">
        <v>11</v>
      </c>
      <c r="H5073" s="27" t="s">
        <v>5417</v>
      </c>
      <c r="I5073" s="27" t="s">
        <v>9</v>
      </c>
    </row>
    <row r="5074" spans="1:9" x14ac:dyDescent="0.3">
      <c r="A5074" s="26">
        <v>45195</v>
      </c>
      <c r="B5074" s="27" t="s">
        <v>123</v>
      </c>
      <c r="C5074" s="27" t="s">
        <v>6</v>
      </c>
      <c r="D5074" s="27" t="s">
        <v>19</v>
      </c>
      <c r="E5074" s="28">
        <v>143800</v>
      </c>
      <c r="F5074" s="28">
        <v>149800</v>
      </c>
      <c r="G5074" s="27" t="s">
        <v>11</v>
      </c>
      <c r="H5074" s="27" t="s">
        <v>5644</v>
      </c>
      <c r="I5074" s="27" t="s">
        <v>9</v>
      </c>
    </row>
    <row r="5075" spans="1:9" x14ac:dyDescent="0.3">
      <c r="A5075" s="26">
        <v>45195</v>
      </c>
      <c r="B5075" s="27" t="s">
        <v>123</v>
      </c>
      <c r="C5075" s="27" t="s">
        <v>93</v>
      </c>
      <c r="D5075" s="27" t="s">
        <v>21</v>
      </c>
      <c r="E5075" s="28">
        <v>146900</v>
      </c>
      <c r="F5075" s="28">
        <v>153400</v>
      </c>
      <c r="G5075" s="27" t="s">
        <v>22</v>
      </c>
      <c r="H5075" s="27" t="s">
        <v>5725</v>
      </c>
      <c r="I5075" s="27" t="s">
        <v>9</v>
      </c>
    </row>
    <row r="5076" spans="1:9" x14ac:dyDescent="0.3">
      <c r="A5076" s="26">
        <v>45195</v>
      </c>
      <c r="B5076" s="27" t="s">
        <v>123</v>
      </c>
      <c r="C5076" s="27" t="s">
        <v>6</v>
      </c>
      <c r="D5076" s="27" t="s">
        <v>7</v>
      </c>
      <c r="E5076" s="28">
        <v>135300</v>
      </c>
      <c r="F5076" s="28">
        <v>137400</v>
      </c>
      <c r="G5076" s="27" t="s">
        <v>17</v>
      </c>
      <c r="H5076" s="27" t="s">
        <v>6189</v>
      </c>
      <c r="I5076" s="27" t="s">
        <v>9</v>
      </c>
    </row>
    <row r="5077" spans="1:9" x14ac:dyDescent="0.3">
      <c r="A5077" s="26">
        <v>45195</v>
      </c>
      <c r="B5077" s="27" t="s">
        <v>123</v>
      </c>
      <c r="C5077" s="27" t="s">
        <v>93</v>
      </c>
      <c r="D5077" s="27" t="s">
        <v>7</v>
      </c>
      <c r="E5077" s="28">
        <v>43100</v>
      </c>
      <c r="F5077" s="28">
        <v>39900</v>
      </c>
      <c r="G5077" s="27" t="s">
        <v>22</v>
      </c>
      <c r="H5077" s="27" t="s">
        <v>6486</v>
      </c>
      <c r="I5077" s="27" t="s">
        <v>9</v>
      </c>
    </row>
    <row r="5078" spans="1:9" x14ac:dyDescent="0.3">
      <c r="A5078" s="26">
        <v>45195</v>
      </c>
      <c r="B5078" s="27" t="s">
        <v>123</v>
      </c>
      <c r="C5078" s="27" t="s">
        <v>6</v>
      </c>
      <c r="D5078" s="27" t="s">
        <v>24</v>
      </c>
      <c r="E5078" s="28">
        <v>61500</v>
      </c>
      <c r="F5078" s="28">
        <v>60700</v>
      </c>
      <c r="G5078" s="27" t="s">
        <v>17</v>
      </c>
      <c r="H5078" s="27" t="s">
        <v>6566</v>
      </c>
      <c r="I5078" s="27" t="s">
        <v>9</v>
      </c>
    </row>
    <row r="5079" spans="1:9" x14ac:dyDescent="0.3">
      <c r="A5079" s="26">
        <v>45195</v>
      </c>
      <c r="B5079" s="27" t="s">
        <v>123</v>
      </c>
      <c r="C5079" s="27" t="s">
        <v>6</v>
      </c>
      <c r="D5079" s="27" t="s">
        <v>7</v>
      </c>
      <c r="E5079" s="28">
        <v>218400</v>
      </c>
      <c r="F5079" s="28">
        <v>229100</v>
      </c>
      <c r="G5079" s="27" t="s">
        <v>22</v>
      </c>
      <c r="H5079" s="27" t="s">
        <v>6729</v>
      </c>
      <c r="I5079" s="27" t="s">
        <v>9</v>
      </c>
    </row>
    <row r="5080" spans="1:9" x14ac:dyDescent="0.3">
      <c r="A5080" s="26">
        <v>45196</v>
      </c>
      <c r="B5080" s="27" t="s">
        <v>123</v>
      </c>
      <c r="C5080" s="27" t="s">
        <v>18</v>
      </c>
      <c r="D5080" s="27" t="s">
        <v>21</v>
      </c>
      <c r="E5080" s="28">
        <v>41521</v>
      </c>
      <c r="F5080" s="28">
        <v>83682</v>
      </c>
      <c r="G5080" s="27" t="s">
        <v>22</v>
      </c>
      <c r="H5080" s="27" t="s">
        <v>1140</v>
      </c>
      <c r="I5080" s="27" t="s">
        <v>13</v>
      </c>
    </row>
    <row r="5081" spans="1:9" x14ac:dyDescent="0.3">
      <c r="A5081" s="26">
        <v>45196</v>
      </c>
      <c r="B5081" s="27" t="s">
        <v>123</v>
      </c>
      <c r="C5081" s="27" t="s">
        <v>15</v>
      </c>
      <c r="D5081" s="27" t="s">
        <v>7</v>
      </c>
      <c r="E5081" s="28">
        <v>116227</v>
      </c>
      <c r="F5081" s="28">
        <v>87488</v>
      </c>
      <c r="G5081" s="27" t="s">
        <v>8</v>
      </c>
      <c r="H5081" s="27" t="s">
        <v>1519</v>
      </c>
      <c r="I5081" s="27" t="s">
        <v>13</v>
      </c>
    </row>
    <row r="5082" spans="1:9" x14ac:dyDescent="0.3">
      <c r="A5082" s="26">
        <v>45196</v>
      </c>
      <c r="B5082" s="27" t="s">
        <v>123</v>
      </c>
      <c r="C5082" s="27" t="s">
        <v>18</v>
      </c>
      <c r="D5082" s="27" t="s">
        <v>19</v>
      </c>
      <c r="E5082" s="28">
        <v>55663</v>
      </c>
      <c r="F5082" s="28">
        <v>138103</v>
      </c>
      <c r="G5082" s="27" t="s">
        <v>17</v>
      </c>
      <c r="H5082" s="27" t="s">
        <v>2218</v>
      </c>
      <c r="I5082" s="27" t="s">
        <v>13</v>
      </c>
    </row>
    <row r="5083" spans="1:9" x14ac:dyDescent="0.3">
      <c r="A5083" s="26">
        <v>45196</v>
      </c>
      <c r="B5083" s="27" t="s">
        <v>123</v>
      </c>
      <c r="C5083" s="27" t="s">
        <v>20</v>
      </c>
      <c r="D5083" s="27" t="s">
        <v>24</v>
      </c>
      <c r="E5083" s="28">
        <v>87159</v>
      </c>
      <c r="F5083" s="28">
        <v>52319</v>
      </c>
      <c r="G5083" s="27" t="s">
        <v>8</v>
      </c>
      <c r="H5083" s="27" t="s">
        <v>2290</v>
      </c>
      <c r="I5083" s="27" t="s">
        <v>13</v>
      </c>
    </row>
    <row r="5084" spans="1:9" x14ac:dyDescent="0.3">
      <c r="A5084" s="26">
        <v>45196</v>
      </c>
      <c r="B5084" s="27" t="s">
        <v>123</v>
      </c>
      <c r="C5084" s="27" t="s">
        <v>20</v>
      </c>
      <c r="D5084" s="27" t="s">
        <v>21</v>
      </c>
      <c r="E5084" s="28">
        <v>65107</v>
      </c>
      <c r="F5084" s="28">
        <v>40438</v>
      </c>
      <c r="G5084" s="27" t="s">
        <v>22</v>
      </c>
      <c r="H5084" s="27" t="s">
        <v>3105</v>
      </c>
      <c r="I5084" s="27" t="s">
        <v>13</v>
      </c>
    </row>
    <row r="5085" spans="1:9" x14ac:dyDescent="0.3">
      <c r="A5085" s="26">
        <v>45196</v>
      </c>
      <c r="B5085" s="27" t="s">
        <v>123</v>
      </c>
      <c r="C5085" s="27" t="s">
        <v>93</v>
      </c>
      <c r="D5085" s="27" t="s">
        <v>21</v>
      </c>
      <c r="E5085" s="28">
        <v>71300</v>
      </c>
      <c r="F5085" s="28">
        <v>79100</v>
      </c>
      <c r="G5085" s="27" t="s">
        <v>22</v>
      </c>
      <c r="H5085" s="27" t="s">
        <v>4523</v>
      </c>
      <c r="I5085" s="27" t="s">
        <v>9</v>
      </c>
    </row>
    <row r="5086" spans="1:9" x14ac:dyDescent="0.3">
      <c r="A5086" s="26">
        <v>45196</v>
      </c>
      <c r="B5086" s="27" t="s">
        <v>123</v>
      </c>
      <c r="C5086" s="27" t="s">
        <v>6</v>
      </c>
      <c r="D5086" s="27" t="s">
        <v>7</v>
      </c>
      <c r="E5086" s="28">
        <v>154900</v>
      </c>
      <c r="F5086" s="28">
        <v>137500</v>
      </c>
      <c r="G5086" s="27" t="s">
        <v>11</v>
      </c>
      <c r="H5086" s="27" t="s">
        <v>4902</v>
      </c>
      <c r="I5086" s="27" t="s">
        <v>9</v>
      </c>
    </row>
    <row r="5087" spans="1:9" x14ac:dyDescent="0.3">
      <c r="A5087" s="26">
        <v>45196</v>
      </c>
      <c r="B5087" s="27" t="s">
        <v>123</v>
      </c>
      <c r="C5087" s="27" t="s">
        <v>93</v>
      </c>
      <c r="D5087" s="27" t="s">
        <v>19</v>
      </c>
      <c r="E5087" s="28">
        <v>105600</v>
      </c>
      <c r="F5087" s="28">
        <v>87400</v>
      </c>
      <c r="G5087" s="27" t="s">
        <v>17</v>
      </c>
      <c r="H5087" s="27" t="s">
        <v>5603</v>
      </c>
      <c r="I5087" s="27" t="s">
        <v>9</v>
      </c>
    </row>
    <row r="5088" spans="1:9" x14ac:dyDescent="0.3">
      <c r="A5088" s="26">
        <v>45196</v>
      </c>
      <c r="B5088" s="27" t="s">
        <v>123</v>
      </c>
      <c r="C5088" s="27" t="s">
        <v>6</v>
      </c>
      <c r="D5088" s="27" t="s">
        <v>24</v>
      </c>
      <c r="E5088" s="28">
        <v>198200</v>
      </c>
      <c r="F5088" s="28">
        <v>239800</v>
      </c>
      <c r="G5088" s="27" t="s">
        <v>22</v>
      </c>
      <c r="H5088" s="27" t="s">
        <v>5675</v>
      </c>
      <c r="I5088" s="27" t="s">
        <v>9</v>
      </c>
    </row>
    <row r="5089" spans="1:9" x14ac:dyDescent="0.3">
      <c r="A5089" s="26">
        <v>45196</v>
      </c>
      <c r="B5089" s="27" t="s">
        <v>123</v>
      </c>
      <c r="C5089" s="27" t="s">
        <v>6</v>
      </c>
      <c r="D5089" s="27" t="s">
        <v>21</v>
      </c>
      <c r="E5089" s="28">
        <v>193600</v>
      </c>
      <c r="F5089" s="28">
        <v>192800</v>
      </c>
      <c r="G5089" s="27" t="s">
        <v>11</v>
      </c>
      <c r="H5089" s="27" t="s">
        <v>6490</v>
      </c>
      <c r="I5089" s="27" t="s">
        <v>9</v>
      </c>
    </row>
    <row r="5090" spans="1:9" x14ac:dyDescent="0.3">
      <c r="A5090" s="26">
        <v>45197</v>
      </c>
      <c r="B5090" s="27" t="s">
        <v>123</v>
      </c>
      <c r="C5090" s="27" t="s">
        <v>20</v>
      </c>
      <c r="D5090" s="27" t="s">
        <v>16</v>
      </c>
      <c r="E5090" s="28">
        <v>111146</v>
      </c>
      <c r="F5090" s="28">
        <v>47911</v>
      </c>
      <c r="G5090" s="27" t="s">
        <v>17</v>
      </c>
      <c r="H5090" s="27" t="s">
        <v>630</v>
      </c>
      <c r="I5090" s="27" t="s">
        <v>13</v>
      </c>
    </row>
    <row r="5091" spans="1:9" x14ac:dyDescent="0.3">
      <c r="A5091" s="26">
        <v>45197</v>
      </c>
      <c r="B5091" s="27" t="s">
        <v>123</v>
      </c>
      <c r="C5091" s="27" t="s">
        <v>14</v>
      </c>
      <c r="D5091" s="27" t="s">
        <v>19</v>
      </c>
      <c r="E5091" s="28">
        <v>117620</v>
      </c>
      <c r="F5091" s="28">
        <v>111553</v>
      </c>
      <c r="G5091" s="27" t="s">
        <v>11</v>
      </c>
      <c r="H5091" s="27" t="s">
        <v>843</v>
      </c>
      <c r="I5091" s="27" t="s">
        <v>13</v>
      </c>
    </row>
    <row r="5092" spans="1:9" x14ac:dyDescent="0.3">
      <c r="A5092" s="26">
        <v>45197</v>
      </c>
      <c r="B5092" s="27" t="s">
        <v>123</v>
      </c>
      <c r="C5092" s="27" t="s">
        <v>32</v>
      </c>
      <c r="D5092" s="27" t="s">
        <v>24</v>
      </c>
      <c r="E5092" s="28">
        <v>115356</v>
      </c>
      <c r="F5092" s="28">
        <v>119443</v>
      </c>
      <c r="G5092" s="27" t="s">
        <v>22</v>
      </c>
      <c r="H5092" s="27" t="s">
        <v>900</v>
      </c>
      <c r="I5092" s="27" t="s">
        <v>13</v>
      </c>
    </row>
    <row r="5093" spans="1:9" x14ac:dyDescent="0.3">
      <c r="A5093" s="26">
        <v>45197</v>
      </c>
      <c r="B5093" s="27" t="s">
        <v>123</v>
      </c>
      <c r="C5093" s="27" t="s">
        <v>32</v>
      </c>
      <c r="D5093" s="27" t="s">
        <v>16</v>
      </c>
      <c r="E5093" s="28">
        <v>91834</v>
      </c>
      <c r="F5093" s="28">
        <v>18727</v>
      </c>
      <c r="G5093" s="27" t="s">
        <v>11</v>
      </c>
      <c r="H5093" s="27" t="s">
        <v>1307</v>
      </c>
      <c r="I5093" s="27" t="s">
        <v>13</v>
      </c>
    </row>
    <row r="5094" spans="1:9" x14ac:dyDescent="0.3">
      <c r="A5094" s="26">
        <v>45197</v>
      </c>
      <c r="B5094" s="27" t="s">
        <v>123</v>
      </c>
      <c r="C5094" s="27" t="s">
        <v>14</v>
      </c>
      <c r="D5094" s="27" t="s">
        <v>21</v>
      </c>
      <c r="E5094" s="28">
        <v>89507</v>
      </c>
      <c r="F5094" s="28">
        <v>121043</v>
      </c>
      <c r="G5094" s="27" t="s">
        <v>11</v>
      </c>
      <c r="H5094" s="27" t="s">
        <v>2100</v>
      </c>
      <c r="I5094" s="27" t="s">
        <v>13</v>
      </c>
    </row>
    <row r="5095" spans="1:9" x14ac:dyDescent="0.3">
      <c r="A5095" s="26">
        <v>45197</v>
      </c>
      <c r="B5095" s="27" t="s">
        <v>123</v>
      </c>
      <c r="C5095" s="27" t="s">
        <v>15</v>
      </c>
      <c r="D5095" s="27" t="s">
        <v>7</v>
      </c>
      <c r="E5095" s="28">
        <v>143740</v>
      </c>
      <c r="F5095" s="28">
        <v>88481</v>
      </c>
      <c r="G5095" s="27" t="s">
        <v>17</v>
      </c>
      <c r="H5095" s="27" t="s">
        <v>2583</v>
      </c>
      <c r="I5095" s="27" t="s">
        <v>13</v>
      </c>
    </row>
    <row r="5096" spans="1:9" x14ac:dyDescent="0.3">
      <c r="A5096" s="26">
        <v>45197</v>
      </c>
      <c r="B5096" s="27" t="s">
        <v>123</v>
      </c>
      <c r="C5096" s="27" t="s">
        <v>10</v>
      </c>
      <c r="D5096" s="27" t="s">
        <v>21</v>
      </c>
      <c r="E5096" s="28">
        <v>51500</v>
      </c>
      <c r="F5096" s="28">
        <v>21632</v>
      </c>
      <c r="G5096" s="27" t="s">
        <v>11</v>
      </c>
      <c r="H5096" s="27" t="s">
        <v>2697</v>
      </c>
      <c r="I5096" s="27" t="s">
        <v>13</v>
      </c>
    </row>
    <row r="5097" spans="1:9" x14ac:dyDescent="0.3">
      <c r="A5097" s="26">
        <v>45197</v>
      </c>
      <c r="B5097" s="27" t="s">
        <v>123</v>
      </c>
      <c r="C5097" s="27" t="s">
        <v>6</v>
      </c>
      <c r="D5097" s="27" t="s">
        <v>16</v>
      </c>
      <c r="E5097" s="28">
        <v>106200</v>
      </c>
      <c r="F5097" s="28">
        <v>90100</v>
      </c>
      <c r="G5097" s="27" t="s">
        <v>11</v>
      </c>
      <c r="H5097" s="27" t="s">
        <v>4011</v>
      </c>
      <c r="I5097" s="27" t="s">
        <v>9</v>
      </c>
    </row>
    <row r="5098" spans="1:9" x14ac:dyDescent="0.3">
      <c r="A5098" s="26">
        <v>45197</v>
      </c>
      <c r="B5098" s="27" t="s">
        <v>123</v>
      </c>
      <c r="C5098" s="27" t="s">
        <v>6</v>
      </c>
      <c r="D5098" s="27" t="s">
        <v>19</v>
      </c>
      <c r="E5098" s="28">
        <v>135000</v>
      </c>
      <c r="F5098" s="28">
        <v>150500</v>
      </c>
      <c r="G5098" s="27" t="s">
        <v>17</v>
      </c>
      <c r="H5098" s="27" t="s">
        <v>4224</v>
      </c>
      <c r="I5098" s="27" t="s">
        <v>9</v>
      </c>
    </row>
    <row r="5099" spans="1:9" x14ac:dyDescent="0.3">
      <c r="A5099" s="26">
        <v>45197</v>
      </c>
      <c r="B5099" s="27" t="s">
        <v>123</v>
      </c>
      <c r="C5099" s="27" t="s">
        <v>6</v>
      </c>
      <c r="D5099" s="27" t="s">
        <v>24</v>
      </c>
      <c r="E5099" s="28">
        <v>43100</v>
      </c>
      <c r="F5099" s="28">
        <v>47500</v>
      </c>
      <c r="G5099" s="27" t="s">
        <v>11</v>
      </c>
      <c r="H5099" s="27" t="s">
        <v>4281</v>
      </c>
      <c r="I5099" s="27" t="s">
        <v>9</v>
      </c>
    </row>
    <row r="5100" spans="1:9" x14ac:dyDescent="0.3">
      <c r="A5100" s="26">
        <v>45197</v>
      </c>
      <c r="B5100" s="27" t="s">
        <v>123</v>
      </c>
      <c r="C5100" s="27" t="s">
        <v>6</v>
      </c>
      <c r="D5100" s="27" t="s">
        <v>16</v>
      </c>
      <c r="E5100" s="28">
        <v>177100</v>
      </c>
      <c r="F5100" s="28">
        <v>148400</v>
      </c>
      <c r="G5100" s="27" t="s">
        <v>17</v>
      </c>
      <c r="H5100" s="27" t="s">
        <v>4690</v>
      </c>
      <c r="I5100" s="27" t="s">
        <v>9</v>
      </c>
    </row>
    <row r="5101" spans="1:9" x14ac:dyDescent="0.3">
      <c r="A5101" s="26">
        <v>45197</v>
      </c>
      <c r="B5101" s="27" t="s">
        <v>123</v>
      </c>
      <c r="C5101" s="27" t="s">
        <v>6</v>
      </c>
      <c r="D5101" s="27" t="s">
        <v>21</v>
      </c>
      <c r="E5101" s="28">
        <v>68400</v>
      </c>
      <c r="F5101" s="28">
        <v>77100</v>
      </c>
      <c r="G5101" s="27" t="s">
        <v>11</v>
      </c>
      <c r="H5101" s="27" t="s">
        <v>5484</v>
      </c>
      <c r="I5101" s="27" t="s">
        <v>9</v>
      </c>
    </row>
    <row r="5102" spans="1:9" x14ac:dyDescent="0.3">
      <c r="A5102" s="26">
        <v>45197</v>
      </c>
      <c r="B5102" s="27" t="s">
        <v>123</v>
      </c>
      <c r="C5102" s="27" t="s">
        <v>93</v>
      </c>
      <c r="D5102" s="27" t="s">
        <v>7</v>
      </c>
      <c r="E5102" s="28">
        <v>110100</v>
      </c>
      <c r="F5102" s="28">
        <v>111900</v>
      </c>
      <c r="G5102" s="27" t="s">
        <v>22</v>
      </c>
      <c r="H5102" s="27" t="s">
        <v>5968</v>
      </c>
      <c r="I5102" s="27" t="s">
        <v>9</v>
      </c>
    </row>
    <row r="5103" spans="1:9" x14ac:dyDescent="0.3">
      <c r="A5103" s="26">
        <v>45197</v>
      </c>
      <c r="B5103" s="27" t="s">
        <v>123</v>
      </c>
      <c r="C5103" s="27" t="s">
        <v>93</v>
      </c>
      <c r="D5103" s="27" t="s">
        <v>21</v>
      </c>
      <c r="E5103" s="28">
        <v>90700</v>
      </c>
      <c r="F5103" s="28">
        <v>87800</v>
      </c>
      <c r="G5103" s="27" t="s">
        <v>11</v>
      </c>
      <c r="H5103" s="27" t="s">
        <v>6082</v>
      </c>
      <c r="I5103" s="27" t="s">
        <v>9</v>
      </c>
    </row>
    <row r="5104" spans="1:9" x14ac:dyDescent="0.3">
      <c r="A5104" s="26">
        <v>45198</v>
      </c>
      <c r="B5104" s="27" t="s">
        <v>123</v>
      </c>
      <c r="C5104" s="27" t="s">
        <v>15</v>
      </c>
      <c r="D5104" s="27" t="s">
        <v>24</v>
      </c>
      <c r="E5104" s="28">
        <v>115572</v>
      </c>
      <c r="F5104" s="28">
        <v>109664</v>
      </c>
      <c r="G5104" s="27" t="s">
        <v>17</v>
      </c>
      <c r="H5104" s="27" t="s">
        <v>1229</v>
      </c>
      <c r="I5104" s="27" t="s">
        <v>13</v>
      </c>
    </row>
    <row r="5105" spans="1:9" x14ac:dyDescent="0.3">
      <c r="A5105" s="26">
        <v>45198</v>
      </c>
      <c r="B5105" s="27" t="s">
        <v>123</v>
      </c>
      <c r="C5105" s="27" t="s">
        <v>18</v>
      </c>
      <c r="D5105" s="27" t="s">
        <v>24</v>
      </c>
      <c r="E5105" s="28">
        <v>64259</v>
      </c>
      <c r="F5105" s="28">
        <v>91538</v>
      </c>
      <c r="G5105" s="27" t="s">
        <v>11</v>
      </c>
      <c r="H5105" s="27" t="s">
        <v>1424</v>
      </c>
      <c r="I5105" s="27" t="s">
        <v>13</v>
      </c>
    </row>
    <row r="5106" spans="1:9" x14ac:dyDescent="0.3">
      <c r="A5106" s="26">
        <v>45198</v>
      </c>
      <c r="B5106" s="27" t="s">
        <v>123</v>
      </c>
      <c r="C5106" s="27" t="s">
        <v>14</v>
      </c>
      <c r="D5106" s="27" t="s">
        <v>7</v>
      </c>
      <c r="E5106" s="28">
        <v>37398</v>
      </c>
      <c r="F5106" s="28">
        <v>52796</v>
      </c>
      <c r="G5106" s="27" t="s">
        <v>8</v>
      </c>
      <c r="H5106" s="27" t="s">
        <v>1481</v>
      </c>
      <c r="I5106" s="27" t="s">
        <v>13</v>
      </c>
    </row>
    <row r="5107" spans="1:9" x14ac:dyDescent="0.3">
      <c r="A5107" s="26">
        <v>45198</v>
      </c>
      <c r="B5107" s="27" t="s">
        <v>123</v>
      </c>
      <c r="C5107" s="27" t="s">
        <v>15</v>
      </c>
      <c r="D5107" s="27" t="s">
        <v>19</v>
      </c>
      <c r="E5107" s="28">
        <v>91567</v>
      </c>
      <c r="F5107" s="28">
        <v>116556</v>
      </c>
      <c r="G5107" s="27" t="s">
        <v>8</v>
      </c>
      <c r="H5107" s="27" t="s">
        <v>1499</v>
      </c>
      <c r="I5107" s="27" t="s">
        <v>13</v>
      </c>
    </row>
    <row r="5108" spans="1:9" x14ac:dyDescent="0.3">
      <c r="A5108" s="26">
        <v>45198</v>
      </c>
      <c r="B5108" s="27" t="s">
        <v>123</v>
      </c>
      <c r="C5108" s="27" t="s">
        <v>18</v>
      </c>
      <c r="D5108" s="27" t="s">
        <v>16</v>
      </c>
      <c r="E5108" s="28">
        <v>64016</v>
      </c>
      <c r="F5108" s="28">
        <v>148211</v>
      </c>
      <c r="G5108" s="27" t="s">
        <v>11</v>
      </c>
      <c r="H5108" s="27" t="s">
        <v>1688</v>
      </c>
      <c r="I5108" s="27" t="s">
        <v>13</v>
      </c>
    </row>
    <row r="5109" spans="1:9" x14ac:dyDescent="0.3">
      <c r="A5109" s="26">
        <v>45198</v>
      </c>
      <c r="B5109" s="27" t="s">
        <v>123</v>
      </c>
      <c r="C5109" s="27" t="s">
        <v>32</v>
      </c>
      <c r="D5109" s="27" t="s">
        <v>16</v>
      </c>
      <c r="E5109" s="28">
        <v>25765</v>
      </c>
      <c r="F5109" s="28">
        <v>25410</v>
      </c>
      <c r="G5109" s="27" t="s">
        <v>8</v>
      </c>
      <c r="H5109" s="27" t="s">
        <v>2096</v>
      </c>
      <c r="I5109" s="27" t="s">
        <v>13</v>
      </c>
    </row>
    <row r="5110" spans="1:9" x14ac:dyDescent="0.3">
      <c r="A5110" s="26">
        <v>45198</v>
      </c>
      <c r="B5110" s="27" t="s">
        <v>123</v>
      </c>
      <c r="C5110" s="27" t="s">
        <v>20</v>
      </c>
      <c r="D5110" s="27" t="s">
        <v>19</v>
      </c>
      <c r="E5110" s="28">
        <v>73255</v>
      </c>
      <c r="F5110" s="28">
        <v>54210</v>
      </c>
      <c r="G5110" s="27" t="s">
        <v>8</v>
      </c>
      <c r="H5110" s="27" t="s">
        <v>2301</v>
      </c>
      <c r="I5110" s="27" t="s">
        <v>13</v>
      </c>
    </row>
    <row r="5111" spans="1:9" x14ac:dyDescent="0.3">
      <c r="A5111" s="26">
        <v>45198</v>
      </c>
      <c r="B5111" s="27" t="s">
        <v>123</v>
      </c>
      <c r="C5111" s="27" t="s">
        <v>20</v>
      </c>
      <c r="D5111" s="27" t="s">
        <v>21</v>
      </c>
      <c r="E5111" s="28">
        <v>12100</v>
      </c>
      <c r="F5111" s="28">
        <v>103944</v>
      </c>
      <c r="G5111" s="27" t="s">
        <v>17</v>
      </c>
      <c r="H5111" s="27" t="s">
        <v>2729</v>
      </c>
      <c r="I5111" s="27" t="s">
        <v>13</v>
      </c>
    </row>
    <row r="5112" spans="1:9" x14ac:dyDescent="0.3">
      <c r="A5112" s="26">
        <v>45198</v>
      </c>
      <c r="B5112" s="27" t="s">
        <v>123</v>
      </c>
      <c r="C5112" s="27" t="s">
        <v>18</v>
      </c>
      <c r="D5112" s="27" t="s">
        <v>16</v>
      </c>
      <c r="E5112" s="28">
        <v>27358</v>
      </c>
      <c r="F5112" s="28">
        <v>125389</v>
      </c>
      <c r="G5112" s="27" t="s">
        <v>17</v>
      </c>
      <c r="H5112" s="27" t="s">
        <v>2900</v>
      </c>
      <c r="I5112" s="27" t="s">
        <v>13</v>
      </c>
    </row>
    <row r="5113" spans="1:9" x14ac:dyDescent="0.3">
      <c r="A5113" s="26">
        <v>45198</v>
      </c>
      <c r="B5113" s="27" t="s">
        <v>123</v>
      </c>
      <c r="C5113" s="27" t="s">
        <v>15</v>
      </c>
      <c r="D5113" s="27" t="s">
        <v>16</v>
      </c>
      <c r="E5113" s="28">
        <v>23107</v>
      </c>
      <c r="F5113" s="28">
        <v>136261</v>
      </c>
      <c r="G5113" s="27" t="s">
        <v>22</v>
      </c>
      <c r="H5113" s="27" t="s">
        <v>2982</v>
      </c>
      <c r="I5113" s="27" t="s">
        <v>13</v>
      </c>
    </row>
    <row r="5114" spans="1:9" x14ac:dyDescent="0.3">
      <c r="A5114" s="26">
        <v>45198</v>
      </c>
      <c r="B5114" s="27" t="s">
        <v>123</v>
      </c>
      <c r="C5114" s="27" t="s">
        <v>14</v>
      </c>
      <c r="D5114" s="27" t="s">
        <v>24</v>
      </c>
      <c r="E5114" s="28">
        <v>123298</v>
      </c>
      <c r="F5114" s="28">
        <v>45888</v>
      </c>
      <c r="G5114" s="27" t="s">
        <v>8</v>
      </c>
      <c r="H5114" s="27" t="s">
        <v>3268</v>
      </c>
      <c r="I5114" s="27" t="s">
        <v>13</v>
      </c>
    </row>
    <row r="5115" spans="1:9" x14ac:dyDescent="0.3">
      <c r="A5115" s="26">
        <v>45198</v>
      </c>
      <c r="B5115" s="27" t="s">
        <v>123</v>
      </c>
      <c r="C5115" s="27" t="s">
        <v>93</v>
      </c>
      <c r="D5115" s="27" t="s">
        <v>24</v>
      </c>
      <c r="E5115" s="28">
        <v>106200</v>
      </c>
      <c r="F5115" s="28">
        <v>104700</v>
      </c>
      <c r="G5115" s="27" t="s">
        <v>11</v>
      </c>
      <c r="H5115" s="27" t="s">
        <v>4612</v>
      </c>
      <c r="I5115" s="27" t="s">
        <v>9</v>
      </c>
    </row>
    <row r="5116" spans="1:9" x14ac:dyDescent="0.3">
      <c r="A5116" s="26">
        <v>45198</v>
      </c>
      <c r="B5116" s="27" t="s">
        <v>123</v>
      </c>
      <c r="C5116" s="27" t="s">
        <v>6</v>
      </c>
      <c r="D5116" s="27" t="s">
        <v>24</v>
      </c>
      <c r="E5116" s="28">
        <v>237800</v>
      </c>
      <c r="F5116" s="28">
        <v>189900</v>
      </c>
      <c r="G5116" s="27" t="s">
        <v>22</v>
      </c>
      <c r="H5116" s="27" t="s">
        <v>4807</v>
      </c>
      <c r="I5116" s="27" t="s">
        <v>9</v>
      </c>
    </row>
    <row r="5117" spans="1:9" x14ac:dyDescent="0.3">
      <c r="A5117" s="26">
        <v>45198</v>
      </c>
      <c r="B5117" s="27" t="s">
        <v>123</v>
      </c>
      <c r="C5117" s="27" t="s">
        <v>6</v>
      </c>
      <c r="D5117" s="27" t="s">
        <v>7</v>
      </c>
      <c r="E5117" s="28">
        <v>125300</v>
      </c>
      <c r="F5117" s="28">
        <v>112700</v>
      </c>
      <c r="G5117" s="27" t="s">
        <v>22</v>
      </c>
      <c r="H5117" s="27" t="s">
        <v>4864</v>
      </c>
      <c r="I5117" s="27" t="s">
        <v>9</v>
      </c>
    </row>
    <row r="5118" spans="1:9" x14ac:dyDescent="0.3">
      <c r="A5118" s="26">
        <v>45198</v>
      </c>
      <c r="B5118" s="27" t="s">
        <v>123</v>
      </c>
      <c r="C5118" s="27" t="s">
        <v>6</v>
      </c>
      <c r="D5118" s="27" t="s">
        <v>19</v>
      </c>
      <c r="E5118" s="28">
        <v>166600</v>
      </c>
      <c r="F5118" s="28">
        <v>193600</v>
      </c>
      <c r="G5118" s="27" t="s">
        <v>11</v>
      </c>
      <c r="H5118" s="27" t="s">
        <v>4882</v>
      </c>
      <c r="I5118" s="27" t="s">
        <v>9</v>
      </c>
    </row>
    <row r="5119" spans="1:9" x14ac:dyDescent="0.3">
      <c r="A5119" s="26">
        <v>45198</v>
      </c>
      <c r="B5119" s="27" t="s">
        <v>123</v>
      </c>
      <c r="C5119" s="27" t="s">
        <v>93</v>
      </c>
      <c r="D5119" s="27" t="s">
        <v>16</v>
      </c>
      <c r="E5119" s="28">
        <v>70100</v>
      </c>
      <c r="F5119" s="28">
        <v>59600</v>
      </c>
      <c r="G5119" s="27" t="s">
        <v>22</v>
      </c>
      <c r="H5119" s="27" t="s">
        <v>5071</v>
      </c>
      <c r="I5119" s="27" t="s">
        <v>9</v>
      </c>
    </row>
    <row r="5120" spans="1:9" x14ac:dyDescent="0.3">
      <c r="A5120" s="26">
        <v>45198</v>
      </c>
      <c r="B5120" s="27" t="s">
        <v>123</v>
      </c>
      <c r="C5120" s="27" t="s">
        <v>93</v>
      </c>
      <c r="D5120" s="27" t="s">
        <v>16</v>
      </c>
      <c r="E5120" s="28">
        <v>102700</v>
      </c>
      <c r="F5120" s="28">
        <v>126800</v>
      </c>
      <c r="G5120" s="27" t="s">
        <v>11</v>
      </c>
      <c r="H5120" s="27" t="s">
        <v>5480</v>
      </c>
      <c r="I5120" s="27" t="s">
        <v>9</v>
      </c>
    </row>
    <row r="5121" spans="1:9" x14ac:dyDescent="0.3">
      <c r="A5121" s="26">
        <v>45198</v>
      </c>
      <c r="B5121" s="27" t="s">
        <v>123</v>
      </c>
      <c r="C5121" s="27" t="s">
        <v>93</v>
      </c>
      <c r="D5121" s="27" t="s">
        <v>19</v>
      </c>
      <c r="E5121" s="28">
        <v>63400</v>
      </c>
      <c r="F5121" s="28">
        <v>56900</v>
      </c>
      <c r="G5121" s="27" t="s">
        <v>11</v>
      </c>
      <c r="H5121" s="27" t="s">
        <v>5686</v>
      </c>
      <c r="I5121" s="27" t="s">
        <v>9</v>
      </c>
    </row>
    <row r="5122" spans="1:9" x14ac:dyDescent="0.3">
      <c r="A5122" s="26">
        <v>45198</v>
      </c>
      <c r="B5122" s="27" t="s">
        <v>123</v>
      </c>
      <c r="C5122" s="27" t="s">
        <v>6</v>
      </c>
      <c r="D5122" s="27" t="s">
        <v>21</v>
      </c>
      <c r="E5122" s="28">
        <v>54500</v>
      </c>
      <c r="F5122" s="28">
        <v>79100</v>
      </c>
      <c r="G5122" s="27" t="s">
        <v>17</v>
      </c>
      <c r="H5122" s="27" t="s">
        <v>6114</v>
      </c>
      <c r="I5122" s="27" t="s">
        <v>9</v>
      </c>
    </row>
    <row r="5123" spans="1:9" x14ac:dyDescent="0.3">
      <c r="A5123" s="26">
        <v>45198</v>
      </c>
      <c r="B5123" s="27" t="s">
        <v>123</v>
      </c>
      <c r="C5123" s="27" t="s">
        <v>6</v>
      </c>
      <c r="D5123" s="27" t="s">
        <v>16</v>
      </c>
      <c r="E5123" s="28">
        <v>199300</v>
      </c>
      <c r="F5123" s="28">
        <v>211900</v>
      </c>
      <c r="G5123" s="27" t="s">
        <v>17</v>
      </c>
      <c r="H5123" s="27" t="s">
        <v>6285</v>
      </c>
      <c r="I5123" s="27" t="s">
        <v>9</v>
      </c>
    </row>
    <row r="5124" spans="1:9" x14ac:dyDescent="0.3">
      <c r="A5124" s="26">
        <v>45198</v>
      </c>
      <c r="B5124" s="27" t="s">
        <v>123</v>
      </c>
      <c r="C5124" s="27" t="s">
        <v>6</v>
      </c>
      <c r="D5124" s="27" t="s">
        <v>16</v>
      </c>
      <c r="E5124" s="28">
        <v>109500</v>
      </c>
      <c r="F5124" s="28">
        <v>103100</v>
      </c>
      <c r="G5124" s="27" t="s">
        <v>11</v>
      </c>
      <c r="H5124" s="27" t="s">
        <v>6367</v>
      </c>
      <c r="I5124" s="27" t="s">
        <v>9</v>
      </c>
    </row>
    <row r="5125" spans="1:9" x14ac:dyDescent="0.3">
      <c r="A5125" s="26">
        <v>45198</v>
      </c>
      <c r="B5125" s="27" t="s">
        <v>123</v>
      </c>
      <c r="C5125" s="27" t="s">
        <v>6</v>
      </c>
      <c r="D5125" s="27" t="s">
        <v>24</v>
      </c>
      <c r="E5125" s="28">
        <v>80600</v>
      </c>
      <c r="F5125" s="28">
        <v>92400</v>
      </c>
      <c r="G5125" s="27" t="s">
        <v>22</v>
      </c>
      <c r="H5125" s="27" t="s">
        <v>6653</v>
      </c>
      <c r="I5125" s="27" t="s">
        <v>9</v>
      </c>
    </row>
    <row r="5126" spans="1:9" x14ac:dyDescent="0.3">
      <c r="A5126" s="26">
        <v>45199</v>
      </c>
      <c r="B5126" s="27" t="s">
        <v>123</v>
      </c>
      <c r="C5126" s="27" t="s">
        <v>14</v>
      </c>
      <c r="D5126" s="27" t="s">
        <v>24</v>
      </c>
      <c r="E5126" s="28">
        <v>67753</v>
      </c>
      <c r="F5126" s="28">
        <v>31128</v>
      </c>
      <c r="G5126" s="27" t="s">
        <v>8</v>
      </c>
      <c r="H5126" s="27" t="s">
        <v>163</v>
      </c>
      <c r="I5126" s="27" t="s">
        <v>13</v>
      </c>
    </row>
    <row r="5127" spans="1:9" x14ac:dyDescent="0.3">
      <c r="A5127" s="26">
        <v>45199</v>
      </c>
      <c r="B5127" s="27" t="s">
        <v>123</v>
      </c>
      <c r="C5127" s="27" t="s">
        <v>14</v>
      </c>
      <c r="D5127" s="27" t="s">
        <v>7</v>
      </c>
      <c r="E5127" s="28">
        <v>23616</v>
      </c>
      <c r="F5127" s="28">
        <v>77914</v>
      </c>
      <c r="G5127" s="27" t="s">
        <v>17</v>
      </c>
      <c r="H5127" s="27" t="s">
        <v>385</v>
      </c>
      <c r="I5127" s="27" t="s">
        <v>13</v>
      </c>
    </row>
    <row r="5128" spans="1:9" x14ac:dyDescent="0.3">
      <c r="A5128" s="26">
        <v>45199</v>
      </c>
      <c r="B5128" s="27" t="s">
        <v>123</v>
      </c>
      <c r="C5128" s="27" t="s">
        <v>18</v>
      </c>
      <c r="D5128" s="27" t="s">
        <v>21</v>
      </c>
      <c r="E5128" s="28">
        <v>40202</v>
      </c>
      <c r="F5128" s="28">
        <v>162608</v>
      </c>
      <c r="G5128" s="27" t="s">
        <v>22</v>
      </c>
      <c r="H5128" s="27" t="s">
        <v>2227</v>
      </c>
      <c r="I5128" s="27" t="s">
        <v>13</v>
      </c>
    </row>
    <row r="5129" spans="1:9" x14ac:dyDescent="0.3">
      <c r="A5129" s="26">
        <v>45199</v>
      </c>
      <c r="B5129" s="27" t="s">
        <v>123</v>
      </c>
      <c r="C5129" s="27" t="s">
        <v>10</v>
      </c>
      <c r="D5129" s="27" t="s">
        <v>16</v>
      </c>
      <c r="E5129" s="28">
        <v>53246</v>
      </c>
      <c r="F5129" s="28">
        <v>47231</v>
      </c>
      <c r="G5129" s="27" t="s">
        <v>8</v>
      </c>
      <c r="H5129" s="27" t="s">
        <v>2558</v>
      </c>
      <c r="I5129" s="27" t="s">
        <v>13</v>
      </c>
    </row>
    <row r="5130" spans="1:9" x14ac:dyDescent="0.3">
      <c r="A5130" s="26">
        <v>45199</v>
      </c>
      <c r="B5130" s="27" t="s">
        <v>123</v>
      </c>
      <c r="C5130" s="27" t="s">
        <v>15</v>
      </c>
      <c r="D5130" s="27" t="s">
        <v>24</v>
      </c>
      <c r="E5130" s="28">
        <v>109692</v>
      </c>
      <c r="F5130" s="28">
        <v>37036</v>
      </c>
      <c r="G5130" s="27" t="s">
        <v>17</v>
      </c>
      <c r="H5130" s="27" t="s">
        <v>3376</v>
      </c>
      <c r="I5130" s="27" t="s">
        <v>13</v>
      </c>
    </row>
    <row r="5131" spans="1:9" x14ac:dyDescent="0.3">
      <c r="A5131" s="26">
        <v>45199</v>
      </c>
      <c r="B5131" s="27" t="s">
        <v>123</v>
      </c>
      <c r="C5131" s="27" t="s">
        <v>93</v>
      </c>
      <c r="D5131" s="27" t="s">
        <v>24</v>
      </c>
      <c r="E5131" s="28">
        <v>82800</v>
      </c>
      <c r="F5131" s="28">
        <v>72100</v>
      </c>
      <c r="G5131" s="27" t="s">
        <v>22</v>
      </c>
      <c r="H5131" s="27" t="s">
        <v>3544</v>
      </c>
      <c r="I5131" s="27" t="s">
        <v>9</v>
      </c>
    </row>
    <row r="5132" spans="1:9" x14ac:dyDescent="0.3">
      <c r="A5132" s="26">
        <v>45199</v>
      </c>
      <c r="B5132" s="27" t="s">
        <v>123</v>
      </c>
      <c r="C5132" s="27" t="s">
        <v>6</v>
      </c>
      <c r="D5132" s="27" t="s">
        <v>7</v>
      </c>
      <c r="E5132" s="28">
        <v>95700</v>
      </c>
      <c r="F5132" s="28">
        <v>116800</v>
      </c>
      <c r="G5132" s="27" t="s">
        <v>22</v>
      </c>
      <c r="H5132" s="27" t="s">
        <v>3766</v>
      </c>
      <c r="I5132" s="27" t="s">
        <v>9</v>
      </c>
    </row>
    <row r="5133" spans="1:9" x14ac:dyDescent="0.3">
      <c r="A5133" s="26">
        <v>45199</v>
      </c>
      <c r="B5133" s="27" t="s">
        <v>123</v>
      </c>
      <c r="C5133" s="27" t="s">
        <v>6</v>
      </c>
      <c r="D5133" s="27" t="s">
        <v>21</v>
      </c>
      <c r="E5133" s="28">
        <v>138200</v>
      </c>
      <c r="F5133" s="28">
        <v>141000</v>
      </c>
      <c r="G5133" s="27" t="s">
        <v>11</v>
      </c>
      <c r="H5133" s="27" t="s">
        <v>5612</v>
      </c>
      <c r="I5133" s="27" t="s">
        <v>9</v>
      </c>
    </row>
    <row r="5134" spans="1:9" x14ac:dyDescent="0.3">
      <c r="A5134" s="26">
        <v>45199</v>
      </c>
      <c r="B5134" s="27" t="s">
        <v>123</v>
      </c>
      <c r="C5134" s="27" t="s">
        <v>6</v>
      </c>
      <c r="D5134" s="27" t="s">
        <v>16</v>
      </c>
      <c r="E5134" s="28">
        <v>140500</v>
      </c>
      <c r="F5134" s="28">
        <v>165600</v>
      </c>
      <c r="G5134" s="27" t="s">
        <v>11</v>
      </c>
      <c r="H5134" s="27" t="s">
        <v>5943</v>
      </c>
      <c r="I5134" s="27" t="s">
        <v>9</v>
      </c>
    </row>
    <row r="5135" spans="1:9" x14ac:dyDescent="0.3">
      <c r="A5135" s="26">
        <v>45199</v>
      </c>
      <c r="B5135" s="27" t="s">
        <v>123</v>
      </c>
      <c r="C5135" s="27" t="s">
        <v>93</v>
      </c>
      <c r="D5135" s="27" t="s">
        <v>24</v>
      </c>
      <c r="E5135" s="28">
        <v>60300</v>
      </c>
      <c r="F5135" s="28">
        <v>49900</v>
      </c>
      <c r="G5135" s="27" t="s">
        <v>22</v>
      </c>
      <c r="H5135" s="27" t="s">
        <v>6761</v>
      </c>
      <c r="I5135" s="27" t="s">
        <v>9</v>
      </c>
    </row>
    <row r="5136" spans="1:9" x14ac:dyDescent="0.3">
      <c r="A5136" s="26">
        <v>45200</v>
      </c>
      <c r="B5136" s="27" t="s">
        <v>124</v>
      </c>
      <c r="C5136" s="27" t="s">
        <v>14</v>
      </c>
      <c r="D5136" s="27" t="s">
        <v>16</v>
      </c>
      <c r="E5136" s="28">
        <v>96049</v>
      </c>
      <c r="F5136" s="28">
        <v>73886</v>
      </c>
      <c r="G5136" s="27" t="s">
        <v>17</v>
      </c>
      <c r="H5136" s="27" t="s">
        <v>166</v>
      </c>
      <c r="I5136" s="27" t="s">
        <v>13</v>
      </c>
    </row>
    <row r="5137" spans="1:9" x14ac:dyDescent="0.3">
      <c r="A5137" s="26">
        <v>45200</v>
      </c>
      <c r="B5137" s="27" t="s">
        <v>124</v>
      </c>
      <c r="C5137" s="27" t="s">
        <v>10</v>
      </c>
      <c r="D5137" s="27" t="s">
        <v>21</v>
      </c>
      <c r="E5137" s="28">
        <v>98979</v>
      </c>
      <c r="F5137" s="28">
        <v>51677</v>
      </c>
      <c r="G5137" s="27" t="s">
        <v>11</v>
      </c>
      <c r="H5137" s="27" t="s">
        <v>367</v>
      </c>
      <c r="I5137" s="27" t="s">
        <v>13</v>
      </c>
    </row>
    <row r="5138" spans="1:9" x14ac:dyDescent="0.3">
      <c r="A5138" s="26">
        <v>45200</v>
      </c>
      <c r="B5138" s="27" t="s">
        <v>124</v>
      </c>
      <c r="C5138" s="27" t="s">
        <v>14</v>
      </c>
      <c r="D5138" s="27" t="s">
        <v>19</v>
      </c>
      <c r="E5138" s="28">
        <v>83135</v>
      </c>
      <c r="F5138" s="28">
        <v>93534</v>
      </c>
      <c r="G5138" s="27" t="s">
        <v>22</v>
      </c>
      <c r="H5138" s="27" t="s">
        <v>968</v>
      </c>
      <c r="I5138" s="27" t="s">
        <v>13</v>
      </c>
    </row>
    <row r="5139" spans="1:9" x14ac:dyDescent="0.3">
      <c r="A5139" s="26">
        <v>45200</v>
      </c>
      <c r="B5139" s="27" t="s">
        <v>124</v>
      </c>
      <c r="C5139" s="27" t="s">
        <v>18</v>
      </c>
      <c r="D5139" s="27" t="s">
        <v>21</v>
      </c>
      <c r="E5139" s="28">
        <v>30517</v>
      </c>
      <c r="F5139" s="28">
        <v>146753</v>
      </c>
      <c r="G5139" s="27" t="s">
        <v>17</v>
      </c>
      <c r="H5139" s="27" t="s">
        <v>1467</v>
      </c>
      <c r="I5139" s="27" t="s">
        <v>13</v>
      </c>
    </row>
    <row r="5140" spans="1:9" x14ac:dyDescent="0.3">
      <c r="A5140" s="26">
        <v>45200</v>
      </c>
      <c r="B5140" s="27" t="s">
        <v>124</v>
      </c>
      <c r="C5140" s="27" t="s">
        <v>10</v>
      </c>
      <c r="D5140" s="27" t="s">
        <v>7</v>
      </c>
      <c r="E5140" s="28">
        <v>144940</v>
      </c>
      <c r="F5140" s="28">
        <v>39577</v>
      </c>
      <c r="G5140" s="27" t="s">
        <v>8</v>
      </c>
      <c r="H5140" s="27" t="s">
        <v>1952</v>
      </c>
      <c r="I5140" s="27" t="s">
        <v>13</v>
      </c>
    </row>
    <row r="5141" spans="1:9" x14ac:dyDescent="0.3">
      <c r="A5141" s="26">
        <v>45200</v>
      </c>
      <c r="B5141" s="27" t="s">
        <v>124</v>
      </c>
      <c r="C5141" s="27" t="s">
        <v>10</v>
      </c>
      <c r="D5141" s="27" t="s">
        <v>24</v>
      </c>
      <c r="E5141" s="28">
        <v>75491</v>
      </c>
      <c r="F5141" s="28">
        <v>86251</v>
      </c>
      <c r="G5141" s="27" t="s">
        <v>11</v>
      </c>
      <c r="H5141" s="27" t="s">
        <v>3131</v>
      </c>
      <c r="I5141" s="27" t="s">
        <v>13</v>
      </c>
    </row>
    <row r="5142" spans="1:9" x14ac:dyDescent="0.3">
      <c r="A5142" s="26">
        <v>45200</v>
      </c>
      <c r="B5142" s="27" t="s">
        <v>124</v>
      </c>
      <c r="C5142" s="27" t="s">
        <v>6</v>
      </c>
      <c r="D5142" s="27" t="s">
        <v>16</v>
      </c>
      <c r="E5142" s="28">
        <v>95700</v>
      </c>
      <c r="F5142" s="28">
        <v>103600</v>
      </c>
      <c r="G5142" s="27" t="s">
        <v>17</v>
      </c>
      <c r="H5142" s="27" t="s">
        <v>3547</v>
      </c>
      <c r="I5142" s="27" t="s">
        <v>9</v>
      </c>
    </row>
    <row r="5143" spans="1:9" x14ac:dyDescent="0.3">
      <c r="A5143" s="26">
        <v>45200</v>
      </c>
      <c r="B5143" s="27" t="s">
        <v>124</v>
      </c>
      <c r="C5143" s="27" t="s">
        <v>6</v>
      </c>
      <c r="D5143" s="27" t="s">
        <v>21</v>
      </c>
      <c r="E5143" s="28">
        <v>96500</v>
      </c>
      <c r="F5143" s="28">
        <v>112100</v>
      </c>
      <c r="G5143" s="27" t="s">
        <v>11</v>
      </c>
      <c r="H5143" s="27" t="s">
        <v>3748</v>
      </c>
      <c r="I5143" s="27" t="s">
        <v>9</v>
      </c>
    </row>
    <row r="5144" spans="1:9" x14ac:dyDescent="0.3">
      <c r="A5144" s="26">
        <v>45200</v>
      </c>
      <c r="B5144" s="27" t="s">
        <v>124</v>
      </c>
      <c r="C5144" s="27" t="s">
        <v>93</v>
      </c>
      <c r="D5144" s="27" t="s">
        <v>19</v>
      </c>
      <c r="E5144" s="28">
        <v>138000</v>
      </c>
      <c r="F5144" s="28">
        <v>167000</v>
      </c>
      <c r="G5144" s="27" t="s">
        <v>22</v>
      </c>
      <c r="H5144" s="27" t="s">
        <v>4349</v>
      </c>
      <c r="I5144" s="27" t="s">
        <v>9</v>
      </c>
    </row>
    <row r="5145" spans="1:9" x14ac:dyDescent="0.3">
      <c r="A5145" s="26">
        <v>45200</v>
      </c>
      <c r="B5145" s="27" t="s">
        <v>124</v>
      </c>
      <c r="C5145" s="27" t="s">
        <v>93</v>
      </c>
      <c r="D5145" s="27" t="s">
        <v>21</v>
      </c>
      <c r="E5145" s="28">
        <v>83100</v>
      </c>
      <c r="F5145" s="28">
        <v>71900</v>
      </c>
      <c r="G5145" s="27" t="s">
        <v>11</v>
      </c>
      <c r="H5145" s="27" t="s">
        <v>4850</v>
      </c>
      <c r="I5145" s="27" t="s">
        <v>9</v>
      </c>
    </row>
    <row r="5146" spans="1:9" x14ac:dyDescent="0.3">
      <c r="A5146" s="26">
        <v>45200</v>
      </c>
      <c r="B5146" s="27" t="s">
        <v>124</v>
      </c>
      <c r="C5146" s="27" t="s">
        <v>6</v>
      </c>
      <c r="D5146" s="27" t="s">
        <v>7</v>
      </c>
      <c r="E5146" s="28">
        <v>117400</v>
      </c>
      <c r="F5146" s="28">
        <v>143600</v>
      </c>
      <c r="G5146" s="27" t="s">
        <v>22</v>
      </c>
      <c r="H5146" s="27" t="s">
        <v>5336</v>
      </c>
      <c r="I5146" s="27" t="s">
        <v>9</v>
      </c>
    </row>
    <row r="5147" spans="1:9" x14ac:dyDescent="0.3">
      <c r="A5147" s="26">
        <v>45200</v>
      </c>
      <c r="B5147" s="27" t="s">
        <v>124</v>
      </c>
      <c r="C5147" s="27" t="s">
        <v>93</v>
      </c>
      <c r="D5147" s="27" t="s">
        <v>24</v>
      </c>
      <c r="E5147" s="28">
        <v>56100</v>
      </c>
      <c r="F5147" s="28">
        <v>69600</v>
      </c>
      <c r="G5147" s="27" t="s">
        <v>11</v>
      </c>
      <c r="H5147" s="27" t="s">
        <v>6516</v>
      </c>
      <c r="I5147" s="27" t="s">
        <v>9</v>
      </c>
    </row>
    <row r="5148" spans="1:9" x14ac:dyDescent="0.3">
      <c r="A5148" s="26">
        <v>45201</v>
      </c>
      <c r="B5148" s="27" t="s">
        <v>124</v>
      </c>
      <c r="C5148" s="27" t="s">
        <v>18</v>
      </c>
      <c r="D5148" s="27" t="s">
        <v>21</v>
      </c>
      <c r="E5148" s="28">
        <v>33084</v>
      </c>
      <c r="F5148" s="28">
        <v>167879</v>
      </c>
      <c r="G5148" s="27" t="s">
        <v>22</v>
      </c>
      <c r="H5148" s="27" t="s">
        <v>595</v>
      </c>
      <c r="I5148" s="27" t="s">
        <v>13</v>
      </c>
    </row>
    <row r="5149" spans="1:9" x14ac:dyDescent="0.3">
      <c r="A5149" s="26">
        <v>45201</v>
      </c>
      <c r="B5149" s="27" t="s">
        <v>124</v>
      </c>
      <c r="C5149" s="27" t="s">
        <v>15</v>
      </c>
      <c r="D5149" s="27" t="s">
        <v>24</v>
      </c>
      <c r="E5149" s="28">
        <v>38497</v>
      </c>
      <c r="F5149" s="28">
        <v>87597</v>
      </c>
      <c r="G5149" s="27" t="s">
        <v>22</v>
      </c>
      <c r="H5149" s="27" t="s">
        <v>649</v>
      </c>
      <c r="I5149" s="27" t="s">
        <v>13</v>
      </c>
    </row>
    <row r="5150" spans="1:9" x14ac:dyDescent="0.3">
      <c r="A5150" s="26">
        <v>45201</v>
      </c>
      <c r="B5150" s="27" t="s">
        <v>124</v>
      </c>
      <c r="C5150" s="27" t="s">
        <v>20</v>
      </c>
      <c r="D5150" s="27" t="s">
        <v>24</v>
      </c>
      <c r="E5150" s="28">
        <v>140604</v>
      </c>
      <c r="F5150" s="28">
        <v>154454</v>
      </c>
      <c r="G5150" s="27" t="s">
        <v>17</v>
      </c>
      <c r="H5150" s="27" t="s">
        <v>933</v>
      </c>
      <c r="I5150" s="27" t="s">
        <v>13</v>
      </c>
    </row>
    <row r="5151" spans="1:9" x14ac:dyDescent="0.3">
      <c r="A5151" s="26">
        <v>45201</v>
      </c>
      <c r="B5151" s="27" t="s">
        <v>124</v>
      </c>
      <c r="C5151" s="27" t="s">
        <v>20</v>
      </c>
      <c r="D5151" s="27" t="s">
        <v>7</v>
      </c>
      <c r="E5151" s="28">
        <v>95263</v>
      </c>
      <c r="F5151" s="28">
        <v>131934</v>
      </c>
      <c r="G5151" s="27" t="s">
        <v>11</v>
      </c>
      <c r="H5151" s="27" t="s">
        <v>1571</v>
      </c>
      <c r="I5151" s="27" t="s">
        <v>13</v>
      </c>
    </row>
    <row r="5152" spans="1:9" x14ac:dyDescent="0.3">
      <c r="A5152" s="26">
        <v>45201</v>
      </c>
      <c r="B5152" s="27" t="s">
        <v>124</v>
      </c>
      <c r="C5152" s="27" t="s">
        <v>14</v>
      </c>
      <c r="D5152" s="27" t="s">
        <v>16</v>
      </c>
      <c r="E5152" s="28">
        <v>100686</v>
      </c>
      <c r="F5152" s="28">
        <v>42054</v>
      </c>
      <c r="G5152" s="27" t="s">
        <v>8</v>
      </c>
      <c r="H5152" s="27" t="s">
        <v>1783</v>
      </c>
      <c r="I5152" s="27" t="s">
        <v>13</v>
      </c>
    </row>
    <row r="5153" spans="1:9" x14ac:dyDescent="0.3">
      <c r="A5153" s="26">
        <v>45201</v>
      </c>
      <c r="B5153" s="27" t="s">
        <v>124</v>
      </c>
      <c r="C5153" s="27" t="s">
        <v>14</v>
      </c>
      <c r="D5153" s="27" t="s">
        <v>7</v>
      </c>
      <c r="E5153" s="28">
        <v>78396</v>
      </c>
      <c r="F5153" s="28">
        <v>92711</v>
      </c>
      <c r="G5153" s="27" t="s">
        <v>17</v>
      </c>
      <c r="H5153" s="27" t="s">
        <v>2060</v>
      </c>
      <c r="I5153" s="27" t="s">
        <v>13</v>
      </c>
    </row>
    <row r="5154" spans="1:9" x14ac:dyDescent="0.3">
      <c r="A5154" s="26">
        <v>45201</v>
      </c>
      <c r="B5154" s="27" t="s">
        <v>124</v>
      </c>
      <c r="C5154" s="27" t="s">
        <v>10</v>
      </c>
      <c r="D5154" s="27" t="s">
        <v>21</v>
      </c>
      <c r="E5154" s="28">
        <v>132040</v>
      </c>
      <c r="F5154" s="28">
        <v>165662</v>
      </c>
      <c r="G5154" s="27" t="s">
        <v>17</v>
      </c>
      <c r="H5154" s="27" t="s">
        <v>2354</v>
      </c>
      <c r="I5154" s="27" t="s">
        <v>13</v>
      </c>
    </row>
    <row r="5155" spans="1:9" x14ac:dyDescent="0.3">
      <c r="A5155" s="26">
        <v>45201</v>
      </c>
      <c r="B5155" s="27" t="s">
        <v>124</v>
      </c>
      <c r="C5155" s="27" t="s">
        <v>32</v>
      </c>
      <c r="D5155" s="27" t="s">
        <v>7</v>
      </c>
      <c r="E5155" s="28">
        <v>133216</v>
      </c>
      <c r="F5155" s="28">
        <v>66643</v>
      </c>
      <c r="G5155" s="27" t="s">
        <v>8</v>
      </c>
      <c r="H5155" s="27" t="s">
        <v>2638</v>
      </c>
      <c r="I5155" s="27" t="s">
        <v>13</v>
      </c>
    </row>
    <row r="5156" spans="1:9" x14ac:dyDescent="0.3">
      <c r="A5156" s="26">
        <v>45201</v>
      </c>
      <c r="B5156" s="27" t="s">
        <v>124</v>
      </c>
      <c r="C5156" s="27" t="s">
        <v>18</v>
      </c>
      <c r="D5156" s="27" t="s">
        <v>16</v>
      </c>
      <c r="E5156" s="28">
        <v>114012</v>
      </c>
      <c r="F5156" s="28">
        <v>98750</v>
      </c>
      <c r="G5156" s="27" t="s">
        <v>17</v>
      </c>
      <c r="H5156" s="27" t="s">
        <v>2813</v>
      </c>
      <c r="I5156" s="27" t="s">
        <v>13</v>
      </c>
    </row>
    <row r="5157" spans="1:9" x14ac:dyDescent="0.3">
      <c r="A5157" s="26">
        <v>45201</v>
      </c>
      <c r="B5157" s="27" t="s">
        <v>124</v>
      </c>
      <c r="C5157" s="27" t="s">
        <v>32</v>
      </c>
      <c r="D5157" s="27" t="s">
        <v>21</v>
      </c>
      <c r="E5157" s="28">
        <v>108039</v>
      </c>
      <c r="F5157" s="28">
        <v>73862</v>
      </c>
      <c r="G5157" s="27" t="s">
        <v>8</v>
      </c>
      <c r="H5157" s="27" t="s">
        <v>2926</v>
      </c>
      <c r="I5157" s="27" t="s">
        <v>13</v>
      </c>
    </row>
    <row r="5158" spans="1:9" x14ac:dyDescent="0.3">
      <c r="A5158" s="26">
        <v>45201</v>
      </c>
      <c r="B5158" s="27" t="s">
        <v>124</v>
      </c>
      <c r="C5158" s="27" t="s">
        <v>10</v>
      </c>
      <c r="D5158" s="27" t="s">
        <v>16</v>
      </c>
      <c r="E5158" s="28">
        <v>59158</v>
      </c>
      <c r="F5158" s="28">
        <v>162739</v>
      </c>
      <c r="G5158" s="27" t="s">
        <v>22</v>
      </c>
      <c r="H5158" s="27" t="s">
        <v>3086</v>
      </c>
      <c r="I5158" s="27" t="s">
        <v>13</v>
      </c>
    </row>
    <row r="5159" spans="1:9" x14ac:dyDescent="0.3">
      <c r="A5159" s="26">
        <v>45201</v>
      </c>
      <c r="B5159" s="27" t="s">
        <v>124</v>
      </c>
      <c r="C5159" s="27" t="s">
        <v>32</v>
      </c>
      <c r="D5159" s="27" t="s">
        <v>19</v>
      </c>
      <c r="E5159" s="28">
        <v>59914</v>
      </c>
      <c r="F5159" s="28">
        <v>54108</v>
      </c>
      <c r="G5159" s="27" t="s">
        <v>17</v>
      </c>
      <c r="H5159" s="27" t="s">
        <v>3319</v>
      </c>
      <c r="I5159" s="27" t="s">
        <v>13</v>
      </c>
    </row>
    <row r="5160" spans="1:9" x14ac:dyDescent="0.3">
      <c r="A5160" s="26">
        <v>45201</v>
      </c>
      <c r="B5160" s="27" t="s">
        <v>124</v>
      </c>
      <c r="C5160" s="27" t="s">
        <v>6</v>
      </c>
      <c r="D5160" s="27" t="s">
        <v>21</v>
      </c>
      <c r="E5160" s="28">
        <v>95600</v>
      </c>
      <c r="F5160" s="28">
        <v>66500</v>
      </c>
      <c r="G5160" s="27" t="s">
        <v>11</v>
      </c>
      <c r="H5160" s="27" t="s">
        <v>3976</v>
      </c>
      <c r="I5160" s="27" t="s">
        <v>9</v>
      </c>
    </row>
    <row r="5161" spans="1:9" x14ac:dyDescent="0.3">
      <c r="A5161" s="26">
        <v>45201</v>
      </c>
      <c r="B5161" s="27" t="s">
        <v>124</v>
      </c>
      <c r="C5161" s="27" t="s">
        <v>6</v>
      </c>
      <c r="D5161" s="27" t="s">
        <v>24</v>
      </c>
      <c r="E5161" s="28">
        <v>163200</v>
      </c>
      <c r="F5161" s="28">
        <v>142300</v>
      </c>
      <c r="G5161" s="27" t="s">
        <v>11</v>
      </c>
      <c r="H5161" s="27" t="s">
        <v>4030</v>
      </c>
      <c r="I5161" s="27" t="s">
        <v>9</v>
      </c>
    </row>
    <row r="5162" spans="1:9" x14ac:dyDescent="0.3">
      <c r="A5162" s="26">
        <v>45201</v>
      </c>
      <c r="B5162" s="27" t="s">
        <v>124</v>
      </c>
      <c r="C5162" s="27" t="s">
        <v>93</v>
      </c>
      <c r="D5162" s="27" t="s">
        <v>24</v>
      </c>
      <c r="E5162" s="28">
        <v>32400</v>
      </c>
      <c r="F5162" s="28">
        <v>26700</v>
      </c>
      <c r="G5162" s="27" t="s">
        <v>11</v>
      </c>
      <c r="H5162" s="27" t="s">
        <v>4314</v>
      </c>
      <c r="I5162" s="27" t="s">
        <v>9</v>
      </c>
    </row>
    <row r="5163" spans="1:9" x14ac:dyDescent="0.3">
      <c r="A5163" s="26">
        <v>45201</v>
      </c>
      <c r="B5163" s="27" t="s">
        <v>124</v>
      </c>
      <c r="C5163" s="27" t="s">
        <v>6</v>
      </c>
      <c r="D5163" s="27" t="s">
        <v>7</v>
      </c>
      <c r="E5163" s="28">
        <v>82400</v>
      </c>
      <c r="F5163" s="28">
        <v>102500</v>
      </c>
      <c r="G5163" s="27" t="s">
        <v>22</v>
      </c>
      <c r="H5163" s="27" t="s">
        <v>4954</v>
      </c>
      <c r="I5163" s="27" t="s">
        <v>9</v>
      </c>
    </row>
    <row r="5164" spans="1:9" x14ac:dyDescent="0.3">
      <c r="A5164" s="26">
        <v>45201</v>
      </c>
      <c r="B5164" s="27" t="s">
        <v>124</v>
      </c>
      <c r="C5164" s="27" t="s">
        <v>93</v>
      </c>
      <c r="D5164" s="27" t="s">
        <v>16</v>
      </c>
      <c r="E5164" s="28">
        <v>111000</v>
      </c>
      <c r="F5164" s="28">
        <v>97400</v>
      </c>
      <c r="G5164" s="27" t="s">
        <v>11</v>
      </c>
      <c r="H5164" s="27" t="s">
        <v>5166</v>
      </c>
      <c r="I5164" s="27" t="s">
        <v>9</v>
      </c>
    </row>
    <row r="5165" spans="1:9" x14ac:dyDescent="0.3">
      <c r="A5165" s="26">
        <v>45201</v>
      </c>
      <c r="B5165" s="27" t="s">
        <v>124</v>
      </c>
      <c r="C5165" s="27" t="s">
        <v>93</v>
      </c>
      <c r="D5165" s="27" t="s">
        <v>7</v>
      </c>
      <c r="E5165" s="28">
        <v>98400</v>
      </c>
      <c r="F5165" s="28">
        <v>102800</v>
      </c>
      <c r="G5165" s="27" t="s">
        <v>11</v>
      </c>
      <c r="H5165" s="27" t="s">
        <v>5444</v>
      </c>
      <c r="I5165" s="27" t="s">
        <v>9</v>
      </c>
    </row>
    <row r="5166" spans="1:9" x14ac:dyDescent="0.3">
      <c r="A5166" s="26">
        <v>45201</v>
      </c>
      <c r="B5166" s="27" t="s">
        <v>124</v>
      </c>
      <c r="C5166" s="27" t="s">
        <v>93</v>
      </c>
      <c r="D5166" s="27" t="s">
        <v>21</v>
      </c>
      <c r="E5166" s="28">
        <v>93200</v>
      </c>
      <c r="F5166" s="28">
        <v>85800</v>
      </c>
      <c r="G5166" s="27" t="s">
        <v>11</v>
      </c>
      <c r="H5166" s="27" t="s">
        <v>5739</v>
      </c>
      <c r="I5166" s="27" t="s">
        <v>9</v>
      </c>
    </row>
    <row r="5167" spans="1:9" x14ac:dyDescent="0.3">
      <c r="A5167" s="26">
        <v>45201</v>
      </c>
      <c r="B5167" s="27" t="s">
        <v>124</v>
      </c>
      <c r="C5167" s="27" t="s">
        <v>6</v>
      </c>
      <c r="D5167" s="27" t="s">
        <v>7</v>
      </c>
      <c r="E5167" s="28">
        <v>66600</v>
      </c>
      <c r="F5167" s="28">
        <v>66800</v>
      </c>
      <c r="G5167" s="27" t="s">
        <v>11</v>
      </c>
      <c r="H5167" s="27" t="s">
        <v>6023</v>
      </c>
      <c r="I5167" s="27" t="s">
        <v>9</v>
      </c>
    </row>
    <row r="5168" spans="1:9" x14ac:dyDescent="0.3">
      <c r="A5168" s="26">
        <v>45201</v>
      </c>
      <c r="B5168" s="27" t="s">
        <v>124</v>
      </c>
      <c r="C5168" s="27" t="s">
        <v>6</v>
      </c>
      <c r="D5168" s="27" t="s">
        <v>16</v>
      </c>
      <c r="E5168" s="28">
        <v>201600</v>
      </c>
      <c r="F5168" s="28">
        <v>189000</v>
      </c>
      <c r="G5168" s="27" t="s">
        <v>22</v>
      </c>
      <c r="H5168" s="27" t="s">
        <v>6198</v>
      </c>
      <c r="I5168" s="27" t="s">
        <v>9</v>
      </c>
    </row>
    <row r="5169" spans="1:9" x14ac:dyDescent="0.3">
      <c r="A5169" s="26">
        <v>45201</v>
      </c>
      <c r="B5169" s="27" t="s">
        <v>124</v>
      </c>
      <c r="C5169" s="27" t="s">
        <v>6</v>
      </c>
      <c r="D5169" s="27" t="s">
        <v>21</v>
      </c>
      <c r="E5169" s="28">
        <v>102900</v>
      </c>
      <c r="F5169" s="28">
        <v>105700</v>
      </c>
      <c r="G5169" s="27" t="s">
        <v>11</v>
      </c>
      <c r="H5169" s="27" t="s">
        <v>6311</v>
      </c>
      <c r="I5169" s="27" t="s">
        <v>9</v>
      </c>
    </row>
    <row r="5170" spans="1:9" x14ac:dyDescent="0.3">
      <c r="A5170" s="26">
        <v>45201</v>
      </c>
      <c r="B5170" s="27" t="s">
        <v>124</v>
      </c>
      <c r="C5170" s="27" t="s">
        <v>6</v>
      </c>
      <c r="D5170" s="27" t="s">
        <v>16</v>
      </c>
      <c r="E5170" s="28">
        <v>115600</v>
      </c>
      <c r="F5170" s="28">
        <v>112100</v>
      </c>
      <c r="G5170" s="27" t="s">
        <v>22</v>
      </c>
      <c r="H5170" s="27" t="s">
        <v>6471</v>
      </c>
      <c r="I5170" s="27" t="s">
        <v>9</v>
      </c>
    </row>
    <row r="5171" spans="1:9" x14ac:dyDescent="0.3">
      <c r="A5171" s="26">
        <v>45201</v>
      </c>
      <c r="B5171" s="27" t="s">
        <v>124</v>
      </c>
      <c r="C5171" s="27" t="s">
        <v>6</v>
      </c>
      <c r="D5171" s="27" t="s">
        <v>19</v>
      </c>
      <c r="E5171" s="28">
        <v>93700</v>
      </c>
      <c r="F5171" s="28">
        <v>89000</v>
      </c>
      <c r="G5171" s="27" t="s">
        <v>17</v>
      </c>
      <c r="H5171" s="27" t="s">
        <v>6704</v>
      </c>
      <c r="I5171" s="27" t="s">
        <v>9</v>
      </c>
    </row>
    <row r="5172" spans="1:9" x14ac:dyDescent="0.3">
      <c r="A5172" s="26">
        <v>45202</v>
      </c>
      <c r="B5172" s="27" t="s">
        <v>124</v>
      </c>
      <c r="C5172" s="27" t="s">
        <v>15</v>
      </c>
      <c r="D5172" s="27" t="s">
        <v>24</v>
      </c>
      <c r="E5172" s="28">
        <v>98499</v>
      </c>
      <c r="F5172" s="28">
        <v>15800</v>
      </c>
      <c r="G5172" s="27" t="s">
        <v>17</v>
      </c>
      <c r="H5172" s="27" t="s">
        <v>677</v>
      </c>
      <c r="I5172" s="27" t="s">
        <v>13</v>
      </c>
    </row>
    <row r="5173" spans="1:9" x14ac:dyDescent="0.3">
      <c r="A5173" s="26">
        <v>45202</v>
      </c>
      <c r="B5173" s="27" t="s">
        <v>124</v>
      </c>
      <c r="C5173" s="27" t="s">
        <v>10</v>
      </c>
      <c r="D5173" s="27" t="s">
        <v>24</v>
      </c>
      <c r="E5173" s="28">
        <v>93169</v>
      </c>
      <c r="F5173" s="28">
        <v>73540</v>
      </c>
      <c r="G5173" s="27" t="s">
        <v>8</v>
      </c>
      <c r="H5173" s="27" t="s">
        <v>2059</v>
      </c>
      <c r="I5173" s="27" t="s">
        <v>13</v>
      </c>
    </row>
    <row r="5174" spans="1:9" x14ac:dyDescent="0.3">
      <c r="A5174" s="26">
        <v>45202</v>
      </c>
      <c r="B5174" s="27" t="s">
        <v>124</v>
      </c>
      <c r="C5174" s="27" t="s">
        <v>15</v>
      </c>
      <c r="D5174" s="27" t="s">
        <v>24</v>
      </c>
      <c r="E5174" s="28">
        <v>47495</v>
      </c>
      <c r="F5174" s="28">
        <v>110140</v>
      </c>
      <c r="G5174" s="27" t="s">
        <v>11</v>
      </c>
      <c r="H5174" s="27" t="s">
        <v>2282</v>
      </c>
      <c r="I5174" s="27" t="s">
        <v>13</v>
      </c>
    </row>
    <row r="5175" spans="1:9" x14ac:dyDescent="0.3">
      <c r="A5175" s="26">
        <v>45202</v>
      </c>
      <c r="B5175" s="27" t="s">
        <v>124</v>
      </c>
      <c r="C5175" s="27" t="s">
        <v>32</v>
      </c>
      <c r="D5175" s="27" t="s">
        <v>21</v>
      </c>
      <c r="E5175" s="28">
        <v>125178</v>
      </c>
      <c r="F5175" s="28">
        <v>147896</v>
      </c>
      <c r="G5175" s="27" t="s">
        <v>17</v>
      </c>
      <c r="H5175" s="27" t="s">
        <v>3089</v>
      </c>
      <c r="I5175" s="27" t="s">
        <v>13</v>
      </c>
    </row>
    <row r="5176" spans="1:9" x14ac:dyDescent="0.3">
      <c r="A5176" s="26">
        <v>45202</v>
      </c>
      <c r="B5176" s="27" t="s">
        <v>124</v>
      </c>
      <c r="C5176" s="27" t="s">
        <v>6</v>
      </c>
      <c r="D5176" s="27" t="s">
        <v>24</v>
      </c>
      <c r="E5176" s="28">
        <v>144200</v>
      </c>
      <c r="F5176" s="28">
        <v>164900</v>
      </c>
      <c r="G5176" s="27" t="s">
        <v>11</v>
      </c>
      <c r="H5176" s="27" t="s">
        <v>4058</v>
      </c>
      <c r="I5176" s="27" t="s">
        <v>9</v>
      </c>
    </row>
    <row r="5177" spans="1:9" x14ac:dyDescent="0.3">
      <c r="A5177" s="26">
        <v>45202</v>
      </c>
      <c r="B5177" s="27" t="s">
        <v>124</v>
      </c>
      <c r="C5177" s="27" t="s">
        <v>6</v>
      </c>
      <c r="D5177" s="27" t="s">
        <v>24</v>
      </c>
      <c r="E5177" s="28">
        <v>93200</v>
      </c>
      <c r="F5177" s="28">
        <v>91800</v>
      </c>
      <c r="G5177" s="27" t="s">
        <v>11</v>
      </c>
      <c r="H5177" s="27" t="s">
        <v>5443</v>
      </c>
      <c r="I5177" s="27" t="s">
        <v>9</v>
      </c>
    </row>
    <row r="5178" spans="1:9" x14ac:dyDescent="0.3">
      <c r="A5178" s="26">
        <v>45202</v>
      </c>
      <c r="B5178" s="27" t="s">
        <v>124</v>
      </c>
      <c r="C5178" s="27" t="s">
        <v>6</v>
      </c>
      <c r="D5178" s="27" t="s">
        <v>24</v>
      </c>
      <c r="E5178" s="28">
        <v>121600</v>
      </c>
      <c r="F5178" s="28">
        <v>123500</v>
      </c>
      <c r="G5178" s="27" t="s">
        <v>11</v>
      </c>
      <c r="H5178" s="27" t="s">
        <v>5667</v>
      </c>
      <c r="I5178" s="27" t="s">
        <v>9</v>
      </c>
    </row>
    <row r="5179" spans="1:9" x14ac:dyDescent="0.3">
      <c r="A5179" s="26">
        <v>45202</v>
      </c>
      <c r="B5179" s="27" t="s">
        <v>124</v>
      </c>
      <c r="C5179" s="27" t="s">
        <v>93</v>
      </c>
      <c r="D5179" s="27" t="s">
        <v>21</v>
      </c>
      <c r="E5179" s="28">
        <v>142200</v>
      </c>
      <c r="F5179" s="28">
        <v>137700</v>
      </c>
      <c r="G5179" s="27" t="s">
        <v>17</v>
      </c>
      <c r="H5179" s="27" t="s">
        <v>6474</v>
      </c>
      <c r="I5179" s="27" t="s">
        <v>9</v>
      </c>
    </row>
    <row r="5180" spans="1:9" x14ac:dyDescent="0.3">
      <c r="A5180" s="26">
        <v>45203</v>
      </c>
      <c r="B5180" s="27" t="s">
        <v>124</v>
      </c>
      <c r="C5180" s="27" t="s">
        <v>20</v>
      </c>
      <c r="D5180" s="27" t="s">
        <v>24</v>
      </c>
      <c r="E5180" s="28">
        <v>76598</v>
      </c>
      <c r="F5180" s="28">
        <v>155537</v>
      </c>
      <c r="G5180" s="27" t="s">
        <v>22</v>
      </c>
      <c r="H5180" s="27" t="s">
        <v>346</v>
      </c>
      <c r="I5180" s="27" t="s">
        <v>13</v>
      </c>
    </row>
    <row r="5181" spans="1:9" x14ac:dyDescent="0.3">
      <c r="A5181" s="26">
        <v>45203</v>
      </c>
      <c r="B5181" s="27" t="s">
        <v>124</v>
      </c>
      <c r="C5181" s="27" t="s">
        <v>15</v>
      </c>
      <c r="D5181" s="27" t="s">
        <v>7</v>
      </c>
      <c r="E5181" s="28">
        <v>73442</v>
      </c>
      <c r="F5181" s="28">
        <v>138541</v>
      </c>
      <c r="G5181" s="27" t="s">
        <v>17</v>
      </c>
      <c r="H5181" s="27" t="s">
        <v>407</v>
      </c>
      <c r="I5181" s="27" t="s">
        <v>13</v>
      </c>
    </row>
    <row r="5182" spans="1:9" x14ac:dyDescent="0.3">
      <c r="A5182" s="26">
        <v>45203</v>
      </c>
      <c r="B5182" s="27" t="s">
        <v>124</v>
      </c>
      <c r="C5182" s="27" t="s">
        <v>18</v>
      </c>
      <c r="D5182" s="27" t="s">
        <v>16</v>
      </c>
      <c r="E5182" s="28">
        <v>79356</v>
      </c>
      <c r="F5182" s="28">
        <v>73452</v>
      </c>
      <c r="G5182" s="27" t="s">
        <v>11</v>
      </c>
      <c r="H5182" s="27" t="s">
        <v>949</v>
      </c>
      <c r="I5182" s="27" t="s">
        <v>13</v>
      </c>
    </row>
    <row r="5183" spans="1:9" x14ac:dyDescent="0.3">
      <c r="A5183" s="26">
        <v>45203</v>
      </c>
      <c r="B5183" s="27" t="s">
        <v>124</v>
      </c>
      <c r="C5183" s="27" t="s">
        <v>32</v>
      </c>
      <c r="D5183" s="27" t="s">
        <v>24</v>
      </c>
      <c r="E5183" s="28">
        <v>76513</v>
      </c>
      <c r="F5183" s="28">
        <v>54604</v>
      </c>
      <c r="G5183" s="27" t="s">
        <v>17</v>
      </c>
      <c r="H5183" s="27" t="s">
        <v>1069</v>
      </c>
      <c r="I5183" s="27" t="s">
        <v>13</v>
      </c>
    </row>
    <row r="5184" spans="1:9" x14ac:dyDescent="0.3">
      <c r="A5184" s="26">
        <v>45203</v>
      </c>
      <c r="B5184" s="27" t="s">
        <v>124</v>
      </c>
      <c r="C5184" s="27" t="s">
        <v>18</v>
      </c>
      <c r="D5184" s="27" t="s">
        <v>21</v>
      </c>
      <c r="E5184" s="28">
        <v>32290</v>
      </c>
      <c r="F5184" s="28">
        <v>11751</v>
      </c>
      <c r="G5184" s="27" t="s">
        <v>17</v>
      </c>
      <c r="H5184" s="27" t="s">
        <v>1129</v>
      </c>
      <c r="I5184" s="27" t="s">
        <v>13</v>
      </c>
    </row>
    <row r="5185" spans="1:9" x14ac:dyDescent="0.3">
      <c r="A5185" s="26">
        <v>45203</v>
      </c>
      <c r="B5185" s="27" t="s">
        <v>124</v>
      </c>
      <c r="C5185" s="27" t="s">
        <v>6</v>
      </c>
      <c r="D5185" s="27" t="s">
        <v>24</v>
      </c>
      <c r="E5185" s="28">
        <v>119500</v>
      </c>
      <c r="F5185" s="28">
        <v>148500</v>
      </c>
      <c r="G5185" s="27" t="s">
        <v>11</v>
      </c>
      <c r="H5185" s="27" t="s">
        <v>3727</v>
      </c>
      <c r="I5185" s="27" t="s">
        <v>9</v>
      </c>
    </row>
    <row r="5186" spans="1:9" x14ac:dyDescent="0.3">
      <c r="A5186" s="26">
        <v>45203</v>
      </c>
      <c r="B5186" s="27" t="s">
        <v>124</v>
      </c>
      <c r="C5186" s="27" t="s">
        <v>6</v>
      </c>
      <c r="D5186" s="27" t="s">
        <v>7</v>
      </c>
      <c r="E5186" s="28">
        <v>149300</v>
      </c>
      <c r="F5186" s="28">
        <v>137800</v>
      </c>
      <c r="G5186" s="27" t="s">
        <v>11</v>
      </c>
      <c r="H5186" s="27" t="s">
        <v>3788</v>
      </c>
      <c r="I5186" s="27" t="s">
        <v>9</v>
      </c>
    </row>
    <row r="5187" spans="1:9" x14ac:dyDescent="0.3">
      <c r="A5187" s="26">
        <v>45203</v>
      </c>
      <c r="B5187" s="27" t="s">
        <v>124</v>
      </c>
      <c r="C5187" s="27" t="s">
        <v>93</v>
      </c>
      <c r="D5187" s="27" t="s">
        <v>16</v>
      </c>
      <c r="E5187" s="28">
        <v>54200</v>
      </c>
      <c r="F5187" s="28">
        <v>41300</v>
      </c>
      <c r="G5187" s="27" t="s">
        <v>11</v>
      </c>
      <c r="H5187" s="27" t="s">
        <v>4330</v>
      </c>
      <c r="I5187" s="27" t="s">
        <v>9</v>
      </c>
    </row>
    <row r="5188" spans="1:9" x14ac:dyDescent="0.3">
      <c r="A5188" s="26">
        <v>45203</v>
      </c>
      <c r="B5188" s="27" t="s">
        <v>124</v>
      </c>
      <c r="C5188" s="27" t="s">
        <v>6</v>
      </c>
      <c r="D5188" s="27" t="s">
        <v>24</v>
      </c>
      <c r="E5188" s="28">
        <v>157400</v>
      </c>
      <c r="F5188" s="28">
        <v>141700</v>
      </c>
      <c r="G5188" s="27" t="s">
        <v>11</v>
      </c>
      <c r="H5188" s="27" t="s">
        <v>4451</v>
      </c>
      <c r="I5188" s="27" t="s">
        <v>9</v>
      </c>
    </row>
    <row r="5189" spans="1:9" x14ac:dyDescent="0.3">
      <c r="A5189" s="26">
        <v>45203</v>
      </c>
      <c r="B5189" s="27" t="s">
        <v>124</v>
      </c>
      <c r="C5189" s="27" t="s">
        <v>93</v>
      </c>
      <c r="D5189" s="27" t="s">
        <v>21</v>
      </c>
      <c r="E5189" s="28">
        <v>143800</v>
      </c>
      <c r="F5189" s="28">
        <v>173400</v>
      </c>
      <c r="G5189" s="27" t="s">
        <v>22</v>
      </c>
      <c r="H5189" s="27" t="s">
        <v>4512</v>
      </c>
      <c r="I5189" s="27" t="s">
        <v>9</v>
      </c>
    </row>
    <row r="5190" spans="1:9" x14ac:dyDescent="0.3">
      <c r="A5190" s="26">
        <v>45204</v>
      </c>
      <c r="B5190" s="27" t="s">
        <v>124</v>
      </c>
      <c r="C5190" s="27" t="s">
        <v>10</v>
      </c>
      <c r="D5190" s="27" t="s">
        <v>21</v>
      </c>
      <c r="E5190" s="28">
        <v>69056</v>
      </c>
      <c r="F5190" s="28">
        <v>21791</v>
      </c>
      <c r="G5190" s="27" t="s">
        <v>17</v>
      </c>
      <c r="H5190" s="27" t="s">
        <v>368</v>
      </c>
      <c r="I5190" s="27" t="s">
        <v>13</v>
      </c>
    </row>
    <row r="5191" spans="1:9" x14ac:dyDescent="0.3">
      <c r="A5191" s="26">
        <v>45204</v>
      </c>
      <c r="B5191" s="27" t="s">
        <v>124</v>
      </c>
      <c r="C5191" s="27" t="s">
        <v>10</v>
      </c>
      <c r="D5191" s="27" t="s">
        <v>19</v>
      </c>
      <c r="E5191" s="28">
        <v>25660</v>
      </c>
      <c r="F5191" s="28">
        <v>139032</v>
      </c>
      <c r="G5191" s="27" t="s">
        <v>11</v>
      </c>
      <c r="H5191" s="27" t="s">
        <v>513</v>
      </c>
      <c r="I5191" s="27" t="s">
        <v>13</v>
      </c>
    </row>
    <row r="5192" spans="1:9" x14ac:dyDescent="0.3">
      <c r="A5192" s="26">
        <v>45204</v>
      </c>
      <c r="B5192" s="27" t="s">
        <v>124</v>
      </c>
      <c r="C5192" s="27" t="s">
        <v>14</v>
      </c>
      <c r="D5192" s="27" t="s">
        <v>16</v>
      </c>
      <c r="E5192" s="28">
        <v>85465</v>
      </c>
      <c r="F5192" s="28">
        <v>18126</v>
      </c>
      <c r="G5192" s="27" t="s">
        <v>8</v>
      </c>
      <c r="H5192" s="27" t="s">
        <v>655</v>
      </c>
      <c r="I5192" s="27" t="s">
        <v>13</v>
      </c>
    </row>
    <row r="5193" spans="1:9" x14ac:dyDescent="0.3">
      <c r="A5193" s="26">
        <v>45204</v>
      </c>
      <c r="B5193" s="27" t="s">
        <v>124</v>
      </c>
      <c r="C5193" s="27" t="s">
        <v>14</v>
      </c>
      <c r="D5193" s="27" t="s">
        <v>19</v>
      </c>
      <c r="E5193" s="28">
        <v>78211</v>
      </c>
      <c r="F5193" s="28">
        <v>169058</v>
      </c>
      <c r="G5193" s="27" t="s">
        <v>8</v>
      </c>
      <c r="H5193" s="27" t="s">
        <v>961</v>
      </c>
      <c r="I5193" s="27" t="s">
        <v>13</v>
      </c>
    </row>
    <row r="5194" spans="1:9" x14ac:dyDescent="0.3">
      <c r="A5194" s="26">
        <v>45204</v>
      </c>
      <c r="B5194" s="27" t="s">
        <v>124</v>
      </c>
      <c r="C5194" s="27" t="s">
        <v>15</v>
      </c>
      <c r="D5194" s="27" t="s">
        <v>24</v>
      </c>
      <c r="E5194" s="28">
        <v>34849</v>
      </c>
      <c r="F5194" s="28">
        <v>49181</v>
      </c>
      <c r="G5194" s="27" t="s">
        <v>22</v>
      </c>
      <c r="H5194" s="27" t="s">
        <v>1203</v>
      </c>
      <c r="I5194" s="27" t="s">
        <v>13</v>
      </c>
    </row>
    <row r="5195" spans="1:9" x14ac:dyDescent="0.3">
      <c r="A5195" s="26">
        <v>45204</v>
      </c>
      <c r="B5195" s="27" t="s">
        <v>124</v>
      </c>
      <c r="C5195" s="27" t="s">
        <v>10</v>
      </c>
      <c r="D5195" s="27" t="s">
        <v>16</v>
      </c>
      <c r="E5195" s="28">
        <v>143731</v>
      </c>
      <c r="F5195" s="28">
        <v>157151</v>
      </c>
      <c r="G5195" s="27" t="s">
        <v>11</v>
      </c>
      <c r="H5195" s="27" t="s">
        <v>1920</v>
      </c>
      <c r="I5195" s="27" t="s">
        <v>13</v>
      </c>
    </row>
    <row r="5196" spans="1:9" x14ac:dyDescent="0.3">
      <c r="A5196" s="26">
        <v>45204</v>
      </c>
      <c r="B5196" s="27" t="s">
        <v>124</v>
      </c>
      <c r="C5196" s="27" t="s">
        <v>20</v>
      </c>
      <c r="D5196" s="27" t="s">
        <v>16</v>
      </c>
      <c r="E5196" s="28">
        <v>95141</v>
      </c>
      <c r="F5196" s="28">
        <v>96615</v>
      </c>
      <c r="G5196" s="27" t="s">
        <v>11</v>
      </c>
      <c r="H5196" s="27" t="s">
        <v>2057</v>
      </c>
      <c r="I5196" s="27" t="s">
        <v>13</v>
      </c>
    </row>
    <row r="5197" spans="1:9" x14ac:dyDescent="0.3">
      <c r="A5197" s="26">
        <v>45204</v>
      </c>
      <c r="B5197" s="27" t="s">
        <v>124</v>
      </c>
      <c r="C5197" s="27" t="s">
        <v>10</v>
      </c>
      <c r="D5197" s="27" t="s">
        <v>24</v>
      </c>
      <c r="E5197" s="28">
        <v>35344</v>
      </c>
      <c r="F5197" s="28">
        <v>131969</v>
      </c>
      <c r="G5197" s="27" t="s">
        <v>22</v>
      </c>
      <c r="H5197" s="27" t="s">
        <v>2239</v>
      </c>
      <c r="I5197" s="27" t="s">
        <v>13</v>
      </c>
    </row>
    <row r="5198" spans="1:9" x14ac:dyDescent="0.3">
      <c r="A5198" s="26">
        <v>45204</v>
      </c>
      <c r="B5198" s="27" t="s">
        <v>124</v>
      </c>
      <c r="C5198" s="27" t="s">
        <v>15</v>
      </c>
      <c r="D5198" s="27" t="s">
        <v>7</v>
      </c>
      <c r="E5198" s="28">
        <v>35089</v>
      </c>
      <c r="F5198" s="28">
        <v>110851</v>
      </c>
      <c r="G5198" s="27" t="s">
        <v>17</v>
      </c>
      <c r="H5198" s="27" t="s">
        <v>2665</v>
      </c>
      <c r="I5198" s="27" t="s">
        <v>13</v>
      </c>
    </row>
    <row r="5199" spans="1:9" x14ac:dyDescent="0.3">
      <c r="A5199" s="26">
        <v>45204</v>
      </c>
      <c r="B5199" s="27" t="s">
        <v>124</v>
      </c>
      <c r="C5199" s="27" t="s">
        <v>6</v>
      </c>
      <c r="D5199" s="27" t="s">
        <v>21</v>
      </c>
      <c r="E5199" s="28">
        <v>100000</v>
      </c>
      <c r="F5199" s="28">
        <v>95100</v>
      </c>
      <c r="G5199" s="27" t="s">
        <v>11</v>
      </c>
      <c r="H5199" s="27" t="s">
        <v>3749</v>
      </c>
      <c r="I5199" s="27" t="s">
        <v>9</v>
      </c>
    </row>
    <row r="5200" spans="1:9" x14ac:dyDescent="0.3">
      <c r="A5200" s="26">
        <v>45204</v>
      </c>
      <c r="B5200" s="27" t="s">
        <v>124</v>
      </c>
      <c r="C5200" s="27" t="s">
        <v>6</v>
      </c>
      <c r="D5200" s="27" t="s">
        <v>19</v>
      </c>
      <c r="E5200" s="28">
        <v>103400</v>
      </c>
      <c r="F5200" s="28">
        <v>93500</v>
      </c>
      <c r="G5200" s="27" t="s">
        <v>22</v>
      </c>
      <c r="H5200" s="27" t="s">
        <v>3894</v>
      </c>
      <c r="I5200" s="27" t="s">
        <v>9</v>
      </c>
    </row>
    <row r="5201" spans="1:9" x14ac:dyDescent="0.3">
      <c r="A5201" s="26">
        <v>45204</v>
      </c>
      <c r="B5201" s="27" t="s">
        <v>124</v>
      </c>
      <c r="C5201" s="27" t="s">
        <v>93</v>
      </c>
      <c r="D5201" s="27" t="s">
        <v>16</v>
      </c>
      <c r="E5201" s="28">
        <v>81700</v>
      </c>
      <c r="F5201" s="28">
        <v>92100</v>
      </c>
      <c r="G5201" s="27" t="s">
        <v>17</v>
      </c>
      <c r="H5201" s="27" t="s">
        <v>4036</v>
      </c>
      <c r="I5201" s="27" t="s">
        <v>9</v>
      </c>
    </row>
    <row r="5202" spans="1:9" x14ac:dyDescent="0.3">
      <c r="A5202" s="26">
        <v>45204</v>
      </c>
      <c r="B5202" s="27" t="s">
        <v>124</v>
      </c>
      <c r="C5202" s="27" t="s">
        <v>6</v>
      </c>
      <c r="D5202" s="27" t="s">
        <v>19</v>
      </c>
      <c r="E5202" s="28">
        <v>69100</v>
      </c>
      <c r="F5202" s="28">
        <v>63000</v>
      </c>
      <c r="G5202" s="27" t="s">
        <v>11</v>
      </c>
      <c r="H5202" s="27" t="s">
        <v>4342</v>
      </c>
      <c r="I5202" s="27" t="s">
        <v>9</v>
      </c>
    </row>
    <row r="5203" spans="1:9" x14ac:dyDescent="0.3">
      <c r="A5203" s="26">
        <v>45204</v>
      </c>
      <c r="B5203" s="27" t="s">
        <v>124</v>
      </c>
      <c r="C5203" s="27" t="s">
        <v>93</v>
      </c>
      <c r="D5203" s="27" t="s">
        <v>24</v>
      </c>
      <c r="E5203" s="28">
        <v>102100</v>
      </c>
      <c r="F5203" s="28">
        <v>133400</v>
      </c>
      <c r="G5203" s="27" t="s">
        <v>17</v>
      </c>
      <c r="H5203" s="27" t="s">
        <v>4586</v>
      </c>
      <c r="I5203" s="27" t="s">
        <v>9</v>
      </c>
    </row>
    <row r="5204" spans="1:9" x14ac:dyDescent="0.3">
      <c r="A5204" s="26">
        <v>45204</v>
      </c>
      <c r="B5204" s="27" t="s">
        <v>124</v>
      </c>
      <c r="C5204" s="27" t="s">
        <v>93</v>
      </c>
      <c r="D5204" s="27" t="s">
        <v>16</v>
      </c>
      <c r="E5204" s="28">
        <v>216100</v>
      </c>
      <c r="F5204" s="28">
        <v>237200</v>
      </c>
      <c r="G5204" s="27" t="s">
        <v>11</v>
      </c>
      <c r="H5204" s="27" t="s">
        <v>5304</v>
      </c>
      <c r="I5204" s="27" t="s">
        <v>9</v>
      </c>
    </row>
    <row r="5205" spans="1:9" x14ac:dyDescent="0.3">
      <c r="A5205" s="26">
        <v>45204</v>
      </c>
      <c r="B5205" s="27" t="s">
        <v>124</v>
      </c>
      <c r="C5205" s="27" t="s">
        <v>93</v>
      </c>
      <c r="D5205" s="27" t="s">
        <v>16</v>
      </c>
      <c r="E5205" s="28">
        <v>288300</v>
      </c>
      <c r="F5205" s="28">
        <v>255300</v>
      </c>
      <c r="G5205" s="27" t="s">
        <v>11</v>
      </c>
      <c r="H5205" s="27" t="s">
        <v>5441</v>
      </c>
      <c r="I5205" s="27" t="s">
        <v>9</v>
      </c>
    </row>
    <row r="5206" spans="1:9" x14ac:dyDescent="0.3">
      <c r="A5206" s="26">
        <v>45204</v>
      </c>
      <c r="B5206" s="27" t="s">
        <v>124</v>
      </c>
      <c r="C5206" s="27" t="s">
        <v>6</v>
      </c>
      <c r="D5206" s="27" t="s">
        <v>24</v>
      </c>
      <c r="E5206" s="28">
        <v>133200</v>
      </c>
      <c r="F5206" s="28">
        <v>106400</v>
      </c>
      <c r="G5206" s="27" t="s">
        <v>11</v>
      </c>
      <c r="H5206" s="27" t="s">
        <v>5624</v>
      </c>
      <c r="I5206" s="27" t="s">
        <v>9</v>
      </c>
    </row>
    <row r="5207" spans="1:9" x14ac:dyDescent="0.3">
      <c r="A5207" s="26">
        <v>45204</v>
      </c>
      <c r="B5207" s="27" t="s">
        <v>124</v>
      </c>
      <c r="C5207" s="27" t="s">
        <v>93</v>
      </c>
      <c r="D5207" s="27" t="s">
        <v>7</v>
      </c>
      <c r="E5207" s="28">
        <v>93100</v>
      </c>
      <c r="F5207" s="28">
        <v>76300</v>
      </c>
      <c r="G5207" s="27" t="s">
        <v>11</v>
      </c>
      <c r="H5207" s="27" t="s">
        <v>6050</v>
      </c>
      <c r="I5207" s="27" t="s">
        <v>9</v>
      </c>
    </row>
    <row r="5208" spans="1:9" x14ac:dyDescent="0.3">
      <c r="A5208" s="26">
        <v>45205</v>
      </c>
      <c r="B5208" s="27" t="s">
        <v>124</v>
      </c>
      <c r="C5208" s="27" t="s">
        <v>32</v>
      </c>
      <c r="D5208" s="27" t="s">
        <v>19</v>
      </c>
      <c r="E5208" s="28">
        <v>93323</v>
      </c>
      <c r="F5208" s="28">
        <v>46451</v>
      </c>
      <c r="G5208" s="27" t="s">
        <v>22</v>
      </c>
      <c r="H5208" s="27" t="s">
        <v>187</v>
      </c>
      <c r="I5208" s="27" t="s">
        <v>13</v>
      </c>
    </row>
    <row r="5209" spans="1:9" x14ac:dyDescent="0.3">
      <c r="A5209" s="26">
        <v>45205</v>
      </c>
      <c r="B5209" s="27" t="s">
        <v>124</v>
      </c>
      <c r="C5209" s="27" t="s">
        <v>15</v>
      </c>
      <c r="D5209" s="27" t="s">
        <v>19</v>
      </c>
      <c r="E5209" s="28">
        <v>148227</v>
      </c>
      <c r="F5209" s="28">
        <v>35948</v>
      </c>
      <c r="G5209" s="27" t="s">
        <v>17</v>
      </c>
      <c r="H5209" s="27" t="s">
        <v>212</v>
      </c>
      <c r="I5209" s="27" t="s">
        <v>13</v>
      </c>
    </row>
    <row r="5210" spans="1:9" x14ac:dyDescent="0.3">
      <c r="A5210" s="26">
        <v>45205</v>
      </c>
      <c r="B5210" s="27" t="s">
        <v>124</v>
      </c>
      <c r="C5210" s="27" t="s">
        <v>18</v>
      </c>
      <c r="D5210" s="27" t="s">
        <v>7</v>
      </c>
      <c r="E5210" s="28">
        <v>15508</v>
      </c>
      <c r="F5210" s="28">
        <v>98766</v>
      </c>
      <c r="G5210" s="27" t="s">
        <v>22</v>
      </c>
      <c r="H5210" s="27" t="s">
        <v>370</v>
      </c>
      <c r="I5210" s="27" t="s">
        <v>13</v>
      </c>
    </row>
    <row r="5211" spans="1:9" x14ac:dyDescent="0.3">
      <c r="A5211" s="26">
        <v>45205</v>
      </c>
      <c r="B5211" s="27" t="s">
        <v>124</v>
      </c>
      <c r="C5211" s="27" t="s">
        <v>18</v>
      </c>
      <c r="D5211" s="27" t="s">
        <v>19</v>
      </c>
      <c r="E5211" s="28">
        <v>44161</v>
      </c>
      <c r="F5211" s="28">
        <v>27876</v>
      </c>
      <c r="G5211" s="27" t="s">
        <v>17</v>
      </c>
      <c r="H5211" s="27" t="s">
        <v>539</v>
      </c>
      <c r="I5211" s="27" t="s">
        <v>13</v>
      </c>
    </row>
    <row r="5212" spans="1:9" x14ac:dyDescent="0.3">
      <c r="A5212" s="26">
        <v>45205</v>
      </c>
      <c r="B5212" s="27" t="s">
        <v>124</v>
      </c>
      <c r="C5212" s="27" t="s">
        <v>14</v>
      </c>
      <c r="D5212" s="27" t="s">
        <v>21</v>
      </c>
      <c r="E5212" s="28">
        <v>100583</v>
      </c>
      <c r="F5212" s="28">
        <v>89784</v>
      </c>
      <c r="G5212" s="27" t="s">
        <v>17</v>
      </c>
      <c r="H5212" s="27" t="s">
        <v>612</v>
      </c>
      <c r="I5212" s="27" t="s">
        <v>13</v>
      </c>
    </row>
    <row r="5213" spans="1:9" x14ac:dyDescent="0.3">
      <c r="A5213" s="26">
        <v>45205</v>
      </c>
      <c r="B5213" s="27" t="s">
        <v>124</v>
      </c>
      <c r="C5213" s="27" t="s">
        <v>20</v>
      </c>
      <c r="D5213" s="27" t="s">
        <v>19</v>
      </c>
      <c r="E5213" s="28">
        <v>97601</v>
      </c>
      <c r="F5213" s="28">
        <v>108402</v>
      </c>
      <c r="G5213" s="27" t="s">
        <v>8</v>
      </c>
      <c r="H5213" s="27" t="s">
        <v>1443</v>
      </c>
      <c r="I5213" s="27" t="s">
        <v>13</v>
      </c>
    </row>
    <row r="5214" spans="1:9" x14ac:dyDescent="0.3">
      <c r="A5214" s="26">
        <v>45205</v>
      </c>
      <c r="B5214" s="27" t="s">
        <v>124</v>
      </c>
      <c r="C5214" s="27" t="s">
        <v>14</v>
      </c>
      <c r="D5214" s="27" t="s">
        <v>21</v>
      </c>
      <c r="E5214" s="28">
        <v>149459</v>
      </c>
      <c r="F5214" s="28">
        <v>69572</v>
      </c>
      <c r="G5214" s="27" t="s">
        <v>11</v>
      </c>
      <c r="H5214" s="27" t="s">
        <v>1607</v>
      </c>
      <c r="I5214" s="27" t="s">
        <v>13</v>
      </c>
    </row>
    <row r="5215" spans="1:9" x14ac:dyDescent="0.3">
      <c r="A5215" s="26">
        <v>45205</v>
      </c>
      <c r="B5215" s="27" t="s">
        <v>124</v>
      </c>
      <c r="C5215" s="27" t="s">
        <v>15</v>
      </c>
      <c r="D5215" s="27" t="s">
        <v>21</v>
      </c>
      <c r="E5215" s="28">
        <v>122413</v>
      </c>
      <c r="F5215" s="28">
        <v>30140</v>
      </c>
      <c r="G5215" s="27" t="s">
        <v>8</v>
      </c>
      <c r="H5215" s="27" t="s">
        <v>1916</v>
      </c>
      <c r="I5215" s="27" t="s">
        <v>13</v>
      </c>
    </row>
    <row r="5216" spans="1:9" x14ac:dyDescent="0.3">
      <c r="A5216" s="26">
        <v>45205</v>
      </c>
      <c r="B5216" s="27" t="s">
        <v>124</v>
      </c>
      <c r="C5216" s="27" t="s">
        <v>32</v>
      </c>
      <c r="D5216" s="27" t="s">
        <v>7</v>
      </c>
      <c r="E5216" s="28">
        <v>147075</v>
      </c>
      <c r="F5216" s="28">
        <v>104565</v>
      </c>
      <c r="G5216" s="27" t="s">
        <v>8</v>
      </c>
      <c r="H5216" s="27" t="s">
        <v>2194</v>
      </c>
      <c r="I5216" s="27" t="s">
        <v>13</v>
      </c>
    </row>
    <row r="5217" spans="1:9" x14ac:dyDescent="0.3">
      <c r="A5217" s="26">
        <v>45205</v>
      </c>
      <c r="B5217" s="27" t="s">
        <v>124</v>
      </c>
      <c r="C5217" s="27" t="s">
        <v>20</v>
      </c>
      <c r="D5217" s="27" t="s">
        <v>7</v>
      </c>
      <c r="E5217" s="28">
        <v>81392</v>
      </c>
      <c r="F5217" s="28">
        <v>89876</v>
      </c>
      <c r="G5217" s="27" t="s">
        <v>22</v>
      </c>
      <c r="H5217" s="27" t="s">
        <v>2613</v>
      </c>
      <c r="I5217" s="27" t="s">
        <v>13</v>
      </c>
    </row>
    <row r="5218" spans="1:9" x14ac:dyDescent="0.3">
      <c r="A5218" s="26">
        <v>45205</v>
      </c>
      <c r="B5218" s="27" t="s">
        <v>124</v>
      </c>
      <c r="C5218" s="27" t="s">
        <v>6</v>
      </c>
      <c r="D5218" s="27" t="s">
        <v>19</v>
      </c>
      <c r="E5218" s="28">
        <v>175600</v>
      </c>
      <c r="F5218" s="28">
        <v>144100</v>
      </c>
      <c r="G5218" s="27" t="s">
        <v>22</v>
      </c>
      <c r="H5218" s="27" t="s">
        <v>3568</v>
      </c>
      <c r="I5218" s="27" t="s">
        <v>9</v>
      </c>
    </row>
    <row r="5219" spans="1:9" x14ac:dyDescent="0.3">
      <c r="A5219" s="26">
        <v>45205</v>
      </c>
      <c r="B5219" s="27" t="s">
        <v>124</v>
      </c>
      <c r="C5219" s="27" t="s">
        <v>6</v>
      </c>
      <c r="D5219" s="27" t="s">
        <v>19</v>
      </c>
      <c r="E5219" s="28">
        <v>101400</v>
      </c>
      <c r="F5219" s="28">
        <v>93500</v>
      </c>
      <c r="G5219" s="27" t="s">
        <v>22</v>
      </c>
      <c r="H5219" s="27" t="s">
        <v>3593</v>
      </c>
      <c r="I5219" s="27" t="s">
        <v>9</v>
      </c>
    </row>
    <row r="5220" spans="1:9" x14ac:dyDescent="0.3">
      <c r="A5220" s="26">
        <v>45205</v>
      </c>
      <c r="B5220" s="27" t="s">
        <v>124</v>
      </c>
      <c r="C5220" s="27" t="s">
        <v>6</v>
      </c>
      <c r="D5220" s="27" t="s">
        <v>7</v>
      </c>
      <c r="E5220" s="28">
        <v>207400</v>
      </c>
      <c r="F5220" s="28">
        <v>167800</v>
      </c>
      <c r="G5220" s="27" t="s">
        <v>22</v>
      </c>
      <c r="H5220" s="27" t="s">
        <v>3751</v>
      </c>
      <c r="I5220" s="27" t="s">
        <v>9</v>
      </c>
    </row>
    <row r="5221" spans="1:9" x14ac:dyDescent="0.3">
      <c r="A5221" s="26">
        <v>45205</v>
      </c>
      <c r="B5221" s="27" t="s">
        <v>124</v>
      </c>
      <c r="C5221" s="27" t="s">
        <v>6</v>
      </c>
      <c r="D5221" s="27" t="s">
        <v>19</v>
      </c>
      <c r="E5221" s="28">
        <v>113000</v>
      </c>
      <c r="F5221" s="28">
        <v>147000</v>
      </c>
      <c r="G5221" s="27" t="s">
        <v>22</v>
      </c>
      <c r="H5221" s="27" t="s">
        <v>3920</v>
      </c>
      <c r="I5221" s="27" t="s">
        <v>9</v>
      </c>
    </row>
    <row r="5222" spans="1:9" x14ac:dyDescent="0.3">
      <c r="A5222" s="26">
        <v>45205</v>
      </c>
      <c r="B5222" s="27" t="s">
        <v>124</v>
      </c>
      <c r="C5222" s="27" t="s">
        <v>6</v>
      </c>
      <c r="D5222" s="27" t="s">
        <v>21</v>
      </c>
      <c r="E5222" s="28">
        <v>96600</v>
      </c>
      <c r="F5222" s="28">
        <v>85300</v>
      </c>
      <c r="G5222" s="27" t="s">
        <v>22</v>
      </c>
      <c r="H5222" s="27" t="s">
        <v>3993</v>
      </c>
      <c r="I5222" s="27" t="s">
        <v>9</v>
      </c>
    </row>
    <row r="5223" spans="1:9" x14ac:dyDescent="0.3">
      <c r="A5223" s="26">
        <v>45205</v>
      </c>
      <c r="B5223" s="27" t="s">
        <v>124</v>
      </c>
      <c r="C5223" s="27" t="s">
        <v>6</v>
      </c>
      <c r="D5223" s="27" t="s">
        <v>19</v>
      </c>
      <c r="E5223" s="28">
        <v>93000</v>
      </c>
      <c r="F5223" s="28">
        <v>103000</v>
      </c>
      <c r="G5223" s="27" t="s">
        <v>22</v>
      </c>
      <c r="H5223" s="27" t="s">
        <v>4826</v>
      </c>
      <c r="I5223" s="27" t="s">
        <v>9</v>
      </c>
    </row>
    <row r="5224" spans="1:9" x14ac:dyDescent="0.3">
      <c r="A5224" s="26">
        <v>45205</v>
      </c>
      <c r="B5224" s="27" t="s">
        <v>124</v>
      </c>
      <c r="C5224" s="27" t="s">
        <v>6</v>
      </c>
      <c r="D5224" s="27" t="s">
        <v>21</v>
      </c>
      <c r="E5224" s="28">
        <v>105800</v>
      </c>
      <c r="F5224" s="28">
        <v>122000</v>
      </c>
      <c r="G5224" s="27" t="s">
        <v>11</v>
      </c>
      <c r="H5224" s="27" t="s">
        <v>4990</v>
      </c>
      <c r="I5224" s="27" t="s">
        <v>9</v>
      </c>
    </row>
    <row r="5225" spans="1:9" x14ac:dyDescent="0.3">
      <c r="A5225" s="26">
        <v>45205</v>
      </c>
      <c r="B5225" s="27" t="s">
        <v>124</v>
      </c>
      <c r="C5225" s="27" t="s">
        <v>93</v>
      </c>
      <c r="D5225" s="27" t="s">
        <v>21</v>
      </c>
      <c r="E5225" s="28">
        <v>145600</v>
      </c>
      <c r="F5225" s="28">
        <v>153400</v>
      </c>
      <c r="G5225" s="27" t="s">
        <v>11</v>
      </c>
      <c r="H5225" s="27" t="s">
        <v>5300</v>
      </c>
      <c r="I5225" s="27" t="s">
        <v>9</v>
      </c>
    </row>
    <row r="5226" spans="1:9" x14ac:dyDescent="0.3">
      <c r="A5226" s="26">
        <v>45205</v>
      </c>
      <c r="B5226" s="27" t="s">
        <v>124</v>
      </c>
      <c r="C5226" s="27" t="s">
        <v>93</v>
      </c>
      <c r="D5226" s="27" t="s">
        <v>7</v>
      </c>
      <c r="E5226" s="28">
        <v>113600</v>
      </c>
      <c r="F5226" s="28">
        <v>119500</v>
      </c>
      <c r="G5226" s="27" t="s">
        <v>11</v>
      </c>
      <c r="H5226" s="27" t="s">
        <v>5579</v>
      </c>
      <c r="I5226" s="27" t="s">
        <v>9</v>
      </c>
    </row>
    <row r="5227" spans="1:9" x14ac:dyDescent="0.3">
      <c r="A5227" s="26">
        <v>45205</v>
      </c>
      <c r="B5227" s="27" t="s">
        <v>124</v>
      </c>
      <c r="C5227" s="27" t="s">
        <v>6</v>
      </c>
      <c r="D5227" s="27" t="s">
        <v>7</v>
      </c>
      <c r="E5227" s="28">
        <v>98300</v>
      </c>
      <c r="F5227" s="28">
        <v>119400</v>
      </c>
      <c r="G5227" s="27" t="s">
        <v>22</v>
      </c>
      <c r="H5227" s="27" t="s">
        <v>5998</v>
      </c>
      <c r="I5227" s="27" t="s">
        <v>9</v>
      </c>
    </row>
    <row r="5228" spans="1:9" x14ac:dyDescent="0.3">
      <c r="A5228" s="26">
        <v>45206</v>
      </c>
      <c r="B5228" s="27" t="s">
        <v>124</v>
      </c>
      <c r="C5228" s="27" t="s">
        <v>18</v>
      </c>
      <c r="D5228" s="27" t="s">
        <v>24</v>
      </c>
      <c r="E5228" s="28">
        <v>70312</v>
      </c>
      <c r="F5228" s="28">
        <v>18802</v>
      </c>
      <c r="G5228" s="27" t="s">
        <v>22</v>
      </c>
      <c r="H5228" s="27" t="s">
        <v>394</v>
      </c>
      <c r="I5228" s="27" t="s">
        <v>13</v>
      </c>
    </row>
    <row r="5229" spans="1:9" x14ac:dyDescent="0.3">
      <c r="A5229" s="26">
        <v>45206</v>
      </c>
      <c r="B5229" s="27" t="s">
        <v>124</v>
      </c>
      <c r="C5229" s="27" t="s">
        <v>15</v>
      </c>
      <c r="D5229" s="27" t="s">
        <v>19</v>
      </c>
      <c r="E5229" s="28">
        <v>14687</v>
      </c>
      <c r="F5229" s="28">
        <v>167348</v>
      </c>
      <c r="G5229" s="27" t="s">
        <v>11</v>
      </c>
      <c r="H5229" s="27" t="s">
        <v>627</v>
      </c>
      <c r="I5229" s="27" t="s">
        <v>13</v>
      </c>
    </row>
    <row r="5230" spans="1:9" x14ac:dyDescent="0.3">
      <c r="A5230" s="26">
        <v>45206</v>
      </c>
      <c r="B5230" s="27" t="s">
        <v>124</v>
      </c>
      <c r="C5230" s="27" t="s">
        <v>20</v>
      </c>
      <c r="D5230" s="27" t="s">
        <v>19</v>
      </c>
      <c r="E5230" s="28">
        <v>135524</v>
      </c>
      <c r="F5230" s="28">
        <v>42128</v>
      </c>
      <c r="G5230" s="27" t="s">
        <v>17</v>
      </c>
      <c r="H5230" s="27" t="s">
        <v>812</v>
      </c>
      <c r="I5230" s="27" t="s">
        <v>13</v>
      </c>
    </row>
    <row r="5231" spans="1:9" x14ac:dyDescent="0.3">
      <c r="A5231" s="26">
        <v>45206</v>
      </c>
      <c r="B5231" s="27" t="s">
        <v>124</v>
      </c>
      <c r="C5231" s="27" t="s">
        <v>15</v>
      </c>
      <c r="D5231" s="27" t="s">
        <v>21</v>
      </c>
      <c r="E5231" s="28">
        <v>119189</v>
      </c>
      <c r="F5231" s="28">
        <v>79868</v>
      </c>
      <c r="G5231" s="27" t="s">
        <v>22</v>
      </c>
      <c r="H5231" s="27" t="s">
        <v>1960</v>
      </c>
      <c r="I5231" s="27" t="s">
        <v>13</v>
      </c>
    </row>
    <row r="5232" spans="1:9" x14ac:dyDescent="0.3">
      <c r="A5232" s="26">
        <v>45206</v>
      </c>
      <c r="B5232" s="27" t="s">
        <v>124</v>
      </c>
      <c r="C5232" s="27" t="s">
        <v>32</v>
      </c>
      <c r="D5232" s="27" t="s">
        <v>16</v>
      </c>
      <c r="E5232" s="28">
        <v>128781</v>
      </c>
      <c r="F5232" s="28">
        <v>107042</v>
      </c>
      <c r="G5232" s="27" t="s">
        <v>17</v>
      </c>
      <c r="H5232" s="27" t="s">
        <v>2220</v>
      </c>
      <c r="I5232" s="27" t="s">
        <v>13</v>
      </c>
    </row>
    <row r="5233" spans="1:9" x14ac:dyDescent="0.3">
      <c r="A5233" s="26">
        <v>45206</v>
      </c>
      <c r="B5233" s="27" t="s">
        <v>124</v>
      </c>
      <c r="C5233" s="27" t="s">
        <v>18</v>
      </c>
      <c r="D5233" s="27" t="s">
        <v>16</v>
      </c>
      <c r="E5233" s="28">
        <v>42968</v>
      </c>
      <c r="F5233" s="28">
        <v>134347</v>
      </c>
      <c r="G5233" s="27" t="s">
        <v>11</v>
      </c>
      <c r="H5233" s="27" t="s">
        <v>2362</v>
      </c>
      <c r="I5233" s="27" t="s">
        <v>13</v>
      </c>
    </row>
    <row r="5234" spans="1:9" x14ac:dyDescent="0.3">
      <c r="A5234" s="26">
        <v>45206</v>
      </c>
      <c r="B5234" s="27" t="s">
        <v>124</v>
      </c>
      <c r="C5234" s="27" t="s">
        <v>15</v>
      </c>
      <c r="D5234" s="27" t="s">
        <v>19</v>
      </c>
      <c r="E5234" s="28">
        <v>27940</v>
      </c>
      <c r="F5234" s="28">
        <v>20202</v>
      </c>
      <c r="G5234" s="27" t="s">
        <v>17</v>
      </c>
      <c r="H5234" s="27" t="s">
        <v>2443</v>
      </c>
      <c r="I5234" s="27" t="s">
        <v>13</v>
      </c>
    </row>
    <row r="5235" spans="1:9" x14ac:dyDescent="0.3">
      <c r="A5235" s="26">
        <v>45206</v>
      </c>
      <c r="B5235" s="27" t="s">
        <v>124</v>
      </c>
      <c r="C5235" s="27" t="s">
        <v>14</v>
      </c>
      <c r="D5235" s="27" t="s">
        <v>7</v>
      </c>
      <c r="E5235" s="28">
        <v>145534</v>
      </c>
      <c r="F5235" s="28">
        <v>42364</v>
      </c>
      <c r="G5235" s="27" t="s">
        <v>8</v>
      </c>
      <c r="H5235" s="27" t="s">
        <v>2448</v>
      </c>
      <c r="I5235" s="27" t="s">
        <v>13</v>
      </c>
    </row>
    <row r="5236" spans="1:9" x14ac:dyDescent="0.3">
      <c r="A5236" s="26">
        <v>45206</v>
      </c>
      <c r="B5236" s="27" t="s">
        <v>124</v>
      </c>
      <c r="C5236" s="27" t="s">
        <v>20</v>
      </c>
      <c r="D5236" s="27" t="s">
        <v>16</v>
      </c>
      <c r="E5236" s="28">
        <v>143373</v>
      </c>
      <c r="F5236" s="28">
        <v>17349</v>
      </c>
      <c r="G5236" s="27" t="s">
        <v>8</v>
      </c>
      <c r="H5236" s="27" t="s">
        <v>2614</v>
      </c>
      <c r="I5236" s="27" t="s">
        <v>13</v>
      </c>
    </row>
    <row r="5237" spans="1:9" x14ac:dyDescent="0.3">
      <c r="A5237" s="26">
        <v>45206</v>
      </c>
      <c r="B5237" s="27" t="s">
        <v>124</v>
      </c>
      <c r="C5237" s="27" t="s">
        <v>6</v>
      </c>
      <c r="D5237" s="27" t="s">
        <v>24</v>
      </c>
      <c r="E5237" s="28">
        <v>121800</v>
      </c>
      <c r="F5237" s="28">
        <v>121100</v>
      </c>
      <c r="G5237" s="27" t="s">
        <v>17</v>
      </c>
      <c r="H5237" s="27" t="s">
        <v>3775</v>
      </c>
      <c r="I5237" s="27" t="s">
        <v>9</v>
      </c>
    </row>
    <row r="5238" spans="1:9" x14ac:dyDescent="0.3">
      <c r="A5238" s="26">
        <v>45206</v>
      </c>
      <c r="B5238" s="27" t="s">
        <v>124</v>
      </c>
      <c r="C5238" s="27" t="s">
        <v>6</v>
      </c>
      <c r="D5238" s="27" t="s">
        <v>19</v>
      </c>
      <c r="E5238" s="28">
        <v>109900</v>
      </c>
      <c r="F5238" s="28">
        <v>103900</v>
      </c>
      <c r="G5238" s="27" t="s">
        <v>22</v>
      </c>
      <c r="H5238" s="27" t="s">
        <v>4008</v>
      </c>
      <c r="I5238" s="27" t="s">
        <v>9</v>
      </c>
    </row>
    <row r="5239" spans="1:9" x14ac:dyDescent="0.3">
      <c r="A5239" s="26">
        <v>45206</v>
      </c>
      <c r="B5239" s="27" t="s">
        <v>124</v>
      </c>
      <c r="C5239" s="27" t="s">
        <v>93</v>
      </c>
      <c r="D5239" s="27" t="s">
        <v>19</v>
      </c>
      <c r="E5239" s="28">
        <v>94700</v>
      </c>
      <c r="F5239" s="28">
        <v>92900</v>
      </c>
      <c r="G5239" s="27" t="s">
        <v>22</v>
      </c>
      <c r="H5239" s="27" t="s">
        <v>4193</v>
      </c>
      <c r="I5239" s="27" t="s">
        <v>9</v>
      </c>
    </row>
    <row r="5240" spans="1:9" x14ac:dyDescent="0.3">
      <c r="A5240" s="26">
        <v>45206</v>
      </c>
      <c r="B5240" s="27" t="s">
        <v>124</v>
      </c>
      <c r="C5240" s="27" t="s">
        <v>6</v>
      </c>
      <c r="D5240" s="27" t="s">
        <v>21</v>
      </c>
      <c r="E5240" s="28">
        <v>88800</v>
      </c>
      <c r="F5240" s="28">
        <v>93400</v>
      </c>
      <c r="G5240" s="27" t="s">
        <v>11</v>
      </c>
      <c r="H5240" s="27" t="s">
        <v>5344</v>
      </c>
      <c r="I5240" s="27" t="s">
        <v>9</v>
      </c>
    </row>
    <row r="5241" spans="1:9" x14ac:dyDescent="0.3">
      <c r="A5241" s="26">
        <v>45206</v>
      </c>
      <c r="B5241" s="27" t="s">
        <v>124</v>
      </c>
      <c r="C5241" s="27" t="s">
        <v>93</v>
      </c>
      <c r="D5241" s="27" t="s">
        <v>16</v>
      </c>
      <c r="E5241" s="28">
        <v>56800</v>
      </c>
      <c r="F5241" s="28">
        <v>53500</v>
      </c>
      <c r="G5241" s="27" t="s">
        <v>22</v>
      </c>
      <c r="H5241" s="27" t="s">
        <v>5605</v>
      </c>
      <c r="I5241" s="27" t="s">
        <v>9</v>
      </c>
    </row>
    <row r="5242" spans="1:9" x14ac:dyDescent="0.3">
      <c r="A5242" s="26">
        <v>45206</v>
      </c>
      <c r="B5242" s="27" t="s">
        <v>124</v>
      </c>
      <c r="C5242" s="27" t="s">
        <v>6</v>
      </c>
      <c r="D5242" s="27" t="s">
        <v>16</v>
      </c>
      <c r="E5242" s="28">
        <v>146100</v>
      </c>
      <c r="F5242" s="28">
        <v>154300</v>
      </c>
      <c r="G5242" s="27" t="s">
        <v>11</v>
      </c>
      <c r="H5242" s="27" t="s">
        <v>5747</v>
      </c>
      <c r="I5242" s="27" t="s">
        <v>9</v>
      </c>
    </row>
    <row r="5243" spans="1:9" x14ac:dyDescent="0.3">
      <c r="A5243" s="26">
        <v>45206</v>
      </c>
      <c r="B5243" s="27" t="s">
        <v>124</v>
      </c>
      <c r="C5243" s="27" t="s">
        <v>6</v>
      </c>
      <c r="D5243" s="27" t="s">
        <v>19</v>
      </c>
      <c r="E5243" s="28">
        <v>58700</v>
      </c>
      <c r="F5243" s="28">
        <v>66400</v>
      </c>
      <c r="G5243" s="27" t="s">
        <v>11</v>
      </c>
      <c r="H5243" s="27" t="s">
        <v>5828</v>
      </c>
      <c r="I5243" s="27" t="s">
        <v>9</v>
      </c>
    </row>
    <row r="5244" spans="1:9" x14ac:dyDescent="0.3">
      <c r="A5244" s="26">
        <v>45206</v>
      </c>
      <c r="B5244" s="27" t="s">
        <v>124</v>
      </c>
      <c r="C5244" s="27" t="s">
        <v>6</v>
      </c>
      <c r="D5244" s="27" t="s">
        <v>7</v>
      </c>
      <c r="E5244" s="28">
        <v>120000</v>
      </c>
      <c r="F5244" s="28">
        <v>88900</v>
      </c>
      <c r="G5244" s="27" t="s">
        <v>11</v>
      </c>
      <c r="H5244" s="27" t="s">
        <v>5833</v>
      </c>
      <c r="I5244" s="27" t="s">
        <v>9</v>
      </c>
    </row>
    <row r="5245" spans="1:9" x14ac:dyDescent="0.3">
      <c r="A5245" s="26">
        <v>45206</v>
      </c>
      <c r="B5245" s="27" t="s">
        <v>124</v>
      </c>
      <c r="C5245" s="27" t="s">
        <v>93</v>
      </c>
      <c r="D5245" s="27" t="s">
        <v>16</v>
      </c>
      <c r="E5245" s="28">
        <v>185100</v>
      </c>
      <c r="F5245" s="28">
        <v>180400</v>
      </c>
      <c r="G5245" s="27" t="s">
        <v>11</v>
      </c>
      <c r="H5245" s="27" t="s">
        <v>5999</v>
      </c>
      <c r="I5245" s="27" t="s">
        <v>9</v>
      </c>
    </row>
    <row r="5246" spans="1:9" x14ac:dyDescent="0.3">
      <c r="A5246" s="26">
        <v>45207</v>
      </c>
      <c r="B5246" s="27" t="s">
        <v>124</v>
      </c>
      <c r="C5246" s="27" t="s">
        <v>32</v>
      </c>
      <c r="D5246" s="27" t="s">
        <v>24</v>
      </c>
      <c r="E5246" s="28">
        <v>87632</v>
      </c>
      <c r="F5246" s="28">
        <v>147058</v>
      </c>
      <c r="G5246" s="27" t="s">
        <v>8</v>
      </c>
      <c r="H5246" s="27" t="s">
        <v>719</v>
      </c>
      <c r="I5246" s="27" t="s">
        <v>13</v>
      </c>
    </row>
    <row r="5247" spans="1:9" x14ac:dyDescent="0.3">
      <c r="A5247" s="26">
        <v>45207</v>
      </c>
      <c r="B5247" s="27" t="s">
        <v>124</v>
      </c>
      <c r="C5247" s="27" t="s">
        <v>20</v>
      </c>
      <c r="D5247" s="27" t="s">
        <v>19</v>
      </c>
      <c r="E5247" s="28">
        <v>14858</v>
      </c>
      <c r="F5247" s="28">
        <v>98355</v>
      </c>
      <c r="G5247" s="27" t="s">
        <v>11</v>
      </c>
      <c r="H5247" s="27" t="s">
        <v>1215</v>
      </c>
      <c r="I5247" s="27" t="s">
        <v>13</v>
      </c>
    </row>
    <row r="5248" spans="1:9" x14ac:dyDescent="0.3">
      <c r="A5248" s="26">
        <v>45207</v>
      </c>
      <c r="B5248" s="27" t="s">
        <v>124</v>
      </c>
      <c r="C5248" s="27" t="s">
        <v>32</v>
      </c>
      <c r="D5248" s="27" t="s">
        <v>19</v>
      </c>
      <c r="E5248" s="28">
        <v>103917</v>
      </c>
      <c r="F5248" s="28">
        <v>73657</v>
      </c>
      <c r="G5248" s="27" t="s">
        <v>8</v>
      </c>
      <c r="H5248" s="27" t="s">
        <v>1541</v>
      </c>
      <c r="I5248" s="27" t="s">
        <v>13</v>
      </c>
    </row>
    <row r="5249" spans="1:9" x14ac:dyDescent="0.3">
      <c r="A5249" s="26">
        <v>45207</v>
      </c>
      <c r="B5249" s="27" t="s">
        <v>124</v>
      </c>
      <c r="C5249" s="27" t="s">
        <v>10</v>
      </c>
      <c r="D5249" s="27" t="s">
        <v>7</v>
      </c>
      <c r="E5249" s="28">
        <v>33365</v>
      </c>
      <c r="F5249" s="28">
        <v>67323</v>
      </c>
      <c r="G5249" s="27" t="s">
        <v>11</v>
      </c>
      <c r="H5249" s="27" t="s">
        <v>2311</v>
      </c>
      <c r="I5249" s="27" t="s">
        <v>13</v>
      </c>
    </row>
    <row r="5250" spans="1:9" x14ac:dyDescent="0.3">
      <c r="A5250" s="26">
        <v>45207</v>
      </c>
      <c r="B5250" s="27" t="s">
        <v>124</v>
      </c>
      <c r="C5250" s="27" t="s">
        <v>93</v>
      </c>
      <c r="D5250" s="27" t="s">
        <v>24</v>
      </c>
      <c r="E5250" s="28">
        <v>140200</v>
      </c>
      <c r="F5250" s="28">
        <v>188400</v>
      </c>
      <c r="G5250" s="27" t="s">
        <v>17</v>
      </c>
      <c r="H5250" s="27" t="s">
        <v>4100</v>
      </c>
      <c r="I5250" s="27" t="s">
        <v>9</v>
      </c>
    </row>
    <row r="5251" spans="1:9" x14ac:dyDescent="0.3">
      <c r="A5251" s="26">
        <v>45207</v>
      </c>
      <c r="B5251" s="27" t="s">
        <v>124</v>
      </c>
      <c r="C5251" s="27" t="s">
        <v>93</v>
      </c>
      <c r="D5251" s="27" t="s">
        <v>19</v>
      </c>
      <c r="E5251" s="28">
        <v>62700</v>
      </c>
      <c r="F5251" s="28">
        <v>66200</v>
      </c>
      <c r="G5251" s="27" t="s">
        <v>11</v>
      </c>
      <c r="H5251" s="27" t="s">
        <v>4598</v>
      </c>
      <c r="I5251" s="27" t="s">
        <v>9</v>
      </c>
    </row>
    <row r="5252" spans="1:9" x14ac:dyDescent="0.3">
      <c r="A5252" s="26">
        <v>45207</v>
      </c>
      <c r="B5252" s="27" t="s">
        <v>124</v>
      </c>
      <c r="C5252" s="27" t="s">
        <v>6</v>
      </c>
      <c r="D5252" s="27" t="s">
        <v>19</v>
      </c>
      <c r="E5252" s="28">
        <v>119900</v>
      </c>
      <c r="F5252" s="28">
        <v>103300</v>
      </c>
      <c r="G5252" s="27" t="s">
        <v>11</v>
      </c>
      <c r="H5252" s="27" t="s">
        <v>4924</v>
      </c>
      <c r="I5252" s="27" t="s">
        <v>9</v>
      </c>
    </row>
    <row r="5253" spans="1:9" x14ac:dyDescent="0.3">
      <c r="A5253" s="26">
        <v>45207</v>
      </c>
      <c r="B5253" s="27" t="s">
        <v>124</v>
      </c>
      <c r="C5253" s="27" t="s">
        <v>93</v>
      </c>
      <c r="D5253" s="27" t="s">
        <v>7</v>
      </c>
      <c r="E5253" s="28">
        <v>113800</v>
      </c>
      <c r="F5253" s="28">
        <v>124200</v>
      </c>
      <c r="G5253" s="27" t="s">
        <v>11</v>
      </c>
      <c r="H5253" s="27" t="s">
        <v>5696</v>
      </c>
      <c r="I5253" s="27" t="s">
        <v>9</v>
      </c>
    </row>
    <row r="5254" spans="1:9" x14ac:dyDescent="0.3">
      <c r="A5254" s="26">
        <v>45208</v>
      </c>
      <c r="B5254" s="27" t="s">
        <v>124</v>
      </c>
      <c r="C5254" s="27" t="s">
        <v>18</v>
      </c>
      <c r="D5254" s="27" t="s">
        <v>21</v>
      </c>
      <c r="E5254" s="28">
        <v>121710</v>
      </c>
      <c r="F5254" s="28">
        <v>28754</v>
      </c>
      <c r="G5254" s="27" t="s">
        <v>11</v>
      </c>
      <c r="H5254" s="27" t="s">
        <v>189</v>
      </c>
      <c r="I5254" s="27" t="s">
        <v>13</v>
      </c>
    </row>
    <row r="5255" spans="1:9" x14ac:dyDescent="0.3">
      <c r="A5255" s="26">
        <v>45208</v>
      </c>
      <c r="B5255" s="27" t="s">
        <v>124</v>
      </c>
      <c r="C5255" s="27" t="s">
        <v>10</v>
      </c>
      <c r="D5255" s="27" t="s">
        <v>19</v>
      </c>
      <c r="E5255" s="28">
        <v>101909</v>
      </c>
      <c r="F5255" s="28">
        <v>112182</v>
      </c>
      <c r="G5255" s="27" t="s">
        <v>17</v>
      </c>
      <c r="H5255" s="27" t="s">
        <v>847</v>
      </c>
      <c r="I5255" s="27" t="s">
        <v>13</v>
      </c>
    </row>
    <row r="5256" spans="1:9" x14ac:dyDescent="0.3">
      <c r="A5256" s="26">
        <v>45208</v>
      </c>
      <c r="B5256" s="27" t="s">
        <v>124</v>
      </c>
      <c r="C5256" s="27" t="s">
        <v>14</v>
      </c>
      <c r="D5256" s="27" t="s">
        <v>19</v>
      </c>
      <c r="E5256" s="28">
        <v>25390</v>
      </c>
      <c r="F5256" s="28">
        <v>43371</v>
      </c>
      <c r="G5256" s="27" t="s">
        <v>17</v>
      </c>
      <c r="H5256" s="27" t="s">
        <v>895</v>
      </c>
      <c r="I5256" s="27" t="s">
        <v>13</v>
      </c>
    </row>
    <row r="5257" spans="1:9" x14ac:dyDescent="0.3">
      <c r="A5257" s="26">
        <v>45208</v>
      </c>
      <c r="B5257" s="27" t="s">
        <v>124</v>
      </c>
      <c r="C5257" s="27" t="s">
        <v>32</v>
      </c>
      <c r="D5257" s="27" t="s">
        <v>24</v>
      </c>
      <c r="E5257" s="28">
        <v>108702</v>
      </c>
      <c r="F5257" s="28">
        <v>138611</v>
      </c>
      <c r="G5257" s="27" t="s">
        <v>17</v>
      </c>
      <c r="H5257" s="27" t="s">
        <v>1014</v>
      </c>
      <c r="I5257" s="27" t="s">
        <v>13</v>
      </c>
    </row>
    <row r="5258" spans="1:9" x14ac:dyDescent="0.3">
      <c r="A5258" s="26">
        <v>45208</v>
      </c>
      <c r="B5258" s="27" t="s">
        <v>124</v>
      </c>
      <c r="C5258" s="27" t="s">
        <v>14</v>
      </c>
      <c r="D5258" s="27" t="s">
        <v>24</v>
      </c>
      <c r="E5258" s="28">
        <v>43857</v>
      </c>
      <c r="F5258" s="28">
        <v>23796</v>
      </c>
      <c r="G5258" s="27" t="s">
        <v>17</v>
      </c>
      <c r="H5258" s="27" t="s">
        <v>1290</v>
      </c>
      <c r="I5258" s="27" t="s">
        <v>13</v>
      </c>
    </row>
    <row r="5259" spans="1:9" x14ac:dyDescent="0.3">
      <c r="A5259" s="26">
        <v>45208</v>
      </c>
      <c r="B5259" s="27" t="s">
        <v>124</v>
      </c>
      <c r="C5259" s="27" t="s">
        <v>32</v>
      </c>
      <c r="D5259" s="27" t="s">
        <v>7</v>
      </c>
      <c r="E5259" s="28">
        <v>20974</v>
      </c>
      <c r="F5259" s="28">
        <v>155746</v>
      </c>
      <c r="G5259" s="27" t="s">
        <v>8</v>
      </c>
      <c r="H5259" s="27" t="s">
        <v>1530</v>
      </c>
      <c r="I5259" s="27" t="s">
        <v>13</v>
      </c>
    </row>
    <row r="5260" spans="1:9" x14ac:dyDescent="0.3">
      <c r="A5260" s="26">
        <v>45208</v>
      </c>
      <c r="B5260" s="27" t="s">
        <v>124</v>
      </c>
      <c r="C5260" s="27" t="s">
        <v>32</v>
      </c>
      <c r="D5260" s="27" t="s">
        <v>7</v>
      </c>
      <c r="E5260" s="28">
        <v>66858</v>
      </c>
      <c r="F5260" s="28">
        <v>90673</v>
      </c>
      <c r="G5260" s="27" t="s">
        <v>17</v>
      </c>
      <c r="H5260" s="27" t="s">
        <v>2707</v>
      </c>
      <c r="I5260" s="27" t="s">
        <v>13</v>
      </c>
    </row>
    <row r="5261" spans="1:9" x14ac:dyDescent="0.3">
      <c r="A5261" s="26">
        <v>45208</v>
      </c>
      <c r="B5261" s="27" t="s">
        <v>124</v>
      </c>
      <c r="C5261" s="27" t="s">
        <v>10</v>
      </c>
      <c r="D5261" s="27" t="s">
        <v>19</v>
      </c>
      <c r="E5261" s="28">
        <v>130525</v>
      </c>
      <c r="F5261" s="28">
        <v>53322</v>
      </c>
      <c r="G5261" s="27" t="s">
        <v>11</v>
      </c>
      <c r="H5261" s="27" t="s">
        <v>3437</v>
      </c>
      <c r="I5261" s="27" t="s">
        <v>13</v>
      </c>
    </row>
    <row r="5262" spans="1:9" x14ac:dyDescent="0.3">
      <c r="A5262" s="26">
        <v>45208</v>
      </c>
      <c r="B5262" s="27" t="s">
        <v>124</v>
      </c>
      <c r="C5262" s="27" t="s">
        <v>93</v>
      </c>
      <c r="D5262" s="27" t="s">
        <v>21</v>
      </c>
      <c r="E5262" s="28">
        <v>75400</v>
      </c>
      <c r="F5262" s="28">
        <v>86300</v>
      </c>
      <c r="G5262" s="27" t="s">
        <v>11</v>
      </c>
      <c r="H5262" s="27" t="s">
        <v>3570</v>
      </c>
      <c r="I5262" s="27" t="s">
        <v>9</v>
      </c>
    </row>
    <row r="5263" spans="1:9" x14ac:dyDescent="0.3">
      <c r="A5263" s="26">
        <v>45208</v>
      </c>
      <c r="B5263" s="27" t="s">
        <v>124</v>
      </c>
      <c r="C5263" s="27" t="s">
        <v>93</v>
      </c>
      <c r="D5263" s="27" t="s">
        <v>19</v>
      </c>
      <c r="E5263" s="28">
        <v>168400</v>
      </c>
      <c r="F5263" s="28">
        <v>105900</v>
      </c>
      <c r="G5263" s="27" t="s">
        <v>17</v>
      </c>
      <c r="H5263" s="27" t="s">
        <v>4228</v>
      </c>
      <c r="I5263" s="27" t="s">
        <v>9</v>
      </c>
    </row>
    <row r="5264" spans="1:9" x14ac:dyDescent="0.3">
      <c r="A5264" s="26">
        <v>45208</v>
      </c>
      <c r="B5264" s="27" t="s">
        <v>124</v>
      </c>
      <c r="C5264" s="27" t="s">
        <v>93</v>
      </c>
      <c r="D5264" s="27" t="s">
        <v>19</v>
      </c>
      <c r="E5264" s="28">
        <v>181700</v>
      </c>
      <c r="F5264" s="28">
        <v>175700</v>
      </c>
      <c r="G5264" s="27" t="s">
        <v>11</v>
      </c>
      <c r="H5264" s="27" t="s">
        <v>4276</v>
      </c>
      <c r="I5264" s="27" t="s">
        <v>9</v>
      </c>
    </row>
    <row r="5265" spans="1:9" x14ac:dyDescent="0.3">
      <c r="A5265" s="26">
        <v>45208</v>
      </c>
      <c r="B5265" s="27" t="s">
        <v>124</v>
      </c>
      <c r="C5265" s="27" t="s">
        <v>6</v>
      </c>
      <c r="D5265" s="27" t="s">
        <v>24</v>
      </c>
      <c r="E5265" s="28">
        <v>62300</v>
      </c>
      <c r="F5265" s="28">
        <v>75800</v>
      </c>
      <c r="G5265" s="27" t="s">
        <v>11</v>
      </c>
      <c r="H5265" s="27" t="s">
        <v>4396</v>
      </c>
      <c r="I5265" s="27" t="s">
        <v>9</v>
      </c>
    </row>
    <row r="5266" spans="1:9" x14ac:dyDescent="0.3">
      <c r="A5266" s="26">
        <v>45208</v>
      </c>
      <c r="B5266" s="27" t="s">
        <v>124</v>
      </c>
      <c r="C5266" s="27" t="s">
        <v>6</v>
      </c>
      <c r="D5266" s="27" t="s">
        <v>24</v>
      </c>
      <c r="E5266" s="28">
        <v>106200</v>
      </c>
      <c r="F5266" s="28">
        <v>95600</v>
      </c>
      <c r="G5266" s="27" t="s">
        <v>17</v>
      </c>
      <c r="H5266" s="27" t="s">
        <v>4673</v>
      </c>
      <c r="I5266" s="27" t="s">
        <v>9</v>
      </c>
    </row>
    <row r="5267" spans="1:9" x14ac:dyDescent="0.3">
      <c r="A5267" s="26">
        <v>45208</v>
      </c>
      <c r="B5267" s="27" t="s">
        <v>124</v>
      </c>
      <c r="C5267" s="27" t="s">
        <v>6</v>
      </c>
      <c r="D5267" s="27" t="s">
        <v>7</v>
      </c>
      <c r="E5267" s="28">
        <v>192300</v>
      </c>
      <c r="F5267" s="28">
        <v>184800</v>
      </c>
      <c r="G5267" s="27" t="s">
        <v>22</v>
      </c>
      <c r="H5267" s="27" t="s">
        <v>4913</v>
      </c>
      <c r="I5267" s="27" t="s">
        <v>9</v>
      </c>
    </row>
    <row r="5268" spans="1:9" x14ac:dyDescent="0.3">
      <c r="A5268" s="26">
        <v>45208</v>
      </c>
      <c r="B5268" s="27" t="s">
        <v>124</v>
      </c>
      <c r="C5268" s="27" t="s">
        <v>93</v>
      </c>
      <c r="D5268" s="27" t="s">
        <v>7</v>
      </c>
      <c r="E5268" s="28">
        <v>117000</v>
      </c>
      <c r="F5268" s="28">
        <v>123400</v>
      </c>
      <c r="G5268" s="27" t="s">
        <v>11</v>
      </c>
      <c r="H5268" s="27" t="s">
        <v>6092</v>
      </c>
      <c r="I5268" s="27" t="s">
        <v>9</v>
      </c>
    </row>
    <row r="5269" spans="1:9" x14ac:dyDescent="0.3">
      <c r="A5269" s="26">
        <v>45208</v>
      </c>
      <c r="B5269" s="27" t="s">
        <v>124</v>
      </c>
      <c r="C5269" s="27" t="s">
        <v>6</v>
      </c>
      <c r="D5269" s="27" t="s">
        <v>19</v>
      </c>
      <c r="E5269" s="28">
        <v>53200</v>
      </c>
      <c r="F5269" s="28">
        <v>77400</v>
      </c>
      <c r="G5269" s="27" t="s">
        <v>11</v>
      </c>
      <c r="H5269" s="27" t="s">
        <v>6822</v>
      </c>
      <c r="I5269" s="27" t="s">
        <v>9</v>
      </c>
    </row>
    <row r="5270" spans="1:9" x14ac:dyDescent="0.3">
      <c r="A5270" s="26">
        <v>45209</v>
      </c>
      <c r="B5270" s="27" t="s">
        <v>124</v>
      </c>
      <c r="C5270" s="27" t="s">
        <v>14</v>
      </c>
      <c r="D5270" s="27" t="s">
        <v>21</v>
      </c>
      <c r="E5270" s="28">
        <v>31203</v>
      </c>
      <c r="F5270" s="28">
        <v>102468</v>
      </c>
      <c r="G5270" s="27" t="s">
        <v>8</v>
      </c>
      <c r="H5270" s="27" t="s">
        <v>60</v>
      </c>
      <c r="I5270" s="27" t="s">
        <v>13</v>
      </c>
    </row>
    <row r="5271" spans="1:9" x14ac:dyDescent="0.3">
      <c r="A5271" s="26">
        <v>45209</v>
      </c>
      <c r="B5271" s="27" t="s">
        <v>124</v>
      </c>
      <c r="C5271" s="27" t="s">
        <v>14</v>
      </c>
      <c r="D5271" s="27" t="s">
        <v>19</v>
      </c>
      <c r="E5271" s="28">
        <v>53400</v>
      </c>
      <c r="F5271" s="28">
        <v>65560</v>
      </c>
      <c r="G5271" s="27" t="s">
        <v>11</v>
      </c>
      <c r="H5271" s="27" t="s">
        <v>178</v>
      </c>
      <c r="I5271" s="27" t="s">
        <v>13</v>
      </c>
    </row>
    <row r="5272" spans="1:9" x14ac:dyDescent="0.3">
      <c r="A5272" s="26">
        <v>45209</v>
      </c>
      <c r="B5272" s="27" t="s">
        <v>124</v>
      </c>
      <c r="C5272" s="27" t="s">
        <v>32</v>
      </c>
      <c r="D5272" s="27" t="s">
        <v>7</v>
      </c>
      <c r="E5272" s="28">
        <v>113425</v>
      </c>
      <c r="F5272" s="28">
        <v>95740</v>
      </c>
      <c r="G5272" s="27" t="s">
        <v>22</v>
      </c>
      <c r="H5272" s="27" t="s">
        <v>692</v>
      </c>
      <c r="I5272" s="27" t="s">
        <v>13</v>
      </c>
    </row>
    <row r="5273" spans="1:9" x14ac:dyDescent="0.3">
      <c r="A5273" s="26">
        <v>45209</v>
      </c>
      <c r="B5273" s="27" t="s">
        <v>124</v>
      </c>
      <c r="C5273" s="27" t="s">
        <v>32</v>
      </c>
      <c r="D5273" s="27" t="s">
        <v>24</v>
      </c>
      <c r="E5273" s="28">
        <v>123982</v>
      </c>
      <c r="F5273" s="28">
        <v>67785</v>
      </c>
      <c r="G5273" s="27" t="s">
        <v>17</v>
      </c>
      <c r="H5273" s="27" t="s">
        <v>863</v>
      </c>
      <c r="I5273" s="27" t="s">
        <v>13</v>
      </c>
    </row>
    <row r="5274" spans="1:9" x14ac:dyDescent="0.3">
      <c r="A5274" s="26">
        <v>45209</v>
      </c>
      <c r="B5274" s="27" t="s">
        <v>124</v>
      </c>
      <c r="C5274" s="27" t="s">
        <v>20</v>
      </c>
      <c r="D5274" s="27" t="s">
        <v>7</v>
      </c>
      <c r="E5274" s="28">
        <v>124462</v>
      </c>
      <c r="F5274" s="28">
        <v>163562</v>
      </c>
      <c r="G5274" s="27" t="s">
        <v>11</v>
      </c>
      <c r="H5274" s="27" t="s">
        <v>907</v>
      </c>
      <c r="I5274" s="27" t="s">
        <v>13</v>
      </c>
    </row>
    <row r="5275" spans="1:9" x14ac:dyDescent="0.3">
      <c r="A5275" s="26">
        <v>45209</v>
      </c>
      <c r="B5275" s="27" t="s">
        <v>124</v>
      </c>
      <c r="C5275" s="27" t="s">
        <v>32</v>
      </c>
      <c r="D5275" s="27" t="s">
        <v>7</v>
      </c>
      <c r="E5275" s="28">
        <v>124938</v>
      </c>
      <c r="F5275" s="28">
        <v>97128</v>
      </c>
      <c r="G5275" s="27" t="s">
        <v>22</v>
      </c>
      <c r="H5275" s="27" t="s">
        <v>1515</v>
      </c>
      <c r="I5275" s="27" t="s">
        <v>13</v>
      </c>
    </row>
    <row r="5276" spans="1:9" x14ac:dyDescent="0.3">
      <c r="A5276" s="26">
        <v>45209</v>
      </c>
      <c r="B5276" s="27" t="s">
        <v>124</v>
      </c>
      <c r="C5276" s="27" t="s">
        <v>14</v>
      </c>
      <c r="D5276" s="27" t="s">
        <v>19</v>
      </c>
      <c r="E5276" s="28">
        <v>23993</v>
      </c>
      <c r="F5276" s="28">
        <v>74265</v>
      </c>
      <c r="G5276" s="27" t="s">
        <v>22</v>
      </c>
      <c r="H5276" s="27" t="s">
        <v>2556</v>
      </c>
      <c r="I5276" s="27" t="s">
        <v>13</v>
      </c>
    </row>
    <row r="5277" spans="1:9" x14ac:dyDescent="0.3">
      <c r="A5277" s="26">
        <v>45209</v>
      </c>
      <c r="B5277" s="27" t="s">
        <v>124</v>
      </c>
      <c r="C5277" s="27" t="s">
        <v>18</v>
      </c>
      <c r="D5277" s="27" t="s">
        <v>21</v>
      </c>
      <c r="E5277" s="28">
        <v>30286</v>
      </c>
      <c r="F5277" s="28">
        <v>105564</v>
      </c>
      <c r="G5277" s="27" t="s">
        <v>17</v>
      </c>
      <c r="H5277" s="27" t="s">
        <v>2873</v>
      </c>
      <c r="I5277" s="27" t="s">
        <v>13</v>
      </c>
    </row>
    <row r="5278" spans="1:9" x14ac:dyDescent="0.3">
      <c r="A5278" s="26">
        <v>45209</v>
      </c>
      <c r="B5278" s="27" t="s">
        <v>124</v>
      </c>
      <c r="C5278" s="27" t="s">
        <v>32</v>
      </c>
      <c r="D5278" s="27" t="s">
        <v>16</v>
      </c>
      <c r="E5278" s="28">
        <v>48052</v>
      </c>
      <c r="F5278" s="28">
        <v>74330</v>
      </c>
      <c r="G5278" s="27" t="s">
        <v>8</v>
      </c>
      <c r="H5278" s="27" t="s">
        <v>3223</v>
      </c>
      <c r="I5278" s="27" t="s">
        <v>13</v>
      </c>
    </row>
    <row r="5279" spans="1:9" x14ac:dyDescent="0.3">
      <c r="A5279" s="26">
        <v>45209</v>
      </c>
      <c r="B5279" s="27" t="s">
        <v>124</v>
      </c>
      <c r="C5279" s="27" t="s">
        <v>93</v>
      </c>
      <c r="D5279" s="27" t="s">
        <v>21</v>
      </c>
      <c r="E5279" s="28">
        <v>97100</v>
      </c>
      <c r="F5279" s="28">
        <v>95000</v>
      </c>
      <c r="G5279" s="27" t="s">
        <v>17</v>
      </c>
      <c r="H5279" s="27" t="s">
        <v>3487</v>
      </c>
      <c r="I5279" s="27" t="s">
        <v>9</v>
      </c>
    </row>
    <row r="5280" spans="1:9" x14ac:dyDescent="0.3">
      <c r="A5280" s="26">
        <v>45209</v>
      </c>
      <c r="B5280" s="27" t="s">
        <v>124</v>
      </c>
      <c r="C5280" s="27" t="s">
        <v>6</v>
      </c>
      <c r="D5280" s="27" t="s">
        <v>19</v>
      </c>
      <c r="E5280" s="28">
        <v>248200</v>
      </c>
      <c r="F5280" s="28">
        <v>289600</v>
      </c>
      <c r="G5280" s="27" t="s">
        <v>22</v>
      </c>
      <c r="H5280" s="27" t="s">
        <v>3559</v>
      </c>
      <c r="I5280" s="27" t="s">
        <v>9</v>
      </c>
    </row>
    <row r="5281" spans="1:9" x14ac:dyDescent="0.3">
      <c r="A5281" s="26">
        <v>45209</v>
      </c>
      <c r="B5281" s="27" t="s">
        <v>124</v>
      </c>
      <c r="C5281" s="27" t="s">
        <v>6</v>
      </c>
      <c r="D5281" s="27" t="s">
        <v>7</v>
      </c>
      <c r="E5281" s="28">
        <v>137200</v>
      </c>
      <c r="F5281" s="28">
        <v>152500</v>
      </c>
      <c r="G5281" s="27" t="s">
        <v>11</v>
      </c>
      <c r="H5281" s="27" t="s">
        <v>4073</v>
      </c>
      <c r="I5281" s="27" t="s">
        <v>9</v>
      </c>
    </row>
    <row r="5282" spans="1:9" x14ac:dyDescent="0.3">
      <c r="A5282" s="26">
        <v>45209</v>
      </c>
      <c r="B5282" s="27" t="s">
        <v>124</v>
      </c>
      <c r="C5282" s="27" t="s">
        <v>6</v>
      </c>
      <c r="D5282" s="27" t="s">
        <v>24</v>
      </c>
      <c r="E5282" s="28">
        <v>169500</v>
      </c>
      <c r="F5282" s="28">
        <v>160400</v>
      </c>
      <c r="G5282" s="27" t="s">
        <v>22</v>
      </c>
      <c r="H5282" s="27" t="s">
        <v>4244</v>
      </c>
      <c r="I5282" s="27" t="s">
        <v>9</v>
      </c>
    </row>
    <row r="5283" spans="1:9" x14ac:dyDescent="0.3">
      <c r="A5283" s="26">
        <v>45209</v>
      </c>
      <c r="B5283" s="27" t="s">
        <v>124</v>
      </c>
      <c r="C5283" s="27" t="s">
        <v>93</v>
      </c>
      <c r="D5283" s="27" t="s">
        <v>7</v>
      </c>
      <c r="E5283" s="28">
        <v>90300</v>
      </c>
      <c r="F5283" s="28">
        <v>77200</v>
      </c>
      <c r="G5283" s="27" t="s">
        <v>11</v>
      </c>
      <c r="H5283" s="27" t="s">
        <v>4288</v>
      </c>
      <c r="I5283" s="27" t="s">
        <v>9</v>
      </c>
    </row>
    <row r="5284" spans="1:9" x14ac:dyDescent="0.3">
      <c r="A5284" s="26">
        <v>45209</v>
      </c>
      <c r="B5284" s="27" t="s">
        <v>124</v>
      </c>
      <c r="C5284" s="27" t="s">
        <v>6</v>
      </c>
      <c r="D5284" s="27" t="s">
        <v>7</v>
      </c>
      <c r="E5284" s="28">
        <v>72900</v>
      </c>
      <c r="F5284" s="28">
        <v>72600</v>
      </c>
      <c r="G5284" s="27" t="s">
        <v>11</v>
      </c>
      <c r="H5284" s="27" t="s">
        <v>4898</v>
      </c>
      <c r="I5284" s="27" t="s">
        <v>9</v>
      </c>
    </row>
    <row r="5285" spans="1:9" x14ac:dyDescent="0.3">
      <c r="A5285" s="26">
        <v>45209</v>
      </c>
      <c r="B5285" s="27" t="s">
        <v>124</v>
      </c>
      <c r="C5285" s="27" t="s">
        <v>93</v>
      </c>
      <c r="D5285" s="27" t="s">
        <v>19</v>
      </c>
      <c r="E5285" s="28">
        <v>144600</v>
      </c>
      <c r="F5285" s="28">
        <v>111200</v>
      </c>
      <c r="G5285" s="27" t="s">
        <v>11</v>
      </c>
      <c r="H5285" s="27" t="s">
        <v>5941</v>
      </c>
      <c r="I5285" s="27" t="s">
        <v>9</v>
      </c>
    </row>
    <row r="5286" spans="1:9" x14ac:dyDescent="0.3">
      <c r="A5286" s="26">
        <v>45209</v>
      </c>
      <c r="B5286" s="27" t="s">
        <v>124</v>
      </c>
      <c r="C5286" s="27" t="s">
        <v>93</v>
      </c>
      <c r="D5286" s="27" t="s">
        <v>21</v>
      </c>
      <c r="E5286" s="28">
        <v>114600</v>
      </c>
      <c r="F5286" s="28">
        <v>125800</v>
      </c>
      <c r="G5286" s="27" t="s">
        <v>11</v>
      </c>
      <c r="H5286" s="27" t="s">
        <v>6258</v>
      </c>
      <c r="I5286" s="27" t="s">
        <v>9</v>
      </c>
    </row>
    <row r="5287" spans="1:9" x14ac:dyDescent="0.3">
      <c r="A5287" s="26">
        <v>45209</v>
      </c>
      <c r="B5287" s="27" t="s">
        <v>124</v>
      </c>
      <c r="C5287" s="27" t="s">
        <v>93</v>
      </c>
      <c r="D5287" s="27" t="s">
        <v>16</v>
      </c>
      <c r="E5287" s="28">
        <v>149400</v>
      </c>
      <c r="F5287" s="28">
        <v>135800</v>
      </c>
      <c r="G5287" s="27" t="s">
        <v>22</v>
      </c>
      <c r="H5287" s="27" t="s">
        <v>6608</v>
      </c>
      <c r="I5287" s="27" t="s">
        <v>9</v>
      </c>
    </row>
    <row r="5288" spans="1:9" x14ac:dyDescent="0.3">
      <c r="A5288" s="26">
        <v>45210</v>
      </c>
      <c r="B5288" s="27" t="s">
        <v>124</v>
      </c>
      <c r="C5288" s="27" t="s">
        <v>20</v>
      </c>
      <c r="D5288" s="27" t="s">
        <v>21</v>
      </c>
      <c r="E5288" s="28">
        <v>83658</v>
      </c>
      <c r="F5288" s="28">
        <v>135374</v>
      </c>
      <c r="G5288" s="27" t="s">
        <v>22</v>
      </c>
      <c r="H5288" s="27" t="s">
        <v>371</v>
      </c>
      <c r="I5288" s="27" t="s">
        <v>13</v>
      </c>
    </row>
    <row r="5289" spans="1:9" x14ac:dyDescent="0.3">
      <c r="A5289" s="26">
        <v>45210</v>
      </c>
      <c r="B5289" s="27" t="s">
        <v>124</v>
      </c>
      <c r="C5289" s="27" t="s">
        <v>32</v>
      </c>
      <c r="D5289" s="27" t="s">
        <v>24</v>
      </c>
      <c r="E5289" s="28">
        <v>59659</v>
      </c>
      <c r="F5289" s="28">
        <v>13801</v>
      </c>
      <c r="G5289" s="27" t="s">
        <v>11</v>
      </c>
      <c r="H5289" s="27" t="s">
        <v>551</v>
      </c>
      <c r="I5289" s="27" t="s">
        <v>13</v>
      </c>
    </row>
    <row r="5290" spans="1:9" x14ac:dyDescent="0.3">
      <c r="A5290" s="26">
        <v>45210</v>
      </c>
      <c r="B5290" s="27" t="s">
        <v>124</v>
      </c>
      <c r="C5290" s="27" t="s">
        <v>18</v>
      </c>
      <c r="D5290" s="27" t="s">
        <v>24</v>
      </c>
      <c r="E5290" s="28">
        <v>97468</v>
      </c>
      <c r="F5290" s="28">
        <v>98915</v>
      </c>
      <c r="G5290" s="27" t="s">
        <v>11</v>
      </c>
      <c r="H5290" s="27" t="s">
        <v>570</v>
      </c>
      <c r="I5290" s="27" t="s">
        <v>13</v>
      </c>
    </row>
    <row r="5291" spans="1:9" x14ac:dyDescent="0.3">
      <c r="A5291" s="26">
        <v>45210</v>
      </c>
      <c r="B5291" s="27" t="s">
        <v>124</v>
      </c>
      <c r="C5291" s="27" t="s">
        <v>14</v>
      </c>
      <c r="D5291" s="27" t="s">
        <v>7</v>
      </c>
      <c r="E5291" s="28">
        <v>51178</v>
      </c>
      <c r="F5291" s="28">
        <v>42052</v>
      </c>
      <c r="G5291" s="27" t="s">
        <v>22</v>
      </c>
      <c r="H5291" s="27" t="s">
        <v>684</v>
      </c>
      <c r="I5291" s="27" t="s">
        <v>13</v>
      </c>
    </row>
    <row r="5292" spans="1:9" x14ac:dyDescent="0.3">
      <c r="A5292" s="26">
        <v>45210</v>
      </c>
      <c r="B5292" s="27" t="s">
        <v>124</v>
      </c>
      <c r="C5292" s="27" t="s">
        <v>32</v>
      </c>
      <c r="D5292" s="27" t="s">
        <v>7</v>
      </c>
      <c r="E5292" s="28">
        <v>60936</v>
      </c>
      <c r="F5292" s="28">
        <v>129489</v>
      </c>
      <c r="G5292" s="27" t="s">
        <v>22</v>
      </c>
      <c r="H5292" s="27" t="s">
        <v>785</v>
      </c>
      <c r="I5292" s="27" t="s">
        <v>13</v>
      </c>
    </row>
    <row r="5293" spans="1:9" x14ac:dyDescent="0.3">
      <c r="A5293" s="26">
        <v>45210</v>
      </c>
      <c r="B5293" s="27" t="s">
        <v>124</v>
      </c>
      <c r="C5293" s="27" t="s">
        <v>20</v>
      </c>
      <c r="D5293" s="27" t="s">
        <v>7</v>
      </c>
      <c r="E5293" s="28">
        <v>28238</v>
      </c>
      <c r="F5293" s="28">
        <v>168275</v>
      </c>
      <c r="G5293" s="27" t="s">
        <v>22</v>
      </c>
      <c r="H5293" s="27" t="s">
        <v>1716</v>
      </c>
      <c r="I5293" s="27" t="s">
        <v>13</v>
      </c>
    </row>
    <row r="5294" spans="1:9" x14ac:dyDescent="0.3">
      <c r="A5294" s="26">
        <v>45210</v>
      </c>
      <c r="B5294" s="27" t="s">
        <v>124</v>
      </c>
      <c r="C5294" s="27" t="s">
        <v>18</v>
      </c>
      <c r="D5294" s="27" t="s">
        <v>24</v>
      </c>
      <c r="E5294" s="28">
        <v>98973</v>
      </c>
      <c r="F5294" s="28">
        <v>72698</v>
      </c>
      <c r="G5294" s="27" t="s">
        <v>17</v>
      </c>
      <c r="H5294" s="27" t="s">
        <v>1927</v>
      </c>
      <c r="I5294" s="27" t="s">
        <v>13</v>
      </c>
    </row>
    <row r="5295" spans="1:9" x14ac:dyDescent="0.3">
      <c r="A5295" s="26">
        <v>45210</v>
      </c>
      <c r="B5295" s="27" t="s">
        <v>124</v>
      </c>
      <c r="C5295" s="27" t="s">
        <v>10</v>
      </c>
      <c r="D5295" s="27" t="s">
        <v>16</v>
      </c>
      <c r="E5295" s="28">
        <v>70149</v>
      </c>
      <c r="F5295" s="28">
        <v>123910</v>
      </c>
      <c r="G5295" s="27" t="s">
        <v>8</v>
      </c>
      <c r="H5295" s="27" t="s">
        <v>2068</v>
      </c>
      <c r="I5295" s="27" t="s">
        <v>13</v>
      </c>
    </row>
    <row r="5296" spans="1:9" x14ac:dyDescent="0.3">
      <c r="A5296" s="26">
        <v>45210</v>
      </c>
      <c r="B5296" s="27" t="s">
        <v>124</v>
      </c>
      <c r="C5296" s="27" t="s">
        <v>32</v>
      </c>
      <c r="D5296" s="27" t="s">
        <v>24</v>
      </c>
      <c r="E5296" s="28">
        <v>110258</v>
      </c>
      <c r="F5296" s="28">
        <v>24964</v>
      </c>
      <c r="G5296" s="27" t="s">
        <v>22</v>
      </c>
      <c r="H5296" s="27" t="s">
        <v>2177</v>
      </c>
      <c r="I5296" s="27" t="s">
        <v>13</v>
      </c>
    </row>
    <row r="5297" spans="1:9" x14ac:dyDescent="0.3">
      <c r="A5297" s="26">
        <v>45210</v>
      </c>
      <c r="B5297" s="27" t="s">
        <v>124</v>
      </c>
      <c r="C5297" s="27" t="s">
        <v>20</v>
      </c>
      <c r="D5297" s="27" t="s">
        <v>7</v>
      </c>
      <c r="E5297" s="28">
        <v>94590</v>
      </c>
      <c r="F5297" s="28">
        <v>53217</v>
      </c>
      <c r="G5297" s="27" t="s">
        <v>8</v>
      </c>
      <c r="H5297" s="27" t="s">
        <v>2382</v>
      </c>
      <c r="I5297" s="27" t="s">
        <v>13</v>
      </c>
    </row>
    <row r="5298" spans="1:9" x14ac:dyDescent="0.3">
      <c r="A5298" s="26">
        <v>45210</v>
      </c>
      <c r="B5298" s="27" t="s">
        <v>124</v>
      </c>
      <c r="C5298" s="27" t="s">
        <v>10</v>
      </c>
      <c r="D5298" s="27" t="s">
        <v>19</v>
      </c>
      <c r="E5298" s="28">
        <v>122257</v>
      </c>
      <c r="F5298" s="28">
        <v>169324</v>
      </c>
      <c r="G5298" s="27" t="s">
        <v>8</v>
      </c>
      <c r="H5298" s="27" t="s">
        <v>2930</v>
      </c>
      <c r="I5298" s="27" t="s">
        <v>13</v>
      </c>
    </row>
    <row r="5299" spans="1:9" x14ac:dyDescent="0.3">
      <c r="A5299" s="26">
        <v>45210</v>
      </c>
      <c r="B5299" s="27" t="s">
        <v>124</v>
      </c>
      <c r="C5299" s="27" t="s">
        <v>20</v>
      </c>
      <c r="D5299" s="27" t="s">
        <v>21</v>
      </c>
      <c r="E5299" s="28">
        <v>58465</v>
      </c>
      <c r="F5299" s="28">
        <v>18974</v>
      </c>
      <c r="G5299" s="27" t="s">
        <v>17</v>
      </c>
      <c r="H5299" s="27" t="s">
        <v>3220</v>
      </c>
      <c r="I5299" s="27" t="s">
        <v>13</v>
      </c>
    </row>
    <row r="5300" spans="1:9" x14ac:dyDescent="0.3">
      <c r="A5300" s="26">
        <v>45210</v>
      </c>
      <c r="B5300" s="27" t="s">
        <v>124</v>
      </c>
      <c r="C5300" s="27" t="s">
        <v>6</v>
      </c>
      <c r="D5300" s="27" t="s">
        <v>21</v>
      </c>
      <c r="E5300" s="28">
        <v>63300</v>
      </c>
      <c r="F5300" s="28">
        <v>70400</v>
      </c>
      <c r="G5300" s="27" t="s">
        <v>22</v>
      </c>
      <c r="H5300" s="27" t="s">
        <v>3752</v>
      </c>
      <c r="I5300" s="27" t="s">
        <v>9</v>
      </c>
    </row>
    <row r="5301" spans="1:9" x14ac:dyDescent="0.3">
      <c r="A5301" s="26">
        <v>45210</v>
      </c>
      <c r="B5301" s="27" t="s">
        <v>124</v>
      </c>
      <c r="C5301" s="27" t="s">
        <v>6</v>
      </c>
      <c r="D5301" s="27" t="s">
        <v>24</v>
      </c>
      <c r="E5301" s="28">
        <v>65800</v>
      </c>
      <c r="F5301" s="28">
        <v>63800</v>
      </c>
      <c r="G5301" s="27" t="s">
        <v>11</v>
      </c>
      <c r="H5301" s="27" t="s">
        <v>3932</v>
      </c>
      <c r="I5301" s="27" t="s">
        <v>9</v>
      </c>
    </row>
    <row r="5302" spans="1:9" x14ac:dyDescent="0.3">
      <c r="A5302" s="26">
        <v>45210</v>
      </c>
      <c r="B5302" s="27" t="s">
        <v>124</v>
      </c>
      <c r="C5302" s="27" t="s">
        <v>6</v>
      </c>
      <c r="D5302" s="27" t="s">
        <v>24</v>
      </c>
      <c r="E5302" s="28">
        <v>148400</v>
      </c>
      <c r="F5302" s="28">
        <v>183700</v>
      </c>
      <c r="G5302" s="27" t="s">
        <v>11</v>
      </c>
      <c r="H5302" s="27" t="s">
        <v>3951</v>
      </c>
      <c r="I5302" s="27" t="s">
        <v>9</v>
      </c>
    </row>
    <row r="5303" spans="1:9" x14ac:dyDescent="0.3">
      <c r="A5303" s="26">
        <v>45210</v>
      </c>
      <c r="B5303" s="27" t="s">
        <v>124</v>
      </c>
      <c r="C5303" s="27" t="s">
        <v>93</v>
      </c>
      <c r="D5303" s="27" t="s">
        <v>7</v>
      </c>
      <c r="E5303" s="28">
        <v>135000</v>
      </c>
      <c r="F5303" s="28">
        <v>163200</v>
      </c>
      <c r="G5303" s="27" t="s">
        <v>11</v>
      </c>
      <c r="H5303" s="27" t="s">
        <v>4065</v>
      </c>
      <c r="I5303" s="27" t="s">
        <v>9</v>
      </c>
    </row>
    <row r="5304" spans="1:9" x14ac:dyDescent="0.3">
      <c r="A5304" s="26">
        <v>45210</v>
      </c>
      <c r="B5304" s="27" t="s">
        <v>124</v>
      </c>
      <c r="C5304" s="27" t="s">
        <v>6</v>
      </c>
      <c r="D5304" s="27" t="s">
        <v>7</v>
      </c>
      <c r="E5304" s="28">
        <v>201600</v>
      </c>
      <c r="F5304" s="28">
        <v>177500</v>
      </c>
      <c r="G5304" s="27" t="s">
        <v>11</v>
      </c>
      <c r="H5304" s="27" t="s">
        <v>4166</v>
      </c>
      <c r="I5304" s="27" t="s">
        <v>9</v>
      </c>
    </row>
    <row r="5305" spans="1:9" x14ac:dyDescent="0.3">
      <c r="A5305" s="26">
        <v>45210</v>
      </c>
      <c r="B5305" s="27" t="s">
        <v>124</v>
      </c>
      <c r="C5305" s="27" t="s">
        <v>6</v>
      </c>
      <c r="D5305" s="27" t="s">
        <v>7</v>
      </c>
      <c r="E5305" s="28">
        <v>99600</v>
      </c>
      <c r="F5305" s="28">
        <v>103800</v>
      </c>
      <c r="G5305" s="27" t="s">
        <v>22</v>
      </c>
      <c r="H5305" s="27" t="s">
        <v>5099</v>
      </c>
      <c r="I5305" s="27" t="s">
        <v>9</v>
      </c>
    </row>
    <row r="5306" spans="1:9" x14ac:dyDescent="0.3">
      <c r="A5306" s="26">
        <v>45210</v>
      </c>
      <c r="B5306" s="27" t="s">
        <v>124</v>
      </c>
      <c r="C5306" s="27" t="s">
        <v>93</v>
      </c>
      <c r="D5306" s="27" t="s">
        <v>24</v>
      </c>
      <c r="E5306" s="28">
        <v>104600</v>
      </c>
      <c r="F5306" s="28">
        <v>112400</v>
      </c>
      <c r="G5306" s="27" t="s">
        <v>11</v>
      </c>
      <c r="H5306" s="27" t="s">
        <v>5311</v>
      </c>
      <c r="I5306" s="27" t="s">
        <v>9</v>
      </c>
    </row>
    <row r="5307" spans="1:9" x14ac:dyDescent="0.3">
      <c r="A5307" s="26">
        <v>45210</v>
      </c>
      <c r="B5307" s="27" t="s">
        <v>124</v>
      </c>
      <c r="C5307" s="27" t="s">
        <v>6</v>
      </c>
      <c r="D5307" s="27" t="s">
        <v>16</v>
      </c>
      <c r="E5307" s="28">
        <v>199300</v>
      </c>
      <c r="F5307" s="28">
        <v>242900</v>
      </c>
      <c r="G5307" s="27" t="s">
        <v>17</v>
      </c>
      <c r="H5307" s="27" t="s">
        <v>5452</v>
      </c>
      <c r="I5307" s="27" t="s">
        <v>9</v>
      </c>
    </row>
    <row r="5308" spans="1:9" x14ac:dyDescent="0.3">
      <c r="A5308" s="26">
        <v>45210</v>
      </c>
      <c r="B5308" s="27" t="s">
        <v>124</v>
      </c>
      <c r="C5308" s="27" t="s">
        <v>6</v>
      </c>
      <c r="D5308" s="27" t="s">
        <v>24</v>
      </c>
      <c r="E5308" s="28">
        <v>113900</v>
      </c>
      <c r="F5308" s="28">
        <v>123100</v>
      </c>
      <c r="G5308" s="27" t="s">
        <v>22</v>
      </c>
      <c r="H5308" s="27" t="s">
        <v>5562</v>
      </c>
      <c r="I5308" s="27" t="s">
        <v>9</v>
      </c>
    </row>
    <row r="5309" spans="1:9" x14ac:dyDescent="0.3">
      <c r="A5309" s="26">
        <v>45210</v>
      </c>
      <c r="B5309" s="27" t="s">
        <v>124</v>
      </c>
      <c r="C5309" s="27" t="s">
        <v>6</v>
      </c>
      <c r="D5309" s="27" t="s">
        <v>7</v>
      </c>
      <c r="E5309" s="28">
        <v>57700</v>
      </c>
      <c r="F5309" s="28">
        <v>64900</v>
      </c>
      <c r="G5309" s="27" t="s">
        <v>17</v>
      </c>
      <c r="H5309" s="27" t="s">
        <v>5767</v>
      </c>
      <c r="I5309" s="27" t="s">
        <v>9</v>
      </c>
    </row>
    <row r="5310" spans="1:9" x14ac:dyDescent="0.3">
      <c r="A5310" s="26">
        <v>45210</v>
      </c>
      <c r="B5310" s="27" t="s">
        <v>124</v>
      </c>
      <c r="C5310" s="27" t="s">
        <v>6</v>
      </c>
      <c r="D5310" s="27" t="s">
        <v>19</v>
      </c>
      <c r="E5310" s="28">
        <v>96400</v>
      </c>
      <c r="F5310" s="28">
        <v>123800</v>
      </c>
      <c r="G5310" s="27" t="s">
        <v>22</v>
      </c>
      <c r="H5310" s="27" t="s">
        <v>6315</v>
      </c>
      <c r="I5310" s="27" t="s">
        <v>9</v>
      </c>
    </row>
    <row r="5311" spans="1:9" x14ac:dyDescent="0.3">
      <c r="A5311" s="26">
        <v>45210</v>
      </c>
      <c r="B5311" s="27" t="s">
        <v>124</v>
      </c>
      <c r="C5311" s="27" t="s">
        <v>6</v>
      </c>
      <c r="D5311" s="27" t="s">
        <v>21</v>
      </c>
      <c r="E5311" s="28">
        <v>105000</v>
      </c>
      <c r="F5311" s="28">
        <v>105000</v>
      </c>
      <c r="G5311" s="27" t="s">
        <v>17</v>
      </c>
      <c r="H5311" s="27" t="s">
        <v>6605</v>
      </c>
      <c r="I5311" s="27" t="s">
        <v>9</v>
      </c>
    </row>
    <row r="5312" spans="1:9" x14ac:dyDescent="0.3">
      <c r="A5312" s="26">
        <v>45211</v>
      </c>
      <c r="B5312" s="27" t="s">
        <v>124</v>
      </c>
      <c r="C5312" s="27" t="s">
        <v>15</v>
      </c>
      <c r="D5312" s="27" t="s">
        <v>19</v>
      </c>
      <c r="E5312" s="28">
        <v>46636</v>
      </c>
      <c r="F5312" s="28">
        <v>32039</v>
      </c>
      <c r="G5312" s="27" t="s">
        <v>17</v>
      </c>
      <c r="H5312" s="27" t="s">
        <v>108</v>
      </c>
      <c r="I5312" s="27" t="s">
        <v>13</v>
      </c>
    </row>
    <row r="5313" spans="1:9" x14ac:dyDescent="0.3">
      <c r="A5313" s="26">
        <v>45211</v>
      </c>
      <c r="B5313" s="27" t="s">
        <v>124</v>
      </c>
      <c r="C5313" s="27" t="s">
        <v>32</v>
      </c>
      <c r="D5313" s="27" t="s">
        <v>16</v>
      </c>
      <c r="E5313" s="28">
        <v>39168</v>
      </c>
      <c r="F5313" s="28">
        <v>62450</v>
      </c>
      <c r="G5313" s="27" t="s">
        <v>22</v>
      </c>
      <c r="H5313" s="27" t="s">
        <v>619</v>
      </c>
      <c r="I5313" s="27" t="s">
        <v>13</v>
      </c>
    </row>
    <row r="5314" spans="1:9" x14ac:dyDescent="0.3">
      <c r="A5314" s="26">
        <v>45211</v>
      </c>
      <c r="B5314" s="27" t="s">
        <v>124</v>
      </c>
      <c r="C5314" s="27" t="s">
        <v>18</v>
      </c>
      <c r="D5314" s="27" t="s">
        <v>21</v>
      </c>
      <c r="E5314" s="28">
        <v>63312</v>
      </c>
      <c r="F5314" s="28">
        <v>89187</v>
      </c>
      <c r="G5314" s="27" t="s">
        <v>17</v>
      </c>
      <c r="H5314" s="27" t="s">
        <v>650</v>
      </c>
      <c r="I5314" s="27" t="s">
        <v>13</v>
      </c>
    </row>
    <row r="5315" spans="1:9" x14ac:dyDescent="0.3">
      <c r="A5315" s="26">
        <v>45211</v>
      </c>
      <c r="B5315" s="27" t="s">
        <v>124</v>
      </c>
      <c r="C5315" s="27" t="s">
        <v>14</v>
      </c>
      <c r="D5315" s="27" t="s">
        <v>21</v>
      </c>
      <c r="E5315" s="28">
        <v>66500</v>
      </c>
      <c r="F5315" s="28">
        <v>114369</v>
      </c>
      <c r="G5315" s="27" t="s">
        <v>8</v>
      </c>
      <c r="H5315" s="27" t="s">
        <v>782</v>
      </c>
      <c r="I5315" s="27" t="s">
        <v>13</v>
      </c>
    </row>
    <row r="5316" spans="1:9" x14ac:dyDescent="0.3">
      <c r="A5316" s="26">
        <v>45211</v>
      </c>
      <c r="B5316" s="27" t="s">
        <v>124</v>
      </c>
      <c r="C5316" s="27" t="s">
        <v>14</v>
      </c>
      <c r="D5316" s="27" t="s">
        <v>16</v>
      </c>
      <c r="E5316" s="28">
        <v>27871</v>
      </c>
      <c r="F5316" s="28">
        <v>29781</v>
      </c>
      <c r="G5316" s="27" t="s">
        <v>8</v>
      </c>
      <c r="H5316" s="27" t="s">
        <v>830</v>
      </c>
      <c r="I5316" s="27" t="s">
        <v>13</v>
      </c>
    </row>
    <row r="5317" spans="1:9" x14ac:dyDescent="0.3">
      <c r="A5317" s="26">
        <v>45211</v>
      </c>
      <c r="B5317" s="27" t="s">
        <v>124</v>
      </c>
      <c r="C5317" s="27" t="s">
        <v>14</v>
      </c>
      <c r="D5317" s="27" t="s">
        <v>7</v>
      </c>
      <c r="E5317" s="28">
        <v>53612</v>
      </c>
      <c r="F5317" s="28">
        <v>100517</v>
      </c>
      <c r="G5317" s="27" t="s">
        <v>22</v>
      </c>
      <c r="H5317" s="27" t="s">
        <v>856</v>
      </c>
      <c r="I5317" s="27" t="s">
        <v>13</v>
      </c>
    </row>
    <row r="5318" spans="1:9" x14ac:dyDescent="0.3">
      <c r="A5318" s="26">
        <v>45211</v>
      </c>
      <c r="B5318" s="27" t="s">
        <v>124</v>
      </c>
      <c r="C5318" s="27" t="s">
        <v>10</v>
      </c>
      <c r="D5318" s="27" t="s">
        <v>19</v>
      </c>
      <c r="E5318" s="28">
        <v>69000</v>
      </c>
      <c r="F5318" s="28">
        <v>163889</v>
      </c>
      <c r="G5318" s="27" t="s">
        <v>11</v>
      </c>
      <c r="H5318" s="27" t="s">
        <v>1145</v>
      </c>
      <c r="I5318" s="27" t="s">
        <v>13</v>
      </c>
    </row>
    <row r="5319" spans="1:9" x14ac:dyDescent="0.3">
      <c r="A5319" s="26">
        <v>45211</v>
      </c>
      <c r="B5319" s="27" t="s">
        <v>124</v>
      </c>
      <c r="C5319" s="27" t="s">
        <v>10</v>
      </c>
      <c r="D5319" s="27" t="s">
        <v>19</v>
      </c>
      <c r="E5319" s="28">
        <v>14934</v>
      </c>
      <c r="F5319" s="28">
        <v>125333</v>
      </c>
      <c r="G5319" s="27" t="s">
        <v>22</v>
      </c>
      <c r="H5319" s="27" t="s">
        <v>1188</v>
      </c>
      <c r="I5319" s="27" t="s">
        <v>13</v>
      </c>
    </row>
    <row r="5320" spans="1:9" x14ac:dyDescent="0.3">
      <c r="A5320" s="26">
        <v>45211</v>
      </c>
      <c r="B5320" s="27" t="s">
        <v>124</v>
      </c>
      <c r="C5320" s="27" t="s">
        <v>15</v>
      </c>
      <c r="D5320" s="27" t="s">
        <v>19</v>
      </c>
      <c r="E5320" s="28">
        <v>117656</v>
      </c>
      <c r="F5320" s="28">
        <v>60960</v>
      </c>
      <c r="G5320" s="27" t="s">
        <v>8</v>
      </c>
      <c r="H5320" s="27" t="s">
        <v>2188</v>
      </c>
      <c r="I5320" s="27" t="s">
        <v>13</v>
      </c>
    </row>
    <row r="5321" spans="1:9" x14ac:dyDescent="0.3">
      <c r="A5321" s="26">
        <v>45211</v>
      </c>
      <c r="B5321" s="27" t="s">
        <v>124</v>
      </c>
      <c r="C5321" s="27" t="s">
        <v>32</v>
      </c>
      <c r="D5321" s="27" t="s">
        <v>24</v>
      </c>
      <c r="E5321" s="28">
        <v>47741</v>
      </c>
      <c r="F5321" s="28">
        <v>9270</v>
      </c>
      <c r="G5321" s="27" t="s">
        <v>17</v>
      </c>
      <c r="H5321" s="27" t="s">
        <v>2358</v>
      </c>
      <c r="I5321" s="27" t="s">
        <v>13</v>
      </c>
    </row>
    <row r="5322" spans="1:9" x14ac:dyDescent="0.3">
      <c r="A5322" s="26">
        <v>45211</v>
      </c>
      <c r="B5322" s="27" t="s">
        <v>124</v>
      </c>
      <c r="C5322" s="27" t="s">
        <v>20</v>
      </c>
      <c r="D5322" s="27" t="s">
        <v>21</v>
      </c>
      <c r="E5322" s="28">
        <v>116698</v>
      </c>
      <c r="F5322" s="28">
        <v>92314</v>
      </c>
      <c r="G5322" s="27" t="s">
        <v>8</v>
      </c>
      <c r="H5322" s="27" t="s">
        <v>2632</v>
      </c>
      <c r="I5322" s="27" t="s">
        <v>13</v>
      </c>
    </row>
    <row r="5323" spans="1:9" x14ac:dyDescent="0.3">
      <c r="A5323" s="26">
        <v>45211</v>
      </c>
      <c r="B5323" s="27" t="s">
        <v>124</v>
      </c>
      <c r="C5323" s="27" t="s">
        <v>6</v>
      </c>
      <c r="D5323" s="27" t="s">
        <v>19</v>
      </c>
      <c r="E5323" s="28">
        <v>97300</v>
      </c>
      <c r="F5323" s="28">
        <v>111400</v>
      </c>
      <c r="G5323" s="27" t="s">
        <v>11</v>
      </c>
      <c r="H5323" s="27" t="s">
        <v>3508</v>
      </c>
      <c r="I5323" s="27" t="s">
        <v>9</v>
      </c>
    </row>
    <row r="5324" spans="1:9" x14ac:dyDescent="0.3">
      <c r="A5324" s="26">
        <v>45211</v>
      </c>
      <c r="B5324" s="27" t="s">
        <v>124</v>
      </c>
      <c r="C5324" s="27" t="s">
        <v>6</v>
      </c>
      <c r="D5324" s="27" t="s">
        <v>16</v>
      </c>
      <c r="E5324" s="28">
        <v>244000</v>
      </c>
      <c r="F5324" s="28">
        <v>230900</v>
      </c>
      <c r="G5324" s="27" t="s">
        <v>22</v>
      </c>
      <c r="H5324" s="27" t="s">
        <v>4000</v>
      </c>
      <c r="I5324" s="27" t="s">
        <v>9</v>
      </c>
    </row>
    <row r="5325" spans="1:9" x14ac:dyDescent="0.3">
      <c r="A5325" s="26">
        <v>45211</v>
      </c>
      <c r="B5325" s="27" t="s">
        <v>124</v>
      </c>
      <c r="C5325" s="27" t="s">
        <v>6</v>
      </c>
      <c r="D5325" s="27" t="s">
        <v>21</v>
      </c>
      <c r="E5325" s="28">
        <v>164100</v>
      </c>
      <c r="F5325" s="28">
        <v>161300</v>
      </c>
      <c r="G5325" s="27" t="s">
        <v>22</v>
      </c>
      <c r="H5325" s="27" t="s">
        <v>4031</v>
      </c>
      <c r="I5325" s="27" t="s">
        <v>9</v>
      </c>
    </row>
    <row r="5326" spans="1:9" x14ac:dyDescent="0.3">
      <c r="A5326" s="26">
        <v>45211</v>
      </c>
      <c r="B5326" s="27" t="s">
        <v>124</v>
      </c>
      <c r="C5326" s="27" t="s">
        <v>6</v>
      </c>
      <c r="D5326" s="27" t="s">
        <v>21</v>
      </c>
      <c r="E5326" s="28">
        <v>98700</v>
      </c>
      <c r="F5326" s="28">
        <v>114700</v>
      </c>
      <c r="G5326" s="27" t="s">
        <v>22</v>
      </c>
      <c r="H5326" s="27" t="s">
        <v>4163</v>
      </c>
      <c r="I5326" s="27" t="s">
        <v>9</v>
      </c>
    </row>
    <row r="5327" spans="1:9" x14ac:dyDescent="0.3">
      <c r="A5327" s="26">
        <v>45211</v>
      </c>
      <c r="B5327" s="27" t="s">
        <v>124</v>
      </c>
      <c r="C5327" s="27" t="s">
        <v>6</v>
      </c>
      <c r="D5327" s="27" t="s">
        <v>16</v>
      </c>
      <c r="E5327" s="28">
        <v>111700</v>
      </c>
      <c r="F5327" s="28">
        <v>127600</v>
      </c>
      <c r="G5327" s="27" t="s">
        <v>11</v>
      </c>
      <c r="H5327" s="27" t="s">
        <v>4211</v>
      </c>
      <c r="I5327" s="27" t="s">
        <v>9</v>
      </c>
    </row>
    <row r="5328" spans="1:9" x14ac:dyDescent="0.3">
      <c r="A5328" s="26">
        <v>45211</v>
      </c>
      <c r="B5328" s="27" t="s">
        <v>124</v>
      </c>
      <c r="C5328" s="27" t="s">
        <v>93</v>
      </c>
      <c r="D5328" s="27" t="s">
        <v>7</v>
      </c>
      <c r="E5328" s="28">
        <v>52000</v>
      </c>
      <c r="F5328" s="28">
        <v>69300</v>
      </c>
      <c r="G5328" s="27" t="s">
        <v>22</v>
      </c>
      <c r="H5328" s="27" t="s">
        <v>4237</v>
      </c>
      <c r="I5328" s="27" t="s">
        <v>9</v>
      </c>
    </row>
    <row r="5329" spans="1:9" x14ac:dyDescent="0.3">
      <c r="A5329" s="26">
        <v>45211</v>
      </c>
      <c r="B5329" s="27" t="s">
        <v>124</v>
      </c>
      <c r="C5329" s="27" t="s">
        <v>6</v>
      </c>
      <c r="D5329" s="27" t="s">
        <v>19</v>
      </c>
      <c r="E5329" s="28">
        <v>188700</v>
      </c>
      <c r="F5329" s="28">
        <v>238500</v>
      </c>
      <c r="G5329" s="27" t="s">
        <v>11</v>
      </c>
      <c r="H5329" s="27" t="s">
        <v>4528</v>
      </c>
      <c r="I5329" s="27" t="s">
        <v>9</v>
      </c>
    </row>
    <row r="5330" spans="1:9" x14ac:dyDescent="0.3">
      <c r="A5330" s="26">
        <v>45211</v>
      </c>
      <c r="B5330" s="27" t="s">
        <v>124</v>
      </c>
      <c r="C5330" s="27" t="s">
        <v>6</v>
      </c>
      <c r="D5330" s="27" t="s">
        <v>19</v>
      </c>
      <c r="E5330" s="28">
        <v>89400</v>
      </c>
      <c r="F5330" s="28">
        <v>99200</v>
      </c>
      <c r="G5330" s="27" t="s">
        <v>11</v>
      </c>
      <c r="H5330" s="27" t="s">
        <v>4571</v>
      </c>
      <c r="I5330" s="27" t="s">
        <v>9</v>
      </c>
    </row>
    <row r="5331" spans="1:9" x14ac:dyDescent="0.3">
      <c r="A5331" s="26">
        <v>45211</v>
      </c>
      <c r="B5331" s="27" t="s">
        <v>124</v>
      </c>
      <c r="C5331" s="27" t="s">
        <v>6</v>
      </c>
      <c r="D5331" s="27" t="s">
        <v>19</v>
      </c>
      <c r="E5331" s="28">
        <v>60600</v>
      </c>
      <c r="F5331" s="28">
        <v>60600</v>
      </c>
      <c r="G5331" s="27" t="s">
        <v>22</v>
      </c>
      <c r="H5331" s="27" t="s">
        <v>5573</v>
      </c>
      <c r="I5331" s="27" t="s">
        <v>9</v>
      </c>
    </row>
    <row r="5332" spans="1:9" x14ac:dyDescent="0.3">
      <c r="A5332" s="26">
        <v>45211</v>
      </c>
      <c r="B5332" s="27" t="s">
        <v>124</v>
      </c>
      <c r="C5332" s="27" t="s">
        <v>6</v>
      </c>
      <c r="D5332" s="27" t="s">
        <v>24</v>
      </c>
      <c r="E5332" s="28">
        <v>67200</v>
      </c>
      <c r="F5332" s="28">
        <v>71000</v>
      </c>
      <c r="G5332" s="27" t="s">
        <v>11</v>
      </c>
      <c r="H5332" s="27" t="s">
        <v>5743</v>
      </c>
      <c r="I5332" s="27" t="s">
        <v>9</v>
      </c>
    </row>
    <row r="5333" spans="1:9" x14ac:dyDescent="0.3">
      <c r="A5333" s="26">
        <v>45211</v>
      </c>
      <c r="B5333" s="27" t="s">
        <v>124</v>
      </c>
      <c r="C5333" s="27" t="s">
        <v>6</v>
      </c>
      <c r="D5333" s="27" t="s">
        <v>21</v>
      </c>
      <c r="E5333" s="28">
        <v>145900</v>
      </c>
      <c r="F5333" s="28">
        <v>145100</v>
      </c>
      <c r="G5333" s="27" t="s">
        <v>22</v>
      </c>
      <c r="H5333" s="27" t="s">
        <v>6017</v>
      </c>
      <c r="I5333" s="27" t="s">
        <v>9</v>
      </c>
    </row>
    <row r="5334" spans="1:9" x14ac:dyDescent="0.3">
      <c r="A5334" s="26">
        <v>45212</v>
      </c>
      <c r="B5334" s="27" t="s">
        <v>124</v>
      </c>
      <c r="C5334" s="27" t="s">
        <v>18</v>
      </c>
      <c r="D5334" s="27" t="s">
        <v>19</v>
      </c>
      <c r="E5334" s="28">
        <v>23115</v>
      </c>
      <c r="F5334" s="28">
        <v>28343</v>
      </c>
      <c r="G5334" s="27" t="s">
        <v>22</v>
      </c>
      <c r="H5334" s="27" t="s">
        <v>194</v>
      </c>
      <c r="I5334" s="27" t="s">
        <v>13</v>
      </c>
    </row>
    <row r="5335" spans="1:9" x14ac:dyDescent="0.3">
      <c r="A5335" s="26">
        <v>45212</v>
      </c>
      <c r="B5335" s="27" t="s">
        <v>124</v>
      </c>
      <c r="C5335" s="27" t="s">
        <v>32</v>
      </c>
      <c r="D5335" s="27" t="s">
        <v>24</v>
      </c>
      <c r="E5335" s="28">
        <v>81449</v>
      </c>
      <c r="F5335" s="28">
        <v>166082</v>
      </c>
      <c r="G5335" s="27" t="s">
        <v>17</v>
      </c>
      <c r="H5335" s="27" t="s">
        <v>267</v>
      </c>
      <c r="I5335" s="27" t="s">
        <v>13</v>
      </c>
    </row>
    <row r="5336" spans="1:9" x14ac:dyDescent="0.3">
      <c r="A5336" s="26">
        <v>45212</v>
      </c>
      <c r="B5336" s="27" t="s">
        <v>124</v>
      </c>
      <c r="C5336" s="27" t="s">
        <v>32</v>
      </c>
      <c r="D5336" s="27" t="s">
        <v>24</v>
      </c>
      <c r="E5336" s="28">
        <v>112539</v>
      </c>
      <c r="F5336" s="28">
        <v>100516</v>
      </c>
      <c r="G5336" s="27" t="s">
        <v>17</v>
      </c>
      <c r="H5336" s="27" t="s">
        <v>1100</v>
      </c>
      <c r="I5336" s="27" t="s">
        <v>13</v>
      </c>
    </row>
    <row r="5337" spans="1:9" x14ac:dyDescent="0.3">
      <c r="A5337" s="26">
        <v>45212</v>
      </c>
      <c r="B5337" s="27" t="s">
        <v>124</v>
      </c>
      <c r="C5337" s="27" t="s">
        <v>15</v>
      </c>
      <c r="D5337" s="27" t="s">
        <v>24</v>
      </c>
      <c r="E5337" s="28">
        <v>138738</v>
      </c>
      <c r="F5337" s="28">
        <v>117790</v>
      </c>
      <c r="G5337" s="27" t="s">
        <v>8</v>
      </c>
      <c r="H5337" s="27" t="s">
        <v>1457</v>
      </c>
      <c r="I5337" s="27" t="s">
        <v>13</v>
      </c>
    </row>
    <row r="5338" spans="1:9" x14ac:dyDescent="0.3">
      <c r="A5338" s="26">
        <v>45212</v>
      </c>
      <c r="B5338" s="27" t="s">
        <v>124</v>
      </c>
      <c r="C5338" s="27" t="s">
        <v>18</v>
      </c>
      <c r="D5338" s="27" t="s">
        <v>7</v>
      </c>
      <c r="E5338" s="28">
        <v>12116</v>
      </c>
      <c r="F5338" s="28">
        <v>89974</v>
      </c>
      <c r="G5338" s="27" t="s">
        <v>8</v>
      </c>
      <c r="H5338" s="27" t="s">
        <v>1558</v>
      </c>
      <c r="I5338" s="27" t="s">
        <v>13</v>
      </c>
    </row>
    <row r="5339" spans="1:9" x14ac:dyDescent="0.3">
      <c r="A5339" s="26">
        <v>45212</v>
      </c>
      <c r="B5339" s="27" t="s">
        <v>124</v>
      </c>
      <c r="C5339" s="27" t="s">
        <v>15</v>
      </c>
      <c r="D5339" s="27" t="s">
        <v>24</v>
      </c>
      <c r="E5339" s="28">
        <v>47329</v>
      </c>
      <c r="F5339" s="28">
        <v>123206</v>
      </c>
      <c r="G5339" s="27" t="s">
        <v>17</v>
      </c>
      <c r="H5339" s="27" t="s">
        <v>1970</v>
      </c>
      <c r="I5339" s="27" t="s">
        <v>13</v>
      </c>
    </row>
    <row r="5340" spans="1:9" x14ac:dyDescent="0.3">
      <c r="A5340" s="26">
        <v>45212</v>
      </c>
      <c r="B5340" s="27" t="s">
        <v>124</v>
      </c>
      <c r="C5340" s="27" t="s">
        <v>18</v>
      </c>
      <c r="D5340" s="27" t="s">
        <v>19</v>
      </c>
      <c r="E5340" s="28">
        <v>100606</v>
      </c>
      <c r="F5340" s="28">
        <v>113906</v>
      </c>
      <c r="G5340" s="27" t="s">
        <v>8</v>
      </c>
      <c r="H5340" s="27" t="s">
        <v>2046</v>
      </c>
      <c r="I5340" s="27" t="s">
        <v>13</v>
      </c>
    </row>
    <row r="5341" spans="1:9" x14ac:dyDescent="0.3">
      <c r="A5341" s="26">
        <v>45212</v>
      </c>
      <c r="B5341" s="27" t="s">
        <v>124</v>
      </c>
      <c r="C5341" s="27" t="s">
        <v>18</v>
      </c>
      <c r="D5341" s="27" t="s">
        <v>21</v>
      </c>
      <c r="E5341" s="28">
        <v>91808</v>
      </c>
      <c r="F5341" s="28">
        <v>106425</v>
      </c>
      <c r="G5341" s="27" t="s">
        <v>17</v>
      </c>
      <c r="H5341" s="27" t="s">
        <v>2345</v>
      </c>
      <c r="I5341" s="27" t="s">
        <v>13</v>
      </c>
    </row>
    <row r="5342" spans="1:9" x14ac:dyDescent="0.3">
      <c r="A5342" s="26">
        <v>45212</v>
      </c>
      <c r="B5342" s="27" t="s">
        <v>124</v>
      </c>
      <c r="C5342" s="27" t="s">
        <v>93</v>
      </c>
      <c r="D5342" s="27" t="s">
        <v>19</v>
      </c>
      <c r="E5342" s="28">
        <v>143400</v>
      </c>
      <c r="F5342" s="28">
        <v>166700</v>
      </c>
      <c r="G5342" s="27" t="s">
        <v>22</v>
      </c>
      <c r="H5342" s="27" t="s">
        <v>3575</v>
      </c>
      <c r="I5342" s="27" t="s">
        <v>9</v>
      </c>
    </row>
    <row r="5343" spans="1:9" x14ac:dyDescent="0.3">
      <c r="A5343" s="26">
        <v>45212</v>
      </c>
      <c r="B5343" s="27" t="s">
        <v>124</v>
      </c>
      <c r="C5343" s="27" t="s">
        <v>6</v>
      </c>
      <c r="D5343" s="27" t="s">
        <v>24</v>
      </c>
      <c r="E5343" s="28">
        <v>112400</v>
      </c>
      <c r="F5343" s="28">
        <v>101900</v>
      </c>
      <c r="G5343" s="27" t="s">
        <v>11</v>
      </c>
      <c r="H5343" s="27" t="s">
        <v>3648</v>
      </c>
      <c r="I5343" s="27" t="s">
        <v>9</v>
      </c>
    </row>
    <row r="5344" spans="1:9" x14ac:dyDescent="0.3">
      <c r="A5344" s="26">
        <v>45212</v>
      </c>
      <c r="B5344" s="27" t="s">
        <v>124</v>
      </c>
      <c r="C5344" s="27" t="s">
        <v>93</v>
      </c>
      <c r="D5344" s="27" t="s">
        <v>24</v>
      </c>
      <c r="E5344" s="28">
        <v>60500</v>
      </c>
      <c r="F5344" s="28">
        <v>62600</v>
      </c>
      <c r="G5344" s="27" t="s">
        <v>11</v>
      </c>
      <c r="H5344" s="27" t="s">
        <v>4482</v>
      </c>
      <c r="I5344" s="27" t="s">
        <v>9</v>
      </c>
    </row>
    <row r="5345" spans="1:9" x14ac:dyDescent="0.3">
      <c r="A5345" s="26">
        <v>45212</v>
      </c>
      <c r="B5345" s="27" t="s">
        <v>124</v>
      </c>
      <c r="C5345" s="27" t="s">
        <v>6</v>
      </c>
      <c r="D5345" s="27" t="s">
        <v>24</v>
      </c>
      <c r="E5345" s="28">
        <v>56700</v>
      </c>
      <c r="F5345" s="28">
        <v>54200</v>
      </c>
      <c r="G5345" s="27" t="s">
        <v>11</v>
      </c>
      <c r="H5345" s="27" t="s">
        <v>4840</v>
      </c>
      <c r="I5345" s="27" t="s">
        <v>9</v>
      </c>
    </row>
    <row r="5346" spans="1:9" x14ac:dyDescent="0.3">
      <c r="A5346" s="26">
        <v>45212</v>
      </c>
      <c r="B5346" s="27" t="s">
        <v>124</v>
      </c>
      <c r="C5346" s="27" t="s">
        <v>6</v>
      </c>
      <c r="D5346" s="27" t="s">
        <v>7</v>
      </c>
      <c r="E5346" s="28">
        <v>109800</v>
      </c>
      <c r="F5346" s="28">
        <v>141600</v>
      </c>
      <c r="G5346" s="27" t="s">
        <v>22</v>
      </c>
      <c r="H5346" s="27" t="s">
        <v>4941</v>
      </c>
      <c r="I5346" s="27" t="s">
        <v>9</v>
      </c>
    </row>
    <row r="5347" spans="1:9" x14ac:dyDescent="0.3">
      <c r="A5347" s="26">
        <v>45212</v>
      </c>
      <c r="B5347" s="27" t="s">
        <v>124</v>
      </c>
      <c r="C5347" s="27" t="s">
        <v>6</v>
      </c>
      <c r="D5347" s="27" t="s">
        <v>24</v>
      </c>
      <c r="E5347" s="28">
        <v>95500</v>
      </c>
      <c r="F5347" s="28">
        <v>97700</v>
      </c>
      <c r="G5347" s="27" t="s">
        <v>11</v>
      </c>
      <c r="H5347" s="27" t="s">
        <v>5354</v>
      </c>
      <c r="I5347" s="27" t="s">
        <v>9</v>
      </c>
    </row>
    <row r="5348" spans="1:9" x14ac:dyDescent="0.3">
      <c r="A5348" s="26">
        <v>45212</v>
      </c>
      <c r="B5348" s="27" t="s">
        <v>124</v>
      </c>
      <c r="C5348" s="27" t="s">
        <v>93</v>
      </c>
      <c r="D5348" s="27" t="s">
        <v>19</v>
      </c>
      <c r="E5348" s="28">
        <v>102100</v>
      </c>
      <c r="F5348" s="28">
        <v>84600</v>
      </c>
      <c r="G5348" s="27" t="s">
        <v>22</v>
      </c>
      <c r="H5348" s="27" t="s">
        <v>5430</v>
      </c>
      <c r="I5348" s="27" t="s">
        <v>9</v>
      </c>
    </row>
    <row r="5349" spans="1:9" x14ac:dyDescent="0.3">
      <c r="A5349" s="26">
        <v>45212</v>
      </c>
      <c r="B5349" s="27" t="s">
        <v>124</v>
      </c>
      <c r="C5349" s="27" t="s">
        <v>93</v>
      </c>
      <c r="D5349" s="27" t="s">
        <v>21</v>
      </c>
      <c r="E5349" s="28">
        <v>80000</v>
      </c>
      <c r="F5349" s="28">
        <v>52600</v>
      </c>
      <c r="G5349" s="27" t="s">
        <v>22</v>
      </c>
      <c r="H5349" s="27" t="s">
        <v>5730</v>
      </c>
      <c r="I5349" s="27" t="s">
        <v>9</v>
      </c>
    </row>
    <row r="5350" spans="1:9" x14ac:dyDescent="0.3">
      <c r="A5350" s="26">
        <v>45213</v>
      </c>
      <c r="B5350" s="27" t="s">
        <v>124</v>
      </c>
      <c r="C5350" s="27" t="s">
        <v>15</v>
      </c>
      <c r="D5350" s="27" t="s">
        <v>19</v>
      </c>
      <c r="E5350" s="28">
        <v>16564</v>
      </c>
      <c r="F5350" s="28">
        <v>121901</v>
      </c>
      <c r="G5350" s="27" t="s">
        <v>11</v>
      </c>
      <c r="H5350" s="27" t="s">
        <v>61</v>
      </c>
      <c r="I5350" s="27" t="s">
        <v>13</v>
      </c>
    </row>
    <row r="5351" spans="1:9" x14ac:dyDescent="0.3">
      <c r="A5351" s="26">
        <v>45213</v>
      </c>
      <c r="B5351" s="27" t="s">
        <v>124</v>
      </c>
      <c r="C5351" s="27" t="s">
        <v>20</v>
      </c>
      <c r="D5351" s="27" t="s">
        <v>7</v>
      </c>
      <c r="E5351" s="28">
        <v>88775</v>
      </c>
      <c r="F5351" s="28">
        <v>52889</v>
      </c>
      <c r="G5351" s="27" t="s">
        <v>11</v>
      </c>
      <c r="H5351" s="27" t="s">
        <v>104</v>
      </c>
      <c r="I5351" s="27" t="s">
        <v>13</v>
      </c>
    </row>
    <row r="5352" spans="1:9" x14ac:dyDescent="0.3">
      <c r="A5352" s="26">
        <v>45213</v>
      </c>
      <c r="B5352" s="27" t="s">
        <v>124</v>
      </c>
      <c r="C5352" s="27" t="s">
        <v>18</v>
      </c>
      <c r="D5352" s="27" t="s">
        <v>19</v>
      </c>
      <c r="E5352" s="28">
        <v>30954</v>
      </c>
      <c r="F5352" s="28">
        <v>40501</v>
      </c>
      <c r="G5352" s="27" t="s">
        <v>11</v>
      </c>
      <c r="H5352" s="27" t="s">
        <v>549</v>
      </c>
      <c r="I5352" s="27" t="s">
        <v>13</v>
      </c>
    </row>
    <row r="5353" spans="1:9" x14ac:dyDescent="0.3">
      <c r="A5353" s="26">
        <v>45213</v>
      </c>
      <c r="B5353" s="27" t="s">
        <v>124</v>
      </c>
      <c r="C5353" s="27" t="s">
        <v>18</v>
      </c>
      <c r="D5353" s="27" t="s">
        <v>24</v>
      </c>
      <c r="E5353" s="28">
        <v>132573</v>
      </c>
      <c r="F5353" s="28">
        <v>112857</v>
      </c>
      <c r="G5353" s="27" t="s">
        <v>17</v>
      </c>
      <c r="H5353" s="27" t="s">
        <v>686</v>
      </c>
      <c r="I5353" s="27" t="s">
        <v>13</v>
      </c>
    </row>
    <row r="5354" spans="1:9" x14ac:dyDescent="0.3">
      <c r="A5354" s="26">
        <v>45213</v>
      </c>
      <c r="B5354" s="27" t="s">
        <v>124</v>
      </c>
      <c r="C5354" s="27" t="s">
        <v>10</v>
      </c>
      <c r="D5354" s="27" t="s">
        <v>24</v>
      </c>
      <c r="E5354" s="28">
        <v>97878</v>
      </c>
      <c r="F5354" s="28">
        <v>64602</v>
      </c>
      <c r="G5354" s="27" t="s">
        <v>17</v>
      </c>
      <c r="H5354" s="27" t="s">
        <v>829</v>
      </c>
      <c r="I5354" s="27" t="s">
        <v>13</v>
      </c>
    </row>
    <row r="5355" spans="1:9" x14ac:dyDescent="0.3">
      <c r="A5355" s="26">
        <v>45213</v>
      </c>
      <c r="B5355" s="27" t="s">
        <v>124</v>
      </c>
      <c r="C5355" s="27" t="s">
        <v>20</v>
      </c>
      <c r="D5355" s="27" t="s">
        <v>16</v>
      </c>
      <c r="E5355" s="28">
        <v>60416</v>
      </c>
      <c r="F5355" s="28">
        <v>41988</v>
      </c>
      <c r="G5355" s="27" t="s">
        <v>11</v>
      </c>
      <c r="H5355" s="27" t="s">
        <v>1077</v>
      </c>
      <c r="I5355" s="27" t="s">
        <v>13</v>
      </c>
    </row>
    <row r="5356" spans="1:9" x14ac:dyDescent="0.3">
      <c r="A5356" s="26">
        <v>45213</v>
      </c>
      <c r="B5356" s="27" t="s">
        <v>124</v>
      </c>
      <c r="C5356" s="27" t="s">
        <v>18</v>
      </c>
      <c r="D5356" s="27" t="s">
        <v>19</v>
      </c>
      <c r="E5356" s="28">
        <v>39339</v>
      </c>
      <c r="F5356" s="28">
        <v>133038</v>
      </c>
      <c r="G5356" s="27" t="s">
        <v>11</v>
      </c>
      <c r="H5356" s="27" t="s">
        <v>1371</v>
      </c>
      <c r="I5356" s="27" t="s">
        <v>13</v>
      </c>
    </row>
    <row r="5357" spans="1:9" x14ac:dyDescent="0.3">
      <c r="A5357" s="26">
        <v>45213</v>
      </c>
      <c r="B5357" s="27" t="s">
        <v>124</v>
      </c>
      <c r="C5357" s="27" t="s">
        <v>18</v>
      </c>
      <c r="D5357" s="27" t="s">
        <v>24</v>
      </c>
      <c r="E5357" s="28">
        <v>30855</v>
      </c>
      <c r="F5357" s="28">
        <v>36986</v>
      </c>
      <c r="G5357" s="27" t="s">
        <v>22</v>
      </c>
      <c r="H5357" s="27" t="s">
        <v>1398</v>
      </c>
      <c r="I5357" s="27" t="s">
        <v>13</v>
      </c>
    </row>
    <row r="5358" spans="1:9" x14ac:dyDescent="0.3">
      <c r="A5358" s="26">
        <v>45213</v>
      </c>
      <c r="B5358" s="27" t="s">
        <v>124</v>
      </c>
      <c r="C5358" s="27" t="s">
        <v>18</v>
      </c>
      <c r="D5358" s="27" t="s">
        <v>24</v>
      </c>
      <c r="E5358" s="28">
        <v>30855</v>
      </c>
      <c r="F5358" s="28">
        <v>36986</v>
      </c>
      <c r="G5358" s="27" t="s">
        <v>22</v>
      </c>
      <c r="H5358" s="27" t="s">
        <v>1398</v>
      </c>
      <c r="I5358" s="27" t="s">
        <v>13</v>
      </c>
    </row>
    <row r="5359" spans="1:9" x14ac:dyDescent="0.3">
      <c r="A5359" s="26">
        <v>45213</v>
      </c>
      <c r="B5359" s="27" t="s">
        <v>124</v>
      </c>
      <c r="C5359" s="27" t="s">
        <v>18</v>
      </c>
      <c r="D5359" s="27" t="s">
        <v>21</v>
      </c>
      <c r="E5359" s="28">
        <v>22394</v>
      </c>
      <c r="F5359" s="28">
        <v>82824</v>
      </c>
      <c r="G5359" s="27" t="s">
        <v>17</v>
      </c>
      <c r="H5359" s="27" t="s">
        <v>1506</v>
      </c>
      <c r="I5359" s="27" t="s">
        <v>13</v>
      </c>
    </row>
    <row r="5360" spans="1:9" x14ac:dyDescent="0.3">
      <c r="A5360" s="26">
        <v>45213</v>
      </c>
      <c r="B5360" s="27" t="s">
        <v>124</v>
      </c>
      <c r="C5360" s="27" t="s">
        <v>14</v>
      </c>
      <c r="D5360" s="27" t="s">
        <v>7</v>
      </c>
      <c r="E5360" s="28">
        <v>63792</v>
      </c>
      <c r="F5360" s="28">
        <v>61331</v>
      </c>
      <c r="G5360" s="27" t="s">
        <v>11</v>
      </c>
      <c r="H5360" s="27" t="s">
        <v>1637</v>
      </c>
      <c r="I5360" s="27" t="s">
        <v>13</v>
      </c>
    </row>
    <row r="5361" spans="1:9" x14ac:dyDescent="0.3">
      <c r="A5361" s="26">
        <v>45213</v>
      </c>
      <c r="B5361" s="27" t="s">
        <v>124</v>
      </c>
      <c r="C5361" s="27" t="s">
        <v>10</v>
      </c>
      <c r="D5361" s="27" t="s">
        <v>24</v>
      </c>
      <c r="E5361" s="28">
        <v>112008</v>
      </c>
      <c r="F5361" s="28">
        <v>61025</v>
      </c>
      <c r="G5361" s="27" t="s">
        <v>22</v>
      </c>
      <c r="H5361" s="27" t="s">
        <v>1882</v>
      </c>
      <c r="I5361" s="27" t="s">
        <v>13</v>
      </c>
    </row>
    <row r="5362" spans="1:9" x14ac:dyDescent="0.3">
      <c r="A5362" s="26">
        <v>45213</v>
      </c>
      <c r="B5362" s="27" t="s">
        <v>124</v>
      </c>
      <c r="C5362" s="27" t="s">
        <v>20</v>
      </c>
      <c r="D5362" s="27" t="s">
        <v>7</v>
      </c>
      <c r="E5362" s="28">
        <v>83239</v>
      </c>
      <c r="F5362" s="28">
        <v>105747</v>
      </c>
      <c r="G5362" s="27" t="s">
        <v>11</v>
      </c>
      <c r="H5362" s="27" t="s">
        <v>1898</v>
      </c>
      <c r="I5362" s="27" t="s">
        <v>13</v>
      </c>
    </row>
    <row r="5363" spans="1:9" x14ac:dyDescent="0.3">
      <c r="A5363" s="26">
        <v>45213</v>
      </c>
      <c r="B5363" s="27" t="s">
        <v>124</v>
      </c>
      <c r="C5363" s="27" t="s">
        <v>14</v>
      </c>
      <c r="D5363" s="27" t="s">
        <v>21</v>
      </c>
      <c r="E5363" s="28">
        <v>87011</v>
      </c>
      <c r="F5363" s="28">
        <v>41677</v>
      </c>
      <c r="G5363" s="27" t="s">
        <v>22</v>
      </c>
      <c r="H5363" s="27" t="s">
        <v>1955</v>
      </c>
      <c r="I5363" s="27" t="s">
        <v>13</v>
      </c>
    </row>
    <row r="5364" spans="1:9" x14ac:dyDescent="0.3">
      <c r="A5364" s="26">
        <v>45213</v>
      </c>
      <c r="B5364" s="27" t="s">
        <v>124</v>
      </c>
      <c r="C5364" s="27" t="s">
        <v>18</v>
      </c>
      <c r="D5364" s="27" t="s">
        <v>19</v>
      </c>
      <c r="E5364" s="28">
        <v>145573</v>
      </c>
      <c r="F5364" s="28">
        <v>48986</v>
      </c>
      <c r="G5364" s="27" t="s">
        <v>17</v>
      </c>
      <c r="H5364" s="27" t="s">
        <v>2013</v>
      </c>
      <c r="I5364" s="27" t="s">
        <v>13</v>
      </c>
    </row>
    <row r="5365" spans="1:9" x14ac:dyDescent="0.3">
      <c r="A5365" s="26">
        <v>45213</v>
      </c>
      <c r="B5365" s="27" t="s">
        <v>124</v>
      </c>
      <c r="C5365" s="27" t="s">
        <v>15</v>
      </c>
      <c r="D5365" s="27" t="s">
        <v>19</v>
      </c>
      <c r="E5365" s="28">
        <v>77235</v>
      </c>
      <c r="F5365" s="28">
        <v>18199</v>
      </c>
      <c r="G5365" s="27" t="s">
        <v>8</v>
      </c>
      <c r="H5365" s="27" t="s">
        <v>2479</v>
      </c>
      <c r="I5365" s="27" t="s">
        <v>13</v>
      </c>
    </row>
    <row r="5366" spans="1:9" x14ac:dyDescent="0.3">
      <c r="A5366" s="26">
        <v>45213</v>
      </c>
      <c r="B5366" s="27" t="s">
        <v>124</v>
      </c>
      <c r="C5366" s="27" t="s">
        <v>15</v>
      </c>
      <c r="D5366" s="27" t="s">
        <v>7</v>
      </c>
      <c r="E5366" s="28">
        <v>112424</v>
      </c>
      <c r="F5366" s="28">
        <v>160116</v>
      </c>
      <c r="G5366" s="27" t="s">
        <v>22</v>
      </c>
      <c r="H5366" s="27" t="s">
        <v>3144</v>
      </c>
      <c r="I5366" s="27" t="s">
        <v>13</v>
      </c>
    </row>
    <row r="5367" spans="1:9" x14ac:dyDescent="0.3">
      <c r="A5367" s="26">
        <v>45213</v>
      </c>
      <c r="B5367" s="27" t="s">
        <v>124</v>
      </c>
      <c r="C5367" s="27" t="s">
        <v>93</v>
      </c>
      <c r="D5367" s="27" t="s">
        <v>19</v>
      </c>
      <c r="E5367" s="28">
        <v>132600</v>
      </c>
      <c r="F5367" s="28">
        <v>112500</v>
      </c>
      <c r="G5367" s="27" t="s">
        <v>17</v>
      </c>
      <c r="H5367" s="27" t="s">
        <v>3461</v>
      </c>
      <c r="I5367" s="27" t="s">
        <v>9</v>
      </c>
    </row>
    <row r="5368" spans="1:9" x14ac:dyDescent="0.3">
      <c r="A5368" s="26">
        <v>45213</v>
      </c>
      <c r="B5368" s="27" t="s">
        <v>124</v>
      </c>
      <c r="C5368" s="27" t="s">
        <v>6</v>
      </c>
      <c r="D5368" s="27" t="s">
        <v>7</v>
      </c>
      <c r="E5368" s="28">
        <v>57600</v>
      </c>
      <c r="F5368" s="28">
        <v>52200</v>
      </c>
      <c r="G5368" s="27" t="s">
        <v>22</v>
      </c>
      <c r="H5368" s="27" t="s">
        <v>3504</v>
      </c>
      <c r="I5368" s="27" t="s">
        <v>9</v>
      </c>
    </row>
    <row r="5369" spans="1:9" x14ac:dyDescent="0.3">
      <c r="A5369" s="26">
        <v>45213</v>
      </c>
      <c r="B5369" s="27" t="s">
        <v>124</v>
      </c>
      <c r="C5369" s="27" t="s">
        <v>93</v>
      </c>
      <c r="D5369" s="27" t="s">
        <v>19</v>
      </c>
      <c r="E5369" s="28">
        <v>134900</v>
      </c>
      <c r="F5369" s="28">
        <v>163900</v>
      </c>
      <c r="G5369" s="27" t="s">
        <v>17</v>
      </c>
      <c r="H5369" s="27" t="s">
        <v>3930</v>
      </c>
      <c r="I5369" s="27" t="s">
        <v>9</v>
      </c>
    </row>
    <row r="5370" spans="1:9" x14ac:dyDescent="0.3">
      <c r="A5370" s="26">
        <v>45213</v>
      </c>
      <c r="B5370" s="27" t="s">
        <v>124</v>
      </c>
      <c r="C5370" s="27" t="s">
        <v>6</v>
      </c>
      <c r="D5370" s="27" t="s">
        <v>24</v>
      </c>
      <c r="E5370" s="28">
        <v>231600</v>
      </c>
      <c r="F5370" s="28">
        <v>185400</v>
      </c>
      <c r="G5370" s="27" t="s">
        <v>11</v>
      </c>
      <c r="H5370" s="27" t="s">
        <v>4067</v>
      </c>
      <c r="I5370" s="27" t="s">
        <v>9</v>
      </c>
    </row>
    <row r="5371" spans="1:9" x14ac:dyDescent="0.3">
      <c r="A5371" s="26">
        <v>45213</v>
      </c>
      <c r="B5371" s="27" t="s">
        <v>124</v>
      </c>
      <c r="C5371" s="27" t="s">
        <v>6</v>
      </c>
      <c r="D5371" s="27" t="s">
        <v>24</v>
      </c>
      <c r="E5371" s="28">
        <v>103300</v>
      </c>
      <c r="F5371" s="28">
        <v>122100</v>
      </c>
      <c r="G5371" s="27" t="s">
        <v>11</v>
      </c>
      <c r="H5371" s="27" t="s">
        <v>4210</v>
      </c>
      <c r="I5371" s="27" t="s">
        <v>9</v>
      </c>
    </row>
    <row r="5372" spans="1:9" x14ac:dyDescent="0.3">
      <c r="A5372" s="26">
        <v>45213</v>
      </c>
      <c r="B5372" s="27" t="s">
        <v>124</v>
      </c>
      <c r="C5372" s="27" t="s">
        <v>93</v>
      </c>
      <c r="D5372" s="27" t="s">
        <v>16</v>
      </c>
      <c r="E5372" s="28">
        <v>106200</v>
      </c>
      <c r="F5372" s="28">
        <v>110400</v>
      </c>
      <c r="G5372" s="27" t="s">
        <v>11</v>
      </c>
      <c r="H5372" s="27" t="s">
        <v>4459</v>
      </c>
      <c r="I5372" s="27" t="s">
        <v>9</v>
      </c>
    </row>
    <row r="5373" spans="1:9" x14ac:dyDescent="0.3">
      <c r="A5373" s="26">
        <v>45213</v>
      </c>
      <c r="B5373" s="27" t="s">
        <v>124</v>
      </c>
      <c r="C5373" s="27" t="s">
        <v>93</v>
      </c>
      <c r="D5373" s="27" t="s">
        <v>19</v>
      </c>
      <c r="E5373" s="28">
        <v>56900</v>
      </c>
      <c r="F5373" s="28">
        <v>63500</v>
      </c>
      <c r="G5373" s="27" t="s">
        <v>22</v>
      </c>
      <c r="H5373" s="27" t="s">
        <v>4754</v>
      </c>
      <c r="I5373" s="27" t="s">
        <v>9</v>
      </c>
    </row>
    <row r="5374" spans="1:9" x14ac:dyDescent="0.3">
      <c r="A5374" s="26">
        <v>45213</v>
      </c>
      <c r="B5374" s="27" t="s">
        <v>124</v>
      </c>
      <c r="C5374" s="27" t="s">
        <v>6</v>
      </c>
      <c r="D5374" s="27" t="s">
        <v>24</v>
      </c>
      <c r="E5374" s="28">
        <v>63100</v>
      </c>
      <c r="F5374" s="28">
        <v>63200</v>
      </c>
      <c r="G5374" s="27" t="s">
        <v>17</v>
      </c>
      <c r="H5374" s="27" t="s">
        <v>4781</v>
      </c>
      <c r="I5374" s="27" t="s">
        <v>9</v>
      </c>
    </row>
    <row r="5375" spans="1:9" x14ac:dyDescent="0.3">
      <c r="A5375" s="26">
        <v>45213</v>
      </c>
      <c r="B5375" s="27" t="s">
        <v>124</v>
      </c>
      <c r="C5375" s="27" t="s">
        <v>93</v>
      </c>
      <c r="D5375" s="27" t="s">
        <v>21</v>
      </c>
      <c r="E5375" s="28">
        <v>217900</v>
      </c>
      <c r="F5375" s="28">
        <v>250200</v>
      </c>
      <c r="G5375" s="27" t="s">
        <v>11</v>
      </c>
      <c r="H5375" s="27" t="s">
        <v>4889</v>
      </c>
      <c r="I5375" s="27" t="s">
        <v>9</v>
      </c>
    </row>
    <row r="5376" spans="1:9" x14ac:dyDescent="0.3">
      <c r="A5376" s="26">
        <v>45213</v>
      </c>
      <c r="B5376" s="27" t="s">
        <v>124</v>
      </c>
      <c r="C5376" s="27" t="s">
        <v>6</v>
      </c>
      <c r="D5376" s="27" t="s">
        <v>7</v>
      </c>
      <c r="E5376" s="28">
        <v>125100</v>
      </c>
      <c r="F5376" s="28">
        <v>121300</v>
      </c>
      <c r="G5376" s="27" t="s">
        <v>22</v>
      </c>
      <c r="H5376" s="27" t="s">
        <v>5020</v>
      </c>
      <c r="I5376" s="27" t="s">
        <v>9</v>
      </c>
    </row>
    <row r="5377" spans="1:9" x14ac:dyDescent="0.3">
      <c r="A5377" s="26">
        <v>45213</v>
      </c>
      <c r="B5377" s="27" t="s">
        <v>124</v>
      </c>
      <c r="C5377" s="27" t="s">
        <v>6</v>
      </c>
      <c r="D5377" s="27" t="s">
        <v>24</v>
      </c>
      <c r="E5377" s="28">
        <v>164400</v>
      </c>
      <c r="F5377" s="28">
        <v>205500</v>
      </c>
      <c r="G5377" s="27" t="s">
        <v>22</v>
      </c>
      <c r="H5377" s="27" t="s">
        <v>5266</v>
      </c>
      <c r="I5377" s="27" t="s">
        <v>9</v>
      </c>
    </row>
    <row r="5378" spans="1:9" x14ac:dyDescent="0.3">
      <c r="A5378" s="26">
        <v>45213</v>
      </c>
      <c r="B5378" s="27" t="s">
        <v>124</v>
      </c>
      <c r="C5378" s="27" t="s">
        <v>93</v>
      </c>
      <c r="D5378" s="27" t="s">
        <v>7</v>
      </c>
      <c r="E5378" s="28">
        <v>92800</v>
      </c>
      <c r="F5378" s="28">
        <v>91800</v>
      </c>
      <c r="G5378" s="27" t="s">
        <v>22</v>
      </c>
      <c r="H5378" s="27" t="s">
        <v>5282</v>
      </c>
      <c r="I5378" s="27" t="s">
        <v>9</v>
      </c>
    </row>
    <row r="5379" spans="1:9" x14ac:dyDescent="0.3">
      <c r="A5379" s="26">
        <v>45213</v>
      </c>
      <c r="B5379" s="27" t="s">
        <v>124</v>
      </c>
      <c r="C5379" s="27" t="s">
        <v>6</v>
      </c>
      <c r="D5379" s="27" t="s">
        <v>21</v>
      </c>
      <c r="E5379" s="28">
        <v>113200</v>
      </c>
      <c r="F5379" s="28">
        <v>108100</v>
      </c>
      <c r="G5379" s="27" t="s">
        <v>11</v>
      </c>
      <c r="H5379" s="27" t="s">
        <v>5339</v>
      </c>
      <c r="I5379" s="27" t="s">
        <v>9</v>
      </c>
    </row>
    <row r="5380" spans="1:9" x14ac:dyDescent="0.3">
      <c r="A5380" s="26">
        <v>45213</v>
      </c>
      <c r="B5380" s="27" t="s">
        <v>124</v>
      </c>
      <c r="C5380" s="27" t="s">
        <v>93</v>
      </c>
      <c r="D5380" s="27" t="s">
        <v>19</v>
      </c>
      <c r="E5380" s="28">
        <v>121200</v>
      </c>
      <c r="F5380" s="28">
        <v>136400</v>
      </c>
      <c r="G5380" s="27" t="s">
        <v>22</v>
      </c>
      <c r="H5380" s="27" t="s">
        <v>5397</v>
      </c>
      <c r="I5380" s="27" t="s">
        <v>9</v>
      </c>
    </row>
    <row r="5381" spans="1:9" x14ac:dyDescent="0.3">
      <c r="A5381" s="26">
        <v>45213</v>
      </c>
      <c r="B5381" s="27" t="s">
        <v>124</v>
      </c>
      <c r="C5381" s="27" t="s">
        <v>93</v>
      </c>
      <c r="D5381" s="27" t="s">
        <v>19</v>
      </c>
      <c r="E5381" s="28">
        <v>188600</v>
      </c>
      <c r="F5381" s="28">
        <v>208400</v>
      </c>
      <c r="G5381" s="27" t="s">
        <v>11</v>
      </c>
      <c r="H5381" s="27" t="s">
        <v>5864</v>
      </c>
      <c r="I5381" s="27" t="s">
        <v>9</v>
      </c>
    </row>
    <row r="5382" spans="1:9" x14ac:dyDescent="0.3">
      <c r="A5382" s="26">
        <v>45213</v>
      </c>
      <c r="B5382" s="27" t="s">
        <v>124</v>
      </c>
      <c r="C5382" s="27" t="s">
        <v>93</v>
      </c>
      <c r="D5382" s="27" t="s">
        <v>7</v>
      </c>
      <c r="E5382" s="28">
        <v>112100</v>
      </c>
      <c r="F5382" s="28">
        <v>101800</v>
      </c>
      <c r="G5382" s="27" t="s">
        <v>11</v>
      </c>
      <c r="H5382" s="27" t="s">
        <v>6529</v>
      </c>
      <c r="I5382" s="27" t="s">
        <v>9</v>
      </c>
    </row>
    <row r="5383" spans="1:9" x14ac:dyDescent="0.3">
      <c r="A5383" s="26">
        <v>45213</v>
      </c>
      <c r="B5383" s="27" t="s">
        <v>124</v>
      </c>
      <c r="C5383" s="27" t="s">
        <v>93</v>
      </c>
      <c r="D5383" s="27" t="s">
        <v>24</v>
      </c>
      <c r="E5383" s="28">
        <v>154100</v>
      </c>
      <c r="F5383" s="28">
        <v>105400</v>
      </c>
      <c r="G5383" s="27" t="s">
        <v>22</v>
      </c>
      <c r="H5383" s="27" t="s">
        <v>6824</v>
      </c>
      <c r="I5383" s="27" t="s">
        <v>9</v>
      </c>
    </row>
    <row r="5384" spans="1:9" x14ac:dyDescent="0.3">
      <c r="A5384" s="26">
        <v>45214</v>
      </c>
      <c r="B5384" s="27" t="s">
        <v>124</v>
      </c>
      <c r="C5384" s="27" t="s">
        <v>15</v>
      </c>
      <c r="D5384" s="27" t="s">
        <v>7</v>
      </c>
      <c r="E5384" s="28">
        <v>146656</v>
      </c>
      <c r="F5384" s="28">
        <v>74352</v>
      </c>
      <c r="G5384" s="27" t="s">
        <v>22</v>
      </c>
      <c r="H5384" s="27" t="s">
        <v>62</v>
      </c>
      <c r="I5384" s="27" t="s">
        <v>13</v>
      </c>
    </row>
    <row r="5385" spans="1:9" x14ac:dyDescent="0.3">
      <c r="A5385" s="26">
        <v>45214</v>
      </c>
      <c r="B5385" s="27" t="s">
        <v>124</v>
      </c>
      <c r="C5385" s="27" t="s">
        <v>14</v>
      </c>
      <c r="D5385" s="27" t="s">
        <v>19</v>
      </c>
      <c r="E5385" s="28">
        <v>90938</v>
      </c>
      <c r="F5385" s="28">
        <v>118732</v>
      </c>
      <c r="G5385" s="27" t="s">
        <v>11</v>
      </c>
      <c r="H5385" s="27" t="s">
        <v>978</v>
      </c>
      <c r="I5385" s="27" t="s">
        <v>13</v>
      </c>
    </row>
    <row r="5386" spans="1:9" x14ac:dyDescent="0.3">
      <c r="A5386" s="26">
        <v>45214</v>
      </c>
      <c r="B5386" s="27" t="s">
        <v>124</v>
      </c>
      <c r="C5386" s="27" t="s">
        <v>14</v>
      </c>
      <c r="D5386" s="27" t="s">
        <v>7</v>
      </c>
      <c r="E5386" s="28">
        <v>146407</v>
      </c>
      <c r="F5386" s="28">
        <v>161401</v>
      </c>
      <c r="G5386" s="27" t="s">
        <v>8</v>
      </c>
      <c r="H5386" s="27" t="s">
        <v>1024</v>
      </c>
      <c r="I5386" s="27" t="s">
        <v>13</v>
      </c>
    </row>
    <row r="5387" spans="1:9" x14ac:dyDescent="0.3">
      <c r="A5387" s="26">
        <v>45214</v>
      </c>
      <c r="B5387" s="27" t="s">
        <v>124</v>
      </c>
      <c r="C5387" s="27" t="s">
        <v>15</v>
      </c>
      <c r="D5387" s="27" t="s">
        <v>24</v>
      </c>
      <c r="E5387" s="28">
        <v>71140</v>
      </c>
      <c r="F5387" s="28">
        <v>96853</v>
      </c>
      <c r="G5387" s="27" t="s">
        <v>11</v>
      </c>
      <c r="H5387" s="27" t="s">
        <v>2041</v>
      </c>
      <c r="I5387" s="27" t="s">
        <v>13</v>
      </c>
    </row>
    <row r="5388" spans="1:9" x14ac:dyDescent="0.3">
      <c r="A5388" s="26">
        <v>45214</v>
      </c>
      <c r="B5388" s="27" t="s">
        <v>124</v>
      </c>
      <c r="C5388" s="27" t="s">
        <v>14</v>
      </c>
      <c r="D5388" s="27" t="s">
        <v>21</v>
      </c>
      <c r="E5388" s="28">
        <v>147652</v>
      </c>
      <c r="F5388" s="28">
        <v>32478</v>
      </c>
      <c r="G5388" s="27" t="s">
        <v>8</v>
      </c>
      <c r="H5388" s="27" t="s">
        <v>2237</v>
      </c>
      <c r="I5388" s="27" t="s">
        <v>13</v>
      </c>
    </row>
    <row r="5389" spans="1:9" x14ac:dyDescent="0.3">
      <c r="A5389" s="26">
        <v>45214</v>
      </c>
      <c r="B5389" s="27" t="s">
        <v>124</v>
      </c>
      <c r="C5389" s="27" t="s">
        <v>18</v>
      </c>
      <c r="D5389" s="27" t="s">
        <v>21</v>
      </c>
      <c r="E5389" s="28">
        <v>71945</v>
      </c>
      <c r="F5389" s="28">
        <v>48452</v>
      </c>
      <c r="G5389" s="27" t="s">
        <v>22</v>
      </c>
      <c r="H5389" s="27" t="s">
        <v>2969</v>
      </c>
      <c r="I5389" s="27" t="s">
        <v>13</v>
      </c>
    </row>
    <row r="5390" spans="1:9" x14ac:dyDescent="0.3">
      <c r="A5390" s="26">
        <v>45214</v>
      </c>
      <c r="B5390" s="27" t="s">
        <v>124</v>
      </c>
      <c r="C5390" s="27" t="s">
        <v>10</v>
      </c>
      <c r="D5390" s="27" t="s">
        <v>24</v>
      </c>
      <c r="E5390" s="28">
        <v>111552</v>
      </c>
      <c r="F5390" s="28">
        <v>155818</v>
      </c>
      <c r="G5390" s="27" t="s">
        <v>8</v>
      </c>
      <c r="H5390" s="27" t="s">
        <v>2973</v>
      </c>
      <c r="I5390" s="27" t="s">
        <v>13</v>
      </c>
    </row>
    <row r="5391" spans="1:9" x14ac:dyDescent="0.3">
      <c r="A5391" s="26">
        <v>45214</v>
      </c>
      <c r="B5391" s="27" t="s">
        <v>124</v>
      </c>
      <c r="C5391" s="27" t="s">
        <v>15</v>
      </c>
      <c r="D5391" s="27" t="s">
        <v>21</v>
      </c>
      <c r="E5391" s="28">
        <v>71324</v>
      </c>
      <c r="F5391" s="28">
        <v>63500</v>
      </c>
      <c r="G5391" s="27" t="s">
        <v>11</v>
      </c>
      <c r="H5391" s="27" t="s">
        <v>3100</v>
      </c>
      <c r="I5391" s="27" t="s">
        <v>13</v>
      </c>
    </row>
    <row r="5392" spans="1:9" x14ac:dyDescent="0.3">
      <c r="A5392" s="26">
        <v>45214</v>
      </c>
      <c r="B5392" s="27" t="s">
        <v>124</v>
      </c>
      <c r="C5392" s="27" t="s">
        <v>20</v>
      </c>
      <c r="D5392" s="27" t="s">
        <v>19</v>
      </c>
      <c r="E5392" s="28">
        <v>99968</v>
      </c>
      <c r="F5392" s="28">
        <v>42936</v>
      </c>
      <c r="G5392" s="27" t="s">
        <v>8</v>
      </c>
      <c r="H5392" s="27" t="s">
        <v>3189</v>
      </c>
      <c r="I5392" s="27" t="s">
        <v>13</v>
      </c>
    </row>
    <row r="5393" spans="1:9" x14ac:dyDescent="0.3">
      <c r="A5393" s="26">
        <v>45214</v>
      </c>
      <c r="B5393" s="27" t="s">
        <v>124</v>
      </c>
      <c r="C5393" s="27" t="s">
        <v>93</v>
      </c>
      <c r="D5393" s="27" t="s">
        <v>7</v>
      </c>
      <c r="E5393" s="28">
        <v>125000</v>
      </c>
      <c r="F5393" s="28">
        <v>118600</v>
      </c>
      <c r="G5393" s="27" t="s">
        <v>11</v>
      </c>
      <c r="H5393" s="27" t="s">
        <v>3468</v>
      </c>
      <c r="I5393" s="27" t="s">
        <v>9</v>
      </c>
    </row>
    <row r="5394" spans="1:9" x14ac:dyDescent="0.3">
      <c r="A5394" s="26">
        <v>45214</v>
      </c>
      <c r="B5394" s="27" t="s">
        <v>124</v>
      </c>
      <c r="C5394" s="27" t="s">
        <v>6</v>
      </c>
      <c r="D5394" s="27" t="s">
        <v>19</v>
      </c>
      <c r="E5394" s="28">
        <v>147600</v>
      </c>
      <c r="F5394" s="28">
        <v>149800</v>
      </c>
      <c r="G5394" s="27" t="s">
        <v>22</v>
      </c>
      <c r="H5394" s="27" t="s">
        <v>4359</v>
      </c>
      <c r="I5394" s="27" t="s">
        <v>9</v>
      </c>
    </row>
    <row r="5395" spans="1:9" x14ac:dyDescent="0.3">
      <c r="A5395" s="26">
        <v>45214</v>
      </c>
      <c r="B5395" s="27" t="s">
        <v>124</v>
      </c>
      <c r="C5395" s="27" t="s">
        <v>6</v>
      </c>
      <c r="D5395" s="27" t="s">
        <v>7</v>
      </c>
      <c r="E5395" s="28">
        <v>106100</v>
      </c>
      <c r="F5395" s="28">
        <v>137400</v>
      </c>
      <c r="G5395" s="27" t="s">
        <v>17</v>
      </c>
      <c r="H5395" s="27" t="s">
        <v>4406</v>
      </c>
      <c r="I5395" s="27" t="s">
        <v>9</v>
      </c>
    </row>
    <row r="5396" spans="1:9" x14ac:dyDescent="0.3">
      <c r="A5396" s="26">
        <v>45214</v>
      </c>
      <c r="B5396" s="27" t="s">
        <v>124</v>
      </c>
      <c r="C5396" s="27" t="s">
        <v>6</v>
      </c>
      <c r="D5396" s="27" t="s">
        <v>24</v>
      </c>
      <c r="E5396" s="28">
        <v>108400</v>
      </c>
      <c r="F5396" s="28">
        <v>90300</v>
      </c>
      <c r="G5396" s="27" t="s">
        <v>22</v>
      </c>
      <c r="H5396" s="27" t="s">
        <v>5425</v>
      </c>
      <c r="I5396" s="27" t="s">
        <v>9</v>
      </c>
    </row>
    <row r="5397" spans="1:9" x14ac:dyDescent="0.3">
      <c r="A5397" s="26">
        <v>45214</v>
      </c>
      <c r="B5397" s="27" t="s">
        <v>124</v>
      </c>
      <c r="C5397" s="27" t="s">
        <v>6</v>
      </c>
      <c r="D5397" s="27" t="s">
        <v>21</v>
      </c>
      <c r="E5397" s="28">
        <v>217700</v>
      </c>
      <c r="F5397" s="28">
        <v>257400</v>
      </c>
      <c r="G5397" s="27" t="s">
        <v>11</v>
      </c>
      <c r="H5397" s="27" t="s">
        <v>5622</v>
      </c>
      <c r="I5397" s="27" t="s">
        <v>9</v>
      </c>
    </row>
    <row r="5398" spans="1:9" x14ac:dyDescent="0.3">
      <c r="A5398" s="26">
        <v>45214</v>
      </c>
      <c r="B5398" s="27" t="s">
        <v>124</v>
      </c>
      <c r="C5398" s="27" t="s">
        <v>6</v>
      </c>
      <c r="D5398" s="27" t="s">
        <v>21</v>
      </c>
      <c r="E5398" s="28">
        <v>150400</v>
      </c>
      <c r="F5398" s="28">
        <v>149700</v>
      </c>
      <c r="G5398" s="27" t="s">
        <v>22</v>
      </c>
      <c r="H5398" s="27" t="s">
        <v>6354</v>
      </c>
      <c r="I5398" s="27" t="s">
        <v>9</v>
      </c>
    </row>
    <row r="5399" spans="1:9" x14ac:dyDescent="0.3">
      <c r="A5399" s="26">
        <v>45214</v>
      </c>
      <c r="B5399" s="27" t="s">
        <v>124</v>
      </c>
      <c r="C5399" s="27" t="s">
        <v>93</v>
      </c>
      <c r="D5399" s="27" t="s">
        <v>24</v>
      </c>
      <c r="E5399" s="28">
        <v>93100</v>
      </c>
      <c r="F5399" s="28">
        <v>61100</v>
      </c>
      <c r="G5399" s="27" t="s">
        <v>11</v>
      </c>
      <c r="H5399" s="27" t="s">
        <v>6358</v>
      </c>
      <c r="I5399" s="27" t="s">
        <v>9</v>
      </c>
    </row>
    <row r="5400" spans="1:9" x14ac:dyDescent="0.3">
      <c r="A5400" s="26">
        <v>45214</v>
      </c>
      <c r="B5400" s="27" t="s">
        <v>124</v>
      </c>
      <c r="C5400" s="27" t="s">
        <v>6</v>
      </c>
      <c r="D5400" s="27" t="s">
        <v>21</v>
      </c>
      <c r="E5400" s="28">
        <v>296100</v>
      </c>
      <c r="F5400" s="28">
        <v>268800</v>
      </c>
      <c r="G5400" s="27" t="s">
        <v>22</v>
      </c>
      <c r="H5400" s="27" t="s">
        <v>6485</v>
      </c>
      <c r="I5400" s="27" t="s">
        <v>9</v>
      </c>
    </row>
    <row r="5401" spans="1:9" x14ac:dyDescent="0.3">
      <c r="A5401" s="26">
        <v>45214</v>
      </c>
      <c r="B5401" s="27" t="s">
        <v>124</v>
      </c>
      <c r="C5401" s="27" t="s">
        <v>93</v>
      </c>
      <c r="D5401" s="27" t="s">
        <v>19</v>
      </c>
      <c r="E5401" s="28">
        <v>125800</v>
      </c>
      <c r="F5401" s="28">
        <v>142600</v>
      </c>
      <c r="G5401" s="27" t="s">
        <v>11</v>
      </c>
      <c r="H5401" s="27" t="s">
        <v>6574</v>
      </c>
      <c r="I5401" s="27" t="s">
        <v>9</v>
      </c>
    </row>
    <row r="5402" spans="1:9" x14ac:dyDescent="0.3">
      <c r="A5402" s="26">
        <v>45215</v>
      </c>
      <c r="B5402" s="27" t="s">
        <v>124</v>
      </c>
      <c r="C5402" s="27" t="s">
        <v>10</v>
      </c>
      <c r="D5402" s="27" t="s">
        <v>24</v>
      </c>
      <c r="E5402" s="28">
        <v>126801</v>
      </c>
      <c r="F5402" s="28">
        <v>95878</v>
      </c>
      <c r="G5402" s="27" t="s">
        <v>8</v>
      </c>
      <c r="H5402" s="27" t="s">
        <v>1156</v>
      </c>
      <c r="I5402" s="27" t="s">
        <v>13</v>
      </c>
    </row>
    <row r="5403" spans="1:9" x14ac:dyDescent="0.3">
      <c r="A5403" s="26">
        <v>45215</v>
      </c>
      <c r="B5403" s="27" t="s">
        <v>124</v>
      </c>
      <c r="C5403" s="27" t="s">
        <v>15</v>
      </c>
      <c r="D5403" s="27" t="s">
        <v>21</v>
      </c>
      <c r="E5403" s="28">
        <v>129057</v>
      </c>
      <c r="F5403" s="28">
        <v>76605</v>
      </c>
      <c r="G5403" s="27" t="s">
        <v>22</v>
      </c>
      <c r="H5403" s="27" t="s">
        <v>1513</v>
      </c>
      <c r="I5403" s="27" t="s">
        <v>13</v>
      </c>
    </row>
    <row r="5404" spans="1:9" x14ac:dyDescent="0.3">
      <c r="A5404" s="26">
        <v>45215</v>
      </c>
      <c r="B5404" s="27" t="s">
        <v>124</v>
      </c>
      <c r="C5404" s="27" t="s">
        <v>14</v>
      </c>
      <c r="D5404" s="27" t="s">
        <v>16</v>
      </c>
      <c r="E5404" s="28">
        <v>31577</v>
      </c>
      <c r="F5404" s="28">
        <v>109270</v>
      </c>
      <c r="G5404" s="27" t="s">
        <v>22</v>
      </c>
      <c r="H5404" s="27" t="s">
        <v>1814</v>
      </c>
      <c r="I5404" s="27" t="s">
        <v>13</v>
      </c>
    </row>
    <row r="5405" spans="1:9" x14ac:dyDescent="0.3">
      <c r="A5405" s="26">
        <v>45215</v>
      </c>
      <c r="B5405" s="27" t="s">
        <v>124</v>
      </c>
      <c r="C5405" s="27" t="s">
        <v>20</v>
      </c>
      <c r="D5405" s="27" t="s">
        <v>24</v>
      </c>
      <c r="E5405" s="28">
        <v>103353</v>
      </c>
      <c r="F5405" s="28">
        <v>147639</v>
      </c>
      <c r="G5405" s="27" t="s">
        <v>8</v>
      </c>
      <c r="H5405" s="27" t="s">
        <v>2350</v>
      </c>
      <c r="I5405" s="27" t="s">
        <v>13</v>
      </c>
    </row>
    <row r="5406" spans="1:9" x14ac:dyDescent="0.3">
      <c r="A5406" s="26">
        <v>45215</v>
      </c>
      <c r="B5406" s="27" t="s">
        <v>124</v>
      </c>
      <c r="C5406" s="27" t="s">
        <v>15</v>
      </c>
      <c r="D5406" s="27" t="s">
        <v>24</v>
      </c>
      <c r="E5406" s="28">
        <v>60851</v>
      </c>
      <c r="F5406" s="28">
        <v>68855</v>
      </c>
      <c r="G5406" s="27" t="s">
        <v>22</v>
      </c>
      <c r="H5406" s="27" t="s">
        <v>2352</v>
      </c>
      <c r="I5406" s="27" t="s">
        <v>13</v>
      </c>
    </row>
    <row r="5407" spans="1:9" x14ac:dyDescent="0.3">
      <c r="A5407" s="26">
        <v>45215</v>
      </c>
      <c r="B5407" s="27" t="s">
        <v>124</v>
      </c>
      <c r="C5407" s="27" t="s">
        <v>15</v>
      </c>
      <c r="D5407" s="27" t="s">
        <v>16</v>
      </c>
      <c r="E5407" s="28">
        <v>56474</v>
      </c>
      <c r="F5407" s="28">
        <v>97988</v>
      </c>
      <c r="G5407" s="27" t="s">
        <v>11</v>
      </c>
      <c r="H5407" s="27" t="s">
        <v>2384</v>
      </c>
      <c r="I5407" s="27" t="s">
        <v>13</v>
      </c>
    </row>
    <row r="5408" spans="1:9" x14ac:dyDescent="0.3">
      <c r="A5408" s="26">
        <v>45215</v>
      </c>
      <c r="B5408" s="27" t="s">
        <v>124</v>
      </c>
      <c r="C5408" s="27" t="s">
        <v>32</v>
      </c>
      <c r="D5408" s="27" t="s">
        <v>19</v>
      </c>
      <c r="E5408" s="28">
        <v>16944</v>
      </c>
      <c r="F5408" s="28">
        <v>124609</v>
      </c>
      <c r="G5408" s="27" t="s">
        <v>8</v>
      </c>
      <c r="H5408" s="27" t="s">
        <v>3071</v>
      </c>
      <c r="I5408" s="27" t="s">
        <v>13</v>
      </c>
    </row>
    <row r="5409" spans="1:9" x14ac:dyDescent="0.3">
      <c r="A5409" s="26">
        <v>45215</v>
      </c>
      <c r="B5409" s="27" t="s">
        <v>124</v>
      </c>
      <c r="C5409" s="27" t="s">
        <v>14</v>
      </c>
      <c r="D5409" s="27" t="s">
        <v>7</v>
      </c>
      <c r="E5409" s="28">
        <v>122359</v>
      </c>
      <c r="F5409" s="28">
        <v>162474</v>
      </c>
      <c r="G5409" s="27" t="s">
        <v>22</v>
      </c>
      <c r="H5409" s="27" t="s">
        <v>3169</v>
      </c>
      <c r="I5409" s="27" t="s">
        <v>13</v>
      </c>
    </row>
    <row r="5410" spans="1:9" x14ac:dyDescent="0.3">
      <c r="A5410" s="26">
        <v>45215</v>
      </c>
      <c r="B5410" s="27" t="s">
        <v>124</v>
      </c>
      <c r="C5410" s="27" t="s">
        <v>18</v>
      </c>
      <c r="D5410" s="27" t="s">
        <v>19</v>
      </c>
      <c r="E5410" s="28">
        <v>39396</v>
      </c>
      <c r="F5410" s="28">
        <v>39636</v>
      </c>
      <c r="G5410" s="27" t="s">
        <v>11</v>
      </c>
      <c r="H5410" s="27" t="s">
        <v>3315</v>
      </c>
      <c r="I5410" s="27" t="s">
        <v>13</v>
      </c>
    </row>
    <row r="5411" spans="1:9" x14ac:dyDescent="0.3">
      <c r="A5411" s="26">
        <v>45215</v>
      </c>
      <c r="B5411" s="27" t="s">
        <v>124</v>
      </c>
      <c r="C5411" s="27" t="s">
        <v>6</v>
      </c>
      <c r="D5411" s="27" t="s">
        <v>24</v>
      </c>
      <c r="E5411" s="28">
        <v>90800</v>
      </c>
      <c r="F5411" s="28">
        <v>97200</v>
      </c>
      <c r="G5411" s="27" t="s">
        <v>11</v>
      </c>
      <c r="H5411" s="27" t="s">
        <v>4539</v>
      </c>
      <c r="I5411" s="27" t="s">
        <v>9</v>
      </c>
    </row>
    <row r="5412" spans="1:9" x14ac:dyDescent="0.3">
      <c r="A5412" s="26">
        <v>45215</v>
      </c>
      <c r="B5412" s="27" t="s">
        <v>124</v>
      </c>
      <c r="C5412" s="27" t="s">
        <v>6</v>
      </c>
      <c r="D5412" s="27" t="s">
        <v>21</v>
      </c>
      <c r="E5412" s="28">
        <v>88100</v>
      </c>
      <c r="F5412" s="28">
        <v>77100</v>
      </c>
      <c r="G5412" s="27" t="s">
        <v>11</v>
      </c>
      <c r="H5412" s="27" t="s">
        <v>4896</v>
      </c>
      <c r="I5412" s="27" t="s">
        <v>9</v>
      </c>
    </row>
    <row r="5413" spans="1:9" x14ac:dyDescent="0.3">
      <c r="A5413" s="26">
        <v>45215</v>
      </c>
      <c r="B5413" s="27" t="s">
        <v>124</v>
      </c>
      <c r="C5413" s="27" t="s">
        <v>93</v>
      </c>
      <c r="D5413" s="27" t="s">
        <v>16</v>
      </c>
      <c r="E5413" s="28">
        <v>90600</v>
      </c>
      <c r="F5413" s="28">
        <v>106800</v>
      </c>
      <c r="G5413" s="27" t="s">
        <v>11</v>
      </c>
      <c r="H5413" s="27" t="s">
        <v>5197</v>
      </c>
      <c r="I5413" s="27" t="s">
        <v>9</v>
      </c>
    </row>
    <row r="5414" spans="1:9" x14ac:dyDescent="0.3">
      <c r="A5414" s="26">
        <v>45215</v>
      </c>
      <c r="B5414" s="27" t="s">
        <v>124</v>
      </c>
      <c r="C5414" s="27" t="s">
        <v>93</v>
      </c>
      <c r="D5414" s="27" t="s">
        <v>24</v>
      </c>
      <c r="E5414" s="28">
        <v>227600</v>
      </c>
      <c r="F5414" s="28">
        <v>279200</v>
      </c>
      <c r="G5414" s="27" t="s">
        <v>11</v>
      </c>
      <c r="H5414" s="27" t="s">
        <v>5735</v>
      </c>
      <c r="I5414" s="27" t="s">
        <v>9</v>
      </c>
    </row>
    <row r="5415" spans="1:9" x14ac:dyDescent="0.3">
      <c r="A5415" s="26">
        <v>45215</v>
      </c>
      <c r="B5415" s="27" t="s">
        <v>124</v>
      </c>
      <c r="C5415" s="27" t="s">
        <v>6</v>
      </c>
      <c r="D5415" s="27" t="s">
        <v>24</v>
      </c>
      <c r="E5415" s="28">
        <v>175000</v>
      </c>
      <c r="F5415" s="28">
        <v>184500</v>
      </c>
      <c r="G5415" s="27" t="s">
        <v>17</v>
      </c>
      <c r="H5415" s="27" t="s">
        <v>5737</v>
      </c>
      <c r="I5415" s="27" t="s">
        <v>9</v>
      </c>
    </row>
    <row r="5416" spans="1:9" x14ac:dyDescent="0.3">
      <c r="A5416" s="26">
        <v>45215</v>
      </c>
      <c r="B5416" s="27" t="s">
        <v>124</v>
      </c>
      <c r="C5416" s="27" t="s">
        <v>6</v>
      </c>
      <c r="D5416" s="27" t="s">
        <v>16</v>
      </c>
      <c r="E5416" s="28">
        <v>202700</v>
      </c>
      <c r="F5416" s="28">
        <v>221700</v>
      </c>
      <c r="G5416" s="27" t="s">
        <v>11</v>
      </c>
      <c r="H5416" s="27" t="s">
        <v>5769</v>
      </c>
      <c r="I5416" s="27" t="s">
        <v>9</v>
      </c>
    </row>
    <row r="5417" spans="1:9" x14ac:dyDescent="0.3">
      <c r="A5417" s="26">
        <v>45215</v>
      </c>
      <c r="B5417" s="27" t="s">
        <v>124</v>
      </c>
      <c r="C5417" s="27" t="s">
        <v>6</v>
      </c>
      <c r="D5417" s="27" t="s">
        <v>19</v>
      </c>
      <c r="E5417" s="28">
        <v>170300</v>
      </c>
      <c r="F5417" s="28">
        <v>189200</v>
      </c>
      <c r="G5417" s="27" t="s">
        <v>22</v>
      </c>
      <c r="H5417" s="27" t="s">
        <v>6456</v>
      </c>
      <c r="I5417" s="27" t="s">
        <v>9</v>
      </c>
    </row>
    <row r="5418" spans="1:9" x14ac:dyDescent="0.3">
      <c r="A5418" s="26">
        <v>45215</v>
      </c>
      <c r="B5418" s="27" t="s">
        <v>124</v>
      </c>
      <c r="C5418" s="27" t="s">
        <v>93</v>
      </c>
      <c r="D5418" s="27" t="s">
        <v>7</v>
      </c>
      <c r="E5418" s="28">
        <v>161600</v>
      </c>
      <c r="F5418" s="28">
        <v>189700</v>
      </c>
      <c r="G5418" s="27" t="s">
        <v>22</v>
      </c>
      <c r="H5418" s="27" t="s">
        <v>6554</v>
      </c>
      <c r="I5418" s="27" t="s">
        <v>9</v>
      </c>
    </row>
    <row r="5419" spans="1:9" x14ac:dyDescent="0.3">
      <c r="A5419" s="26">
        <v>45215</v>
      </c>
      <c r="B5419" s="27" t="s">
        <v>124</v>
      </c>
      <c r="C5419" s="27" t="s">
        <v>93</v>
      </c>
      <c r="D5419" s="27" t="s">
        <v>19</v>
      </c>
      <c r="E5419" s="28">
        <v>69400</v>
      </c>
      <c r="F5419" s="28">
        <v>61900</v>
      </c>
      <c r="G5419" s="27" t="s">
        <v>11</v>
      </c>
      <c r="H5419" s="27" t="s">
        <v>6700</v>
      </c>
      <c r="I5419" s="27" t="s">
        <v>9</v>
      </c>
    </row>
    <row r="5420" spans="1:9" x14ac:dyDescent="0.3">
      <c r="A5420" s="26">
        <v>45216</v>
      </c>
      <c r="B5420" s="27" t="s">
        <v>124</v>
      </c>
      <c r="C5420" s="27" t="s">
        <v>15</v>
      </c>
      <c r="D5420" s="27" t="s">
        <v>21</v>
      </c>
      <c r="E5420" s="28">
        <v>107260</v>
      </c>
      <c r="F5420" s="28">
        <v>124167</v>
      </c>
      <c r="G5420" s="27" t="s">
        <v>22</v>
      </c>
      <c r="H5420" s="27" t="s">
        <v>142</v>
      </c>
      <c r="I5420" s="27" t="s">
        <v>13</v>
      </c>
    </row>
    <row r="5421" spans="1:9" x14ac:dyDescent="0.3">
      <c r="A5421" s="26">
        <v>45216</v>
      </c>
      <c r="B5421" s="27" t="s">
        <v>124</v>
      </c>
      <c r="C5421" s="27" t="s">
        <v>32</v>
      </c>
      <c r="D5421" s="27" t="s">
        <v>7</v>
      </c>
      <c r="E5421" s="28">
        <v>16463</v>
      </c>
      <c r="F5421" s="28">
        <v>162830</v>
      </c>
      <c r="G5421" s="27" t="s">
        <v>22</v>
      </c>
      <c r="H5421" s="27" t="s">
        <v>290</v>
      </c>
      <c r="I5421" s="27" t="s">
        <v>13</v>
      </c>
    </row>
    <row r="5422" spans="1:9" x14ac:dyDescent="0.3">
      <c r="A5422" s="26">
        <v>45216</v>
      </c>
      <c r="B5422" s="27" t="s">
        <v>124</v>
      </c>
      <c r="C5422" s="27" t="s">
        <v>10</v>
      </c>
      <c r="D5422" s="27" t="s">
        <v>19</v>
      </c>
      <c r="E5422" s="28">
        <v>112821</v>
      </c>
      <c r="F5422" s="28">
        <v>124160</v>
      </c>
      <c r="G5422" s="27" t="s">
        <v>11</v>
      </c>
      <c r="H5422" s="27" t="s">
        <v>435</v>
      </c>
      <c r="I5422" s="27" t="s">
        <v>13</v>
      </c>
    </row>
    <row r="5423" spans="1:9" x14ac:dyDescent="0.3">
      <c r="A5423" s="26">
        <v>45216</v>
      </c>
      <c r="B5423" s="27" t="s">
        <v>124</v>
      </c>
      <c r="C5423" s="27" t="s">
        <v>32</v>
      </c>
      <c r="D5423" s="27" t="s">
        <v>21</v>
      </c>
      <c r="E5423" s="28">
        <v>38940</v>
      </c>
      <c r="F5423" s="28">
        <v>62596</v>
      </c>
      <c r="G5423" s="27" t="s">
        <v>8</v>
      </c>
      <c r="H5423" s="27" t="s">
        <v>804</v>
      </c>
      <c r="I5423" s="27" t="s">
        <v>13</v>
      </c>
    </row>
    <row r="5424" spans="1:9" x14ac:dyDescent="0.3">
      <c r="A5424" s="26">
        <v>45216</v>
      </c>
      <c r="B5424" s="27" t="s">
        <v>124</v>
      </c>
      <c r="C5424" s="27" t="s">
        <v>14</v>
      </c>
      <c r="D5424" s="27" t="s">
        <v>21</v>
      </c>
      <c r="E5424" s="28">
        <v>107347</v>
      </c>
      <c r="F5424" s="28">
        <v>126893</v>
      </c>
      <c r="G5424" s="27" t="s">
        <v>22</v>
      </c>
      <c r="H5424" s="27" t="s">
        <v>1224</v>
      </c>
      <c r="I5424" s="27" t="s">
        <v>13</v>
      </c>
    </row>
    <row r="5425" spans="1:9" x14ac:dyDescent="0.3">
      <c r="A5425" s="26">
        <v>45216</v>
      </c>
      <c r="B5425" s="27" t="s">
        <v>124</v>
      </c>
      <c r="C5425" s="27" t="s">
        <v>10</v>
      </c>
      <c r="D5425" s="27" t="s">
        <v>7</v>
      </c>
      <c r="E5425" s="28">
        <v>104380</v>
      </c>
      <c r="F5425" s="28">
        <v>17552</v>
      </c>
      <c r="G5425" s="27" t="s">
        <v>22</v>
      </c>
      <c r="H5425" s="27" t="s">
        <v>1665</v>
      </c>
      <c r="I5425" s="27" t="s">
        <v>13</v>
      </c>
    </row>
    <row r="5426" spans="1:9" x14ac:dyDescent="0.3">
      <c r="A5426" s="26">
        <v>45216</v>
      </c>
      <c r="B5426" s="27" t="s">
        <v>124</v>
      </c>
      <c r="C5426" s="27" t="s">
        <v>14</v>
      </c>
      <c r="D5426" s="27" t="s">
        <v>19</v>
      </c>
      <c r="E5426" s="28">
        <v>24720</v>
      </c>
      <c r="F5426" s="28">
        <v>83466</v>
      </c>
      <c r="G5426" s="27" t="s">
        <v>17</v>
      </c>
      <c r="H5426" s="27" t="s">
        <v>2594</v>
      </c>
      <c r="I5426" s="27" t="s">
        <v>13</v>
      </c>
    </row>
    <row r="5427" spans="1:9" x14ac:dyDescent="0.3">
      <c r="A5427" s="26">
        <v>45216</v>
      </c>
      <c r="B5427" s="27" t="s">
        <v>124</v>
      </c>
      <c r="C5427" s="27" t="s">
        <v>14</v>
      </c>
      <c r="D5427" s="27" t="s">
        <v>24</v>
      </c>
      <c r="E5427" s="28">
        <v>17596</v>
      </c>
      <c r="F5427" s="28">
        <v>161892</v>
      </c>
      <c r="G5427" s="27" t="s">
        <v>8</v>
      </c>
      <c r="H5427" s="27" t="s">
        <v>2908</v>
      </c>
      <c r="I5427" s="27" t="s">
        <v>13</v>
      </c>
    </row>
    <row r="5428" spans="1:9" x14ac:dyDescent="0.3">
      <c r="A5428" s="26">
        <v>45216</v>
      </c>
      <c r="B5428" s="27" t="s">
        <v>124</v>
      </c>
      <c r="C5428" s="27" t="s">
        <v>32</v>
      </c>
      <c r="D5428" s="27" t="s">
        <v>21</v>
      </c>
      <c r="E5428" s="28">
        <v>120389</v>
      </c>
      <c r="F5428" s="28">
        <v>9791</v>
      </c>
      <c r="G5428" s="27" t="s">
        <v>8</v>
      </c>
      <c r="H5428" s="27" t="s">
        <v>2976</v>
      </c>
      <c r="I5428" s="27" t="s">
        <v>13</v>
      </c>
    </row>
    <row r="5429" spans="1:9" x14ac:dyDescent="0.3">
      <c r="A5429" s="26">
        <v>45216</v>
      </c>
      <c r="B5429" s="27" t="s">
        <v>124</v>
      </c>
      <c r="C5429" s="27" t="s">
        <v>15</v>
      </c>
      <c r="D5429" s="27" t="s">
        <v>24</v>
      </c>
      <c r="E5429" s="28">
        <v>17484</v>
      </c>
      <c r="F5429" s="28">
        <v>18810</v>
      </c>
      <c r="G5429" s="27" t="s">
        <v>8</v>
      </c>
      <c r="H5429" s="27" t="s">
        <v>3103</v>
      </c>
      <c r="I5429" s="27" t="s">
        <v>13</v>
      </c>
    </row>
    <row r="5430" spans="1:9" x14ac:dyDescent="0.3">
      <c r="A5430" s="26">
        <v>45216</v>
      </c>
      <c r="B5430" s="27" t="s">
        <v>124</v>
      </c>
      <c r="C5430" s="27" t="s">
        <v>6</v>
      </c>
      <c r="D5430" s="27" t="s">
        <v>21</v>
      </c>
      <c r="E5430" s="28">
        <v>68500</v>
      </c>
      <c r="F5430" s="28">
        <v>53900</v>
      </c>
      <c r="G5430" s="27" t="s">
        <v>17</v>
      </c>
      <c r="H5430" s="27" t="s">
        <v>3523</v>
      </c>
      <c r="I5430" s="27" t="s">
        <v>9</v>
      </c>
    </row>
    <row r="5431" spans="1:9" x14ac:dyDescent="0.3">
      <c r="A5431" s="26">
        <v>45216</v>
      </c>
      <c r="B5431" s="27" t="s">
        <v>124</v>
      </c>
      <c r="C5431" s="27" t="s">
        <v>93</v>
      </c>
      <c r="D5431" s="27" t="s">
        <v>7</v>
      </c>
      <c r="E5431" s="28">
        <v>242300</v>
      </c>
      <c r="F5431" s="28">
        <v>187400</v>
      </c>
      <c r="G5431" s="27" t="s">
        <v>17</v>
      </c>
      <c r="H5431" s="27" t="s">
        <v>3671</v>
      </c>
      <c r="I5431" s="27" t="s">
        <v>9</v>
      </c>
    </row>
    <row r="5432" spans="1:9" x14ac:dyDescent="0.3">
      <c r="A5432" s="26">
        <v>45216</v>
      </c>
      <c r="B5432" s="27" t="s">
        <v>124</v>
      </c>
      <c r="C5432" s="27" t="s">
        <v>6</v>
      </c>
      <c r="D5432" s="27" t="s">
        <v>19</v>
      </c>
      <c r="E5432" s="28">
        <v>136200</v>
      </c>
      <c r="F5432" s="28">
        <v>127700</v>
      </c>
      <c r="G5432" s="27" t="s">
        <v>22</v>
      </c>
      <c r="H5432" s="27" t="s">
        <v>3816</v>
      </c>
      <c r="I5432" s="27" t="s">
        <v>9</v>
      </c>
    </row>
    <row r="5433" spans="1:9" x14ac:dyDescent="0.3">
      <c r="A5433" s="26">
        <v>45216</v>
      </c>
      <c r="B5433" s="27" t="s">
        <v>124</v>
      </c>
      <c r="C5433" s="27" t="s">
        <v>6</v>
      </c>
      <c r="D5433" s="27" t="s">
        <v>21</v>
      </c>
      <c r="E5433" s="28">
        <v>125100</v>
      </c>
      <c r="F5433" s="28">
        <v>134500</v>
      </c>
      <c r="G5433" s="27" t="s">
        <v>22</v>
      </c>
      <c r="H5433" s="27" t="s">
        <v>4185</v>
      </c>
      <c r="I5433" s="27" t="s">
        <v>9</v>
      </c>
    </row>
    <row r="5434" spans="1:9" x14ac:dyDescent="0.3">
      <c r="A5434" s="26">
        <v>45216</v>
      </c>
      <c r="B5434" s="27" t="s">
        <v>124</v>
      </c>
      <c r="C5434" s="27" t="s">
        <v>93</v>
      </c>
      <c r="D5434" s="27" t="s">
        <v>21</v>
      </c>
      <c r="E5434" s="28">
        <v>335800</v>
      </c>
      <c r="F5434" s="28">
        <v>265200</v>
      </c>
      <c r="G5434" s="27" t="s">
        <v>22</v>
      </c>
      <c r="H5434" s="27" t="s">
        <v>4607</v>
      </c>
      <c r="I5434" s="27" t="s">
        <v>9</v>
      </c>
    </row>
    <row r="5435" spans="1:9" x14ac:dyDescent="0.3">
      <c r="A5435" s="26">
        <v>45216</v>
      </c>
      <c r="B5435" s="27" t="s">
        <v>124</v>
      </c>
      <c r="C5435" s="27" t="s">
        <v>6</v>
      </c>
      <c r="D5435" s="27" t="s">
        <v>7</v>
      </c>
      <c r="E5435" s="28">
        <v>72500</v>
      </c>
      <c r="F5435" s="28">
        <v>58700</v>
      </c>
      <c r="G5435" s="27" t="s">
        <v>22</v>
      </c>
      <c r="H5435" s="27" t="s">
        <v>5048</v>
      </c>
      <c r="I5435" s="27" t="s">
        <v>9</v>
      </c>
    </row>
    <row r="5436" spans="1:9" x14ac:dyDescent="0.3">
      <c r="A5436" s="26">
        <v>45216</v>
      </c>
      <c r="B5436" s="27" t="s">
        <v>124</v>
      </c>
      <c r="C5436" s="27" t="s">
        <v>6</v>
      </c>
      <c r="D5436" s="27" t="s">
        <v>19</v>
      </c>
      <c r="E5436" s="28">
        <v>119000</v>
      </c>
      <c r="F5436" s="28">
        <v>112700</v>
      </c>
      <c r="G5436" s="27" t="s">
        <v>11</v>
      </c>
      <c r="H5436" s="27" t="s">
        <v>5979</v>
      </c>
      <c r="I5436" s="27" t="s">
        <v>9</v>
      </c>
    </row>
    <row r="5437" spans="1:9" x14ac:dyDescent="0.3">
      <c r="A5437" s="26">
        <v>45216</v>
      </c>
      <c r="B5437" s="27" t="s">
        <v>124</v>
      </c>
      <c r="C5437" s="27" t="s">
        <v>93</v>
      </c>
      <c r="D5437" s="27" t="s">
        <v>24</v>
      </c>
      <c r="E5437" s="28">
        <v>121300</v>
      </c>
      <c r="F5437" s="28">
        <v>119900</v>
      </c>
      <c r="G5437" s="27" t="s">
        <v>11</v>
      </c>
      <c r="H5437" s="27" t="s">
        <v>6293</v>
      </c>
      <c r="I5437" s="27" t="s">
        <v>9</v>
      </c>
    </row>
    <row r="5438" spans="1:9" x14ac:dyDescent="0.3">
      <c r="A5438" s="26">
        <v>45216</v>
      </c>
      <c r="B5438" s="27" t="s">
        <v>124</v>
      </c>
      <c r="C5438" s="27" t="s">
        <v>6</v>
      </c>
      <c r="D5438" s="27" t="s">
        <v>21</v>
      </c>
      <c r="E5438" s="28">
        <v>126800</v>
      </c>
      <c r="F5438" s="28">
        <v>127800</v>
      </c>
      <c r="G5438" s="27" t="s">
        <v>11</v>
      </c>
      <c r="H5438" s="27" t="s">
        <v>6361</v>
      </c>
      <c r="I5438" s="27" t="s">
        <v>9</v>
      </c>
    </row>
    <row r="5439" spans="1:9" x14ac:dyDescent="0.3">
      <c r="A5439" s="26">
        <v>45216</v>
      </c>
      <c r="B5439" s="27" t="s">
        <v>124</v>
      </c>
      <c r="C5439" s="27" t="s">
        <v>6</v>
      </c>
      <c r="D5439" s="27" t="s">
        <v>24</v>
      </c>
      <c r="E5439" s="28">
        <v>164200</v>
      </c>
      <c r="F5439" s="28">
        <v>149400</v>
      </c>
      <c r="G5439" s="27" t="s">
        <v>11</v>
      </c>
      <c r="H5439" s="27" t="s">
        <v>6488</v>
      </c>
      <c r="I5439" s="27" t="s">
        <v>9</v>
      </c>
    </row>
    <row r="5440" spans="1:9" x14ac:dyDescent="0.3">
      <c r="A5440" s="26">
        <v>45217</v>
      </c>
      <c r="B5440" s="27" t="s">
        <v>124</v>
      </c>
      <c r="C5440" s="27" t="s">
        <v>18</v>
      </c>
      <c r="D5440" s="27" t="s">
        <v>24</v>
      </c>
      <c r="E5440" s="28">
        <v>138077</v>
      </c>
      <c r="F5440" s="28">
        <v>143377</v>
      </c>
      <c r="G5440" s="27" t="s">
        <v>11</v>
      </c>
      <c r="H5440" s="27" t="s">
        <v>63</v>
      </c>
      <c r="I5440" s="27" t="s">
        <v>13</v>
      </c>
    </row>
    <row r="5441" spans="1:9" x14ac:dyDescent="0.3">
      <c r="A5441" s="26">
        <v>45217</v>
      </c>
      <c r="B5441" s="27" t="s">
        <v>124</v>
      </c>
      <c r="C5441" s="27" t="s">
        <v>32</v>
      </c>
      <c r="D5441" s="27" t="s">
        <v>21</v>
      </c>
      <c r="E5441" s="28">
        <v>17374</v>
      </c>
      <c r="F5441" s="28">
        <v>144830</v>
      </c>
      <c r="G5441" s="27" t="s">
        <v>22</v>
      </c>
      <c r="H5441" s="27" t="s">
        <v>207</v>
      </c>
      <c r="I5441" s="27" t="s">
        <v>13</v>
      </c>
    </row>
    <row r="5442" spans="1:9" x14ac:dyDescent="0.3">
      <c r="A5442" s="26">
        <v>45217</v>
      </c>
      <c r="B5442" s="27" t="s">
        <v>124</v>
      </c>
      <c r="C5442" s="27" t="s">
        <v>20</v>
      </c>
      <c r="D5442" s="27" t="s">
        <v>16</v>
      </c>
      <c r="E5442" s="28">
        <v>135429</v>
      </c>
      <c r="F5442" s="28">
        <v>139846</v>
      </c>
      <c r="G5442" s="27" t="s">
        <v>22</v>
      </c>
      <c r="H5442" s="27" t="s">
        <v>351</v>
      </c>
      <c r="I5442" s="27" t="s">
        <v>13</v>
      </c>
    </row>
    <row r="5443" spans="1:9" x14ac:dyDescent="0.3">
      <c r="A5443" s="26">
        <v>45217</v>
      </c>
      <c r="B5443" s="27" t="s">
        <v>124</v>
      </c>
      <c r="C5443" s="27" t="s">
        <v>15</v>
      </c>
      <c r="D5443" s="27" t="s">
        <v>21</v>
      </c>
      <c r="E5443" s="28">
        <v>17945</v>
      </c>
      <c r="F5443" s="28">
        <v>29345</v>
      </c>
      <c r="G5443" s="27" t="s">
        <v>17</v>
      </c>
      <c r="H5443" s="27" t="s">
        <v>1375</v>
      </c>
      <c r="I5443" s="27" t="s">
        <v>13</v>
      </c>
    </row>
    <row r="5444" spans="1:9" x14ac:dyDescent="0.3">
      <c r="A5444" s="26">
        <v>45217</v>
      </c>
      <c r="B5444" s="27" t="s">
        <v>124</v>
      </c>
      <c r="C5444" s="27" t="s">
        <v>10</v>
      </c>
      <c r="D5444" s="27" t="s">
        <v>7</v>
      </c>
      <c r="E5444" s="28">
        <v>23046</v>
      </c>
      <c r="F5444" s="28">
        <v>61374</v>
      </c>
      <c r="G5444" s="27" t="s">
        <v>17</v>
      </c>
      <c r="H5444" s="27" t="s">
        <v>1675</v>
      </c>
      <c r="I5444" s="27" t="s">
        <v>13</v>
      </c>
    </row>
    <row r="5445" spans="1:9" x14ac:dyDescent="0.3">
      <c r="A5445" s="26">
        <v>45217</v>
      </c>
      <c r="B5445" s="27" t="s">
        <v>124</v>
      </c>
      <c r="C5445" s="27" t="s">
        <v>15</v>
      </c>
      <c r="D5445" s="27" t="s">
        <v>16</v>
      </c>
      <c r="E5445" s="28">
        <v>34809</v>
      </c>
      <c r="F5445" s="28">
        <v>89353</v>
      </c>
      <c r="G5445" s="27" t="s">
        <v>22</v>
      </c>
      <c r="H5445" s="27" t="s">
        <v>1888</v>
      </c>
      <c r="I5445" s="27" t="s">
        <v>13</v>
      </c>
    </row>
    <row r="5446" spans="1:9" x14ac:dyDescent="0.3">
      <c r="A5446" s="26">
        <v>45217</v>
      </c>
      <c r="B5446" s="27" t="s">
        <v>124</v>
      </c>
      <c r="C5446" s="27" t="s">
        <v>20</v>
      </c>
      <c r="D5446" s="27" t="s">
        <v>19</v>
      </c>
      <c r="E5446" s="28">
        <v>78901</v>
      </c>
      <c r="F5446" s="28">
        <v>110345</v>
      </c>
      <c r="G5446" s="27" t="s">
        <v>11</v>
      </c>
      <c r="H5446" s="27" t="s">
        <v>2405</v>
      </c>
      <c r="I5446" s="27" t="s">
        <v>13</v>
      </c>
    </row>
    <row r="5447" spans="1:9" x14ac:dyDescent="0.3">
      <c r="A5447" s="26">
        <v>45217</v>
      </c>
      <c r="B5447" s="27" t="s">
        <v>124</v>
      </c>
      <c r="C5447" s="27" t="s">
        <v>15</v>
      </c>
      <c r="D5447" s="27" t="s">
        <v>19</v>
      </c>
      <c r="E5447" s="28">
        <v>113994</v>
      </c>
      <c r="F5447" s="28">
        <v>73366</v>
      </c>
      <c r="G5447" s="27" t="s">
        <v>11</v>
      </c>
      <c r="H5447" s="27" t="s">
        <v>2847</v>
      </c>
      <c r="I5447" s="27" t="s">
        <v>13</v>
      </c>
    </row>
    <row r="5448" spans="1:9" x14ac:dyDescent="0.3">
      <c r="A5448" s="26">
        <v>45217</v>
      </c>
      <c r="B5448" s="27" t="s">
        <v>124</v>
      </c>
      <c r="C5448" s="27" t="s">
        <v>15</v>
      </c>
      <c r="D5448" s="27" t="s">
        <v>24</v>
      </c>
      <c r="E5448" s="28">
        <v>57036</v>
      </c>
      <c r="F5448" s="28">
        <v>154659</v>
      </c>
      <c r="G5448" s="27" t="s">
        <v>11</v>
      </c>
      <c r="H5448" s="27" t="s">
        <v>2986</v>
      </c>
      <c r="I5448" s="27" t="s">
        <v>13</v>
      </c>
    </row>
    <row r="5449" spans="1:9" x14ac:dyDescent="0.3">
      <c r="A5449" s="26">
        <v>45217</v>
      </c>
      <c r="B5449" s="27" t="s">
        <v>124</v>
      </c>
      <c r="C5449" s="27" t="s">
        <v>93</v>
      </c>
      <c r="D5449" s="27" t="s">
        <v>24</v>
      </c>
      <c r="E5449" s="28">
        <v>72600</v>
      </c>
      <c r="F5449" s="28">
        <v>93000</v>
      </c>
      <c r="G5449" s="27" t="s">
        <v>17</v>
      </c>
      <c r="H5449" s="27" t="s">
        <v>3484</v>
      </c>
      <c r="I5449" s="27" t="s">
        <v>9</v>
      </c>
    </row>
    <row r="5450" spans="1:9" x14ac:dyDescent="0.3">
      <c r="A5450" s="26">
        <v>45217</v>
      </c>
      <c r="B5450" s="27" t="s">
        <v>124</v>
      </c>
      <c r="C5450" s="27" t="s">
        <v>6</v>
      </c>
      <c r="D5450" s="27" t="s">
        <v>21</v>
      </c>
      <c r="E5450" s="28">
        <v>69200</v>
      </c>
      <c r="F5450" s="28">
        <v>65000</v>
      </c>
      <c r="G5450" s="27" t="s">
        <v>17</v>
      </c>
      <c r="H5450" s="27" t="s">
        <v>3588</v>
      </c>
      <c r="I5450" s="27" t="s">
        <v>9</v>
      </c>
    </row>
    <row r="5451" spans="1:9" x14ac:dyDescent="0.3">
      <c r="A5451" s="26">
        <v>45217</v>
      </c>
      <c r="B5451" s="27" t="s">
        <v>124</v>
      </c>
      <c r="C5451" s="27" t="s">
        <v>6</v>
      </c>
      <c r="D5451" s="27" t="s">
        <v>16</v>
      </c>
      <c r="E5451" s="28">
        <v>203400</v>
      </c>
      <c r="F5451" s="28">
        <v>197800</v>
      </c>
      <c r="G5451" s="27" t="s">
        <v>22</v>
      </c>
      <c r="H5451" s="27" t="s">
        <v>3732</v>
      </c>
      <c r="I5451" s="27" t="s">
        <v>9</v>
      </c>
    </row>
    <row r="5452" spans="1:9" x14ac:dyDescent="0.3">
      <c r="A5452" s="26">
        <v>45217</v>
      </c>
      <c r="B5452" s="27" t="s">
        <v>124</v>
      </c>
      <c r="C5452" s="27" t="s">
        <v>93</v>
      </c>
      <c r="D5452" s="27" t="s">
        <v>21</v>
      </c>
      <c r="E5452" s="28">
        <v>82900</v>
      </c>
      <c r="F5452" s="28">
        <v>84100</v>
      </c>
      <c r="G5452" s="27" t="s">
        <v>11</v>
      </c>
      <c r="H5452" s="27" t="s">
        <v>4758</v>
      </c>
      <c r="I5452" s="27" t="s">
        <v>9</v>
      </c>
    </row>
    <row r="5453" spans="1:9" x14ac:dyDescent="0.3">
      <c r="A5453" s="26">
        <v>45217</v>
      </c>
      <c r="B5453" s="27" t="s">
        <v>124</v>
      </c>
      <c r="C5453" s="27" t="s">
        <v>6</v>
      </c>
      <c r="D5453" s="27" t="s">
        <v>7</v>
      </c>
      <c r="E5453" s="28">
        <v>65100</v>
      </c>
      <c r="F5453" s="28">
        <v>68500</v>
      </c>
      <c r="G5453" s="27" t="s">
        <v>11</v>
      </c>
      <c r="H5453" s="27" t="s">
        <v>5058</v>
      </c>
      <c r="I5453" s="27" t="s">
        <v>9</v>
      </c>
    </row>
    <row r="5454" spans="1:9" x14ac:dyDescent="0.3">
      <c r="A5454" s="26">
        <v>45217</v>
      </c>
      <c r="B5454" s="27" t="s">
        <v>124</v>
      </c>
      <c r="C5454" s="27" t="s">
        <v>6</v>
      </c>
      <c r="D5454" s="27" t="s">
        <v>16</v>
      </c>
      <c r="E5454" s="28">
        <v>201600</v>
      </c>
      <c r="F5454" s="28">
        <v>235800</v>
      </c>
      <c r="G5454" s="27" t="s">
        <v>11</v>
      </c>
      <c r="H5454" s="27" t="s">
        <v>5272</v>
      </c>
      <c r="I5454" s="27" t="s">
        <v>9</v>
      </c>
    </row>
    <row r="5455" spans="1:9" x14ac:dyDescent="0.3">
      <c r="A5455" s="26">
        <v>45217</v>
      </c>
      <c r="B5455" s="27" t="s">
        <v>124</v>
      </c>
      <c r="C5455" s="27" t="s">
        <v>93</v>
      </c>
      <c r="D5455" s="27" t="s">
        <v>19</v>
      </c>
      <c r="E5455" s="28">
        <v>67000</v>
      </c>
      <c r="F5455" s="28">
        <v>74400</v>
      </c>
      <c r="G5455" s="27" t="s">
        <v>22</v>
      </c>
      <c r="H5455" s="27" t="s">
        <v>5790</v>
      </c>
      <c r="I5455" s="27" t="s">
        <v>9</v>
      </c>
    </row>
    <row r="5456" spans="1:9" x14ac:dyDescent="0.3">
      <c r="A5456" s="26">
        <v>45217</v>
      </c>
      <c r="B5456" s="27" t="s">
        <v>124</v>
      </c>
      <c r="C5456" s="27" t="s">
        <v>93</v>
      </c>
      <c r="D5456" s="27" t="s">
        <v>19</v>
      </c>
      <c r="E5456" s="28">
        <v>166700</v>
      </c>
      <c r="F5456" s="28">
        <v>158100</v>
      </c>
      <c r="G5456" s="27" t="s">
        <v>22</v>
      </c>
      <c r="H5456" s="27" t="s">
        <v>6232</v>
      </c>
      <c r="I5456" s="27" t="s">
        <v>9</v>
      </c>
    </row>
    <row r="5457" spans="1:9" x14ac:dyDescent="0.3">
      <c r="A5457" s="26">
        <v>45217</v>
      </c>
      <c r="B5457" s="27" t="s">
        <v>124</v>
      </c>
      <c r="C5457" s="27" t="s">
        <v>6</v>
      </c>
      <c r="D5457" s="27" t="s">
        <v>24</v>
      </c>
      <c r="E5457" s="28">
        <v>83400</v>
      </c>
      <c r="F5457" s="28">
        <v>102200</v>
      </c>
      <c r="G5457" s="27" t="s">
        <v>11</v>
      </c>
      <c r="H5457" s="27" t="s">
        <v>6371</v>
      </c>
      <c r="I5457" s="27" t="s">
        <v>9</v>
      </c>
    </row>
    <row r="5458" spans="1:9" x14ac:dyDescent="0.3">
      <c r="A5458" s="26">
        <v>45218</v>
      </c>
      <c r="B5458" s="27" t="s">
        <v>124</v>
      </c>
      <c r="C5458" s="27" t="s">
        <v>20</v>
      </c>
      <c r="D5458" s="27" t="s">
        <v>24</v>
      </c>
      <c r="E5458" s="28">
        <v>136531</v>
      </c>
      <c r="F5458" s="28">
        <v>20801</v>
      </c>
      <c r="G5458" s="27" t="s">
        <v>17</v>
      </c>
      <c r="H5458" s="27" t="s">
        <v>64</v>
      </c>
      <c r="I5458" s="27" t="s">
        <v>13</v>
      </c>
    </row>
    <row r="5459" spans="1:9" x14ac:dyDescent="0.3">
      <c r="A5459" s="26">
        <v>45218</v>
      </c>
      <c r="B5459" s="27" t="s">
        <v>124</v>
      </c>
      <c r="C5459" s="27" t="s">
        <v>20</v>
      </c>
      <c r="D5459" s="27" t="s">
        <v>21</v>
      </c>
      <c r="E5459" s="28">
        <v>120533</v>
      </c>
      <c r="F5459" s="28">
        <v>162015</v>
      </c>
      <c r="G5459" s="27" t="s">
        <v>11</v>
      </c>
      <c r="H5459" s="27" t="s">
        <v>205</v>
      </c>
      <c r="I5459" s="27" t="s">
        <v>13</v>
      </c>
    </row>
    <row r="5460" spans="1:9" x14ac:dyDescent="0.3">
      <c r="A5460" s="26">
        <v>45218</v>
      </c>
      <c r="B5460" s="27" t="s">
        <v>124</v>
      </c>
      <c r="C5460" s="27" t="s">
        <v>15</v>
      </c>
      <c r="D5460" s="27" t="s">
        <v>19</v>
      </c>
      <c r="E5460" s="28">
        <v>80071</v>
      </c>
      <c r="F5460" s="28">
        <v>50329</v>
      </c>
      <c r="G5460" s="27" t="s">
        <v>22</v>
      </c>
      <c r="H5460" s="27" t="s">
        <v>767</v>
      </c>
      <c r="I5460" s="27" t="s">
        <v>13</v>
      </c>
    </row>
    <row r="5461" spans="1:9" x14ac:dyDescent="0.3">
      <c r="A5461" s="26">
        <v>45218</v>
      </c>
      <c r="B5461" s="27" t="s">
        <v>124</v>
      </c>
      <c r="C5461" s="27" t="s">
        <v>14</v>
      </c>
      <c r="D5461" s="27" t="s">
        <v>21</v>
      </c>
      <c r="E5461" s="28">
        <v>98164</v>
      </c>
      <c r="F5461" s="28">
        <v>155548</v>
      </c>
      <c r="G5461" s="27" t="s">
        <v>17</v>
      </c>
      <c r="H5461" s="27" t="s">
        <v>866</v>
      </c>
      <c r="I5461" s="27" t="s">
        <v>13</v>
      </c>
    </row>
    <row r="5462" spans="1:9" x14ac:dyDescent="0.3">
      <c r="A5462" s="26">
        <v>45218</v>
      </c>
      <c r="B5462" s="27" t="s">
        <v>124</v>
      </c>
      <c r="C5462" s="27" t="s">
        <v>14</v>
      </c>
      <c r="D5462" s="27" t="s">
        <v>16</v>
      </c>
      <c r="E5462" s="28">
        <v>51732</v>
      </c>
      <c r="F5462" s="28">
        <v>137745</v>
      </c>
      <c r="G5462" s="27" t="s">
        <v>17</v>
      </c>
      <c r="H5462" s="27" t="s">
        <v>2266</v>
      </c>
      <c r="I5462" s="27" t="s">
        <v>13</v>
      </c>
    </row>
    <row r="5463" spans="1:9" x14ac:dyDescent="0.3">
      <c r="A5463" s="26">
        <v>45218</v>
      </c>
      <c r="B5463" s="27" t="s">
        <v>124</v>
      </c>
      <c r="C5463" s="27" t="s">
        <v>32</v>
      </c>
      <c r="D5463" s="27" t="s">
        <v>24</v>
      </c>
      <c r="E5463" s="28">
        <v>69388</v>
      </c>
      <c r="F5463" s="28">
        <v>19633</v>
      </c>
      <c r="G5463" s="27" t="s">
        <v>22</v>
      </c>
      <c r="H5463" s="27" t="s">
        <v>3019</v>
      </c>
      <c r="I5463" s="27" t="s">
        <v>13</v>
      </c>
    </row>
    <row r="5464" spans="1:9" x14ac:dyDescent="0.3">
      <c r="A5464" s="26">
        <v>45218</v>
      </c>
      <c r="B5464" s="27" t="s">
        <v>124</v>
      </c>
      <c r="C5464" s="27" t="s">
        <v>93</v>
      </c>
      <c r="D5464" s="27" t="s">
        <v>24</v>
      </c>
      <c r="E5464" s="28">
        <v>103500</v>
      </c>
      <c r="F5464" s="28">
        <v>95400</v>
      </c>
      <c r="G5464" s="27" t="s">
        <v>11</v>
      </c>
      <c r="H5464" s="27" t="s">
        <v>3458</v>
      </c>
      <c r="I5464" s="27" t="s">
        <v>9</v>
      </c>
    </row>
    <row r="5465" spans="1:9" x14ac:dyDescent="0.3">
      <c r="A5465" s="26">
        <v>45218</v>
      </c>
      <c r="B5465" s="27" t="s">
        <v>124</v>
      </c>
      <c r="C5465" s="27" t="s">
        <v>6</v>
      </c>
      <c r="D5465" s="27" t="s">
        <v>21</v>
      </c>
      <c r="E5465" s="28">
        <v>141200</v>
      </c>
      <c r="F5465" s="28">
        <v>136200</v>
      </c>
      <c r="G5465" s="27" t="s">
        <v>11</v>
      </c>
      <c r="H5465" s="27" t="s">
        <v>3586</v>
      </c>
      <c r="I5465" s="27" t="s">
        <v>9</v>
      </c>
    </row>
    <row r="5466" spans="1:9" x14ac:dyDescent="0.3">
      <c r="A5466" s="26">
        <v>45218</v>
      </c>
      <c r="B5466" s="27" t="s">
        <v>124</v>
      </c>
      <c r="C5466" s="27" t="s">
        <v>6</v>
      </c>
      <c r="D5466" s="27" t="s">
        <v>19</v>
      </c>
      <c r="E5466" s="28">
        <v>107100</v>
      </c>
      <c r="F5466" s="28">
        <v>101600</v>
      </c>
      <c r="G5466" s="27" t="s">
        <v>17</v>
      </c>
      <c r="H5466" s="27" t="s">
        <v>4148</v>
      </c>
      <c r="I5466" s="27" t="s">
        <v>9</v>
      </c>
    </row>
    <row r="5467" spans="1:9" x14ac:dyDescent="0.3">
      <c r="A5467" s="26">
        <v>45218</v>
      </c>
      <c r="B5467" s="27" t="s">
        <v>124</v>
      </c>
      <c r="C5467" s="27" t="s">
        <v>6</v>
      </c>
      <c r="D5467" s="27" t="s">
        <v>21</v>
      </c>
      <c r="E5467" s="28">
        <v>104500</v>
      </c>
      <c r="F5467" s="28">
        <v>100200</v>
      </c>
      <c r="G5467" s="27" t="s">
        <v>22</v>
      </c>
      <c r="H5467" s="27" t="s">
        <v>4247</v>
      </c>
      <c r="I5467" s="27" t="s">
        <v>9</v>
      </c>
    </row>
    <row r="5468" spans="1:9" x14ac:dyDescent="0.3">
      <c r="A5468" s="26">
        <v>45218</v>
      </c>
      <c r="B5468" s="27" t="s">
        <v>124</v>
      </c>
      <c r="C5468" s="27" t="s">
        <v>93</v>
      </c>
      <c r="D5468" s="27" t="s">
        <v>16</v>
      </c>
      <c r="E5468" s="28">
        <v>157400</v>
      </c>
      <c r="F5468" s="28">
        <v>141900</v>
      </c>
      <c r="G5468" s="27" t="s">
        <v>17</v>
      </c>
      <c r="H5468" s="27" t="s">
        <v>5651</v>
      </c>
      <c r="I5468" s="27" t="s">
        <v>9</v>
      </c>
    </row>
    <row r="5469" spans="1:9" x14ac:dyDescent="0.3">
      <c r="A5469" s="26">
        <v>45218</v>
      </c>
      <c r="B5469" s="27" t="s">
        <v>124</v>
      </c>
      <c r="C5469" s="27" t="s">
        <v>6</v>
      </c>
      <c r="D5469" s="27" t="s">
        <v>24</v>
      </c>
      <c r="E5469" s="28">
        <v>94200</v>
      </c>
      <c r="F5469" s="28">
        <v>90400</v>
      </c>
      <c r="G5469" s="27" t="s">
        <v>11</v>
      </c>
      <c r="H5469" s="27" t="s">
        <v>6404</v>
      </c>
      <c r="I5469" s="27" t="s">
        <v>9</v>
      </c>
    </row>
    <row r="5470" spans="1:9" x14ac:dyDescent="0.3">
      <c r="A5470" s="26">
        <v>45219</v>
      </c>
      <c r="B5470" s="27" t="s">
        <v>124</v>
      </c>
      <c r="C5470" s="27" t="s">
        <v>14</v>
      </c>
      <c r="D5470" s="27" t="s">
        <v>16</v>
      </c>
      <c r="E5470" s="28">
        <v>89712</v>
      </c>
      <c r="F5470" s="28">
        <v>68771</v>
      </c>
      <c r="G5470" s="27" t="s">
        <v>11</v>
      </c>
      <c r="H5470" s="27" t="s">
        <v>417</v>
      </c>
      <c r="I5470" s="27" t="s">
        <v>13</v>
      </c>
    </row>
    <row r="5471" spans="1:9" x14ac:dyDescent="0.3">
      <c r="A5471" s="26">
        <v>45219</v>
      </c>
      <c r="B5471" s="27" t="s">
        <v>124</v>
      </c>
      <c r="C5471" s="27" t="s">
        <v>32</v>
      </c>
      <c r="D5471" s="27" t="s">
        <v>21</v>
      </c>
      <c r="E5471" s="28">
        <v>16099</v>
      </c>
      <c r="F5471" s="28">
        <v>58617</v>
      </c>
      <c r="G5471" s="27" t="s">
        <v>11</v>
      </c>
      <c r="H5471" s="27" t="s">
        <v>982</v>
      </c>
      <c r="I5471" s="27" t="s">
        <v>13</v>
      </c>
    </row>
    <row r="5472" spans="1:9" x14ac:dyDescent="0.3">
      <c r="A5472" s="26">
        <v>45219</v>
      </c>
      <c r="B5472" s="27" t="s">
        <v>124</v>
      </c>
      <c r="C5472" s="27" t="s">
        <v>20</v>
      </c>
      <c r="D5472" s="27" t="s">
        <v>16</v>
      </c>
      <c r="E5472" s="28">
        <v>48848</v>
      </c>
      <c r="F5472" s="28">
        <v>161972</v>
      </c>
      <c r="G5472" s="27" t="s">
        <v>22</v>
      </c>
      <c r="H5472" s="27" t="s">
        <v>2169</v>
      </c>
      <c r="I5472" s="27" t="s">
        <v>13</v>
      </c>
    </row>
    <row r="5473" spans="1:9" x14ac:dyDescent="0.3">
      <c r="A5473" s="26">
        <v>45219</v>
      </c>
      <c r="B5473" s="27" t="s">
        <v>124</v>
      </c>
      <c r="C5473" s="27" t="s">
        <v>6</v>
      </c>
      <c r="D5473" s="27" t="s">
        <v>16</v>
      </c>
      <c r="E5473" s="28">
        <v>68300</v>
      </c>
      <c r="F5473" s="28">
        <v>68200</v>
      </c>
      <c r="G5473" s="27" t="s">
        <v>17</v>
      </c>
      <c r="H5473" s="27" t="s">
        <v>3798</v>
      </c>
      <c r="I5473" s="27" t="s">
        <v>9</v>
      </c>
    </row>
    <row r="5474" spans="1:9" x14ac:dyDescent="0.3">
      <c r="A5474" s="26">
        <v>45219</v>
      </c>
      <c r="B5474" s="27" t="s">
        <v>124</v>
      </c>
      <c r="C5474" s="27" t="s">
        <v>6</v>
      </c>
      <c r="D5474" s="27" t="s">
        <v>21</v>
      </c>
      <c r="E5474" s="28">
        <v>61300</v>
      </c>
      <c r="F5474" s="28">
        <v>70600</v>
      </c>
      <c r="G5474" s="27" t="s">
        <v>11</v>
      </c>
      <c r="H5474" s="27" t="s">
        <v>4363</v>
      </c>
      <c r="I5474" s="27" t="s">
        <v>9</v>
      </c>
    </row>
    <row r="5475" spans="1:9" x14ac:dyDescent="0.3">
      <c r="A5475" s="26">
        <v>45219</v>
      </c>
      <c r="B5475" s="27" t="s">
        <v>124</v>
      </c>
      <c r="C5475" s="27" t="s">
        <v>93</v>
      </c>
      <c r="D5475" s="27" t="s">
        <v>16</v>
      </c>
      <c r="E5475" s="28">
        <v>100400</v>
      </c>
      <c r="F5475" s="28">
        <v>85000</v>
      </c>
      <c r="G5475" s="27" t="s">
        <v>11</v>
      </c>
      <c r="H5475" s="27" t="s">
        <v>5554</v>
      </c>
      <c r="I5475" s="27" t="s">
        <v>9</v>
      </c>
    </row>
    <row r="5476" spans="1:9" x14ac:dyDescent="0.3">
      <c r="A5476" s="26">
        <v>45220</v>
      </c>
      <c r="B5476" s="27" t="s">
        <v>124</v>
      </c>
      <c r="C5476" s="27" t="s">
        <v>20</v>
      </c>
      <c r="D5476" s="27" t="s">
        <v>19</v>
      </c>
      <c r="E5476" s="28">
        <v>25960</v>
      </c>
      <c r="F5476" s="28">
        <v>16253</v>
      </c>
      <c r="G5476" s="27" t="s">
        <v>17</v>
      </c>
      <c r="H5476" s="27" t="s">
        <v>857</v>
      </c>
      <c r="I5476" s="27" t="s">
        <v>13</v>
      </c>
    </row>
    <row r="5477" spans="1:9" x14ac:dyDescent="0.3">
      <c r="A5477" s="26">
        <v>45220</v>
      </c>
      <c r="B5477" s="27" t="s">
        <v>124</v>
      </c>
      <c r="C5477" s="27" t="s">
        <v>20</v>
      </c>
      <c r="D5477" s="27" t="s">
        <v>7</v>
      </c>
      <c r="E5477" s="28">
        <v>63897</v>
      </c>
      <c r="F5477" s="28">
        <v>116306</v>
      </c>
      <c r="G5477" s="27" t="s">
        <v>11</v>
      </c>
      <c r="H5477" s="27" t="s">
        <v>1040</v>
      </c>
      <c r="I5477" s="27" t="s">
        <v>13</v>
      </c>
    </row>
    <row r="5478" spans="1:9" x14ac:dyDescent="0.3">
      <c r="A5478" s="26">
        <v>45220</v>
      </c>
      <c r="B5478" s="27" t="s">
        <v>124</v>
      </c>
      <c r="C5478" s="27" t="s">
        <v>10</v>
      </c>
      <c r="D5478" s="27" t="s">
        <v>24</v>
      </c>
      <c r="E5478" s="28">
        <v>98987</v>
      </c>
      <c r="F5478" s="28">
        <v>30830</v>
      </c>
      <c r="G5478" s="27" t="s">
        <v>22</v>
      </c>
      <c r="H5478" s="27" t="s">
        <v>1180</v>
      </c>
      <c r="I5478" s="27" t="s">
        <v>13</v>
      </c>
    </row>
    <row r="5479" spans="1:9" x14ac:dyDescent="0.3">
      <c r="A5479" s="26">
        <v>45220</v>
      </c>
      <c r="B5479" s="27" t="s">
        <v>124</v>
      </c>
      <c r="C5479" s="27" t="s">
        <v>10</v>
      </c>
      <c r="D5479" s="27" t="s">
        <v>19</v>
      </c>
      <c r="E5479" s="28">
        <v>58222</v>
      </c>
      <c r="F5479" s="28">
        <v>83422</v>
      </c>
      <c r="G5479" s="27" t="s">
        <v>17</v>
      </c>
      <c r="H5479" s="27" t="s">
        <v>2189</v>
      </c>
      <c r="I5479" s="27" t="s">
        <v>13</v>
      </c>
    </row>
    <row r="5480" spans="1:9" x14ac:dyDescent="0.3">
      <c r="A5480" s="26">
        <v>45220</v>
      </c>
      <c r="B5480" s="27" t="s">
        <v>124</v>
      </c>
      <c r="C5480" s="27" t="s">
        <v>20</v>
      </c>
      <c r="D5480" s="27" t="s">
        <v>24</v>
      </c>
      <c r="E5480" s="28">
        <v>84090</v>
      </c>
      <c r="F5480" s="28">
        <v>40681</v>
      </c>
      <c r="G5480" s="27" t="s">
        <v>8</v>
      </c>
      <c r="H5480" s="27" t="s">
        <v>2224</v>
      </c>
      <c r="I5480" s="27" t="s">
        <v>13</v>
      </c>
    </row>
    <row r="5481" spans="1:9" x14ac:dyDescent="0.3">
      <c r="A5481" s="26">
        <v>45220</v>
      </c>
      <c r="B5481" s="27" t="s">
        <v>124</v>
      </c>
      <c r="C5481" s="27" t="s">
        <v>20</v>
      </c>
      <c r="D5481" s="27" t="s">
        <v>21</v>
      </c>
      <c r="E5481" s="28">
        <v>70981</v>
      </c>
      <c r="F5481" s="28">
        <v>8343</v>
      </c>
      <c r="G5481" s="27" t="s">
        <v>17</v>
      </c>
      <c r="H5481" s="27" t="s">
        <v>2981</v>
      </c>
      <c r="I5481" s="27" t="s">
        <v>13</v>
      </c>
    </row>
    <row r="5482" spans="1:9" x14ac:dyDescent="0.3">
      <c r="A5482" s="26">
        <v>45220</v>
      </c>
      <c r="B5482" s="27" t="s">
        <v>124</v>
      </c>
      <c r="C5482" s="27" t="s">
        <v>10</v>
      </c>
      <c r="D5482" s="27" t="s">
        <v>16</v>
      </c>
      <c r="E5482" s="28">
        <v>36543</v>
      </c>
      <c r="F5482" s="28">
        <v>121971</v>
      </c>
      <c r="G5482" s="27" t="s">
        <v>22</v>
      </c>
      <c r="H5482" s="27" t="s">
        <v>3173</v>
      </c>
      <c r="I5482" s="27" t="s">
        <v>13</v>
      </c>
    </row>
    <row r="5483" spans="1:9" x14ac:dyDescent="0.3">
      <c r="A5483" s="26">
        <v>45220</v>
      </c>
      <c r="B5483" s="27" t="s">
        <v>124</v>
      </c>
      <c r="C5483" s="27" t="s">
        <v>93</v>
      </c>
      <c r="D5483" s="27" t="s">
        <v>19</v>
      </c>
      <c r="E5483" s="28">
        <v>90000</v>
      </c>
      <c r="F5483" s="28">
        <v>75400</v>
      </c>
      <c r="G5483" s="27" t="s">
        <v>22</v>
      </c>
      <c r="H5483" s="27" t="s">
        <v>4238</v>
      </c>
      <c r="I5483" s="27" t="s">
        <v>9</v>
      </c>
    </row>
    <row r="5484" spans="1:9" x14ac:dyDescent="0.3">
      <c r="A5484" s="26">
        <v>45220</v>
      </c>
      <c r="B5484" s="27" t="s">
        <v>124</v>
      </c>
      <c r="C5484" s="27" t="s">
        <v>6</v>
      </c>
      <c r="D5484" s="27" t="s">
        <v>7</v>
      </c>
      <c r="E5484" s="28">
        <v>186100</v>
      </c>
      <c r="F5484" s="28">
        <v>193400</v>
      </c>
      <c r="G5484" s="27" t="s">
        <v>17</v>
      </c>
      <c r="H5484" s="27" t="s">
        <v>4422</v>
      </c>
      <c r="I5484" s="27" t="s">
        <v>9</v>
      </c>
    </row>
    <row r="5485" spans="1:9" x14ac:dyDescent="0.3">
      <c r="A5485" s="26">
        <v>45220</v>
      </c>
      <c r="B5485" s="27" t="s">
        <v>124</v>
      </c>
      <c r="C5485" s="27" t="s">
        <v>6</v>
      </c>
      <c r="D5485" s="27" t="s">
        <v>24</v>
      </c>
      <c r="E5485" s="28">
        <v>77100</v>
      </c>
      <c r="F5485" s="28">
        <v>68700</v>
      </c>
      <c r="G5485" s="27" t="s">
        <v>22</v>
      </c>
      <c r="H5485" s="27" t="s">
        <v>4563</v>
      </c>
      <c r="I5485" s="27" t="s">
        <v>9</v>
      </c>
    </row>
    <row r="5486" spans="1:9" x14ac:dyDescent="0.3">
      <c r="A5486" s="26">
        <v>45220</v>
      </c>
      <c r="B5486" s="27" t="s">
        <v>124</v>
      </c>
      <c r="C5486" s="27" t="s">
        <v>6</v>
      </c>
      <c r="D5486" s="27" t="s">
        <v>19</v>
      </c>
      <c r="E5486" s="28">
        <v>66600</v>
      </c>
      <c r="F5486" s="28">
        <v>64300</v>
      </c>
      <c r="G5486" s="27" t="s">
        <v>11</v>
      </c>
      <c r="H5486" s="27" t="s">
        <v>5574</v>
      </c>
      <c r="I5486" s="27" t="s">
        <v>9</v>
      </c>
    </row>
    <row r="5487" spans="1:9" x14ac:dyDescent="0.3">
      <c r="A5487" s="26">
        <v>45220</v>
      </c>
      <c r="B5487" s="27" t="s">
        <v>124</v>
      </c>
      <c r="C5487" s="27" t="s">
        <v>6</v>
      </c>
      <c r="D5487" s="27" t="s">
        <v>24</v>
      </c>
      <c r="E5487" s="28">
        <v>130400</v>
      </c>
      <c r="F5487" s="28">
        <v>135100</v>
      </c>
      <c r="G5487" s="27" t="s">
        <v>17</v>
      </c>
      <c r="H5487" s="27" t="s">
        <v>5609</v>
      </c>
      <c r="I5487" s="27" t="s">
        <v>9</v>
      </c>
    </row>
    <row r="5488" spans="1:9" x14ac:dyDescent="0.3">
      <c r="A5488" s="26">
        <v>45220</v>
      </c>
      <c r="B5488" s="27" t="s">
        <v>124</v>
      </c>
      <c r="C5488" s="27" t="s">
        <v>6</v>
      </c>
      <c r="D5488" s="27" t="s">
        <v>21</v>
      </c>
      <c r="E5488" s="28">
        <v>226100</v>
      </c>
      <c r="F5488" s="28">
        <v>272300</v>
      </c>
      <c r="G5488" s="27" t="s">
        <v>22</v>
      </c>
      <c r="H5488" s="27" t="s">
        <v>6366</v>
      </c>
      <c r="I5488" s="27" t="s">
        <v>9</v>
      </c>
    </row>
    <row r="5489" spans="1:9" x14ac:dyDescent="0.3">
      <c r="A5489" s="26">
        <v>45220</v>
      </c>
      <c r="B5489" s="27" t="s">
        <v>124</v>
      </c>
      <c r="C5489" s="27" t="s">
        <v>6</v>
      </c>
      <c r="D5489" s="27" t="s">
        <v>16</v>
      </c>
      <c r="E5489" s="28">
        <v>192800</v>
      </c>
      <c r="F5489" s="28">
        <v>239400</v>
      </c>
      <c r="G5489" s="27" t="s">
        <v>22</v>
      </c>
      <c r="H5489" s="27" t="s">
        <v>6558</v>
      </c>
      <c r="I5489" s="27" t="s">
        <v>9</v>
      </c>
    </row>
    <row r="5490" spans="1:9" x14ac:dyDescent="0.3">
      <c r="A5490" s="26">
        <v>45221</v>
      </c>
      <c r="B5490" s="27" t="s">
        <v>124</v>
      </c>
      <c r="C5490" s="27" t="s">
        <v>18</v>
      </c>
      <c r="D5490" s="27" t="s">
        <v>7</v>
      </c>
      <c r="E5490" s="28">
        <v>11271</v>
      </c>
      <c r="F5490" s="28">
        <v>119181</v>
      </c>
      <c r="G5490" s="27" t="s">
        <v>22</v>
      </c>
      <c r="H5490" s="27" t="s">
        <v>239</v>
      </c>
      <c r="I5490" s="27" t="s">
        <v>13</v>
      </c>
    </row>
    <row r="5491" spans="1:9" x14ac:dyDescent="0.3">
      <c r="A5491" s="26">
        <v>45221</v>
      </c>
      <c r="B5491" s="27" t="s">
        <v>124</v>
      </c>
      <c r="C5491" s="27" t="s">
        <v>14</v>
      </c>
      <c r="D5491" s="27" t="s">
        <v>19</v>
      </c>
      <c r="E5491" s="28">
        <v>17945</v>
      </c>
      <c r="F5491" s="28">
        <v>74247</v>
      </c>
      <c r="G5491" s="27" t="s">
        <v>17</v>
      </c>
      <c r="H5491" s="27" t="s">
        <v>377</v>
      </c>
      <c r="I5491" s="27" t="s">
        <v>13</v>
      </c>
    </row>
    <row r="5492" spans="1:9" x14ac:dyDescent="0.3">
      <c r="A5492" s="26">
        <v>45221</v>
      </c>
      <c r="B5492" s="27" t="s">
        <v>124</v>
      </c>
      <c r="C5492" s="27" t="s">
        <v>20</v>
      </c>
      <c r="D5492" s="27" t="s">
        <v>7</v>
      </c>
      <c r="E5492" s="28">
        <v>132610</v>
      </c>
      <c r="F5492" s="28">
        <v>151408</v>
      </c>
      <c r="G5492" s="27" t="s">
        <v>8</v>
      </c>
      <c r="H5492" s="27" t="s">
        <v>608</v>
      </c>
      <c r="I5492" s="27" t="s">
        <v>13</v>
      </c>
    </row>
    <row r="5493" spans="1:9" x14ac:dyDescent="0.3">
      <c r="A5493" s="26">
        <v>45221</v>
      </c>
      <c r="B5493" s="27" t="s">
        <v>124</v>
      </c>
      <c r="C5493" s="27" t="s">
        <v>32</v>
      </c>
      <c r="D5493" s="27" t="s">
        <v>19</v>
      </c>
      <c r="E5493" s="28">
        <v>15033</v>
      </c>
      <c r="F5493" s="28">
        <v>27387</v>
      </c>
      <c r="G5493" s="27" t="s">
        <v>22</v>
      </c>
      <c r="H5493" s="27" t="s">
        <v>624</v>
      </c>
      <c r="I5493" s="27" t="s">
        <v>13</v>
      </c>
    </row>
    <row r="5494" spans="1:9" x14ac:dyDescent="0.3">
      <c r="A5494" s="26">
        <v>45221</v>
      </c>
      <c r="B5494" s="27" t="s">
        <v>124</v>
      </c>
      <c r="C5494" s="27" t="s">
        <v>14</v>
      </c>
      <c r="D5494" s="27" t="s">
        <v>7</v>
      </c>
      <c r="E5494" s="28">
        <v>142779</v>
      </c>
      <c r="F5494" s="28">
        <v>98249</v>
      </c>
      <c r="G5494" s="27" t="s">
        <v>8</v>
      </c>
      <c r="H5494" s="27" t="s">
        <v>1128</v>
      </c>
      <c r="I5494" s="27" t="s">
        <v>13</v>
      </c>
    </row>
    <row r="5495" spans="1:9" x14ac:dyDescent="0.3">
      <c r="A5495" s="26">
        <v>45221</v>
      </c>
      <c r="B5495" s="27" t="s">
        <v>124</v>
      </c>
      <c r="C5495" s="27" t="s">
        <v>32</v>
      </c>
      <c r="D5495" s="27" t="s">
        <v>24</v>
      </c>
      <c r="E5495" s="28">
        <v>64422</v>
      </c>
      <c r="F5495" s="28">
        <v>81181</v>
      </c>
      <c r="G5495" s="27" t="s">
        <v>11</v>
      </c>
      <c r="H5495" s="27" t="s">
        <v>1394</v>
      </c>
      <c r="I5495" s="27" t="s">
        <v>13</v>
      </c>
    </row>
    <row r="5496" spans="1:9" x14ac:dyDescent="0.3">
      <c r="A5496" s="26">
        <v>45221</v>
      </c>
      <c r="B5496" s="27" t="s">
        <v>124</v>
      </c>
      <c r="C5496" s="27" t="s">
        <v>18</v>
      </c>
      <c r="D5496" s="27" t="s">
        <v>24</v>
      </c>
      <c r="E5496" s="28">
        <v>130720</v>
      </c>
      <c r="F5496" s="28">
        <v>147874</v>
      </c>
      <c r="G5496" s="27" t="s">
        <v>22</v>
      </c>
      <c r="H5496" s="27" t="s">
        <v>1738</v>
      </c>
      <c r="I5496" s="27" t="s">
        <v>13</v>
      </c>
    </row>
    <row r="5497" spans="1:9" x14ac:dyDescent="0.3">
      <c r="A5497" s="26">
        <v>45221</v>
      </c>
      <c r="B5497" s="27" t="s">
        <v>124</v>
      </c>
      <c r="C5497" s="27" t="s">
        <v>20</v>
      </c>
      <c r="D5497" s="27" t="s">
        <v>16</v>
      </c>
      <c r="E5497" s="28">
        <v>11833</v>
      </c>
      <c r="F5497" s="28">
        <v>106464</v>
      </c>
      <c r="G5497" s="27" t="s">
        <v>11</v>
      </c>
      <c r="H5497" s="27" t="s">
        <v>1798</v>
      </c>
      <c r="I5497" s="27" t="s">
        <v>13</v>
      </c>
    </row>
    <row r="5498" spans="1:9" x14ac:dyDescent="0.3">
      <c r="A5498" s="26">
        <v>45221</v>
      </c>
      <c r="B5498" s="27" t="s">
        <v>124</v>
      </c>
      <c r="C5498" s="27" t="s">
        <v>20</v>
      </c>
      <c r="D5498" s="27" t="s">
        <v>19</v>
      </c>
      <c r="E5498" s="28">
        <v>30062</v>
      </c>
      <c r="F5498" s="28">
        <v>168469</v>
      </c>
      <c r="G5498" s="27" t="s">
        <v>17</v>
      </c>
      <c r="H5498" s="27" t="s">
        <v>2102</v>
      </c>
      <c r="I5498" s="27" t="s">
        <v>13</v>
      </c>
    </row>
    <row r="5499" spans="1:9" x14ac:dyDescent="0.3">
      <c r="A5499" s="26">
        <v>45221</v>
      </c>
      <c r="B5499" s="27" t="s">
        <v>124</v>
      </c>
      <c r="C5499" s="27" t="s">
        <v>20</v>
      </c>
      <c r="D5499" s="27" t="s">
        <v>19</v>
      </c>
      <c r="E5499" s="28">
        <v>74904</v>
      </c>
      <c r="F5499" s="28">
        <v>158571</v>
      </c>
      <c r="G5499" s="27" t="s">
        <v>11</v>
      </c>
      <c r="H5499" s="27" t="s">
        <v>3156</v>
      </c>
      <c r="I5499" s="27" t="s">
        <v>13</v>
      </c>
    </row>
    <row r="5500" spans="1:9" x14ac:dyDescent="0.3">
      <c r="A5500" s="26">
        <v>45221</v>
      </c>
      <c r="B5500" s="27" t="s">
        <v>124</v>
      </c>
      <c r="C5500" s="27" t="s">
        <v>93</v>
      </c>
      <c r="D5500" s="27" t="s">
        <v>7</v>
      </c>
      <c r="E5500" s="28">
        <v>88500</v>
      </c>
      <c r="F5500" s="28">
        <v>85000</v>
      </c>
      <c r="G5500" s="27" t="s">
        <v>22</v>
      </c>
      <c r="H5500" s="27" t="s">
        <v>3620</v>
      </c>
      <c r="I5500" s="27" t="s">
        <v>9</v>
      </c>
    </row>
    <row r="5501" spans="1:9" x14ac:dyDescent="0.3">
      <c r="A5501" s="26">
        <v>45221</v>
      </c>
      <c r="B5501" s="27" t="s">
        <v>124</v>
      </c>
      <c r="C5501" s="27" t="s">
        <v>93</v>
      </c>
      <c r="D5501" s="27" t="s">
        <v>19</v>
      </c>
      <c r="E5501" s="28">
        <v>104400</v>
      </c>
      <c r="F5501" s="28">
        <v>94000</v>
      </c>
      <c r="G5501" s="27" t="s">
        <v>11</v>
      </c>
      <c r="H5501" s="27" t="s">
        <v>3758</v>
      </c>
      <c r="I5501" s="27" t="s">
        <v>9</v>
      </c>
    </row>
    <row r="5502" spans="1:9" x14ac:dyDescent="0.3">
      <c r="A5502" s="26">
        <v>45221</v>
      </c>
      <c r="B5502" s="27" t="s">
        <v>124</v>
      </c>
      <c r="C5502" s="27" t="s">
        <v>6</v>
      </c>
      <c r="D5502" s="27" t="s">
        <v>7</v>
      </c>
      <c r="E5502" s="28">
        <v>121800</v>
      </c>
      <c r="F5502" s="28">
        <v>146100</v>
      </c>
      <c r="G5502" s="27" t="s">
        <v>11</v>
      </c>
      <c r="H5502" s="27" t="s">
        <v>3989</v>
      </c>
      <c r="I5502" s="27" t="s">
        <v>9</v>
      </c>
    </row>
    <row r="5503" spans="1:9" x14ac:dyDescent="0.3">
      <c r="A5503" s="26">
        <v>45221</v>
      </c>
      <c r="B5503" s="27" t="s">
        <v>124</v>
      </c>
      <c r="C5503" s="27" t="s">
        <v>93</v>
      </c>
      <c r="D5503" s="27" t="s">
        <v>19</v>
      </c>
      <c r="E5503" s="28">
        <v>220000</v>
      </c>
      <c r="F5503" s="28">
        <v>202500</v>
      </c>
      <c r="G5503" s="27" t="s">
        <v>17</v>
      </c>
      <c r="H5503" s="27" t="s">
        <v>4005</v>
      </c>
      <c r="I5503" s="27" t="s">
        <v>9</v>
      </c>
    </row>
    <row r="5504" spans="1:9" x14ac:dyDescent="0.3">
      <c r="A5504" s="26">
        <v>45221</v>
      </c>
      <c r="B5504" s="27" t="s">
        <v>124</v>
      </c>
      <c r="C5504" s="27" t="s">
        <v>6</v>
      </c>
      <c r="D5504" s="27" t="s">
        <v>7</v>
      </c>
      <c r="E5504" s="28">
        <v>101900</v>
      </c>
      <c r="F5504" s="28">
        <v>139800</v>
      </c>
      <c r="G5504" s="27" t="s">
        <v>11</v>
      </c>
      <c r="H5504" s="27" t="s">
        <v>4511</v>
      </c>
      <c r="I5504" s="27" t="s">
        <v>9</v>
      </c>
    </row>
    <row r="5505" spans="1:9" x14ac:dyDescent="0.3">
      <c r="A5505" s="26">
        <v>45221</v>
      </c>
      <c r="B5505" s="27" t="s">
        <v>124</v>
      </c>
      <c r="C5505" s="27" t="s">
        <v>93</v>
      </c>
      <c r="D5505" s="27" t="s">
        <v>24</v>
      </c>
      <c r="E5505" s="28">
        <v>147900</v>
      </c>
      <c r="F5505" s="28">
        <v>148000</v>
      </c>
      <c r="G5505" s="27" t="s">
        <v>17</v>
      </c>
      <c r="H5505" s="27" t="s">
        <v>4777</v>
      </c>
      <c r="I5505" s="27" t="s">
        <v>9</v>
      </c>
    </row>
    <row r="5506" spans="1:9" x14ac:dyDescent="0.3">
      <c r="A5506" s="26">
        <v>45221</v>
      </c>
      <c r="B5506" s="27" t="s">
        <v>124</v>
      </c>
      <c r="C5506" s="27" t="s">
        <v>93</v>
      </c>
      <c r="D5506" s="27" t="s">
        <v>24</v>
      </c>
      <c r="E5506" s="28">
        <v>106100</v>
      </c>
      <c r="F5506" s="28">
        <v>95400</v>
      </c>
      <c r="G5506" s="27" t="s">
        <v>11</v>
      </c>
      <c r="H5506" s="27" t="s">
        <v>5121</v>
      </c>
      <c r="I5506" s="27" t="s">
        <v>9</v>
      </c>
    </row>
    <row r="5507" spans="1:9" x14ac:dyDescent="0.3">
      <c r="A5507" s="26">
        <v>45221</v>
      </c>
      <c r="B5507" s="27" t="s">
        <v>124</v>
      </c>
      <c r="C5507" s="27" t="s">
        <v>6</v>
      </c>
      <c r="D5507" s="27" t="s">
        <v>16</v>
      </c>
      <c r="E5507" s="28">
        <v>127100</v>
      </c>
      <c r="F5507" s="28">
        <v>166500</v>
      </c>
      <c r="G5507" s="27" t="s">
        <v>11</v>
      </c>
      <c r="H5507" s="27" t="s">
        <v>5181</v>
      </c>
      <c r="I5507" s="27" t="s">
        <v>9</v>
      </c>
    </row>
    <row r="5508" spans="1:9" x14ac:dyDescent="0.3">
      <c r="A5508" s="26">
        <v>45221</v>
      </c>
      <c r="B5508" s="27" t="s">
        <v>124</v>
      </c>
      <c r="C5508" s="27" t="s">
        <v>6</v>
      </c>
      <c r="D5508" s="27" t="s">
        <v>19</v>
      </c>
      <c r="E5508" s="28">
        <v>121900</v>
      </c>
      <c r="F5508" s="28">
        <v>133300</v>
      </c>
      <c r="G5508" s="27" t="s">
        <v>11</v>
      </c>
      <c r="H5508" s="27" t="s">
        <v>5486</v>
      </c>
      <c r="I5508" s="27" t="s">
        <v>9</v>
      </c>
    </row>
    <row r="5509" spans="1:9" x14ac:dyDescent="0.3">
      <c r="A5509" s="26">
        <v>45221</v>
      </c>
      <c r="B5509" s="27" t="s">
        <v>124</v>
      </c>
      <c r="C5509" s="27" t="s">
        <v>93</v>
      </c>
      <c r="D5509" s="27" t="s">
        <v>19</v>
      </c>
      <c r="E5509" s="28">
        <v>56700</v>
      </c>
      <c r="F5509" s="28">
        <v>53500</v>
      </c>
      <c r="G5509" s="27" t="s">
        <v>11</v>
      </c>
      <c r="H5509" s="27" t="s">
        <v>6541</v>
      </c>
      <c r="I5509" s="27" t="s">
        <v>9</v>
      </c>
    </row>
    <row r="5510" spans="1:9" x14ac:dyDescent="0.3">
      <c r="A5510" s="26">
        <v>45222</v>
      </c>
      <c r="B5510" s="27" t="s">
        <v>124</v>
      </c>
      <c r="C5510" s="27" t="s">
        <v>32</v>
      </c>
      <c r="D5510" s="27" t="s">
        <v>21</v>
      </c>
      <c r="E5510" s="28">
        <v>93800</v>
      </c>
      <c r="F5510" s="28">
        <v>73939</v>
      </c>
      <c r="G5510" s="27" t="s">
        <v>17</v>
      </c>
      <c r="H5510" s="27" t="s">
        <v>65</v>
      </c>
      <c r="I5510" s="27" t="s">
        <v>13</v>
      </c>
    </row>
    <row r="5511" spans="1:9" x14ac:dyDescent="0.3">
      <c r="A5511" s="26">
        <v>45222</v>
      </c>
      <c r="B5511" s="27" t="s">
        <v>124</v>
      </c>
      <c r="C5511" s="27" t="s">
        <v>15</v>
      </c>
      <c r="D5511" s="27" t="s">
        <v>19</v>
      </c>
      <c r="E5511" s="28">
        <v>77089</v>
      </c>
      <c r="F5511" s="28">
        <v>160318</v>
      </c>
      <c r="G5511" s="27" t="s">
        <v>11</v>
      </c>
      <c r="H5511" s="27" t="s">
        <v>1386</v>
      </c>
      <c r="I5511" s="27" t="s">
        <v>13</v>
      </c>
    </row>
    <row r="5512" spans="1:9" x14ac:dyDescent="0.3">
      <c r="A5512" s="26">
        <v>45222</v>
      </c>
      <c r="B5512" s="27" t="s">
        <v>124</v>
      </c>
      <c r="C5512" s="27" t="s">
        <v>32</v>
      </c>
      <c r="D5512" s="27" t="s">
        <v>16</v>
      </c>
      <c r="E5512" s="28">
        <v>84046</v>
      </c>
      <c r="F5512" s="28">
        <v>106316</v>
      </c>
      <c r="G5512" s="27" t="s">
        <v>11</v>
      </c>
      <c r="H5512" s="27" t="s">
        <v>1864</v>
      </c>
      <c r="I5512" s="27" t="s">
        <v>13</v>
      </c>
    </row>
    <row r="5513" spans="1:9" x14ac:dyDescent="0.3">
      <c r="A5513" s="26">
        <v>45222</v>
      </c>
      <c r="B5513" s="27" t="s">
        <v>124</v>
      </c>
      <c r="C5513" s="27" t="s">
        <v>18</v>
      </c>
      <c r="D5513" s="27" t="s">
        <v>16</v>
      </c>
      <c r="E5513" s="28">
        <v>106782</v>
      </c>
      <c r="F5513" s="28">
        <v>79623</v>
      </c>
      <c r="G5513" s="27" t="s">
        <v>8</v>
      </c>
      <c r="H5513" s="27" t="s">
        <v>2085</v>
      </c>
      <c r="I5513" s="27" t="s">
        <v>13</v>
      </c>
    </row>
    <row r="5514" spans="1:9" x14ac:dyDescent="0.3">
      <c r="A5514" s="26">
        <v>45222</v>
      </c>
      <c r="B5514" s="27" t="s">
        <v>124</v>
      </c>
      <c r="C5514" s="27" t="s">
        <v>20</v>
      </c>
      <c r="D5514" s="27" t="s">
        <v>21</v>
      </c>
      <c r="E5514" s="28">
        <v>30487</v>
      </c>
      <c r="F5514" s="28">
        <v>59131</v>
      </c>
      <c r="G5514" s="27" t="s">
        <v>22</v>
      </c>
      <c r="H5514" s="27" t="s">
        <v>2099</v>
      </c>
      <c r="I5514" s="27" t="s">
        <v>13</v>
      </c>
    </row>
    <row r="5515" spans="1:9" x14ac:dyDescent="0.3">
      <c r="A5515" s="26">
        <v>45222</v>
      </c>
      <c r="B5515" s="27" t="s">
        <v>124</v>
      </c>
      <c r="C5515" s="27" t="s">
        <v>10</v>
      </c>
      <c r="D5515" s="27" t="s">
        <v>7</v>
      </c>
      <c r="E5515" s="28">
        <v>87935</v>
      </c>
      <c r="F5515" s="28">
        <v>134827</v>
      </c>
      <c r="G5515" s="27" t="s">
        <v>8</v>
      </c>
      <c r="H5515" s="27" t="s">
        <v>2197</v>
      </c>
      <c r="I5515" s="27" t="s">
        <v>13</v>
      </c>
    </row>
    <row r="5516" spans="1:9" x14ac:dyDescent="0.3">
      <c r="A5516" s="26">
        <v>45222</v>
      </c>
      <c r="B5516" s="27" t="s">
        <v>124</v>
      </c>
      <c r="C5516" s="27" t="s">
        <v>14</v>
      </c>
      <c r="D5516" s="27" t="s">
        <v>24</v>
      </c>
      <c r="E5516" s="28">
        <v>60118</v>
      </c>
      <c r="F5516" s="28">
        <v>98849</v>
      </c>
      <c r="G5516" s="27" t="s">
        <v>22</v>
      </c>
      <c r="H5516" s="27" t="s">
        <v>2663</v>
      </c>
      <c r="I5516" s="27" t="s">
        <v>13</v>
      </c>
    </row>
    <row r="5517" spans="1:9" x14ac:dyDescent="0.3">
      <c r="A5517" s="26">
        <v>45222</v>
      </c>
      <c r="B5517" s="27" t="s">
        <v>124</v>
      </c>
      <c r="C5517" s="27" t="s">
        <v>20</v>
      </c>
      <c r="D5517" s="27" t="s">
        <v>24</v>
      </c>
      <c r="E5517" s="28">
        <v>63653</v>
      </c>
      <c r="F5517" s="28">
        <v>41742</v>
      </c>
      <c r="G5517" s="27" t="s">
        <v>8</v>
      </c>
      <c r="H5517" s="27" t="s">
        <v>2687</v>
      </c>
      <c r="I5517" s="27" t="s">
        <v>13</v>
      </c>
    </row>
    <row r="5518" spans="1:9" x14ac:dyDescent="0.3">
      <c r="A5518" s="26">
        <v>45222</v>
      </c>
      <c r="B5518" s="27" t="s">
        <v>124</v>
      </c>
      <c r="C5518" s="27" t="s">
        <v>10</v>
      </c>
      <c r="D5518" s="27" t="s">
        <v>21</v>
      </c>
      <c r="E5518" s="28">
        <v>149863</v>
      </c>
      <c r="F5518" s="28">
        <v>40732</v>
      </c>
      <c r="G5518" s="27" t="s">
        <v>8</v>
      </c>
      <c r="H5518" s="27" t="s">
        <v>2706</v>
      </c>
      <c r="I5518" s="27" t="s">
        <v>13</v>
      </c>
    </row>
    <row r="5519" spans="1:9" x14ac:dyDescent="0.3">
      <c r="A5519" s="26">
        <v>45222</v>
      </c>
      <c r="B5519" s="27" t="s">
        <v>124</v>
      </c>
      <c r="C5519" s="27" t="s">
        <v>93</v>
      </c>
      <c r="D5519" s="27" t="s">
        <v>21</v>
      </c>
      <c r="E5519" s="28">
        <v>142400</v>
      </c>
      <c r="F5519" s="28">
        <v>128800</v>
      </c>
      <c r="G5519" s="27" t="s">
        <v>17</v>
      </c>
      <c r="H5519" s="27" t="s">
        <v>3457</v>
      </c>
      <c r="I5519" s="27" t="s">
        <v>9</v>
      </c>
    </row>
    <row r="5520" spans="1:9" x14ac:dyDescent="0.3">
      <c r="A5520" s="26">
        <v>45222</v>
      </c>
      <c r="B5520" s="27" t="s">
        <v>124</v>
      </c>
      <c r="C5520" s="27" t="s">
        <v>93</v>
      </c>
      <c r="D5520" s="27" t="s">
        <v>19</v>
      </c>
      <c r="E5520" s="28">
        <v>147500</v>
      </c>
      <c r="F5520" s="28">
        <v>144700</v>
      </c>
      <c r="G5520" s="27" t="s">
        <v>11</v>
      </c>
      <c r="H5520" s="27" t="s">
        <v>4769</v>
      </c>
      <c r="I5520" s="27" t="s">
        <v>9</v>
      </c>
    </row>
    <row r="5521" spans="1:9" x14ac:dyDescent="0.3">
      <c r="A5521" s="26">
        <v>45222</v>
      </c>
      <c r="B5521" s="27" t="s">
        <v>124</v>
      </c>
      <c r="C5521" s="27" t="s">
        <v>6</v>
      </c>
      <c r="D5521" s="27" t="s">
        <v>16</v>
      </c>
      <c r="E5521" s="28">
        <v>106700</v>
      </c>
      <c r="F5521" s="28">
        <v>110600</v>
      </c>
      <c r="G5521" s="27" t="s">
        <v>22</v>
      </c>
      <c r="H5521" s="27" t="s">
        <v>5248</v>
      </c>
      <c r="I5521" s="27" t="s">
        <v>9</v>
      </c>
    </row>
    <row r="5522" spans="1:9" x14ac:dyDescent="0.3">
      <c r="A5522" s="26">
        <v>45222</v>
      </c>
      <c r="B5522" s="27" t="s">
        <v>124</v>
      </c>
      <c r="C5522" s="27" t="s">
        <v>6</v>
      </c>
      <c r="D5522" s="27" t="s">
        <v>16</v>
      </c>
      <c r="E5522" s="28">
        <v>127800</v>
      </c>
      <c r="F5522" s="28">
        <v>125100</v>
      </c>
      <c r="G5522" s="27" t="s">
        <v>17</v>
      </c>
      <c r="H5522" s="27" t="s">
        <v>5469</v>
      </c>
      <c r="I5522" s="27" t="s">
        <v>9</v>
      </c>
    </row>
    <row r="5523" spans="1:9" x14ac:dyDescent="0.3">
      <c r="A5523" s="26">
        <v>45222</v>
      </c>
      <c r="B5523" s="27" t="s">
        <v>124</v>
      </c>
      <c r="C5523" s="27" t="s">
        <v>93</v>
      </c>
      <c r="D5523" s="27" t="s">
        <v>21</v>
      </c>
      <c r="E5523" s="28">
        <v>116500</v>
      </c>
      <c r="F5523" s="28">
        <v>110100</v>
      </c>
      <c r="G5523" s="27" t="s">
        <v>22</v>
      </c>
      <c r="H5523" s="27" t="s">
        <v>5483</v>
      </c>
      <c r="I5523" s="27" t="s">
        <v>9</v>
      </c>
    </row>
    <row r="5524" spans="1:9" x14ac:dyDescent="0.3">
      <c r="A5524" s="26">
        <v>45222</v>
      </c>
      <c r="B5524" s="27" t="s">
        <v>124</v>
      </c>
      <c r="C5524" s="27" t="s">
        <v>93</v>
      </c>
      <c r="D5524" s="27" t="s">
        <v>7</v>
      </c>
      <c r="E5524" s="28">
        <v>114900</v>
      </c>
      <c r="F5524" s="28">
        <v>82000</v>
      </c>
      <c r="G5524" s="27" t="s">
        <v>11</v>
      </c>
      <c r="H5524" s="27" t="s">
        <v>5582</v>
      </c>
      <c r="I5524" s="27" t="s">
        <v>9</v>
      </c>
    </row>
    <row r="5525" spans="1:9" x14ac:dyDescent="0.3">
      <c r="A5525" s="26">
        <v>45222</v>
      </c>
      <c r="B5525" s="27" t="s">
        <v>124</v>
      </c>
      <c r="C5525" s="27" t="s">
        <v>6</v>
      </c>
      <c r="D5525" s="27" t="s">
        <v>24</v>
      </c>
      <c r="E5525" s="28">
        <v>197600</v>
      </c>
      <c r="F5525" s="28">
        <v>210200</v>
      </c>
      <c r="G5525" s="27" t="s">
        <v>22</v>
      </c>
      <c r="H5525" s="27" t="s">
        <v>6048</v>
      </c>
      <c r="I5525" s="27" t="s">
        <v>9</v>
      </c>
    </row>
    <row r="5526" spans="1:9" x14ac:dyDescent="0.3">
      <c r="A5526" s="26">
        <v>45222</v>
      </c>
      <c r="B5526" s="27" t="s">
        <v>124</v>
      </c>
      <c r="C5526" s="27" t="s">
        <v>93</v>
      </c>
      <c r="D5526" s="27" t="s">
        <v>24</v>
      </c>
      <c r="E5526" s="28">
        <v>148800</v>
      </c>
      <c r="F5526" s="28">
        <v>136600</v>
      </c>
      <c r="G5526" s="27" t="s">
        <v>11</v>
      </c>
      <c r="H5526" s="27" t="s">
        <v>6072</v>
      </c>
      <c r="I5526" s="27" t="s">
        <v>9</v>
      </c>
    </row>
    <row r="5527" spans="1:9" x14ac:dyDescent="0.3">
      <c r="A5527" s="26">
        <v>45222</v>
      </c>
      <c r="B5527" s="27" t="s">
        <v>124</v>
      </c>
      <c r="C5527" s="27" t="s">
        <v>93</v>
      </c>
      <c r="D5527" s="27" t="s">
        <v>21</v>
      </c>
      <c r="E5527" s="28">
        <v>146300</v>
      </c>
      <c r="F5527" s="28">
        <v>135000</v>
      </c>
      <c r="G5527" s="27" t="s">
        <v>17</v>
      </c>
      <c r="H5527" s="27" t="s">
        <v>6091</v>
      </c>
      <c r="I5527" s="27" t="s">
        <v>9</v>
      </c>
    </row>
    <row r="5528" spans="1:9" x14ac:dyDescent="0.3">
      <c r="A5528" s="26">
        <v>45223</v>
      </c>
      <c r="B5528" s="27" t="s">
        <v>124</v>
      </c>
      <c r="C5528" s="27" t="s">
        <v>32</v>
      </c>
      <c r="D5528" s="27" t="s">
        <v>16</v>
      </c>
      <c r="E5528" s="28">
        <v>130452</v>
      </c>
      <c r="F5528" s="28">
        <v>82953</v>
      </c>
      <c r="G5528" s="27" t="s">
        <v>17</v>
      </c>
      <c r="H5528" s="27" t="s">
        <v>311</v>
      </c>
      <c r="I5528" s="27" t="s">
        <v>13</v>
      </c>
    </row>
    <row r="5529" spans="1:9" x14ac:dyDescent="0.3">
      <c r="A5529" s="26">
        <v>45223</v>
      </c>
      <c r="B5529" s="27" t="s">
        <v>124</v>
      </c>
      <c r="C5529" s="27" t="s">
        <v>20</v>
      </c>
      <c r="D5529" s="27" t="s">
        <v>7</v>
      </c>
      <c r="E5529" s="28">
        <v>23612</v>
      </c>
      <c r="F5529" s="28">
        <v>57431</v>
      </c>
      <c r="G5529" s="27" t="s">
        <v>8</v>
      </c>
      <c r="H5529" s="27" t="s">
        <v>643</v>
      </c>
      <c r="I5529" s="27" t="s">
        <v>13</v>
      </c>
    </row>
    <row r="5530" spans="1:9" x14ac:dyDescent="0.3">
      <c r="A5530" s="26">
        <v>45223</v>
      </c>
      <c r="B5530" s="27" t="s">
        <v>124</v>
      </c>
      <c r="C5530" s="27" t="s">
        <v>14</v>
      </c>
      <c r="D5530" s="27" t="s">
        <v>16</v>
      </c>
      <c r="E5530" s="28">
        <v>142229</v>
      </c>
      <c r="F5530" s="28">
        <v>75391</v>
      </c>
      <c r="G5530" s="27" t="s">
        <v>11</v>
      </c>
      <c r="H5530" s="27" t="s">
        <v>1048</v>
      </c>
      <c r="I5530" s="27" t="s">
        <v>13</v>
      </c>
    </row>
    <row r="5531" spans="1:9" x14ac:dyDescent="0.3">
      <c r="A5531" s="26">
        <v>45223</v>
      </c>
      <c r="B5531" s="27" t="s">
        <v>124</v>
      </c>
      <c r="C5531" s="27" t="s">
        <v>18</v>
      </c>
      <c r="D5531" s="27" t="s">
        <v>24</v>
      </c>
      <c r="E5531" s="28">
        <v>135158</v>
      </c>
      <c r="F5531" s="28">
        <v>79910</v>
      </c>
      <c r="G5531" s="27" t="s">
        <v>8</v>
      </c>
      <c r="H5531" s="27" t="s">
        <v>1199</v>
      </c>
      <c r="I5531" s="27" t="s">
        <v>13</v>
      </c>
    </row>
    <row r="5532" spans="1:9" x14ac:dyDescent="0.3">
      <c r="A5532" s="26">
        <v>45223</v>
      </c>
      <c r="B5532" s="27" t="s">
        <v>124</v>
      </c>
      <c r="C5532" s="27" t="s">
        <v>15</v>
      </c>
      <c r="D5532" s="27" t="s">
        <v>19</v>
      </c>
      <c r="E5532" s="28">
        <v>109154</v>
      </c>
      <c r="F5532" s="28">
        <v>82084</v>
      </c>
      <c r="G5532" s="27" t="s">
        <v>17</v>
      </c>
      <c r="H5532" s="27" t="s">
        <v>2045</v>
      </c>
      <c r="I5532" s="27" t="s">
        <v>13</v>
      </c>
    </row>
    <row r="5533" spans="1:9" x14ac:dyDescent="0.3">
      <c r="A5533" s="26">
        <v>45223</v>
      </c>
      <c r="B5533" s="27" t="s">
        <v>124</v>
      </c>
      <c r="C5533" s="27" t="s">
        <v>10</v>
      </c>
      <c r="D5533" s="27" t="s">
        <v>16</v>
      </c>
      <c r="E5533" s="28">
        <v>55216</v>
      </c>
      <c r="F5533" s="28">
        <v>122094</v>
      </c>
      <c r="G5533" s="27" t="s">
        <v>17</v>
      </c>
      <c r="H5533" s="27" t="s">
        <v>2553</v>
      </c>
      <c r="I5533" s="27" t="s">
        <v>13</v>
      </c>
    </row>
    <row r="5534" spans="1:9" x14ac:dyDescent="0.3">
      <c r="A5534" s="26">
        <v>45223</v>
      </c>
      <c r="B5534" s="27" t="s">
        <v>124</v>
      </c>
      <c r="C5534" s="27" t="s">
        <v>20</v>
      </c>
      <c r="D5534" s="27" t="s">
        <v>19</v>
      </c>
      <c r="E5534" s="28">
        <v>28583</v>
      </c>
      <c r="F5534" s="28">
        <v>66694</v>
      </c>
      <c r="G5534" s="27" t="s">
        <v>17</v>
      </c>
      <c r="H5534" s="27" t="s">
        <v>2885</v>
      </c>
      <c r="I5534" s="27" t="s">
        <v>13</v>
      </c>
    </row>
    <row r="5535" spans="1:9" x14ac:dyDescent="0.3">
      <c r="A5535" s="26">
        <v>45223</v>
      </c>
      <c r="B5535" s="27" t="s">
        <v>124</v>
      </c>
      <c r="C5535" s="27" t="s">
        <v>20</v>
      </c>
      <c r="D5535" s="27" t="s">
        <v>24</v>
      </c>
      <c r="E5535" s="28">
        <v>148080</v>
      </c>
      <c r="F5535" s="28">
        <v>39130</v>
      </c>
      <c r="G5535" s="27" t="s">
        <v>8</v>
      </c>
      <c r="H5535" s="27" t="s">
        <v>3380</v>
      </c>
      <c r="I5535" s="27" t="s">
        <v>13</v>
      </c>
    </row>
    <row r="5536" spans="1:9" x14ac:dyDescent="0.3">
      <c r="A5536" s="26">
        <v>45223</v>
      </c>
      <c r="B5536" s="27" t="s">
        <v>124</v>
      </c>
      <c r="C5536" s="27" t="s">
        <v>6</v>
      </c>
      <c r="D5536" s="27" t="s">
        <v>16</v>
      </c>
      <c r="E5536" s="28">
        <v>66800</v>
      </c>
      <c r="F5536" s="28">
        <v>76300</v>
      </c>
      <c r="G5536" s="27" t="s">
        <v>17</v>
      </c>
      <c r="H5536" s="27" t="s">
        <v>3692</v>
      </c>
      <c r="I5536" s="27" t="s">
        <v>9</v>
      </c>
    </row>
    <row r="5537" spans="1:9" x14ac:dyDescent="0.3">
      <c r="A5537" s="26">
        <v>45223</v>
      </c>
      <c r="B5537" s="27" t="s">
        <v>124</v>
      </c>
      <c r="C5537" s="27" t="s">
        <v>93</v>
      </c>
      <c r="D5537" s="27" t="s">
        <v>7</v>
      </c>
      <c r="E5537" s="28">
        <v>76500</v>
      </c>
      <c r="F5537" s="28">
        <v>88600</v>
      </c>
      <c r="G5537" s="27" t="s">
        <v>22</v>
      </c>
      <c r="H5537" s="27" t="s">
        <v>4024</v>
      </c>
      <c r="I5537" s="27" t="s">
        <v>9</v>
      </c>
    </row>
    <row r="5538" spans="1:9" x14ac:dyDescent="0.3">
      <c r="A5538" s="26">
        <v>45223</v>
      </c>
      <c r="B5538" s="27" t="s">
        <v>124</v>
      </c>
      <c r="C5538" s="27" t="s">
        <v>93</v>
      </c>
      <c r="D5538" s="27" t="s">
        <v>16</v>
      </c>
      <c r="E5538" s="28">
        <v>169600</v>
      </c>
      <c r="F5538" s="28">
        <v>175500</v>
      </c>
      <c r="G5538" s="27" t="s">
        <v>11</v>
      </c>
      <c r="H5538" s="27" t="s">
        <v>4430</v>
      </c>
      <c r="I5538" s="27" t="s">
        <v>9</v>
      </c>
    </row>
    <row r="5539" spans="1:9" x14ac:dyDescent="0.3">
      <c r="A5539" s="26">
        <v>45223</v>
      </c>
      <c r="B5539" s="27" t="s">
        <v>124</v>
      </c>
      <c r="C5539" s="27" t="s">
        <v>93</v>
      </c>
      <c r="D5539" s="27" t="s">
        <v>24</v>
      </c>
      <c r="E5539" s="28">
        <v>124400</v>
      </c>
      <c r="F5539" s="28">
        <v>136900</v>
      </c>
      <c r="G5539" s="27" t="s">
        <v>22</v>
      </c>
      <c r="H5539" s="27" t="s">
        <v>4582</v>
      </c>
      <c r="I5539" s="27" t="s">
        <v>9</v>
      </c>
    </row>
    <row r="5540" spans="1:9" x14ac:dyDescent="0.3">
      <c r="A5540" s="26">
        <v>45223</v>
      </c>
      <c r="B5540" s="27" t="s">
        <v>124</v>
      </c>
      <c r="C5540" s="27" t="s">
        <v>6</v>
      </c>
      <c r="D5540" s="27" t="s">
        <v>19</v>
      </c>
      <c r="E5540" s="28">
        <v>122400</v>
      </c>
      <c r="F5540" s="28">
        <v>132700</v>
      </c>
      <c r="G5540" s="27" t="s">
        <v>11</v>
      </c>
      <c r="H5540" s="27" t="s">
        <v>5429</v>
      </c>
      <c r="I5540" s="27" t="s">
        <v>9</v>
      </c>
    </row>
    <row r="5541" spans="1:9" x14ac:dyDescent="0.3">
      <c r="A5541" s="26">
        <v>45223</v>
      </c>
      <c r="B5541" s="27" t="s">
        <v>124</v>
      </c>
      <c r="C5541" s="27" t="s">
        <v>6</v>
      </c>
      <c r="D5541" s="27" t="s">
        <v>16</v>
      </c>
      <c r="E5541" s="28">
        <v>64800</v>
      </c>
      <c r="F5541" s="28">
        <v>68700</v>
      </c>
      <c r="G5541" s="27" t="s">
        <v>17</v>
      </c>
      <c r="H5541" s="27" t="s">
        <v>5938</v>
      </c>
      <c r="I5541" s="27" t="s">
        <v>9</v>
      </c>
    </row>
    <row r="5542" spans="1:9" x14ac:dyDescent="0.3">
      <c r="A5542" s="26">
        <v>45223</v>
      </c>
      <c r="B5542" s="27" t="s">
        <v>124</v>
      </c>
      <c r="C5542" s="27" t="s">
        <v>6</v>
      </c>
      <c r="D5542" s="27" t="s">
        <v>19</v>
      </c>
      <c r="E5542" s="28">
        <v>125900</v>
      </c>
      <c r="F5542" s="28">
        <v>124900</v>
      </c>
      <c r="G5542" s="27" t="s">
        <v>11</v>
      </c>
      <c r="H5542" s="27" t="s">
        <v>6270</v>
      </c>
      <c r="I5542" s="27" t="s">
        <v>9</v>
      </c>
    </row>
    <row r="5543" spans="1:9" x14ac:dyDescent="0.3">
      <c r="A5543" s="26">
        <v>45223</v>
      </c>
      <c r="B5543" s="27" t="s">
        <v>124</v>
      </c>
      <c r="C5543" s="27" t="s">
        <v>6</v>
      </c>
      <c r="D5543" s="27" t="s">
        <v>24</v>
      </c>
      <c r="E5543" s="28">
        <v>126900</v>
      </c>
      <c r="F5543" s="28">
        <v>135800</v>
      </c>
      <c r="G5543" s="27" t="s">
        <v>11</v>
      </c>
      <c r="H5543" s="27" t="s">
        <v>6765</v>
      </c>
      <c r="I5543" s="27" t="s">
        <v>9</v>
      </c>
    </row>
    <row r="5544" spans="1:9" x14ac:dyDescent="0.3">
      <c r="A5544" s="26">
        <v>45224</v>
      </c>
      <c r="B5544" s="27" t="s">
        <v>124</v>
      </c>
      <c r="C5544" s="27" t="s">
        <v>20</v>
      </c>
      <c r="D5544" s="27" t="s">
        <v>7</v>
      </c>
      <c r="E5544" s="28">
        <v>59308</v>
      </c>
      <c r="F5544" s="28">
        <v>152158</v>
      </c>
      <c r="G5544" s="27" t="s">
        <v>8</v>
      </c>
      <c r="H5544" s="27" t="s">
        <v>1109</v>
      </c>
      <c r="I5544" s="27" t="s">
        <v>13</v>
      </c>
    </row>
    <row r="5545" spans="1:9" x14ac:dyDescent="0.3">
      <c r="A5545" s="26">
        <v>45224</v>
      </c>
      <c r="B5545" s="27" t="s">
        <v>124</v>
      </c>
      <c r="C5545" s="27" t="s">
        <v>32</v>
      </c>
      <c r="D5545" s="27" t="s">
        <v>7</v>
      </c>
      <c r="E5545" s="28">
        <v>12525</v>
      </c>
      <c r="F5545" s="28">
        <v>103038</v>
      </c>
      <c r="G5545" s="27" t="s">
        <v>11</v>
      </c>
      <c r="H5545" s="27" t="s">
        <v>1486</v>
      </c>
      <c r="I5545" s="27" t="s">
        <v>13</v>
      </c>
    </row>
    <row r="5546" spans="1:9" x14ac:dyDescent="0.3">
      <c r="A5546" s="26">
        <v>45224</v>
      </c>
      <c r="B5546" s="27" t="s">
        <v>124</v>
      </c>
      <c r="C5546" s="27" t="s">
        <v>20</v>
      </c>
      <c r="D5546" s="27" t="s">
        <v>16</v>
      </c>
      <c r="E5546" s="28">
        <v>74286</v>
      </c>
      <c r="F5546" s="28">
        <v>102285</v>
      </c>
      <c r="G5546" s="27" t="s">
        <v>17</v>
      </c>
      <c r="H5546" s="27" t="s">
        <v>2001</v>
      </c>
      <c r="I5546" s="27" t="s">
        <v>13</v>
      </c>
    </row>
    <row r="5547" spans="1:9" x14ac:dyDescent="0.3">
      <c r="A5547" s="26">
        <v>45224</v>
      </c>
      <c r="B5547" s="27" t="s">
        <v>124</v>
      </c>
      <c r="C5547" s="27" t="s">
        <v>20</v>
      </c>
      <c r="D5547" s="27" t="s">
        <v>16</v>
      </c>
      <c r="E5547" s="28">
        <v>27622</v>
      </c>
      <c r="F5547" s="28">
        <v>140846</v>
      </c>
      <c r="G5547" s="27" t="s">
        <v>11</v>
      </c>
      <c r="H5547" s="27" t="s">
        <v>2009</v>
      </c>
      <c r="I5547" s="27" t="s">
        <v>13</v>
      </c>
    </row>
    <row r="5548" spans="1:9" x14ac:dyDescent="0.3">
      <c r="A5548" s="26">
        <v>45224</v>
      </c>
      <c r="B5548" s="27" t="s">
        <v>124</v>
      </c>
      <c r="C5548" s="27" t="s">
        <v>15</v>
      </c>
      <c r="D5548" s="27" t="s">
        <v>19</v>
      </c>
      <c r="E5548" s="28">
        <v>65689</v>
      </c>
      <c r="F5548" s="28">
        <v>55099</v>
      </c>
      <c r="G5548" s="27" t="s">
        <v>22</v>
      </c>
      <c r="H5548" s="27" t="s">
        <v>2538</v>
      </c>
      <c r="I5548" s="27" t="s">
        <v>13</v>
      </c>
    </row>
    <row r="5549" spans="1:9" x14ac:dyDescent="0.3">
      <c r="A5549" s="26">
        <v>45224</v>
      </c>
      <c r="B5549" s="27" t="s">
        <v>124</v>
      </c>
      <c r="C5549" s="27" t="s">
        <v>14</v>
      </c>
      <c r="D5549" s="27" t="s">
        <v>7</v>
      </c>
      <c r="E5549" s="28">
        <v>111800</v>
      </c>
      <c r="F5549" s="28">
        <v>68982</v>
      </c>
      <c r="G5549" s="27" t="s">
        <v>17</v>
      </c>
      <c r="H5549" s="27" t="s">
        <v>2889</v>
      </c>
      <c r="I5549" s="27" t="s">
        <v>13</v>
      </c>
    </row>
    <row r="5550" spans="1:9" x14ac:dyDescent="0.3">
      <c r="A5550" s="26">
        <v>45224</v>
      </c>
      <c r="B5550" s="27" t="s">
        <v>124</v>
      </c>
      <c r="C5550" s="27" t="s">
        <v>18</v>
      </c>
      <c r="D5550" s="27" t="s">
        <v>7</v>
      </c>
      <c r="E5550" s="28">
        <v>20446</v>
      </c>
      <c r="F5550" s="28">
        <v>168090</v>
      </c>
      <c r="G5550" s="27" t="s">
        <v>8</v>
      </c>
      <c r="H5550" s="27" t="s">
        <v>3397</v>
      </c>
      <c r="I5550" s="27" t="s">
        <v>13</v>
      </c>
    </row>
    <row r="5551" spans="1:9" x14ac:dyDescent="0.3">
      <c r="A5551" s="26">
        <v>45224</v>
      </c>
      <c r="B5551" s="27" t="s">
        <v>124</v>
      </c>
      <c r="C5551" s="27" t="s">
        <v>6</v>
      </c>
      <c r="D5551" s="27" t="s">
        <v>7</v>
      </c>
      <c r="E5551" s="28">
        <v>167900</v>
      </c>
      <c r="F5551" s="28">
        <v>181100</v>
      </c>
      <c r="G5551" s="27" t="s">
        <v>11</v>
      </c>
      <c r="H5551" s="27" t="s">
        <v>4492</v>
      </c>
      <c r="I5551" s="27" t="s">
        <v>9</v>
      </c>
    </row>
    <row r="5552" spans="1:9" x14ac:dyDescent="0.3">
      <c r="A5552" s="26">
        <v>45224</v>
      </c>
      <c r="B5552" s="27" t="s">
        <v>124</v>
      </c>
      <c r="C5552" s="27" t="s">
        <v>93</v>
      </c>
      <c r="D5552" s="27" t="s">
        <v>7</v>
      </c>
      <c r="E5552" s="28">
        <v>129200</v>
      </c>
      <c r="F5552" s="28">
        <v>115500</v>
      </c>
      <c r="G5552" s="27" t="s">
        <v>11</v>
      </c>
      <c r="H5552" s="27" t="s">
        <v>4869</v>
      </c>
      <c r="I5552" s="27" t="s">
        <v>9</v>
      </c>
    </row>
    <row r="5553" spans="1:9" x14ac:dyDescent="0.3">
      <c r="A5553" s="26">
        <v>45224</v>
      </c>
      <c r="B5553" s="27" t="s">
        <v>124</v>
      </c>
      <c r="C5553" s="27" t="s">
        <v>6</v>
      </c>
      <c r="D5553" s="27" t="s">
        <v>16</v>
      </c>
      <c r="E5553" s="28">
        <v>203400</v>
      </c>
      <c r="F5553" s="28">
        <v>271800</v>
      </c>
      <c r="G5553" s="27" t="s">
        <v>11</v>
      </c>
      <c r="H5553" s="27" t="s">
        <v>5385</v>
      </c>
      <c r="I5553" s="27" t="s">
        <v>9</v>
      </c>
    </row>
    <row r="5554" spans="1:9" x14ac:dyDescent="0.3">
      <c r="A5554" s="26">
        <v>45224</v>
      </c>
      <c r="B5554" s="27" t="s">
        <v>124</v>
      </c>
      <c r="C5554" s="27" t="s">
        <v>93</v>
      </c>
      <c r="D5554" s="27" t="s">
        <v>16</v>
      </c>
      <c r="E5554" s="28">
        <v>95200</v>
      </c>
      <c r="F5554" s="28">
        <v>86100</v>
      </c>
      <c r="G5554" s="27" t="s">
        <v>22</v>
      </c>
      <c r="H5554" s="27" t="s">
        <v>5393</v>
      </c>
      <c r="I5554" s="27" t="s">
        <v>9</v>
      </c>
    </row>
    <row r="5555" spans="1:9" x14ac:dyDescent="0.3">
      <c r="A5555" s="26">
        <v>45224</v>
      </c>
      <c r="B5555" s="27" t="s">
        <v>124</v>
      </c>
      <c r="C5555" s="27" t="s">
        <v>93</v>
      </c>
      <c r="D5555" s="27" t="s">
        <v>19</v>
      </c>
      <c r="E5555" s="28">
        <v>180700</v>
      </c>
      <c r="F5555" s="28">
        <v>199700</v>
      </c>
      <c r="G5555" s="27" t="s">
        <v>11</v>
      </c>
      <c r="H5555" s="27" t="s">
        <v>5923</v>
      </c>
      <c r="I5555" s="27" t="s">
        <v>9</v>
      </c>
    </row>
    <row r="5556" spans="1:9" x14ac:dyDescent="0.3">
      <c r="A5556" s="26">
        <v>45224</v>
      </c>
      <c r="B5556" s="27" t="s">
        <v>124</v>
      </c>
      <c r="C5556" s="27" t="s">
        <v>93</v>
      </c>
      <c r="D5556" s="27" t="s">
        <v>7</v>
      </c>
      <c r="E5556" s="28">
        <v>67200</v>
      </c>
      <c r="F5556" s="28">
        <v>76600</v>
      </c>
      <c r="G5556" s="27" t="s">
        <v>11</v>
      </c>
      <c r="H5556" s="27" t="s">
        <v>6274</v>
      </c>
      <c r="I5556" s="27" t="s">
        <v>9</v>
      </c>
    </row>
    <row r="5557" spans="1:9" x14ac:dyDescent="0.3">
      <c r="A5557" s="26">
        <v>45224</v>
      </c>
      <c r="B5557" s="27" t="s">
        <v>124</v>
      </c>
      <c r="C5557" s="27" t="s">
        <v>6</v>
      </c>
      <c r="D5557" s="27" t="s">
        <v>7</v>
      </c>
      <c r="E5557" s="28">
        <v>178200</v>
      </c>
      <c r="F5557" s="28">
        <v>164700</v>
      </c>
      <c r="G5557" s="27" t="s">
        <v>11</v>
      </c>
      <c r="H5557" s="27" t="s">
        <v>6782</v>
      </c>
      <c r="I5557" s="27" t="s">
        <v>9</v>
      </c>
    </row>
    <row r="5558" spans="1:9" x14ac:dyDescent="0.3">
      <c r="A5558" s="26">
        <v>45225</v>
      </c>
      <c r="B5558" s="27" t="s">
        <v>124</v>
      </c>
      <c r="C5558" s="27" t="s">
        <v>18</v>
      </c>
      <c r="D5558" s="27" t="s">
        <v>7</v>
      </c>
      <c r="E5558" s="28">
        <v>18847</v>
      </c>
      <c r="F5558" s="28">
        <v>29633</v>
      </c>
      <c r="G5558" s="27" t="s">
        <v>17</v>
      </c>
      <c r="H5558" s="27" t="s">
        <v>66</v>
      </c>
      <c r="I5558" s="27" t="s">
        <v>13</v>
      </c>
    </row>
    <row r="5559" spans="1:9" x14ac:dyDescent="0.3">
      <c r="A5559" s="26">
        <v>45225</v>
      </c>
      <c r="B5559" s="27" t="s">
        <v>124</v>
      </c>
      <c r="C5559" s="27" t="s">
        <v>10</v>
      </c>
      <c r="D5559" s="27" t="s">
        <v>19</v>
      </c>
      <c r="E5559" s="28">
        <v>34437</v>
      </c>
      <c r="F5559" s="28">
        <v>49939</v>
      </c>
      <c r="G5559" s="27" t="s">
        <v>8</v>
      </c>
      <c r="H5559" s="27" t="s">
        <v>266</v>
      </c>
      <c r="I5559" s="27" t="s">
        <v>13</v>
      </c>
    </row>
    <row r="5560" spans="1:9" x14ac:dyDescent="0.3">
      <c r="A5560" s="26">
        <v>45225</v>
      </c>
      <c r="B5560" s="27" t="s">
        <v>124</v>
      </c>
      <c r="C5560" s="27" t="s">
        <v>14</v>
      </c>
      <c r="D5560" s="27" t="s">
        <v>21</v>
      </c>
      <c r="E5560" s="28">
        <v>148265</v>
      </c>
      <c r="F5560" s="28">
        <v>164047</v>
      </c>
      <c r="G5560" s="27" t="s">
        <v>17</v>
      </c>
      <c r="H5560" s="27" t="s">
        <v>301</v>
      </c>
      <c r="I5560" s="27" t="s">
        <v>13</v>
      </c>
    </row>
    <row r="5561" spans="1:9" x14ac:dyDescent="0.3">
      <c r="A5561" s="26">
        <v>45225</v>
      </c>
      <c r="B5561" s="27" t="s">
        <v>124</v>
      </c>
      <c r="C5561" s="27" t="s">
        <v>20</v>
      </c>
      <c r="D5561" s="27" t="s">
        <v>21</v>
      </c>
      <c r="E5561" s="28">
        <v>99266</v>
      </c>
      <c r="F5561" s="28">
        <v>146894</v>
      </c>
      <c r="G5561" s="27" t="s">
        <v>17</v>
      </c>
      <c r="H5561" s="27" t="s">
        <v>1427</v>
      </c>
      <c r="I5561" s="27" t="s">
        <v>13</v>
      </c>
    </row>
    <row r="5562" spans="1:9" x14ac:dyDescent="0.3">
      <c r="A5562" s="26">
        <v>45225</v>
      </c>
      <c r="B5562" s="27" t="s">
        <v>124</v>
      </c>
      <c r="C5562" s="27" t="s">
        <v>10</v>
      </c>
      <c r="D5562" s="27" t="s">
        <v>19</v>
      </c>
      <c r="E5562" s="28">
        <v>97635</v>
      </c>
      <c r="F5562" s="28">
        <v>31362</v>
      </c>
      <c r="G5562" s="27" t="s">
        <v>11</v>
      </c>
      <c r="H5562" s="27" t="s">
        <v>1460</v>
      </c>
      <c r="I5562" s="27" t="s">
        <v>13</v>
      </c>
    </row>
    <row r="5563" spans="1:9" x14ac:dyDescent="0.3">
      <c r="A5563" s="26">
        <v>45225</v>
      </c>
      <c r="B5563" s="27" t="s">
        <v>124</v>
      </c>
      <c r="C5563" s="27" t="s">
        <v>14</v>
      </c>
      <c r="D5563" s="27" t="s">
        <v>19</v>
      </c>
      <c r="E5563" s="28">
        <v>19782</v>
      </c>
      <c r="F5563" s="28">
        <v>82210</v>
      </c>
      <c r="G5563" s="27" t="s">
        <v>17</v>
      </c>
      <c r="H5563" s="27" t="s">
        <v>3040</v>
      </c>
      <c r="I5563" s="27" t="s">
        <v>13</v>
      </c>
    </row>
    <row r="5564" spans="1:9" x14ac:dyDescent="0.3">
      <c r="A5564" s="26">
        <v>45225</v>
      </c>
      <c r="B5564" s="27" t="s">
        <v>124</v>
      </c>
      <c r="C5564" s="27" t="s">
        <v>15</v>
      </c>
      <c r="D5564" s="27" t="s">
        <v>24</v>
      </c>
      <c r="E5564" s="28">
        <v>16621</v>
      </c>
      <c r="F5564" s="28">
        <v>86901</v>
      </c>
      <c r="G5564" s="27" t="s">
        <v>11</v>
      </c>
      <c r="H5564" s="27" t="s">
        <v>3321</v>
      </c>
      <c r="I5564" s="27" t="s">
        <v>13</v>
      </c>
    </row>
    <row r="5565" spans="1:9" x14ac:dyDescent="0.3">
      <c r="A5565" s="26">
        <v>45225</v>
      </c>
      <c r="B5565" s="27" t="s">
        <v>124</v>
      </c>
      <c r="C5565" s="27" t="s">
        <v>10</v>
      </c>
      <c r="D5565" s="27" t="s">
        <v>21</v>
      </c>
      <c r="E5565" s="28">
        <v>44832</v>
      </c>
      <c r="F5565" s="28">
        <v>31679</v>
      </c>
      <c r="G5565" s="27" t="s">
        <v>8</v>
      </c>
      <c r="H5565" s="27" t="s">
        <v>3410</v>
      </c>
      <c r="I5565" s="27" t="s">
        <v>13</v>
      </c>
    </row>
    <row r="5566" spans="1:9" x14ac:dyDescent="0.3">
      <c r="A5566" s="26">
        <v>45225</v>
      </c>
      <c r="B5566" s="27" t="s">
        <v>124</v>
      </c>
      <c r="C5566" s="27" t="s">
        <v>6</v>
      </c>
      <c r="D5566" s="27" t="s">
        <v>7</v>
      </c>
      <c r="E5566" s="28">
        <v>116000</v>
      </c>
      <c r="F5566" s="28">
        <v>158800</v>
      </c>
      <c r="G5566" s="27" t="s">
        <v>22</v>
      </c>
      <c r="H5566" s="27" t="s">
        <v>3476</v>
      </c>
      <c r="I5566" s="27" t="s">
        <v>9</v>
      </c>
    </row>
    <row r="5567" spans="1:9" x14ac:dyDescent="0.3">
      <c r="A5567" s="26">
        <v>45225</v>
      </c>
      <c r="B5567" s="27" t="s">
        <v>124</v>
      </c>
      <c r="C5567" s="27" t="s">
        <v>6</v>
      </c>
      <c r="D5567" s="27" t="s">
        <v>19</v>
      </c>
      <c r="E5567" s="28">
        <v>91700</v>
      </c>
      <c r="F5567" s="28">
        <v>120800</v>
      </c>
      <c r="G5567" s="27" t="s">
        <v>22</v>
      </c>
      <c r="H5567" s="27" t="s">
        <v>3647</v>
      </c>
      <c r="I5567" s="27" t="s">
        <v>9</v>
      </c>
    </row>
    <row r="5568" spans="1:9" x14ac:dyDescent="0.3">
      <c r="A5568" s="26">
        <v>45225</v>
      </c>
      <c r="B5568" s="27" t="s">
        <v>124</v>
      </c>
      <c r="C5568" s="27" t="s">
        <v>6</v>
      </c>
      <c r="D5568" s="27" t="s">
        <v>21</v>
      </c>
      <c r="E5568" s="28">
        <v>254100</v>
      </c>
      <c r="F5568" s="28">
        <v>293400</v>
      </c>
      <c r="G5568" s="27" t="s">
        <v>17</v>
      </c>
      <c r="H5568" s="27" t="s">
        <v>3682</v>
      </c>
      <c r="I5568" s="27" t="s">
        <v>9</v>
      </c>
    </row>
    <row r="5569" spans="1:9" x14ac:dyDescent="0.3">
      <c r="A5569" s="26">
        <v>45225</v>
      </c>
      <c r="B5569" s="27" t="s">
        <v>124</v>
      </c>
      <c r="C5569" s="27" t="s">
        <v>93</v>
      </c>
      <c r="D5569" s="27" t="s">
        <v>21</v>
      </c>
      <c r="E5569" s="28">
        <v>141200</v>
      </c>
      <c r="F5569" s="28">
        <v>144400</v>
      </c>
      <c r="G5569" s="27" t="s">
        <v>22</v>
      </c>
      <c r="H5569" s="27" t="s">
        <v>4810</v>
      </c>
      <c r="I5569" s="27" t="s">
        <v>9</v>
      </c>
    </row>
    <row r="5570" spans="1:9" x14ac:dyDescent="0.3">
      <c r="A5570" s="26">
        <v>45225</v>
      </c>
      <c r="B5570" s="27" t="s">
        <v>124</v>
      </c>
      <c r="C5570" s="27" t="s">
        <v>6</v>
      </c>
      <c r="D5570" s="27" t="s">
        <v>19</v>
      </c>
      <c r="E5570" s="28">
        <v>122400</v>
      </c>
      <c r="F5570" s="28">
        <v>106500</v>
      </c>
      <c r="G5570" s="27" t="s">
        <v>11</v>
      </c>
      <c r="H5570" s="27" t="s">
        <v>4843</v>
      </c>
      <c r="I5570" s="27" t="s">
        <v>9</v>
      </c>
    </row>
    <row r="5571" spans="1:9" x14ac:dyDescent="0.3">
      <c r="A5571" s="26">
        <v>45225</v>
      </c>
      <c r="B5571" s="27" t="s">
        <v>124</v>
      </c>
      <c r="C5571" s="27" t="s">
        <v>6</v>
      </c>
      <c r="D5571" s="27" t="s">
        <v>19</v>
      </c>
      <c r="E5571" s="28">
        <v>96900</v>
      </c>
      <c r="F5571" s="28">
        <v>124300</v>
      </c>
      <c r="G5571" s="27" t="s">
        <v>11</v>
      </c>
      <c r="H5571" s="27" t="s">
        <v>6425</v>
      </c>
      <c r="I5571" s="27" t="s">
        <v>9</v>
      </c>
    </row>
    <row r="5572" spans="1:9" x14ac:dyDescent="0.3">
      <c r="A5572" s="26">
        <v>45225</v>
      </c>
      <c r="B5572" s="27" t="s">
        <v>124</v>
      </c>
      <c r="C5572" s="27" t="s">
        <v>93</v>
      </c>
      <c r="D5572" s="27" t="s">
        <v>24</v>
      </c>
      <c r="E5572" s="28">
        <v>54200</v>
      </c>
      <c r="F5572" s="28">
        <v>57500</v>
      </c>
      <c r="G5572" s="27" t="s">
        <v>17</v>
      </c>
      <c r="H5572" s="27" t="s">
        <v>6706</v>
      </c>
      <c r="I5572" s="27" t="s">
        <v>9</v>
      </c>
    </row>
    <row r="5573" spans="1:9" x14ac:dyDescent="0.3">
      <c r="A5573" s="26">
        <v>45225</v>
      </c>
      <c r="B5573" s="27" t="s">
        <v>124</v>
      </c>
      <c r="C5573" s="27" t="s">
        <v>6</v>
      </c>
      <c r="D5573" s="27" t="s">
        <v>21</v>
      </c>
      <c r="E5573" s="28">
        <v>110900</v>
      </c>
      <c r="F5573" s="28">
        <v>94400</v>
      </c>
      <c r="G5573" s="27" t="s">
        <v>22</v>
      </c>
      <c r="H5573" s="27" t="s">
        <v>6795</v>
      </c>
      <c r="I5573" s="27" t="s">
        <v>9</v>
      </c>
    </row>
    <row r="5574" spans="1:9" x14ac:dyDescent="0.3">
      <c r="A5574" s="26">
        <v>45226</v>
      </c>
      <c r="B5574" s="27" t="s">
        <v>124</v>
      </c>
      <c r="C5574" s="27" t="s">
        <v>18</v>
      </c>
      <c r="D5574" s="27" t="s">
        <v>16</v>
      </c>
      <c r="E5574" s="28">
        <v>147869</v>
      </c>
      <c r="F5574" s="28">
        <v>160096</v>
      </c>
      <c r="G5574" s="27" t="s">
        <v>8</v>
      </c>
      <c r="H5574" s="27" t="s">
        <v>1214</v>
      </c>
      <c r="I5574" s="27" t="s">
        <v>13</v>
      </c>
    </row>
    <row r="5575" spans="1:9" x14ac:dyDescent="0.3">
      <c r="A5575" s="26">
        <v>45226</v>
      </c>
      <c r="B5575" s="27" t="s">
        <v>124</v>
      </c>
      <c r="C5575" s="27" t="s">
        <v>18</v>
      </c>
      <c r="D5575" s="27" t="s">
        <v>7</v>
      </c>
      <c r="E5575" s="28">
        <v>21900</v>
      </c>
      <c r="F5575" s="28">
        <v>108869</v>
      </c>
      <c r="G5575" s="27" t="s">
        <v>8</v>
      </c>
      <c r="H5575" s="27" t="s">
        <v>1411</v>
      </c>
      <c r="I5575" s="27" t="s">
        <v>13</v>
      </c>
    </row>
    <row r="5576" spans="1:9" x14ac:dyDescent="0.3">
      <c r="A5576" s="26">
        <v>45226</v>
      </c>
      <c r="B5576" s="27" t="s">
        <v>124</v>
      </c>
      <c r="C5576" s="27" t="s">
        <v>15</v>
      </c>
      <c r="D5576" s="27" t="s">
        <v>7</v>
      </c>
      <c r="E5576" s="28">
        <v>90069</v>
      </c>
      <c r="F5576" s="28">
        <v>94384</v>
      </c>
      <c r="G5576" s="27" t="s">
        <v>22</v>
      </c>
      <c r="H5576" s="27" t="s">
        <v>1488</v>
      </c>
      <c r="I5576" s="27" t="s">
        <v>13</v>
      </c>
    </row>
    <row r="5577" spans="1:9" x14ac:dyDescent="0.3">
      <c r="A5577" s="26">
        <v>45226</v>
      </c>
      <c r="B5577" s="27" t="s">
        <v>124</v>
      </c>
      <c r="C5577" s="27" t="s">
        <v>14</v>
      </c>
      <c r="D5577" s="27" t="s">
        <v>24</v>
      </c>
      <c r="E5577" s="28">
        <v>45917</v>
      </c>
      <c r="F5577" s="28">
        <v>37285</v>
      </c>
      <c r="G5577" s="27" t="s">
        <v>8</v>
      </c>
      <c r="H5577" s="27" t="s">
        <v>2318</v>
      </c>
      <c r="I5577" s="27" t="s">
        <v>13</v>
      </c>
    </row>
    <row r="5578" spans="1:9" x14ac:dyDescent="0.3">
      <c r="A5578" s="26">
        <v>45226</v>
      </c>
      <c r="B5578" s="27" t="s">
        <v>124</v>
      </c>
      <c r="C5578" s="27" t="s">
        <v>18</v>
      </c>
      <c r="D5578" s="27" t="s">
        <v>16</v>
      </c>
      <c r="E5578" s="28">
        <v>23558</v>
      </c>
      <c r="F5578" s="28">
        <v>138188</v>
      </c>
      <c r="G5578" s="27" t="s">
        <v>22</v>
      </c>
      <c r="H5578" s="27" t="s">
        <v>2421</v>
      </c>
      <c r="I5578" s="27" t="s">
        <v>13</v>
      </c>
    </row>
    <row r="5579" spans="1:9" x14ac:dyDescent="0.3">
      <c r="A5579" s="26">
        <v>45226</v>
      </c>
      <c r="B5579" s="27" t="s">
        <v>124</v>
      </c>
      <c r="C5579" s="27" t="s">
        <v>14</v>
      </c>
      <c r="D5579" s="27" t="s">
        <v>24</v>
      </c>
      <c r="E5579" s="28">
        <v>46417</v>
      </c>
      <c r="F5579" s="28">
        <v>135507</v>
      </c>
      <c r="G5579" s="27" t="s">
        <v>17</v>
      </c>
      <c r="H5579" s="27" t="s">
        <v>3208</v>
      </c>
      <c r="I5579" s="27" t="s">
        <v>13</v>
      </c>
    </row>
    <row r="5580" spans="1:9" x14ac:dyDescent="0.3">
      <c r="A5580" s="26">
        <v>45226</v>
      </c>
      <c r="B5580" s="27" t="s">
        <v>124</v>
      </c>
      <c r="C5580" s="27" t="s">
        <v>6</v>
      </c>
      <c r="D5580" s="27" t="s">
        <v>16</v>
      </c>
      <c r="E5580" s="28">
        <v>145100</v>
      </c>
      <c r="F5580" s="28">
        <v>112900</v>
      </c>
      <c r="G5580" s="27" t="s">
        <v>11</v>
      </c>
      <c r="H5580" s="27" t="s">
        <v>4597</v>
      </c>
      <c r="I5580" s="27" t="s">
        <v>9</v>
      </c>
    </row>
    <row r="5581" spans="1:9" x14ac:dyDescent="0.3">
      <c r="A5581" s="26">
        <v>45226</v>
      </c>
      <c r="B5581" s="27" t="s">
        <v>124</v>
      </c>
      <c r="C5581" s="27" t="s">
        <v>6</v>
      </c>
      <c r="D5581" s="27" t="s">
        <v>7</v>
      </c>
      <c r="E5581" s="28">
        <v>72700</v>
      </c>
      <c r="F5581" s="28">
        <v>97400</v>
      </c>
      <c r="G5581" s="27" t="s">
        <v>11</v>
      </c>
      <c r="H5581" s="27" t="s">
        <v>4794</v>
      </c>
      <c r="I5581" s="27" t="s">
        <v>9</v>
      </c>
    </row>
    <row r="5582" spans="1:9" x14ac:dyDescent="0.3">
      <c r="A5582" s="26">
        <v>45226</v>
      </c>
      <c r="B5582" s="27" t="s">
        <v>124</v>
      </c>
      <c r="C5582" s="27" t="s">
        <v>6</v>
      </c>
      <c r="D5582" s="27" t="s">
        <v>7</v>
      </c>
      <c r="E5582" s="28">
        <v>94200</v>
      </c>
      <c r="F5582" s="28">
        <v>89800</v>
      </c>
      <c r="G5582" s="27" t="s">
        <v>11</v>
      </c>
      <c r="H5582" s="27" t="s">
        <v>4871</v>
      </c>
      <c r="I5582" s="27" t="s">
        <v>9</v>
      </c>
    </row>
    <row r="5583" spans="1:9" x14ac:dyDescent="0.3">
      <c r="A5583" s="26">
        <v>45226</v>
      </c>
      <c r="B5583" s="27" t="s">
        <v>124</v>
      </c>
      <c r="C5583" s="27" t="s">
        <v>6</v>
      </c>
      <c r="D5583" s="27" t="s">
        <v>24</v>
      </c>
      <c r="E5583" s="28">
        <v>52300</v>
      </c>
      <c r="F5583" s="28">
        <v>58600</v>
      </c>
      <c r="G5583" s="27" t="s">
        <v>22</v>
      </c>
      <c r="H5583" s="27" t="s">
        <v>5703</v>
      </c>
      <c r="I5583" s="27" t="s">
        <v>9</v>
      </c>
    </row>
    <row r="5584" spans="1:9" x14ac:dyDescent="0.3">
      <c r="A5584" s="26">
        <v>45226</v>
      </c>
      <c r="B5584" s="27" t="s">
        <v>124</v>
      </c>
      <c r="C5584" s="27" t="s">
        <v>6</v>
      </c>
      <c r="D5584" s="27" t="s">
        <v>16</v>
      </c>
      <c r="E5584" s="28">
        <v>229600</v>
      </c>
      <c r="F5584" s="28">
        <v>261400</v>
      </c>
      <c r="G5584" s="27" t="s">
        <v>22</v>
      </c>
      <c r="H5584" s="27" t="s">
        <v>5806</v>
      </c>
      <c r="I5584" s="27" t="s">
        <v>9</v>
      </c>
    </row>
    <row r="5585" spans="1:9" x14ac:dyDescent="0.3">
      <c r="A5585" s="26">
        <v>45226</v>
      </c>
      <c r="B5585" s="27" t="s">
        <v>124</v>
      </c>
      <c r="C5585" s="27" t="s">
        <v>6</v>
      </c>
      <c r="D5585" s="27" t="s">
        <v>24</v>
      </c>
      <c r="E5585" s="28">
        <v>106000</v>
      </c>
      <c r="F5585" s="28">
        <v>106600</v>
      </c>
      <c r="G5585" s="27" t="s">
        <v>17</v>
      </c>
      <c r="H5585" s="27" t="s">
        <v>6593</v>
      </c>
      <c r="I5585" s="27" t="s">
        <v>9</v>
      </c>
    </row>
    <row r="5586" spans="1:9" x14ac:dyDescent="0.3">
      <c r="A5586" s="26">
        <v>45227</v>
      </c>
      <c r="B5586" s="27" t="s">
        <v>124</v>
      </c>
      <c r="C5586" s="27" t="s">
        <v>18</v>
      </c>
      <c r="D5586" s="27" t="s">
        <v>24</v>
      </c>
      <c r="E5586" s="28">
        <v>25095</v>
      </c>
      <c r="F5586" s="28">
        <v>90309</v>
      </c>
      <c r="G5586" s="27" t="s">
        <v>8</v>
      </c>
      <c r="H5586" s="27" t="s">
        <v>310</v>
      </c>
      <c r="I5586" s="27" t="s">
        <v>13</v>
      </c>
    </row>
    <row r="5587" spans="1:9" x14ac:dyDescent="0.3">
      <c r="A5587" s="26">
        <v>45227</v>
      </c>
      <c r="B5587" s="27" t="s">
        <v>124</v>
      </c>
      <c r="C5587" s="27" t="s">
        <v>15</v>
      </c>
      <c r="D5587" s="27" t="s">
        <v>21</v>
      </c>
      <c r="E5587" s="28">
        <v>23074</v>
      </c>
      <c r="F5587" s="28">
        <v>133175</v>
      </c>
      <c r="G5587" s="27" t="s">
        <v>17</v>
      </c>
      <c r="H5587" s="27" t="s">
        <v>523</v>
      </c>
      <c r="I5587" s="27" t="s">
        <v>13</v>
      </c>
    </row>
    <row r="5588" spans="1:9" x14ac:dyDescent="0.3">
      <c r="A5588" s="26">
        <v>45227</v>
      </c>
      <c r="B5588" s="27" t="s">
        <v>124</v>
      </c>
      <c r="C5588" s="27" t="s">
        <v>20</v>
      </c>
      <c r="D5588" s="27" t="s">
        <v>21</v>
      </c>
      <c r="E5588" s="28">
        <v>92503</v>
      </c>
      <c r="F5588" s="28">
        <v>120641</v>
      </c>
      <c r="G5588" s="27" t="s">
        <v>22</v>
      </c>
      <c r="H5588" s="27" t="s">
        <v>701</v>
      </c>
      <c r="I5588" s="27" t="s">
        <v>13</v>
      </c>
    </row>
    <row r="5589" spans="1:9" x14ac:dyDescent="0.3">
      <c r="A5589" s="26">
        <v>45227</v>
      </c>
      <c r="B5589" s="27" t="s">
        <v>124</v>
      </c>
      <c r="C5589" s="27" t="s">
        <v>20</v>
      </c>
      <c r="D5589" s="27" t="s">
        <v>16</v>
      </c>
      <c r="E5589" s="28">
        <v>40836</v>
      </c>
      <c r="F5589" s="28">
        <v>42869</v>
      </c>
      <c r="G5589" s="27" t="s">
        <v>8</v>
      </c>
      <c r="H5589" s="27" t="s">
        <v>1171</v>
      </c>
      <c r="I5589" s="27" t="s">
        <v>13</v>
      </c>
    </row>
    <row r="5590" spans="1:9" x14ac:dyDescent="0.3">
      <c r="A5590" s="26">
        <v>45227</v>
      </c>
      <c r="B5590" s="27" t="s">
        <v>124</v>
      </c>
      <c r="C5590" s="27" t="s">
        <v>15</v>
      </c>
      <c r="D5590" s="27" t="s">
        <v>24</v>
      </c>
      <c r="E5590" s="28">
        <v>86769</v>
      </c>
      <c r="F5590" s="28">
        <v>123213</v>
      </c>
      <c r="G5590" s="27" t="s">
        <v>17</v>
      </c>
      <c r="H5590" s="27" t="s">
        <v>1236</v>
      </c>
      <c r="I5590" s="27" t="s">
        <v>13</v>
      </c>
    </row>
    <row r="5591" spans="1:9" x14ac:dyDescent="0.3">
      <c r="A5591" s="26">
        <v>45227</v>
      </c>
      <c r="B5591" s="27" t="s">
        <v>124</v>
      </c>
      <c r="C5591" s="27" t="s">
        <v>18</v>
      </c>
      <c r="D5591" s="27" t="s">
        <v>21</v>
      </c>
      <c r="E5591" s="28">
        <v>71332</v>
      </c>
      <c r="F5591" s="28">
        <v>91014</v>
      </c>
      <c r="G5591" s="27" t="s">
        <v>11</v>
      </c>
      <c r="H5591" s="27" t="s">
        <v>1718</v>
      </c>
      <c r="I5591" s="27" t="s">
        <v>13</v>
      </c>
    </row>
    <row r="5592" spans="1:9" x14ac:dyDescent="0.3">
      <c r="A5592" s="26">
        <v>45227</v>
      </c>
      <c r="B5592" s="27" t="s">
        <v>124</v>
      </c>
      <c r="C5592" s="27" t="s">
        <v>10</v>
      </c>
      <c r="D5592" s="27" t="s">
        <v>19</v>
      </c>
      <c r="E5592" s="28">
        <v>98115</v>
      </c>
      <c r="F5592" s="28">
        <v>75500</v>
      </c>
      <c r="G5592" s="27" t="s">
        <v>11</v>
      </c>
      <c r="H5592" s="27" t="s">
        <v>1963</v>
      </c>
      <c r="I5592" s="27" t="s">
        <v>13</v>
      </c>
    </row>
    <row r="5593" spans="1:9" x14ac:dyDescent="0.3">
      <c r="A5593" s="26">
        <v>45227</v>
      </c>
      <c r="B5593" s="27" t="s">
        <v>124</v>
      </c>
      <c r="C5593" s="27" t="s">
        <v>15</v>
      </c>
      <c r="D5593" s="27" t="s">
        <v>21</v>
      </c>
      <c r="E5593" s="28">
        <v>47860</v>
      </c>
      <c r="F5593" s="28">
        <v>130817</v>
      </c>
      <c r="G5593" s="27" t="s">
        <v>11</v>
      </c>
      <c r="H5593" s="27" t="s">
        <v>2236</v>
      </c>
      <c r="I5593" s="27" t="s">
        <v>13</v>
      </c>
    </row>
    <row r="5594" spans="1:9" x14ac:dyDescent="0.3">
      <c r="A5594" s="26">
        <v>45227</v>
      </c>
      <c r="B5594" s="27" t="s">
        <v>124</v>
      </c>
      <c r="C5594" s="27" t="s">
        <v>15</v>
      </c>
      <c r="D5594" s="27" t="s">
        <v>21</v>
      </c>
      <c r="E5594" s="28">
        <v>121833</v>
      </c>
      <c r="F5594" s="28">
        <v>56221</v>
      </c>
      <c r="G5594" s="27" t="s">
        <v>22</v>
      </c>
      <c r="H5594" s="27" t="s">
        <v>2295</v>
      </c>
      <c r="I5594" s="27" t="s">
        <v>13</v>
      </c>
    </row>
    <row r="5595" spans="1:9" x14ac:dyDescent="0.3">
      <c r="A5595" s="26">
        <v>45227</v>
      </c>
      <c r="B5595" s="27" t="s">
        <v>124</v>
      </c>
      <c r="C5595" s="27" t="s">
        <v>14</v>
      </c>
      <c r="D5595" s="27" t="s">
        <v>19</v>
      </c>
      <c r="E5595" s="28">
        <v>114050</v>
      </c>
      <c r="F5595" s="28">
        <v>116862</v>
      </c>
      <c r="G5595" s="27" t="s">
        <v>8</v>
      </c>
      <c r="H5595" s="27" t="s">
        <v>2298</v>
      </c>
      <c r="I5595" s="27" t="s">
        <v>13</v>
      </c>
    </row>
    <row r="5596" spans="1:9" x14ac:dyDescent="0.3">
      <c r="A5596" s="26">
        <v>45227</v>
      </c>
      <c r="B5596" s="27" t="s">
        <v>124</v>
      </c>
      <c r="C5596" s="27" t="s">
        <v>15</v>
      </c>
      <c r="D5596" s="27" t="s">
        <v>19</v>
      </c>
      <c r="E5596" s="28">
        <v>104378</v>
      </c>
      <c r="F5596" s="28">
        <v>73427</v>
      </c>
      <c r="G5596" s="27" t="s">
        <v>11</v>
      </c>
      <c r="H5596" s="27" t="s">
        <v>2351</v>
      </c>
      <c r="I5596" s="27" t="s">
        <v>13</v>
      </c>
    </row>
    <row r="5597" spans="1:9" x14ac:dyDescent="0.3">
      <c r="A5597" s="26">
        <v>45227</v>
      </c>
      <c r="B5597" s="27" t="s">
        <v>124</v>
      </c>
      <c r="C5597" s="27" t="s">
        <v>32</v>
      </c>
      <c r="D5597" s="27" t="s">
        <v>21</v>
      </c>
      <c r="E5597" s="28">
        <v>21555</v>
      </c>
      <c r="F5597" s="28">
        <v>30591</v>
      </c>
      <c r="G5597" s="27" t="s">
        <v>22</v>
      </c>
      <c r="H5597" s="27" t="s">
        <v>2472</v>
      </c>
      <c r="I5597" s="27" t="s">
        <v>13</v>
      </c>
    </row>
    <row r="5598" spans="1:9" x14ac:dyDescent="0.3">
      <c r="A5598" s="26">
        <v>45227</v>
      </c>
      <c r="B5598" s="27" t="s">
        <v>124</v>
      </c>
      <c r="C5598" s="27" t="s">
        <v>32</v>
      </c>
      <c r="D5598" s="27" t="s">
        <v>19</v>
      </c>
      <c r="E5598" s="28">
        <v>127391</v>
      </c>
      <c r="F5598" s="28">
        <v>131053</v>
      </c>
      <c r="G5598" s="27" t="s">
        <v>8</v>
      </c>
      <c r="H5598" s="27" t="s">
        <v>3125</v>
      </c>
      <c r="I5598" s="27" t="s">
        <v>13</v>
      </c>
    </row>
    <row r="5599" spans="1:9" x14ac:dyDescent="0.3">
      <c r="A5599" s="26">
        <v>45227</v>
      </c>
      <c r="B5599" s="27" t="s">
        <v>124</v>
      </c>
      <c r="C5599" s="27" t="s">
        <v>6</v>
      </c>
      <c r="D5599" s="27" t="s">
        <v>24</v>
      </c>
      <c r="E5599" s="28">
        <v>114500</v>
      </c>
      <c r="F5599" s="28">
        <v>93400</v>
      </c>
      <c r="G5599" s="27" t="s">
        <v>11</v>
      </c>
      <c r="H5599" s="27" t="s">
        <v>3691</v>
      </c>
      <c r="I5599" s="27" t="s">
        <v>9</v>
      </c>
    </row>
    <row r="5600" spans="1:9" x14ac:dyDescent="0.3">
      <c r="A5600" s="26">
        <v>45227</v>
      </c>
      <c r="B5600" s="27" t="s">
        <v>124</v>
      </c>
      <c r="C5600" s="27" t="s">
        <v>93</v>
      </c>
      <c r="D5600" s="27" t="s">
        <v>21</v>
      </c>
      <c r="E5600" s="28">
        <v>117400</v>
      </c>
      <c r="F5600" s="28">
        <v>112000</v>
      </c>
      <c r="G5600" s="27" t="s">
        <v>22</v>
      </c>
      <c r="H5600" s="27" t="s">
        <v>3904</v>
      </c>
      <c r="I5600" s="27" t="s">
        <v>9</v>
      </c>
    </row>
    <row r="5601" spans="1:9" x14ac:dyDescent="0.3">
      <c r="A5601" s="26">
        <v>45227</v>
      </c>
      <c r="B5601" s="27" t="s">
        <v>124</v>
      </c>
      <c r="C5601" s="27" t="s">
        <v>6</v>
      </c>
      <c r="D5601" s="27" t="s">
        <v>21</v>
      </c>
      <c r="E5601" s="28">
        <v>94200</v>
      </c>
      <c r="F5601" s="28">
        <v>118700</v>
      </c>
      <c r="G5601" s="27" t="s">
        <v>11</v>
      </c>
      <c r="H5601" s="27" t="s">
        <v>4082</v>
      </c>
      <c r="I5601" s="27" t="s">
        <v>9</v>
      </c>
    </row>
    <row r="5602" spans="1:9" x14ac:dyDescent="0.3">
      <c r="A5602" s="26">
        <v>45227</v>
      </c>
      <c r="B5602" s="27" t="s">
        <v>124</v>
      </c>
      <c r="C5602" s="27" t="s">
        <v>6</v>
      </c>
      <c r="D5602" s="27" t="s">
        <v>16</v>
      </c>
      <c r="E5602" s="28">
        <v>48300</v>
      </c>
      <c r="F5602" s="28">
        <v>49700</v>
      </c>
      <c r="G5602" s="27" t="s">
        <v>11</v>
      </c>
      <c r="H5602" s="27" t="s">
        <v>4554</v>
      </c>
      <c r="I5602" s="27" t="s">
        <v>9</v>
      </c>
    </row>
    <row r="5603" spans="1:9" x14ac:dyDescent="0.3">
      <c r="A5603" s="26">
        <v>45227</v>
      </c>
      <c r="B5603" s="27" t="s">
        <v>124</v>
      </c>
      <c r="C5603" s="27" t="s">
        <v>93</v>
      </c>
      <c r="D5603" s="27" t="s">
        <v>24</v>
      </c>
      <c r="E5603" s="28">
        <v>99900</v>
      </c>
      <c r="F5603" s="28">
        <v>104300</v>
      </c>
      <c r="G5603" s="27" t="s">
        <v>22</v>
      </c>
      <c r="H5603" s="27" t="s">
        <v>4619</v>
      </c>
      <c r="I5603" s="27" t="s">
        <v>9</v>
      </c>
    </row>
    <row r="5604" spans="1:9" x14ac:dyDescent="0.3">
      <c r="A5604" s="26">
        <v>45227</v>
      </c>
      <c r="B5604" s="27" t="s">
        <v>124</v>
      </c>
      <c r="C5604" s="27" t="s">
        <v>93</v>
      </c>
      <c r="D5604" s="27" t="s">
        <v>21</v>
      </c>
      <c r="E5604" s="28">
        <v>140700</v>
      </c>
      <c r="F5604" s="28">
        <v>149700</v>
      </c>
      <c r="G5604" s="27" t="s">
        <v>11</v>
      </c>
      <c r="H5604" s="27" t="s">
        <v>5101</v>
      </c>
      <c r="I5604" s="27" t="s">
        <v>9</v>
      </c>
    </row>
    <row r="5605" spans="1:9" x14ac:dyDescent="0.3">
      <c r="A5605" s="26">
        <v>45227</v>
      </c>
      <c r="B5605" s="27" t="s">
        <v>124</v>
      </c>
      <c r="C5605" s="27" t="s">
        <v>93</v>
      </c>
      <c r="D5605" s="27" t="s">
        <v>19</v>
      </c>
      <c r="E5605" s="28">
        <v>49900</v>
      </c>
      <c r="F5605" s="28">
        <v>50900</v>
      </c>
      <c r="G5605" s="27" t="s">
        <v>22</v>
      </c>
      <c r="H5605" s="27" t="s">
        <v>5347</v>
      </c>
      <c r="I5605" s="27" t="s">
        <v>9</v>
      </c>
    </row>
    <row r="5606" spans="1:9" x14ac:dyDescent="0.3">
      <c r="A5606" s="26">
        <v>45227</v>
      </c>
      <c r="B5606" s="27" t="s">
        <v>124</v>
      </c>
      <c r="C5606" s="27" t="s">
        <v>93</v>
      </c>
      <c r="D5606" s="27" t="s">
        <v>21</v>
      </c>
      <c r="E5606" s="28">
        <v>59600</v>
      </c>
      <c r="F5606" s="28">
        <v>74300</v>
      </c>
      <c r="G5606" s="27" t="s">
        <v>11</v>
      </c>
      <c r="H5606" s="27" t="s">
        <v>5621</v>
      </c>
      <c r="I5606" s="27" t="s">
        <v>9</v>
      </c>
    </row>
    <row r="5607" spans="1:9" x14ac:dyDescent="0.3">
      <c r="A5607" s="26">
        <v>45227</v>
      </c>
      <c r="B5607" s="27" t="s">
        <v>124</v>
      </c>
      <c r="C5607" s="27" t="s">
        <v>6</v>
      </c>
      <c r="D5607" s="27" t="s">
        <v>21</v>
      </c>
      <c r="E5607" s="28">
        <v>213300</v>
      </c>
      <c r="F5607" s="28">
        <v>225700</v>
      </c>
      <c r="G5607" s="27" t="s">
        <v>11</v>
      </c>
      <c r="H5607" s="27" t="s">
        <v>5680</v>
      </c>
      <c r="I5607" s="27" t="s">
        <v>9</v>
      </c>
    </row>
    <row r="5608" spans="1:9" x14ac:dyDescent="0.3">
      <c r="A5608" s="26">
        <v>45227</v>
      </c>
      <c r="B5608" s="27" t="s">
        <v>124</v>
      </c>
      <c r="C5608" s="27" t="s">
        <v>6</v>
      </c>
      <c r="D5608" s="27" t="s">
        <v>19</v>
      </c>
      <c r="E5608" s="28">
        <v>69800</v>
      </c>
      <c r="F5608" s="28">
        <v>65600</v>
      </c>
      <c r="G5608" s="27" t="s">
        <v>11</v>
      </c>
      <c r="H5608" s="27" t="s">
        <v>5683</v>
      </c>
      <c r="I5608" s="27" t="s">
        <v>9</v>
      </c>
    </row>
    <row r="5609" spans="1:9" x14ac:dyDescent="0.3">
      <c r="A5609" s="26">
        <v>45227</v>
      </c>
      <c r="B5609" s="27" t="s">
        <v>124</v>
      </c>
      <c r="C5609" s="27" t="s">
        <v>6</v>
      </c>
      <c r="D5609" s="27" t="s">
        <v>19</v>
      </c>
      <c r="E5609" s="28">
        <v>124500</v>
      </c>
      <c r="F5609" s="28">
        <v>128600</v>
      </c>
      <c r="G5609" s="27" t="s">
        <v>11</v>
      </c>
      <c r="H5609" s="27" t="s">
        <v>5736</v>
      </c>
      <c r="I5609" s="27" t="s">
        <v>9</v>
      </c>
    </row>
    <row r="5610" spans="1:9" x14ac:dyDescent="0.3">
      <c r="A5610" s="26">
        <v>45227</v>
      </c>
      <c r="B5610" s="27" t="s">
        <v>124</v>
      </c>
      <c r="C5610" s="27" t="s">
        <v>6</v>
      </c>
      <c r="D5610" s="27" t="s">
        <v>21</v>
      </c>
      <c r="E5610" s="28">
        <v>143400</v>
      </c>
      <c r="F5610" s="28">
        <v>122500</v>
      </c>
      <c r="G5610" s="27" t="s">
        <v>22</v>
      </c>
      <c r="H5610" s="27" t="s">
        <v>5857</v>
      </c>
      <c r="I5610" s="27" t="s">
        <v>9</v>
      </c>
    </row>
    <row r="5611" spans="1:9" x14ac:dyDescent="0.3">
      <c r="A5611" s="26">
        <v>45227</v>
      </c>
      <c r="B5611" s="27" t="s">
        <v>124</v>
      </c>
      <c r="C5611" s="27" t="s">
        <v>93</v>
      </c>
      <c r="D5611" s="27" t="s">
        <v>19</v>
      </c>
      <c r="E5611" s="28">
        <v>204400</v>
      </c>
      <c r="F5611" s="28">
        <v>209500</v>
      </c>
      <c r="G5611" s="27" t="s">
        <v>11</v>
      </c>
      <c r="H5611" s="27" t="s">
        <v>6510</v>
      </c>
      <c r="I5611" s="27" t="s">
        <v>9</v>
      </c>
    </row>
    <row r="5612" spans="1:9" x14ac:dyDescent="0.3">
      <c r="A5612" s="26">
        <v>45228</v>
      </c>
      <c r="B5612" s="27" t="s">
        <v>124</v>
      </c>
      <c r="C5612" s="27" t="s">
        <v>14</v>
      </c>
      <c r="D5612" s="27" t="s">
        <v>21</v>
      </c>
      <c r="E5612" s="28">
        <v>90459</v>
      </c>
      <c r="F5612" s="28">
        <v>144210</v>
      </c>
      <c r="G5612" s="27" t="s">
        <v>11</v>
      </c>
      <c r="H5612" s="27" t="s">
        <v>252</v>
      </c>
      <c r="I5612" s="27" t="s">
        <v>13</v>
      </c>
    </row>
    <row r="5613" spans="1:9" x14ac:dyDescent="0.3">
      <c r="A5613" s="26">
        <v>45228</v>
      </c>
      <c r="B5613" s="27" t="s">
        <v>124</v>
      </c>
      <c r="C5613" s="27" t="s">
        <v>18</v>
      </c>
      <c r="D5613" s="27" t="s">
        <v>7</v>
      </c>
      <c r="E5613" s="28">
        <v>47265</v>
      </c>
      <c r="F5613" s="28">
        <v>118280</v>
      </c>
      <c r="G5613" s="27" t="s">
        <v>11</v>
      </c>
      <c r="H5613" s="27" t="s">
        <v>401</v>
      </c>
      <c r="I5613" s="27" t="s">
        <v>13</v>
      </c>
    </row>
    <row r="5614" spans="1:9" x14ac:dyDescent="0.3">
      <c r="A5614" s="26">
        <v>45228</v>
      </c>
      <c r="B5614" s="27" t="s">
        <v>124</v>
      </c>
      <c r="C5614" s="27" t="s">
        <v>20</v>
      </c>
      <c r="D5614" s="27" t="s">
        <v>7</v>
      </c>
      <c r="E5614" s="28">
        <v>141855</v>
      </c>
      <c r="F5614" s="28">
        <v>169528</v>
      </c>
      <c r="G5614" s="27" t="s">
        <v>8</v>
      </c>
      <c r="H5614" s="27" t="s">
        <v>618</v>
      </c>
      <c r="I5614" s="27" t="s">
        <v>13</v>
      </c>
    </row>
    <row r="5615" spans="1:9" x14ac:dyDescent="0.3">
      <c r="A5615" s="26">
        <v>45228</v>
      </c>
      <c r="B5615" s="27" t="s">
        <v>124</v>
      </c>
      <c r="C5615" s="27" t="s">
        <v>10</v>
      </c>
      <c r="D5615" s="27" t="s">
        <v>7</v>
      </c>
      <c r="E5615" s="28">
        <v>119623</v>
      </c>
      <c r="F5615" s="28">
        <v>56977</v>
      </c>
      <c r="G5615" s="27" t="s">
        <v>17</v>
      </c>
      <c r="H5615" s="27" t="s">
        <v>745</v>
      </c>
      <c r="I5615" s="27" t="s">
        <v>13</v>
      </c>
    </row>
    <row r="5616" spans="1:9" x14ac:dyDescent="0.3">
      <c r="A5616" s="26">
        <v>45228</v>
      </c>
      <c r="B5616" s="27" t="s">
        <v>124</v>
      </c>
      <c r="C5616" s="27" t="s">
        <v>20</v>
      </c>
      <c r="D5616" s="27" t="s">
        <v>16</v>
      </c>
      <c r="E5616" s="28">
        <v>93432</v>
      </c>
      <c r="F5616" s="28">
        <v>47856</v>
      </c>
      <c r="G5616" s="27" t="s">
        <v>11</v>
      </c>
      <c r="H5616" s="27" t="s">
        <v>911</v>
      </c>
      <c r="I5616" s="27" t="s">
        <v>13</v>
      </c>
    </row>
    <row r="5617" spans="1:9" x14ac:dyDescent="0.3">
      <c r="A5617" s="26">
        <v>45228</v>
      </c>
      <c r="B5617" s="27" t="s">
        <v>124</v>
      </c>
      <c r="C5617" s="27" t="s">
        <v>15</v>
      </c>
      <c r="D5617" s="27" t="s">
        <v>19</v>
      </c>
      <c r="E5617" s="28">
        <v>139017</v>
      </c>
      <c r="F5617" s="28">
        <v>57401</v>
      </c>
      <c r="G5617" s="27" t="s">
        <v>17</v>
      </c>
      <c r="H5617" s="27" t="s">
        <v>1321</v>
      </c>
      <c r="I5617" s="27" t="s">
        <v>13</v>
      </c>
    </row>
    <row r="5618" spans="1:9" x14ac:dyDescent="0.3">
      <c r="A5618" s="26">
        <v>45228</v>
      </c>
      <c r="B5618" s="27" t="s">
        <v>124</v>
      </c>
      <c r="C5618" s="27" t="s">
        <v>14</v>
      </c>
      <c r="D5618" s="27" t="s">
        <v>19</v>
      </c>
      <c r="E5618" s="28">
        <v>21989</v>
      </c>
      <c r="F5618" s="28">
        <v>53269</v>
      </c>
      <c r="G5618" s="27" t="s">
        <v>17</v>
      </c>
      <c r="H5618" s="27" t="s">
        <v>1696</v>
      </c>
      <c r="I5618" s="27" t="s">
        <v>13</v>
      </c>
    </row>
    <row r="5619" spans="1:9" x14ac:dyDescent="0.3">
      <c r="A5619" s="26">
        <v>45228</v>
      </c>
      <c r="B5619" s="27" t="s">
        <v>124</v>
      </c>
      <c r="C5619" s="27" t="s">
        <v>18</v>
      </c>
      <c r="D5619" s="27" t="s">
        <v>16</v>
      </c>
      <c r="E5619" s="28">
        <v>58417</v>
      </c>
      <c r="F5619" s="28">
        <v>28771</v>
      </c>
      <c r="G5619" s="27" t="s">
        <v>22</v>
      </c>
      <c r="H5619" s="27" t="s">
        <v>1866</v>
      </c>
      <c r="I5619" s="27" t="s">
        <v>13</v>
      </c>
    </row>
    <row r="5620" spans="1:9" x14ac:dyDescent="0.3">
      <c r="A5620" s="26">
        <v>45228</v>
      </c>
      <c r="B5620" s="27" t="s">
        <v>124</v>
      </c>
      <c r="C5620" s="27" t="s">
        <v>15</v>
      </c>
      <c r="D5620" s="27" t="s">
        <v>19</v>
      </c>
      <c r="E5620" s="28">
        <v>90496</v>
      </c>
      <c r="F5620" s="28">
        <v>24950</v>
      </c>
      <c r="G5620" s="27" t="s">
        <v>8</v>
      </c>
      <c r="H5620" s="27" t="s">
        <v>2325</v>
      </c>
      <c r="I5620" s="27" t="s">
        <v>13</v>
      </c>
    </row>
    <row r="5621" spans="1:9" x14ac:dyDescent="0.3">
      <c r="A5621" s="26">
        <v>45228</v>
      </c>
      <c r="B5621" s="27" t="s">
        <v>124</v>
      </c>
      <c r="C5621" s="27" t="s">
        <v>32</v>
      </c>
      <c r="D5621" s="27" t="s">
        <v>21</v>
      </c>
      <c r="E5621" s="28">
        <v>39118</v>
      </c>
      <c r="F5621" s="28">
        <v>32000</v>
      </c>
      <c r="G5621" s="27" t="s">
        <v>17</v>
      </c>
      <c r="H5621" s="27" t="s">
        <v>2786</v>
      </c>
      <c r="I5621" s="27" t="s">
        <v>13</v>
      </c>
    </row>
    <row r="5622" spans="1:9" x14ac:dyDescent="0.3">
      <c r="A5622" s="26">
        <v>45228</v>
      </c>
      <c r="B5622" s="27" t="s">
        <v>124</v>
      </c>
      <c r="C5622" s="27" t="s">
        <v>18</v>
      </c>
      <c r="D5622" s="27" t="s">
        <v>16</v>
      </c>
      <c r="E5622" s="28">
        <v>104000</v>
      </c>
      <c r="F5622" s="28">
        <v>19629</v>
      </c>
      <c r="G5622" s="27" t="s">
        <v>8</v>
      </c>
      <c r="H5622" s="27" t="s">
        <v>2998</v>
      </c>
      <c r="I5622" s="27" t="s">
        <v>13</v>
      </c>
    </row>
    <row r="5623" spans="1:9" x14ac:dyDescent="0.3">
      <c r="A5623" s="26">
        <v>45228</v>
      </c>
      <c r="B5623" s="27" t="s">
        <v>124</v>
      </c>
      <c r="C5623" s="27" t="s">
        <v>20</v>
      </c>
      <c r="D5623" s="27" t="s">
        <v>21</v>
      </c>
      <c r="E5623" s="28">
        <v>63890</v>
      </c>
      <c r="F5623" s="28">
        <v>44184</v>
      </c>
      <c r="G5623" s="27" t="s">
        <v>17</v>
      </c>
      <c r="H5623" s="27" t="s">
        <v>3079</v>
      </c>
      <c r="I5623" s="27" t="s">
        <v>13</v>
      </c>
    </row>
    <row r="5624" spans="1:9" x14ac:dyDescent="0.3">
      <c r="A5624" s="26">
        <v>45228</v>
      </c>
      <c r="B5624" s="27" t="s">
        <v>124</v>
      </c>
      <c r="C5624" s="27" t="s">
        <v>14</v>
      </c>
      <c r="D5624" s="27" t="s">
        <v>19</v>
      </c>
      <c r="E5624" s="28">
        <v>93593</v>
      </c>
      <c r="F5624" s="28">
        <v>78048</v>
      </c>
      <c r="G5624" s="27" t="s">
        <v>8</v>
      </c>
      <c r="H5624" s="27" t="s">
        <v>3094</v>
      </c>
      <c r="I5624" s="27" t="s">
        <v>13</v>
      </c>
    </row>
    <row r="5625" spans="1:9" x14ac:dyDescent="0.3">
      <c r="A5625" s="26">
        <v>45228</v>
      </c>
      <c r="B5625" s="27" t="s">
        <v>124</v>
      </c>
      <c r="C5625" s="27" t="s">
        <v>14</v>
      </c>
      <c r="D5625" s="27" t="s">
        <v>16</v>
      </c>
      <c r="E5625" s="28">
        <v>80655</v>
      </c>
      <c r="F5625" s="28">
        <v>125428</v>
      </c>
      <c r="G5625" s="27" t="s">
        <v>17</v>
      </c>
      <c r="H5625" s="27" t="s">
        <v>3118</v>
      </c>
      <c r="I5625" s="27" t="s">
        <v>13</v>
      </c>
    </row>
    <row r="5626" spans="1:9" x14ac:dyDescent="0.3">
      <c r="A5626" s="26">
        <v>45228</v>
      </c>
      <c r="B5626" s="27" t="s">
        <v>124</v>
      </c>
      <c r="C5626" s="27" t="s">
        <v>20</v>
      </c>
      <c r="D5626" s="27" t="s">
        <v>7</v>
      </c>
      <c r="E5626" s="28">
        <v>86723</v>
      </c>
      <c r="F5626" s="28">
        <v>148863</v>
      </c>
      <c r="G5626" s="27" t="s">
        <v>8</v>
      </c>
      <c r="H5626" s="27" t="s">
        <v>3408</v>
      </c>
      <c r="I5626" s="27" t="s">
        <v>13</v>
      </c>
    </row>
    <row r="5627" spans="1:9" x14ac:dyDescent="0.3">
      <c r="A5627" s="26">
        <v>45228</v>
      </c>
      <c r="B5627" s="27" t="s">
        <v>124</v>
      </c>
      <c r="C5627" s="27" t="s">
        <v>6</v>
      </c>
      <c r="D5627" s="27" t="s">
        <v>21</v>
      </c>
      <c r="E5627" s="28">
        <v>109200</v>
      </c>
      <c r="F5627" s="28">
        <v>106300</v>
      </c>
      <c r="G5627" s="27" t="s">
        <v>22</v>
      </c>
      <c r="H5627" s="27" t="s">
        <v>3633</v>
      </c>
      <c r="I5627" s="27" t="s">
        <v>9</v>
      </c>
    </row>
    <row r="5628" spans="1:9" x14ac:dyDescent="0.3">
      <c r="A5628" s="26">
        <v>45228</v>
      </c>
      <c r="B5628" s="27" t="s">
        <v>124</v>
      </c>
      <c r="C5628" s="27" t="s">
        <v>6</v>
      </c>
      <c r="D5628" s="27" t="s">
        <v>7</v>
      </c>
      <c r="E5628" s="28">
        <v>250200</v>
      </c>
      <c r="F5628" s="28">
        <v>203900</v>
      </c>
      <c r="G5628" s="27" t="s">
        <v>11</v>
      </c>
      <c r="H5628" s="27" t="s">
        <v>3782</v>
      </c>
      <c r="I5628" s="27" t="s">
        <v>9</v>
      </c>
    </row>
    <row r="5629" spans="1:9" x14ac:dyDescent="0.3">
      <c r="A5629" s="26">
        <v>45228</v>
      </c>
      <c r="B5629" s="27" t="s">
        <v>124</v>
      </c>
      <c r="C5629" s="27" t="s">
        <v>6</v>
      </c>
      <c r="D5629" s="27" t="s">
        <v>7</v>
      </c>
      <c r="E5629" s="28">
        <v>64800</v>
      </c>
      <c r="F5629" s="28">
        <v>76600</v>
      </c>
      <c r="G5629" s="27" t="s">
        <v>22</v>
      </c>
      <c r="H5629" s="27" t="s">
        <v>3999</v>
      </c>
      <c r="I5629" s="27" t="s">
        <v>9</v>
      </c>
    </row>
    <row r="5630" spans="1:9" x14ac:dyDescent="0.3">
      <c r="A5630" s="26">
        <v>45228</v>
      </c>
      <c r="B5630" s="27" t="s">
        <v>124</v>
      </c>
      <c r="C5630" s="27" t="s">
        <v>93</v>
      </c>
      <c r="D5630" s="27" t="s">
        <v>7</v>
      </c>
      <c r="E5630" s="28">
        <v>128800</v>
      </c>
      <c r="F5630" s="28">
        <v>148100</v>
      </c>
      <c r="G5630" s="27" t="s">
        <v>22</v>
      </c>
      <c r="H5630" s="27" t="s">
        <v>4126</v>
      </c>
      <c r="I5630" s="27" t="s">
        <v>9</v>
      </c>
    </row>
    <row r="5631" spans="1:9" x14ac:dyDescent="0.3">
      <c r="A5631" s="26">
        <v>45228</v>
      </c>
      <c r="B5631" s="27" t="s">
        <v>124</v>
      </c>
      <c r="C5631" s="27" t="s">
        <v>93</v>
      </c>
      <c r="D5631" s="27" t="s">
        <v>16</v>
      </c>
      <c r="E5631" s="28">
        <v>107800</v>
      </c>
      <c r="F5631" s="28">
        <v>133700</v>
      </c>
      <c r="G5631" s="27" t="s">
        <v>11</v>
      </c>
      <c r="H5631" s="27" t="s">
        <v>4292</v>
      </c>
      <c r="I5631" s="27" t="s">
        <v>9</v>
      </c>
    </row>
    <row r="5632" spans="1:9" x14ac:dyDescent="0.3">
      <c r="A5632" s="26">
        <v>45228</v>
      </c>
      <c r="B5632" s="27" t="s">
        <v>124</v>
      </c>
      <c r="C5632" s="27" t="s">
        <v>93</v>
      </c>
      <c r="D5632" s="27" t="s">
        <v>19</v>
      </c>
      <c r="E5632" s="28">
        <v>90800</v>
      </c>
      <c r="F5632" s="28">
        <v>97800</v>
      </c>
      <c r="G5632" s="27" t="s">
        <v>11</v>
      </c>
      <c r="H5632" s="27" t="s">
        <v>4704</v>
      </c>
      <c r="I5632" s="27" t="s">
        <v>9</v>
      </c>
    </row>
    <row r="5633" spans="1:9" x14ac:dyDescent="0.3">
      <c r="A5633" s="26">
        <v>45228</v>
      </c>
      <c r="B5633" s="27" t="s">
        <v>124</v>
      </c>
      <c r="C5633" s="27" t="s">
        <v>93</v>
      </c>
      <c r="D5633" s="27" t="s">
        <v>19</v>
      </c>
      <c r="E5633" s="28">
        <v>199300</v>
      </c>
      <c r="F5633" s="28">
        <v>202200</v>
      </c>
      <c r="G5633" s="27" t="s">
        <v>11</v>
      </c>
      <c r="H5633" s="27" t="s">
        <v>5079</v>
      </c>
      <c r="I5633" s="27" t="s">
        <v>9</v>
      </c>
    </row>
    <row r="5634" spans="1:9" x14ac:dyDescent="0.3">
      <c r="A5634" s="26">
        <v>45228</v>
      </c>
      <c r="B5634" s="27" t="s">
        <v>124</v>
      </c>
      <c r="C5634" s="27" t="s">
        <v>6</v>
      </c>
      <c r="D5634" s="27" t="s">
        <v>16</v>
      </c>
      <c r="E5634" s="28">
        <v>137400</v>
      </c>
      <c r="F5634" s="28">
        <v>108700</v>
      </c>
      <c r="G5634" s="27" t="s">
        <v>11</v>
      </c>
      <c r="H5634" s="27" t="s">
        <v>5250</v>
      </c>
      <c r="I5634" s="27" t="s">
        <v>9</v>
      </c>
    </row>
    <row r="5635" spans="1:9" x14ac:dyDescent="0.3">
      <c r="A5635" s="26">
        <v>45228</v>
      </c>
      <c r="B5635" s="27" t="s">
        <v>124</v>
      </c>
      <c r="C5635" s="27" t="s">
        <v>93</v>
      </c>
      <c r="D5635" s="27" t="s">
        <v>19</v>
      </c>
      <c r="E5635" s="28">
        <v>82200</v>
      </c>
      <c r="F5635" s="28">
        <v>73200</v>
      </c>
      <c r="G5635" s="27" t="s">
        <v>11</v>
      </c>
      <c r="H5635" s="27" t="s">
        <v>5710</v>
      </c>
      <c r="I5635" s="27" t="s">
        <v>9</v>
      </c>
    </row>
    <row r="5636" spans="1:9" x14ac:dyDescent="0.3">
      <c r="A5636" s="26">
        <v>45228</v>
      </c>
      <c r="B5636" s="27" t="s">
        <v>124</v>
      </c>
      <c r="C5636" s="27" t="s">
        <v>6</v>
      </c>
      <c r="D5636" s="27" t="s">
        <v>21</v>
      </c>
      <c r="E5636" s="28">
        <v>71900</v>
      </c>
      <c r="F5636" s="28">
        <v>74200</v>
      </c>
      <c r="G5636" s="27" t="s">
        <v>11</v>
      </c>
      <c r="H5636" s="27" t="s">
        <v>6171</v>
      </c>
      <c r="I5636" s="27" t="s">
        <v>9</v>
      </c>
    </row>
    <row r="5637" spans="1:9" x14ac:dyDescent="0.3">
      <c r="A5637" s="26">
        <v>45228</v>
      </c>
      <c r="B5637" s="27" t="s">
        <v>124</v>
      </c>
      <c r="C5637" s="27" t="s">
        <v>6</v>
      </c>
      <c r="D5637" s="27" t="s">
        <v>16</v>
      </c>
      <c r="E5637" s="28">
        <v>357700</v>
      </c>
      <c r="F5637" s="28">
        <v>373500</v>
      </c>
      <c r="G5637" s="27" t="s">
        <v>22</v>
      </c>
      <c r="H5637" s="27" t="s">
        <v>6383</v>
      </c>
      <c r="I5637" s="27" t="s">
        <v>9</v>
      </c>
    </row>
    <row r="5638" spans="1:9" x14ac:dyDescent="0.3">
      <c r="A5638" s="26">
        <v>45228</v>
      </c>
      <c r="B5638" s="27" t="s">
        <v>124</v>
      </c>
      <c r="C5638" s="27" t="s">
        <v>6</v>
      </c>
      <c r="D5638" s="27" t="s">
        <v>21</v>
      </c>
      <c r="E5638" s="28">
        <v>115100</v>
      </c>
      <c r="F5638" s="28">
        <v>129600</v>
      </c>
      <c r="G5638" s="27" t="s">
        <v>22</v>
      </c>
      <c r="H5638" s="27" t="s">
        <v>6464</v>
      </c>
      <c r="I5638" s="27" t="s">
        <v>9</v>
      </c>
    </row>
    <row r="5639" spans="1:9" x14ac:dyDescent="0.3">
      <c r="A5639" s="26">
        <v>45228</v>
      </c>
      <c r="B5639" s="27" t="s">
        <v>124</v>
      </c>
      <c r="C5639" s="27" t="s">
        <v>6</v>
      </c>
      <c r="D5639" s="27" t="s">
        <v>19</v>
      </c>
      <c r="E5639" s="28">
        <v>64500</v>
      </c>
      <c r="F5639" s="28">
        <v>49000</v>
      </c>
      <c r="G5639" s="27" t="s">
        <v>17</v>
      </c>
      <c r="H5639" s="27" t="s">
        <v>6479</v>
      </c>
      <c r="I5639" s="27" t="s">
        <v>9</v>
      </c>
    </row>
    <row r="5640" spans="1:9" x14ac:dyDescent="0.3">
      <c r="A5640" s="26">
        <v>45228</v>
      </c>
      <c r="B5640" s="27" t="s">
        <v>124</v>
      </c>
      <c r="C5640" s="27" t="s">
        <v>6</v>
      </c>
      <c r="D5640" s="27" t="s">
        <v>16</v>
      </c>
      <c r="E5640" s="28">
        <v>114800</v>
      </c>
      <c r="F5640" s="28">
        <v>102900</v>
      </c>
      <c r="G5640" s="27" t="s">
        <v>17</v>
      </c>
      <c r="H5640" s="27" t="s">
        <v>6503</v>
      </c>
      <c r="I5640" s="27" t="s">
        <v>9</v>
      </c>
    </row>
    <row r="5641" spans="1:9" x14ac:dyDescent="0.3">
      <c r="A5641" s="26">
        <v>45228</v>
      </c>
      <c r="B5641" s="27" t="s">
        <v>124</v>
      </c>
      <c r="C5641" s="27" t="s">
        <v>6</v>
      </c>
      <c r="D5641" s="27" t="s">
        <v>7</v>
      </c>
      <c r="E5641" s="28">
        <v>151300</v>
      </c>
      <c r="F5641" s="28">
        <v>179700</v>
      </c>
      <c r="G5641" s="27" t="s">
        <v>11</v>
      </c>
      <c r="H5641" s="27" t="s">
        <v>6793</v>
      </c>
      <c r="I5641" s="27" t="s">
        <v>9</v>
      </c>
    </row>
    <row r="5642" spans="1:9" x14ac:dyDescent="0.3">
      <c r="A5642" s="26">
        <v>45229</v>
      </c>
      <c r="B5642" s="27" t="s">
        <v>124</v>
      </c>
      <c r="C5642" s="27" t="s">
        <v>18</v>
      </c>
      <c r="D5642" s="27" t="s">
        <v>21</v>
      </c>
      <c r="E5642" s="28">
        <v>55793</v>
      </c>
      <c r="F5642" s="28">
        <v>21895</v>
      </c>
      <c r="G5642" s="27" t="s">
        <v>8</v>
      </c>
      <c r="H5642" s="27" t="s">
        <v>228</v>
      </c>
      <c r="I5642" s="27" t="s">
        <v>13</v>
      </c>
    </row>
    <row r="5643" spans="1:9" x14ac:dyDescent="0.3">
      <c r="A5643" s="26">
        <v>45229</v>
      </c>
      <c r="B5643" s="27" t="s">
        <v>124</v>
      </c>
      <c r="C5643" s="27" t="s">
        <v>14</v>
      </c>
      <c r="D5643" s="27" t="s">
        <v>19</v>
      </c>
      <c r="E5643" s="28">
        <v>85244</v>
      </c>
      <c r="F5643" s="28">
        <v>25736</v>
      </c>
      <c r="G5643" s="27" t="s">
        <v>8</v>
      </c>
      <c r="H5643" s="27" t="s">
        <v>1542</v>
      </c>
      <c r="I5643" s="27" t="s">
        <v>13</v>
      </c>
    </row>
    <row r="5644" spans="1:9" x14ac:dyDescent="0.3">
      <c r="A5644" s="26">
        <v>45229</v>
      </c>
      <c r="B5644" s="27" t="s">
        <v>124</v>
      </c>
      <c r="C5644" s="27" t="s">
        <v>18</v>
      </c>
      <c r="D5644" s="27" t="s">
        <v>21</v>
      </c>
      <c r="E5644" s="28">
        <v>74407</v>
      </c>
      <c r="F5644" s="28">
        <v>56673</v>
      </c>
      <c r="G5644" s="27" t="s">
        <v>8</v>
      </c>
      <c r="H5644" s="27" t="s">
        <v>1846</v>
      </c>
      <c r="I5644" s="27" t="s">
        <v>13</v>
      </c>
    </row>
    <row r="5645" spans="1:9" x14ac:dyDescent="0.3">
      <c r="A5645" s="26">
        <v>45229</v>
      </c>
      <c r="B5645" s="27" t="s">
        <v>124</v>
      </c>
      <c r="C5645" s="27" t="s">
        <v>20</v>
      </c>
      <c r="D5645" s="27" t="s">
        <v>21</v>
      </c>
      <c r="E5645" s="28">
        <v>138449</v>
      </c>
      <c r="F5645" s="28">
        <v>99680</v>
      </c>
      <c r="G5645" s="27" t="s">
        <v>8</v>
      </c>
      <c r="H5645" s="27" t="s">
        <v>2331</v>
      </c>
      <c r="I5645" s="27" t="s">
        <v>13</v>
      </c>
    </row>
    <row r="5646" spans="1:9" x14ac:dyDescent="0.3">
      <c r="A5646" s="26">
        <v>45229</v>
      </c>
      <c r="B5646" s="27" t="s">
        <v>124</v>
      </c>
      <c r="C5646" s="27" t="s">
        <v>10</v>
      </c>
      <c r="D5646" s="27" t="s">
        <v>19</v>
      </c>
      <c r="E5646" s="28">
        <v>95547</v>
      </c>
      <c r="F5646" s="28">
        <v>75904</v>
      </c>
      <c r="G5646" s="27" t="s">
        <v>17</v>
      </c>
      <c r="H5646" s="27" t="s">
        <v>2486</v>
      </c>
      <c r="I5646" s="27" t="s">
        <v>13</v>
      </c>
    </row>
    <row r="5647" spans="1:9" x14ac:dyDescent="0.3">
      <c r="A5647" s="26">
        <v>45229</v>
      </c>
      <c r="B5647" s="27" t="s">
        <v>124</v>
      </c>
      <c r="C5647" s="27" t="s">
        <v>14</v>
      </c>
      <c r="D5647" s="27" t="s">
        <v>19</v>
      </c>
      <c r="E5647" s="28">
        <v>114725</v>
      </c>
      <c r="F5647" s="28">
        <v>49229</v>
      </c>
      <c r="G5647" s="27" t="s">
        <v>11</v>
      </c>
      <c r="H5647" s="27" t="s">
        <v>2826</v>
      </c>
      <c r="I5647" s="27" t="s">
        <v>13</v>
      </c>
    </row>
    <row r="5648" spans="1:9" x14ac:dyDescent="0.3">
      <c r="A5648" s="26">
        <v>45229</v>
      </c>
      <c r="B5648" s="27" t="s">
        <v>124</v>
      </c>
      <c r="C5648" s="27" t="s">
        <v>6</v>
      </c>
      <c r="D5648" s="27" t="s">
        <v>21</v>
      </c>
      <c r="E5648" s="28">
        <v>68500</v>
      </c>
      <c r="F5648" s="28">
        <v>65700</v>
      </c>
      <c r="G5648" s="27" t="s">
        <v>11</v>
      </c>
      <c r="H5648" s="27" t="s">
        <v>3609</v>
      </c>
      <c r="I5648" s="27" t="s">
        <v>9</v>
      </c>
    </row>
    <row r="5649" spans="1:9" x14ac:dyDescent="0.3">
      <c r="A5649" s="26">
        <v>45229</v>
      </c>
      <c r="B5649" s="27" t="s">
        <v>124</v>
      </c>
      <c r="C5649" s="27" t="s">
        <v>93</v>
      </c>
      <c r="D5649" s="27" t="s">
        <v>19</v>
      </c>
      <c r="E5649" s="28">
        <v>66700</v>
      </c>
      <c r="F5649" s="28">
        <v>73000</v>
      </c>
      <c r="G5649" s="27" t="s">
        <v>11</v>
      </c>
      <c r="H5649" s="27" t="s">
        <v>4925</v>
      </c>
      <c r="I5649" s="27" t="s">
        <v>9</v>
      </c>
    </row>
    <row r="5650" spans="1:9" x14ac:dyDescent="0.3">
      <c r="A5650" s="26">
        <v>45229</v>
      </c>
      <c r="B5650" s="27" t="s">
        <v>124</v>
      </c>
      <c r="C5650" s="27" t="s">
        <v>93</v>
      </c>
      <c r="D5650" s="27" t="s">
        <v>21</v>
      </c>
      <c r="E5650" s="28">
        <v>71100</v>
      </c>
      <c r="F5650" s="28">
        <v>53900</v>
      </c>
      <c r="G5650" s="27" t="s">
        <v>11</v>
      </c>
      <c r="H5650" s="27" t="s">
        <v>5229</v>
      </c>
      <c r="I5650" s="27" t="s">
        <v>9</v>
      </c>
    </row>
    <row r="5651" spans="1:9" x14ac:dyDescent="0.3">
      <c r="A5651" s="26">
        <v>45229</v>
      </c>
      <c r="B5651" s="27" t="s">
        <v>124</v>
      </c>
      <c r="C5651" s="27" t="s">
        <v>6</v>
      </c>
      <c r="D5651" s="27" t="s">
        <v>21</v>
      </c>
      <c r="E5651" s="28">
        <v>244400</v>
      </c>
      <c r="F5651" s="28">
        <v>302700</v>
      </c>
      <c r="G5651" s="27" t="s">
        <v>11</v>
      </c>
      <c r="H5651" s="27" t="s">
        <v>5716</v>
      </c>
      <c r="I5651" s="27" t="s">
        <v>9</v>
      </c>
    </row>
    <row r="5652" spans="1:9" x14ac:dyDescent="0.3">
      <c r="A5652" s="26">
        <v>45229</v>
      </c>
      <c r="B5652" s="27" t="s">
        <v>124</v>
      </c>
      <c r="C5652" s="27" t="s">
        <v>6</v>
      </c>
      <c r="D5652" s="27" t="s">
        <v>19</v>
      </c>
      <c r="E5652" s="28">
        <v>145600</v>
      </c>
      <c r="F5652" s="28">
        <v>178600</v>
      </c>
      <c r="G5652" s="27" t="s">
        <v>17</v>
      </c>
      <c r="H5652" s="27" t="s">
        <v>5871</v>
      </c>
      <c r="I5652" s="27" t="s">
        <v>9</v>
      </c>
    </row>
    <row r="5653" spans="1:9" x14ac:dyDescent="0.3">
      <c r="A5653" s="26">
        <v>45229</v>
      </c>
      <c r="B5653" s="27" t="s">
        <v>124</v>
      </c>
      <c r="C5653" s="27" t="s">
        <v>93</v>
      </c>
      <c r="D5653" s="27" t="s">
        <v>19</v>
      </c>
      <c r="E5653" s="28">
        <v>165700</v>
      </c>
      <c r="F5653" s="28">
        <v>178900</v>
      </c>
      <c r="G5653" s="27" t="s">
        <v>11</v>
      </c>
      <c r="H5653" s="27" t="s">
        <v>6211</v>
      </c>
      <c r="I5653" s="27" t="s">
        <v>9</v>
      </c>
    </row>
    <row r="5654" spans="1:9" x14ac:dyDescent="0.3">
      <c r="A5654" s="26">
        <v>45230</v>
      </c>
      <c r="B5654" s="27" t="s">
        <v>124</v>
      </c>
      <c r="C5654" s="27" t="s">
        <v>10</v>
      </c>
      <c r="D5654" s="27" t="s">
        <v>21</v>
      </c>
      <c r="E5654" s="28">
        <v>144133</v>
      </c>
      <c r="F5654" s="28">
        <v>101164</v>
      </c>
      <c r="G5654" s="27" t="s">
        <v>22</v>
      </c>
      <c r="H5654" s="27" t="s">
        <v>599</v>
      </c>
      <c r="I5654" s="27" t="s">
        <v>13</v>
      </c>
    </row>
    <row r="5655" spans="1:9" x14ac:dyDescent="0.3">
      <c r="A5655" s="26">
        <v>45230</v>
      </c>
      <c r="B5655" s="27" t="s">
        <v>124</v>
      </c>
      <c r="C5655" s="27" t="s">
        <v>10</v>
      </c>
      <c r="D5655" s="27" t="s">
        <v>21</v>
      </c>
      <c r="E5655" s="28">
        <v>121399</v>
      </c>
      <c r="F5655" s="28">
        <v>88707</v>
      </c>
      <c r="G5655" s="27" t="s">
        <v>17</v>
      </c>
      <c r="H5655" s="27" t="s">
        <v>736</v>
      </c>
      <c r="I5655" s="27" t="s">
        <v>13</v>
      </c>
    </row>
    <row r="5656" spans="1:9" x14ac:dyDescent="0.3">
      <c r="A5656" s="26">
        <v>45230</v>
      </c>
      <c r="B5656" s="27" t="s">
        <v>124</v>
      </c>
      <c r="C5656" s="27" t="s">
        <v>14</v>
      </c>
      <c r="D5656" s="27" t="s">
        <v>7</v>
      </c>
      <c r="E5656" s="28">
        <v>136956</v>
      </c>
      <c r="F5656" s="28">
        <v>125083</v>
      </c>
      <c r="G5656" s="27" t="s">
        <v>8</v>
      </c>
      <c r="H5656" s="27" t="s">
        <v>773</v>
      </c>
      <c r="I5656" s="27" t="s">
        <v>13</v>
      </c>
    </row>
    <row r="5657" spans="1:9" x14ac:dyDescent="0.3">
      <c r="A5657" s="26">
        <v>45230</v>
      </c>
      <c r="B5657" s="27" t="s">
        <v>124</v>
      </c>
      <c r="C5657" s="27" t="s">
        <v>18</v>
      </c>
      <c r="D5657" s="27" t="s">
        <v>7</v>
      </c>
      <c r="E5657" s="28">
        <v>66108</v>
      </c>
      <c r="F5657" s="28">
        <v>161835</v>
      </c>
      <c r="G5657" s="27" t="s">
        <v>17</v>
      </c>
      <c r="H5657" s="27" t="s">
        <v>1013</v>
      </c>
      <c r="I5657" s="27" t="s">
        <v>13</v>
      </c>
    </row>
    <row r="5658" spans="1:9" x14ac:dyDescent="0.3">
      <c r="A5658" s="26">
        <v>45230</v>
      </c>
      <c r="B5658" s="27" t="s">
        <v>124</v>
      </c>
      <c r="C5658" s="27" t="s">
        <v>15</v>
      </c>
      <c r="D5658" s="27" t="s">
        <v>24</v>
      </c>
      <c r="E5658" s="28">
        <v>84881</v>
      </c>
      <c r="F5658" s="28">
        <v>25985</v>
      </c>
      <c r="G5658" s="27" t="s">
        <v>17</v>
      </c>
      <c r="H5658" s="27" t="s">
        <v>1426</v>
      </c>
      <c r="I5658" s="27" t="s">
        <v>13</v>
      </c>
    </row>
    <row r="5659" spans="1:9" x14ac:dyDescent="0.3">
      <c r="A5659" s="26">
        <v>45230</v>
      </c>
      <c r="B5659" s="27" t="s">
        <v>124</v>
      </c>
      <c r="C5659" s="27" t="s">
        <v>32</v>
      </c>
      <c r="D5659" s="27" t="s">
        <v>7</v>
      </c>
      <c r="E5659" s="28">
        <v>110637</v>
      </c>
      <c r="F5659" s="28">
        <v>127268</v>
      </c>
      <c r="G5659" s="27" t="s">
        <v>11</v>
      </c>
      <c r="H5659" s="27" t="s">
        <v>1689</v>
      </c>
      <c r="I5659" s="27" t="s">
        <v>13</v>
      </c>
    </row>
    <row r="5660" spans="1:9" x14ac:dyDescent="0.3">
      <c r="A5660" s="26">
        <v>45230</v>
      </c>
      <c r="B5660" s="27" t="s">
        <v>124</v>
      </c>
      <c r="C5660" s="27" t="s">
        <v>10</v>
      </c>
      <c r="D5660" s="27" t="s">
        <v>21</v>
      </c>
      <c r="E5660" s="28">
        <v>149560</v>
      </c>
      <c r="F5660" s="28">
        <v>20323</v>
      </c>
      <c r="G5660" s="27" t="s">
        <v>11</v>
      </c>
      <c r="H5660" s="27" t="s">
        <v>1785</v>
      </c>
      <c r="I5660" s="27" t="s">
        <v>13</v>
      </c>
    </row>
    <row r="5661" spans="1:9" x14ac:dyDescent="0.3">
      <c r="A5661" s="26">
        <v>45230</v>
      </c>
      <c r="B5661" s="27" t="s">
        <v>124</v>
      </c>
      <c r="C5661" s="27" t="s">
        <v>15</v>
      </c>
      <c r="D5661" s="27" t="s">
        <v>21</v>
      </c>
      <c r="E5661" s="28">
        <v>146429</v>
      </c>
      <c r="F5661" s="28">
        <v>110216</v>
      </c>
      <c r="G5661" s="27" t="s">
        <v>8</v>
      </c>
      <c r="H5661" s="27" t="s">
        <v>1799</v>
      </c>
      <c r="I5661" s="27" t="s">
        <v>13</v>
      </c>
    </row>
    <row r="5662" spans="1:9" x14ac:dyDescent="0.3">
      <c r="A5662" s="26">
        <v>45230</v>
      </c>
      <c r="B5662" s="27" t="s">
        <v>124</v>
      </c>
      <c r="C5662" s="27" t="s">
        <v>15</v>
      </c>
      <c r="D5662" s="27" t="s">
        <v>16</v>
      </c>
      <c r="E5662" s="28">
        <v>100890</v>
      </c>
      <c r="F5662" s="28">
        <v>134535</v>
      </c>
      <c r="G5662" s="27" t="s">
        <v>8</v>
      </c>
      <c r="H5662" s="27" t="s">
        <v>2413</v>
      </c>
      <c r="I5662" s="27" t="s">
        <v>13</v>
      </c>
    </row>
    <row r="5663" spans="1:9" x14ac:dyDescent="0.3">
      <c r="A5663" s="26">
        <v>45230</v>
      </c>
      <c r="B5663" s="27" t="s">
        <v>124</v>
      </c>
      <c r="C5663" s="27" t="s">
        <v>10</v>
      </c>
      <c r="D5663" s="27" t="s">
        <v>21</v>
      </c>
      <c r="E5663" s="28">
        <v>118287</v>
      </c>
      <c r="F5663" s="28">
        <v>138465</v>
      </c>
      <c r="G5663" s="27" t="s">
        <v>22</v>
      </c>
      <c r="H5663" s="27" t="s">
        <v>2658</v>
      </c>
      <c r="I5663" s="27" t="s">
        <v>13</v>
      </c>
    </row>
    <row r="5664" spans="1:9" x14ac:dyDescent="0.3">
      <c r="A5664" s="26">
        <v>45230</v>
      </c>
      <c r="B5664" s="27" t="s">
        <v>124</v>
      </c>
      <c r="C5664" s="27" t="s">
        <v>15</v>
      </c>
      <c r="D5664" s="27" t="s">
        <v>24</v>
      </c>
      <c r="E5664" s="28">
        <v>38975</v>
      </c>
      <c r="F5664" s="28">
        <v>122407</v>
      </c>
      <c r="G5664" s="27" t="s">
        <v>22</v>
      </c>
      <c r="H5664" s="27" t="s">
        <v>2783</v>
      </c>
      <c r="I5664" s="27" t="s">
        <v>13</v>
      </c>
    </row>
    <row r="5665" spans="1:9" x14ac:dyDescent="0.3">
      <c r="A5665" s="26">
        <v>45230</v>
      </c>
      <c r="B5665" s="27" t="s">
        <v>124</v>
      </c>
      <c r="C5665" s="27" t="s">
        <v>14</v>
      </c>
      <c r="D5665" s="27" t="s">
        <v>19</v>
      </c>
      <c r="E5665" s="28">
        <v>137340</v>
      </c>
      <c r="F5665" s="28">
        <v>89931</v>
      </c>
      <c r="G5665" s="27" t="s">
        <v>11</v>
      </c>
      <c r="H5665" s="27" t="s">
        <v>3396</v>
      </c>
      <c r="I5665" s="27" t="s">
        <v>13</v>
      </c>
    </row>
    <row r="5666" spans="1:9" x14ac:dyDescent="0.3">
      <c r="A5666" s="26">
        <v>45230</v>
      </c>
      <c r="B5666" s="27" t="s">
        <v>124</v>
      </c>
      <c r="C5666" s="27" t="s">
        <v>6</v>
      </c>
      <c r="D5666" s="27" t="s">
        <v>21</v>
      </c>
      <c r="E5666" s="28">
        <v>138000</v>
      </c>
      <c r="F5666" s="28">
        <v>139300</v>
      </c>
      <c r="G5666" s="27" t="s">
        <v>11</v>
      </c>
      <c r="H5666" s="27" t="s">
        <v>3980</v>
      </c>
      <c r="I5666" s="27" t="s">
        <v>9</v>
      </c>
    </row>
    <row r="5667" spans="1:9" x14ac:dyDescent="0.3">
      <c r="A5667" s="26">
        <v>45230</v>
      </c>
      <c r="B5667" s="27" t="s">
        <v>124</v>
      </c>
      <c r="C5667" s="27" t="s">
        <v>6</v>
      </c>
      <c r="D5667" s="27" t="s">
        <v>21</v>
      </c>
      <c r="E5667" s="28">
        <v>97400</v>
      </c>
      <c r="F5667" s="28">
        <v>96900</v>
      </c>
      <c r="G5667" s="27" t="s">
        <v>22</v>
      </c>
      <c r="H5667" s="27" t="s">
        <v>4117</v>
      </c>
      <c r="I5667" s="27" t="s">
        <v>9</v>
      </c>
    </row>
    <row r="5668" spans="1:9" x14ac:dyDescent="0.3">
      <c r="A5668" s="26">
        <v>45230</v>
      </c>
      <c r="B5668" s="27" t="s">
        <v>124</v>
      </c>
      <c r="C5668" s="27" t="s">
        <v>6</v>
      </c>
      <c r="D5668" s="27" t="s">
        <v>7</v>
      </c>
      <c r="E5668" s="28">
        <v>163000</v>
      </c>
      <c r="F5668" s="28">
        <v>155100</v>
      </c>
      <c r="G5668" s="27" t="s">
        <v>11</v>
      </c>
      <c r="H5668" s="27" t="s">
        <v>4154</v>
      </c>
      <c r="I5668" s="27" t="s">
        <v>9</v>
      </c>
    </row>
    <row r="5669" spans="1:9" x14ac:dyDescent="0.3">
      <c r="A5669" s="26">
        <v>45230</v>
      </c>
      <c r="B5669" s="27" t="s">
        <v>124</v>
      </c>
      <c r="C5669" s="27" t="s">
        <v>93</v>
      </c>
      <c r="D5669" s="27" t="s">
        <v>7</v>
      </c>
      <c r="E5669" s="28">
        <v>99100</v>
      </c>
      <c r="F5669" s="28">
        <v>98800</v>
      </c>
      <c r="G5669" s="27" t="s">
        <v>22</v>
      </c>
      <c r="H5669" s="27" t="s">
        <v>4394</v>
      </c>
      <c r="I5669" s="27" t="s">
        <v>9</v>
      </c>
    </row>
    <row r="5670" spans="1:9" x14ac:dyDescent="0.3">
      <c r="A5670" s="26">
        <v>45230</v>
      </c>
      <c r="B5670" s="27" t="s">
        <v>124</v>
      </c>
      <c r="C5670" s="27" t="s">
        <v>6</v>
      </c>
      <c r="D5670" s="27" t="s">
        <v>24</v>
      </c>
      <c r="E5670" s="28">
        <v>158500</v>
      </c>
      <c r="F5670" s="28">
        <v>135000</v>
      </c>
      <c r="G5670" s="27" t="s">
        <v>22</v>
      </c>
      <c r="H5670" s="27" t="s">
        <v>4809</v>
      </c>
      <c r="I5670" s="27" t="s">
        <v>9</v>
      </c>
    </row>
    <row r="5671" spans="1:9" x14ac:dyDescent="0.3">
      <c r="A5671" s="26">
        <v>45230</v>
      </c>
      <c r="B5671" s="27" t="s">
        <v>124</v>
      </c>
      <c r="C5671" s="27" t="s">
        <v>93</v>
      </c>
      <c r="D5671" s="27" t="s">
        <v>7</v>
      </c>
      <c r="E5671" s="28">
        <v>75600</v>
      </c>
      <c r="F5671" s="28">
        <v>55700</v>
      </c>
      <c r="G5671" s="27" t="s">
        <v>11</v>
      </c>
      <c r="H5671" s="27" t="s">
        <v>5072</v>
      </c>
      <c r="I5671" s="27" t="s">
        <v>9</v>
      </c>
    </row>
    <row r="5672" spans="1:9" x14ac:dyDescent="0.3">
      <c r="A5672" s="26">
        <v>45230</v>
      </c>
      <c r="B5672" s="27" t="s">
        <v>124</v>
      </c>
      <c r="C5672" s="27" t="s">
        <v>6</v>
      </c>
      <c r="D5672" s="27" t="s">
        <v>21</v>
      </c>
      <c r="E5672" s="28">
        <v>110400</v>
      </c>
      <c r="F5672" s="28">
        <v>68900</v>
      </c>
      <c r="G5672" s="27" t="s">
        <v>11</v>
      </c>
      <c r="H5672" s="27" t="s">
        <v>5168</v>
      </c>
      <c r="I5672" s="27" t="s">
        <v>9</v>
      </c>
    </row>
    <row r="5673" spans="1:9" x14ac:dyDescent="0.3">
      <c r="A5673" s="26">
        <v>45230</v>
      </c>
      <c r="B5673" s="27" t="s">
        <v>124</v>
      </c>
      <c r="C5673" s="27" t="s">
        <v>93</v>
      </c>
      <c r="D5673" s="27" t="s">
        <v>21</v>
      </c>
      <c r="E5673" s="28">
        <v>100000</v>
      </c>
      <c r="F5673" s="28">
        <v>107500</v>
      </c>
      <c r="G5673" s="27" t="s">
        <v>11</v>
      </c>
      <c r="H5673" s="27" t="s">
        <v>5182</v>
      </c>
      <c r="I5673" s="27" t="s">
        <v>9</v>
      </c>
    </row>
    <row r="5674" spans="1:9" x14ac:dyDescent="0.3">
      <c r="A5674" s="26">
        <v>45230</v>
      </c>
      <c r="B5674" s="27" t="s">
        <v>124</v>
      </c>
      <c r="C5674" s="27" t="s">
        <v>6</v>
      </c>
      <c r="D5674" s="27" t="s">
        <v>16</v>
      </c>
      <c r="E5674" s="28">
        <v>101600</v>
      </c>
      <c r="F5674" s="28">
        <v>108200</v>
      </c>
      <c r="G5674" s="27" t="s">
        <v>11</v>
      </c>
      <c r="H5674" s="27" t="s">
        <v>5798</v>
      </c>
      <c r="I5674" s="27" t="s">
        <v>9</v>
      </c>
    </row>
    <row r="5675" spans="1:9" x14ac:dyDescent="0.3">
      <c r="A5675" s="26">
        <v>45230</v>
      </c>
      <c r="B5675" s="27" t="s">
        <v>124</v>
      </c>
      <c r="C5675" s="27" t="s">
        <v>6</v>
      </c>
      <c r="D5675" s="27" t="s">
        <v>21</v>
      </c>
      <c r="E5675" s="28">
        <v>165300</v>
      </c>
      <c r="F5675" s="28">
        <v>216500</v>
      </c>
      <c r="G5675" s="27" t="s">
        <v>22</v>
      </c>
      <c r="H5675" s="27" t="s">
        <v>6043</v>
      </c>
      <c r="I5675" s="27" t="s">
        <v>9</v>
      </c>
    </row>
    <row r="5676" spans="1:9" x14ac:dyDescent="0.3">
      <c r="A5676" s="26">
        <v>45230</v>
      </c>
      <c r="B5676" s="27" t="s">
        <v>124</v>
      </c>
      <c r="C5676" s="27" t="s">
        <v>93</v>
      </c>
      <c r="D5676" s="27" t="s">
        <v>24</v>
      </c>
      <c r="E5676" s="28">
        <v>79500</v>
      </c>
      <c r="F5676" s="28">
        <v>106100</v>
      </c>
      <c r="G5676" s="27" t="s">
        <v>11</v>
      </c>
      <c r="H5676" s="27" t="s">
        <v>6168</v>
      </c>
      <c r="I5676" s="27" t="s">
        <v>9</v>
      </c>
    </row>
    <row r="5677" spans="1:9" x14ac:dyDescent="0.3">
      <c r="A5677" s="26">
        <v>45230</v>
      </c>
      <c r="B5677" s="27" t="s">
        <v>124</v>
      </c>
      <c r="C5677" s="27" t="s">
        <v>6</v>
      </c>
      <c r="D5677" s="27" t="s">
        <v>19</v>
      </c>
      <c r="E5677" s="28">
        <v>107300</v>
      </c>
      <c r="F5677" s="28">
        <v>121900</v>
      </c>
      <c r="G5677" s="27" t="s">
        <v>11</v>
      </c>
      <c r="H5677" s="27" t="s">
        <v>6781</v>
      </c>
      <c r="I5677" s="27" t="s">
        <v>9</v>
      </c>
    </row>
    <row r="5678" spans="1:9" x14ac:dyDescent="0.3">
      <c r="A5678" s="26">
        <v>45231</v>
      </c>
      <c r="B5678" s="27" t="s">
        <v>125</v>
      </c>
      <c r="C5678" s="27" t="s">
        <v>32</v>
      </c>
      <c r="D5678" s="27" t="s">
        <v>21</v>
      </c>
      <c r="E5678" s="28">
        <v>71265</v>
      </c>
      <c r="F5678" s="28">
        <v>66989</v>
      </c>
      <c r="G5678" s="27" t="s">
        <v>11</v>
      </c>
      <c r="H5678" s="27" t="s">
        <v>1226</v>
      </c>
      <c r="I5678" s="27" t="s">
        <v>13</v>
      </c>
    </row>
    <row r="5679" spans="1:9" x14ac:dyDescent="0.3">
      <c r="A5679" s="26">
        <v>45231</v>
      </c>
      <c r="B5679" s="27" t="s">
        <v>125</v>
      </c>
      <c r="C5679" s="27" t="s">
        <v>14</v>
      </c>
      <c r="D5679" s="27" t="s">
        <v>21</v>
      </c>
      <c r="E5679" s="28">
        <v>104697</v>
      </c>
      <c r="F5679" s="28">
        <v>143419</v>
      </c>
      <c r="G5679" s="27" t="s">
        <v>17</v>
      </c>
      <c r="H5679" s="27" t="s">
        <v>2339</v>
      </c>
      <c r="I5679" s="27" t="s">
        <v>13</v>
      </c>
    </row>
    <row r="5680" spans="1:9" x14ac:dyDescent="0.3">
      <c r="A5680" s="26">
        <v>45231</v>
      </c>
      <c r="B5680" s="27" t="s">
        <v>125</v>
      </c>
      <c r="C5680" s="27" t="s">
        <v>18</v>
      </c>
      <c r="D5680" s="27" t="s">
        <v>21</v>
      </c>
      <c r="E5680" s="28">
        <v>126831</v>
      </c>
      <c r="F5680" s="28">
        <v>52285</v>
      </c>
      <c r="G5680" s="27" t="s">
        <v>8</v>
      </c>
      <c r="H5680" s="27" t="s">
        <v>2584</v>
      </c>
      <c r="I5680" s="27" t="s">
        <v>13</v>
      </c>
    </row>
    <row r="5681" spans="1:9" x14ac:dyDescent="0.3">
      <c r="A5681" s="26">
        <v>45231</v>
      </c>
      <c r="B5681" s="27" t="s">
        <v>125</v>
      </c>
      <c r="C5681" s="27" t="s">
        <v>18</v>
      </c>
      <c r="D5681" s="27" t="s">
        <v>19</v>
      </c>
      <c r="E5681" s="28">
        <v>49701</v>
      </c>
      <c r="F5681" s="28">
        <v>97594</v>
      </c>
      <c r="G5681" s="27" t="s">
        <v>11</v>
      </c>
      <c r="H5681" s="27" t="s">
        <v>2780</v>
      </c>
      <c r="I5681" s="27" t="s">
        <v>13</v>
      </c>
    </row>
    <row r="5682" spans="1:9" x14ac:dyDescent="0.3">
      <c r="A5682" s="26">
        <v>45231</v>
      </c>
      <c r="B5682" s="27" t="s">
        <v>125</v>
      </c>
      <c r="C5682" s="27" t="s">
        <v>6</v>
      </c>
      <c r="D5682" s="27" t="s">
        <v>21</v>
      </c>
      <c r="E5682" s="28">
        <v>111900</v>
      </c>
      <c r="F5682" s="28">
        <v>91700</v>
      </c>
      <c r="G5682" s="27" t="s">
        <v>11</v>
      </c>
      <c r="H5682" s="27" t="s">
        <v>4609</v>
      </c>
      <c r="I5682" s="27" t="s">
        <v>9</v>
      </c>
    </row>
    <row r="5683" spans="1:9" x14ac:dyDescent="0.3">
      <c r="A5683" s="26">
        <v>45231</v>
      </c>
      <c r="B5683" s="27" t="s">
        <v>125</v>
      </c>
      <c r="C5683" s="27" t="s">
        <v>6</v>
      </c>
      <c r="D5683" s="27" t="s">
        <v>21</v>
      </c>
      <c r="E5683" s="28">
        <v>155000</v>
      </c>
      <c r="F5683" s="28">
        <v>168700</v>
      </c>
      <c r="G5683" s="27" t="s">
        <v>11</v>
      </c>
      <c r="H5683" s="27" t="s">
        <v>5724</v>
      </c>
      <c r="I5683" s="27" t="s">
        <v>9</v>
      </c>
    </row>
    <row r="5684" spans="1:9" x14ac:dyDescent="0.3">
      <c r="A5684" s="26">
        <v>45231</v>
      </c>
      <c r="B5684" s="27" t="s">
        <v>125</v>
      </c>
      <c r="C5684" s="27" t="s">
        <v>93</v>
      </c>
      <c r="D5684" s="27" t="s">
        <v>21</v>
      </c>
      <c r="E5684" s="28">
        <v>75300</v>
      </c>
      <c r="F5684" s="28">
        <v>75000</v>
      </c>
      <c r="G5684" s="27" t="s">
        <v>11</v>
      </c>
      <c r="H5684" s="27" t="s">
        <v>5969</v>
      </c>
      <c r="I5684" s="27" t="s">
        <v>9</v>
      </c>
    </row>
    <row r="5685" spans="1:9" x14ac:dyDescent="0.3">
      <c r="A5685" s="26">
        <v>45231</v>
      </c>
      <c r="B5685" s="27" t="s">
        <v>125</v>
      </c>
      <c r="C5685" s="27" t="s">
        <v>93</v>
      </c>
      <c r="D5685" s="27" t="s">
        <v>19</v>
      </c>
      <c r="E5685" s="28">
        <v>165700</v>
      </c>
      <c r="F5685" s="28">
        <v>217100</v>
      </c>
      <c r="G5685" s="27" t="s">
        <v>17</v>
      </c>
      <c r="H5685" s="27" t="s">
        <v>6165</v>
      </c>
      <c r="I5685" s="27" t="s">
        <v>9</v>
      </c>
    </row>
    <row r="5686" spans="1:9" x14ac:dyDescent="0.3">
      <c r="A5686" s="26">
        <v>45232</v>
      </c>
      <c r="B5686" s="27" t="s">
        <v>125</v>
      </c>
      <c r="C5686" s="27" t="s">
        <v>10</v>
      </c>
      <c r="D5686" s="27" t="s">
        <v>24</v>
      </c>
      <c r="E5686" s="28">
        <v>14180</v>
      </c>
      <c r="F5686" s="28">
        <v>57339</v>
      </c>
      <c r="G5686" s="27" t="s">
        <v>22</v>
      </c>
      <c r="H5686" s="27" t="s">
        <v>247</v>
      </c>
      <c r="I5686" s="27" t="s">
        <v>13</v>
      </c>
    </row>
    <row r="5687" spans="1:9" x14ac:dyDescent="0.3">
      <c r="A5687" s="26">
        <v>45232</v>
      </c>
      <c r="B5687" s="27" t="s">
        <v>125</v>
      </c>
      <c r="C5687" s="27" t="s">
        <v>14</v>
      </c>
      <c r="D5687" s="27" t="s">
        <v>7</v>
      </c>
      <c r="E5687" s="28">
        <v>99836</v>
      </c>
      <c r="F5687" s="28">
        <v>27388</v>
      </c>
      <c r="G5687" s="27" t="s">
        <v>11</v>
      </c>
      <c r="H5687" s="27" t="s">
        <v>571</v>
      </c>
      <c r="I5687" s="27" t="s">
        <v>13</v>
      </c>
    </row>
    <row r="5688" spans="1:9" x14ac:dyDescent="0.3">
      <c r="A5688" s="26">
        <v>45232</v>
      </c>
      <c r="B5688" s="27" t="s">
        <v>125</v>
      </c>
      <c r="C5688" s="27" t="s">
        <v>10</v>
      </c>
      <c r="D5688" s="27" t="s">
        <v>16</v>
      </c>
      <c r="E5688" s="28">
        <v>37502</v>
      </c>
      <c r="F5688" s="28">
        <v>119058</v>
      </c>
      <c r="G5688" s="27" t="s">
        <v>17</v>
      </c>
      <c r="H5688" s="27" t="s">
        <v>613</v>
      </c>
      <c r="I5688" s="27" t="s">
        <v>13</v>
      </c>
    </row>
    <row r="5689" spans="1:9" x14ac:dyDescent="0.3">
      <c r="A5689" s="26">
        <v>45232</v>
      </c>
      <c r="B5689" s="27" t="s">
        <v>125</v>
      </c>
      <c r="C5689" s="27" t="s">
        <v>32</v>
      </c>
      <c r="D5689" s="27" t="s">
        <v>19</v>
      </c>
      <c r="E5689" s="28">
        <v>85450</v>
      </c>
      <c r="F5689" s="28">
        <v>24983</v>
      </c>
      <c r="G5689" s="27" t="s">
        <v>22</v>
      </c>
      <c r="H5689" s="27" t="s">
        <v>688</v>
      </c>
      <c r="I5689" s="27" t="s">
        <v>13</v>
      </c>
    </row>
    <row r="5690" spans="1:9" x14ac:dyDescent="0.3">
      <c r="A5690" s="26">
        <v>45232</v>
      </c>
      <c r="B5690" s="27" t="s">
        <v>125</v>
      </c>
      <c r="C5690" s="27" t="s">
        <v>15</v>
      </c>
      <c r="D5690" s="27" t="s">
        <v>21</v>
      </c>
      <c r="E5690" s="28">
        <v>136195</v>
      </c>
      <c r="F5690" s="28">
        <v>83328</v>
      </c>
      <c r="G5690" s="27" t="s">
        <v>11</v>
      </c>
      <c r="H5690" s="27" t="s">
        <v>715</v>
      </c>
      <c r="I5690" s="27" t="s">
        <v>13</v>
      </c>
    </row>
    <row r="5691" spans="1:9" x14ac:dyDescent="0.3">
      <c r="A5691" s="26">
        <v>45232</v>
      </c>
      <c r="B5691" s="27" t="s">
        <v>125</v>
      </c>
      <c r="C5691" s="27" t="s">
        <v>15</v>
      </c>
      <c r="D5691" s="27" t="s">
        <v>7</v>
      </c>
      <c r="E5691" s="28">
        <v>83640</v>
      </c>
      <c r="F5691" s="28">
        <v>157130</v>
      </c>
      <c r="G5691" s="27" t="s">
        <v>22</v>
      </c>
      <c r="H5691" s="27" t="s">
        <v>779</v>
      </c>
      <c r="I5691" s="27" t="s">
        <v>13</v>
      </c>
    </row>
    <row r="5692" spans="1:9" x14ac:dyDescent="0.3">
      <c r="A5692" s="26">
        <v>45232</v>
      </c>
      <c r="B5692" s="27" t="s">
        <v>125</v>
      </c>
      <c r="C5692" s="27" t="s">
        <v>14</v>
      </c>
      <c r="D5692" s="27" t="s">
        <v>7</v>
      </c>
      <c r="E5692" s="28">
        <v>67590</v>
      </c>
      <c r="F5692" s="28">
        <v>55893</v>
      </c>
      <c r="G5692" s="27" t="s">
        <v>22</v>
      </c>
      <c r="H5692" s="27" t="s">
        <v>1020</v>
      </c>
      <c r="I5692" s="27" t="s">
        <v>13</v>
      </c>
    </row>
    <row r="5693" spans="1:9" x14ac:dyDescent="0.3">
      <c r="A5693" s="26">
        <v>45232</v>
      </c>
      <c r="B5693" s="27" t="s">
        <v>125</v>
      </c>
      <c r="C5693" s="27" t="s">
        <v>20</v>
      </c>
      <c r="D5693" s="27" t="s">
        <v>21</v>
      </c>
      <c r="E5693" s="28">
        <v>24374</v>
      </c>
      <c r="F5693" s="28">
        <v>116756</v>
      </c>
      <c r="G5693" s="27" t="s">
        <v>22</v>
      </c>
      <c r="H5693" s="27" t="s">
        <v>1146</v>
      </c>
      <c r="I5693" s="27" t="s">
        <v>13</v>
      </c>
    </row>
    <row r="5694" spans="1:9" x14ac:dyDescent="0.3">
      <c r="A5694" s="26">
        <v>45232</v>
      </c>
      <c r="B5694" s="27" t="s">
        <v>125</v>
      </c>
      <c r="C5694" s="27" t="s">
        <v>14</v>
      </c>
      <c r="D5694" s="27" t="s">
        <v>7</v>
      </c>
      <c r="E5694" s="28">
        <v>56662</v>
      </c>
      <c r="F5694" s="28">
        <v>88970</v>
      </c>
      <c r="G5694" s="27" t="s">
        <v>11</v>
      </c>
      <c r="H5694" s="27" t="s">
        <v>1859</v>
      </c>
      <c r="I5694" s="27" t="s">
        <v>13</v>
      </c>
    </row>
    <row r="5695" spans="1:9" x14ac:dyDescent="0.3">
      <c r="A5695" s="26">
        <v>45232</v>
      </c>
      <c r="B5695" s="27" t="s">
        <v>125</v>
      </c>
      <c r="C5695" s="27" t="s">
        <v>15</v>
      </c>
      <c r="D5695" s="27" t="s">
        <v>7</v>
      </c>
      <c r="E5695" s="28">
        <v>131204</v>
      </c>
      <c r="F5695" s="28">
        <v>142928</v>
      </c>
      <c r="G5695" s="27" t="s">
        <v>17</v>
      </c>
      <c r="H5695" s="27" t="s">
        <v>2112</v>
      </c>
      <c r="I5695" s="27" t="s">
        <v>13</v>
      </c>
    </row>
    <row r="5696" spans="1:9" x14ac:dyDescent="0.3">
      <c r="A5696" s="26">
        <v>45232</v>
      </c>
      <c r="B5696" s="27" t="s">
        <v>125</v>
      </c>
      <c r="C5696" s="27" t="s">
        <v>10</v>
      </c>
      <c r="D5696" s="27" t="s">
        <v>16</v>
      </c>
      <c r="E5696" s="28">
        <v>132822</v>
      </c>
      <c r="F5696" s="28">
        <v>81303</v>
      </c>
      <c r="G5696" s="27" t="s">
        <v>17</v>
      </c>
      <c r="H5696" s="27" t="s">
        <v>2278</v>
      </c>
      <c r="I5696" s="27" t="s">
        <v>13</v>
      </c>
    </row>
    <row r="5697" spans="1:9" x14ac:dyDescent="0.3">
      <c r="A5697" s="26">
        <v>45232</v>
      </c>
      <c r="B5697" s="27" t="s">
        <v>125</v>
      </c>
      <c r="C5697" s="27" t="s">
        <v>18</v>
      </c>
      <c r="D5697" s="27" t="s">
        <v>16</v>
      </c>
      <c r="E5697" s="28">
        <v>21876</v>
      </c>
      <c r="F5697" s="28">
        <v>127079</v>
      </c>
      <c r="G5697" s="27" t="s">
        <v>11</v>
      </c>
      <c r="H5697" s="27" t="s">
        <v>2337</v>
      </c>
      <c r="I5697" s="27" t="s">
        <v>13</v>
      </c>
    </row>
    <row r="5698" spans="1:9" x14ac:dyDescent="0.3">
      <c r="A5698" s="26">
        <v>45232</v>
      </c>
      <c r="B5698" s="27" t="s">
        <v>125</v>
      </c>
      <c r="C5698" s="27" t="s">
        <v>32</v>
      </c>
      <c r="D5698" s="27" t="s">
        <v>24</v>
      </c>
      <c r="E5698" s="28">
        <v>143527</v>
      </c>
      <c r="F5698" s="28">
        <v>43348</v>
      </c>
      <c r="G5698" s="27" t="s">
        <v>11</v>
      </c>
      <c r="H5698" s="27" t="s">
        <v>2402</v>
      </c>
      <c r="I5698" s="27" t="s">
        <v>13</v>
      </c>
    </row>
    <row r="5699" spans="1:9" x14ac:dyDescent="0.3">
      <c r="A5699" s="26">
        <v>45232</v>
      </c>
      <c r="B5699" s="27" t="s">
        <v>125</v>
      </c>
      <c r="C5699" s="27" t="s">
        <v>20</v>
      </c>
      <c r="D5699" s="27" t="s">
        <v>19</v>
      </c>
      <c r="E5699" s="28">
        <v>81660</v>
      </c>
      <c r="F5699" s="28">
        <v>8381</v>
      </c>
      <c r="G5699" s="27" t="s">
        <v>22</v>
      </c>
      <c r="H5699" s="27" t="s">
        <v>2950</v>
      </c>
      <c r="I5699" s="27" t="s">
        <v>13</v>
      </c>
    </row>
    <row r="5700" spans="1:9" x14ac:dyDescent="0.3">
      <c r="A5700" s="26">
        <v>45232</v>
      </c>
      <c r="B5700" s="27" t="s">
        <v>125</v>
      </c>
      <c r="C5700" s="27" t="s">
        <v>20</v>
      </c>
      <c r="D5700" s="27" t="s">
        <v>7</v>
      </c>
      <c r="E5700" s="28">
        <v>13038</v>
      </c>
      <c r="F5700" s="28">
        <v>105429</v>
      </c>
      <c r="G5700" s="27" t="s">
        <v>22</v>
      </c>
      <c r="H5700" s="27" t="s">
        <v>3009</v>
      </c>
      <c r="I5700" s="27" t="s">
        <v>13</v>
      </c>
    </row>
    <row r="5701" spans="1:9" x14ac:dyDescent="0.3">
      <c r="A5701" s="26">
        <v>45232</v>
      </c>
      <c r="B5701" s="27" t="s">
        <v>125</v>
      </c>
      <c r="C5701" s="27" t="s">
        <v>10</v>
      </c>
      <c r="D5701" s="27" t="s">
        <v>21</v>
      </c>
      <c r="E5701" s="28">
        <v>82423</v>
      </c>
      <c r="F5701" s="28">
        <v>98231</v>
      </c>
      <c r="G5701" s="27" t="s">
        <v>8</v>
      </c>
      <c r="H5701" s="27" t="s">
        <v>3277</v>
      </c>
      <c r="I5701" s="27" t="s">
        <v>13</v>
      </c>
    </row>
    <row r="5702" spans="1:9" x14ac:dyDescent="0.3">
      <c r="A5702" s="26">
        <v>45232</v>
      </c>
      <c r="B5702" s="27" t="s">
        <v>125</v>
      </c>
      <c r="C5702" s="27" t="s">
        <v>6</v>
      </c>
      <c r="D5702" s="27" t="s">
        <v>24</v>
      </c>
      <c r="E5702" s="28">
        <v>135200</v>
      </c>
      <c r="F5702" s="28">
        <v>129400</v>
      </c>
      <c r="G5702" s="27" t="s">
        <v>11</v>
      </c>
      <c r="H5702" s="27" t="s">
        <v>3628</v>
      </c>
      <c r="I5702" s="27" t="s">
        <v>9</v>
      </c>
    </row>
    <row r="5703" spans="1:9" x14ac:dyDescent="0.3">
      <c r="A5703" s="26">
        <v>45232</v>
      </c>
      <c r="B5703" s="27" t="s">
        <v>125</v>
      </c>
      <c r="C5703" s="27" t="s">
        <v>6</v>
      </c>
      <c r="D5703" s="27" t="s">
        <v>7</v>
      </c>
      <c r="E5703" s="28">
        <v>123300</v>
      </c>
      <c r="F5703" s="28">
        <v>143700</v>
      </c>
      <c r="G5703" s="27" t="s">
        <v>11</v>
      </c>
      <c r="H5703" s="27" t="s">
        <v>3952</v>
      </c>
      <c r="I5703" s="27" t="s">
        <v>9</v>
      </c>
    </row>
    <row r="5704" spans="1:9" x14ac:dyDescent="0.3">
      <c r="A5704" s="26">
        <v>45232</v>
      </c>
      <c r="B5704" s="27" t="s">
        <v>125</v>
      </c>
      <c r="C5704" s="27" t="s">
        <v>6</v>
      </c>
      <c r="D5704" s="27" t="s">
        <v>16</v>
      </c>
      <c r="E5704" s="28">
        <v>132500</v>
      </c>
      <c r="F5704" s="28">
        <v>148700</v>
      </c>
      <c r="G5704" s="27" t="s">
        <v>11</v>
      </c>
      <c r="H5704" s="27" t="s">
        <v>3994</v>
      </c>
      <c r="I5704" s="27" t="s">
        <v>9</v>
      </c>
    </row>
    <row r="5705" spans="1:9" x14ac:dyDescent="0.3">
      <c r="A5705" s="26">
        <v>45232</v>
      </c>
      <c r="B5705" s="27" t="s">
        <v>125</v>
      </c>
      <c r="C5705" s="27" t="s">
        <v>93</v>
      </c>
      <c r="D5705" s="27" t="s">
        <v>19</v>
      </c>
      <c r="E5705" s="28">
        <v>248800</v>
      </c>
      <c r="F5705" s="28">
        <v>296000</v>
      </c>
      <c r="G5705" s="27" t="s">
        <v>22</v>
      </c>
      <c r="H5705" s="27" t="s">
        <v>4069</v>
      </c>
      <c r="I5705" s="27" t="s">
        <v>9</v>
      </c>
    </row>
    <row r="5706" spans="1:9" x14ac:dyDescent="0.3">
      <c r="A5706" s="26">
        <v>45232</v>
      </c>
      <c r="B5706" s="27" t="s">
        <v>125</v>
      </c>
      <c r="C5706" s="27" t="s">
        <v>6</v>
      </c>
      <c r="D5706" s="27" t="s">
        <v>21</v>
      </c>
      <c r="E5706" s="28">
        <v>137300</v>
      </c>
      <c r="F5706" s="28">
        <v>136400</v>
      </c>
      <c r="G5706" s="27" t="s">
        <v>11</v>
      </c>
      <c r="H5706" s="27" t="s">
        <v>4096</v>
      </c>
      <c r="I5706" s="27" t="s">
        <v>9</v>
      </c>
    </row>
    <row r="5707" spans="1:9" x14ac:dyDescent="0.3">
      <c r="A5707" s="26">
        <v>45232</v>
      </c>
      <c r="B5707" s="27" t="s">
        <v>125</v>
      </c>
      <c r="C5707" s="27" t="s">
        <v>6</v>
      </c>
      <c r="D5707" s="27" t="s">
        <v>7</v>
      </c>
      <c r="E5707" s="28">
        <v>186200</v>
      </c>
      <c r="F5707" s="28">
        <v>206400</v>
      </c>
      <c r="G5707" s="27" t="s">
        <v>11</v>
      </c>
      <c r="H5707" s="27" t="s">
        <v>4160</v>
      </c>
      <c r="I5707" s="27" t="s">
        <v>9</v>
      </c>
    </row>
    <row r="5708" spans="1:9" x14ac:dyDescent="0.3">
      <c r="A5708" s="26">
        <v>45232</v>
      </c>
      <c r="B5708" s="27" t="s">
        <v>125</v>
      </c>
      <c r="C5708" s="27" t="s">
        <v>6</v>
      </c>
      <c r="D5708" s="27" t="s">
        <v>7</v>
      </c>
      <c r="E5708" s="28">
        <v>150500</v>
      </c>
      <c r="F5708" s="28">
        <v>157400</v>
      </c>
      <c r="G5708" s="27" t="s">
        <v>11</v>
      </c>
      <c r="H5708" s="27" t="s">
        <v>4402</v>
      </c>
      <c r="I5708" s="27" t="s">
        <v>9</v>
      </c>
    </row>
    <row r="5709" spans="1:9" x14ac:dyDescent="0.3">
      <c r="A5709" s="26">
        <v>45232</v>
      </c>
      <c r="B5709" s="27" t="s">
        <v>125</v>
      </c>
      <c r="C5709" s="27" t="s">
        <v>6</v>
      </c>
      <c r="D5709" s="27" t="s">
        <v>21</v>
      </c>
      <c r="E5709" s="28">
        <v>93500</v>
      </c>
      <c r="F5709" s="28">
        <v>87100</v>
      </c>
      <c r="G5709" s="27" t="s">
        <v>11</v>
      </c>
      <c r="H5709" s="27" t="s">
        <v>4529</v>
      </c>
      <c r="I5709" s="27" t="s">
        <v>9</v>
      </c>
    </row>
    <row r="5710" spans="1:9" x14ac:dyDescent="0.3">
      <c r="A5710" s="26">
        <v>45232</v>
      </c>
      <c r="B5710" s="27" t="s">
        <v>125</v>
      </c>
      <c r="C5710" s="27" t="s">
        <v>93</v>
      </c>
      <c r="D5710" s="27" t="s">
        <v>7</v>
      </c>
      <c r="E5710" s="28">
        <v>83100</v>
      </c>
      <c r="F5710" s="28">
        <v>85700</v>
      </c>
      <c r="G5710" s="27" t="s">
        <v>22</v>
      </c>
      <c r="H5710" s="27" t="s">
        <v>5243</v>
      </c>
      <c r="I5710" s="27" t="s">
        <v>9</v>
      </c>
    </row>
    <row r="5711" spans="1:9" x14ac:dyDescent="0.3">
      <c r="A5711" s="26">
        <v>45232</v>
      </c>
      <c r="B5711" s="27" t="s">
        <v>125</v>
      </c>
      <c r="C5711" s="27" t="s">
        <v>6</v>
      </c>
      <c r="D5711" s="27" t="s">
        <v>7</v>
      </c>
      <c r="E5711" s="28">
        <v>38500</v>
      </c>
      <c r="F5711" s="28">
        <v>50000</v>
      </c>
      <c r="G5711" s="27" t="s">
        <v>11</v>
      </c>
      <c r="H5711" s="27" t="s">
        <v>5496</v>
      </c>
      <c r="I5711" s="27" t="s">
        <v>9</v>
      </c>
    </row>
    <row r="5712" spans="1:9" x14ac:dyDescent="0.3">
      <c r="A5712" s="26">
        <v>45232</v>
      </c>
      <c r="B5712" s="27" t="s">
        <v>125</v>
      </c>
      <c r="C5712" s="27" t="s">
        <v>93</v>
      </c>
      <c r="D5712" s="27" t="s">
        <v>16</v>
      </c>
      <c r="E5712" s="28">
        <v>70500</v>
      </c>
      <c r="F5712" s="28">
        <v>73900</v>
      </c>
      <c r="G5712" s="27" t="s">
        <v>11</v>
      </c>
      <c r="H5712" s="27" t="s">
        <v>5663</v>
      </c>
      <c r="I5712" s="27" t="s">
        <v>9</v>
      </c>
    </row>
    <row r="5713" spans="1:9" x14ac:dyDescent="0.3">
      <c r="A5713" s="26">
        <v>45232</v>
      </c>
      <c r="B5713" s="27" t="s">
        <v>125</v>
      </c>
      <c r="C5713" s="27" t="s">
        <v>93</v>
      </c>
      <c r="D5713" s="27" t="s">
        <v>16</v>
      </c>
      <c r="E5713" s="28">
        <v>155600</v>
      </c>
      <c r="F5713" s="28">
        <v>207300</v>
      </c>
      <c r="G5713" s="27" t="s">
        <v>11</v>
      </c>
      <c r="H5713" s="27" t="s">
        <v>5722</v>
      </c>
      <c r="I5713" s="27" t="s">
        <v>9</v>
      </c>
    </row>
    <row r="5714" spans="1:9" x14ac:dyDescent="0.3">
      <c r="A5714" s="26">
        <v>45232</v>
      </c>
      <c r="B5714" s="27" t="s">
        <v>125</v>
      </c>
      <c r="C5714" s="27" t="s">
        <v>6</v>
      </c>
      <c r="D5714" s="27" t="s">
        <v>24</v>
      </c>
      <c r="E5714" s="28">
        <v>48300</v>
      </c>
      <c r="F5714" s="28">
        <v>35100</v>
      </c>
      <c r="G5714" s="27" t="s">
        <v>17</v>
      </c>
      <c r="H5714" s="27" t="s">
        <v>5787</v>
      </c>
      <c r="I5714" s="27" t="s">
        <v>9</v>
      </c>
    </row>
    <row r="5715" spans="1:9" x14ac:dyDescent="0.3">
      <c r="A5715" s="26">
        <v>45232</v>
      </c>
      <c r="B5715" s="27" t="s">
        <v>125</v>
      </c>
      <c r="C5715" s="27" t="s">
        <v>93</v>
      </c>
      <c r="D5715" s="27" t="s">
        <v>19</v>
      </c>
      <c r="E5715" s="28">
        <v>114500</v>
      </c>
      <c r="F5715" s="28">
        <v>107500</v>
      </c>
      <c r="G5715" s="27" t="s">
        <v>11</v>
      </c>
      <c r="H5715" s="27" t="s">
        <v>6335</v>
      </c>
      <c r="I5715" s="27" t="s">
        <v>9</v>
      </c>
    </row>
    <row r="5716" spans="1:9" x14ac:dyDescent="0.3">
      <c r="A5716" s="26">
        <v>45232</v>
      </c>
      <c r="B5716" s="27" t="s">
        <v>125</v>
      </c>
      <c r="C5716" s="27" t="s">
        <v>6</v>
      </c>
      <c r="D5716" s="27" t="s">
        <v>7</v>
      </c>
      <c r="E5716" s="28">
        <v>115300</v>
      </c>
      <c r="F5716" s="28">
        <v>111600</v>
      </c>
      <c r="G5716" s="27" t="s">
        <v>11</v>
      </c>
      <c r="H5716" s="27" t="s">
        <v>6394</v>
      </c>
      <c r="I5716" s="27" t="s">
        <v>9</v>
      </c>
    </row>
    <row r="5717" spans="1:9" x14ac:dyDescent="0.3">
      <c r="A5717" s="26">
        <v>45232</v>
      </c>
      <c r="B5717" s="27" t="s">
        <v>125</v>
      </c>
      <c r="C5717" s="27" t="s">
        <v>93</v>
      </c>
      <c r="D5717" s="27" t="s">
        <v>21</v>
      </c>
      <c r="E5717" s="28">
        <v>164000</v>
      </c>
      <c r="F5717" s="28">
        <v>161700</v>
      </c>
      <c r="G5717" s="27" t="s">
        <v>17</v>
      </c>
      <c r="H5717" s="27" t="s">
        <v>6662</v>
      </c>
      <c r="I5717" s="27" t="s">
        <v>9</v>
      </c>
    </row>
    <row r="5718" spans="1:9" x14ac:dyDescent="0.3">
      <c r="A5718" s="26">
        <v>45233</v>
      </c>
      <c r="B5718" s="27" t="s">
        <v>125</v>
      </c>
      <c r="C5718" s="27" t="s">
        <v>20</v>
      </c>
      <c r="D5718" s="27" t="s">
        <v>19</v>
      </c>
      <c r="E5718" s="28">
        <v>69019</v>
      </c>
      <c r="F5718" s="28">
        <v>169445</v>
      </c>
      <c r="G5718" s="27" t="s">
        <v>17</v>
      </c>
      <c r="H5718" s="27" t="s">
        <v>733</v>
      </c>
      <c r="I5718" s="27" t="s">
        <v>13</v>
      </c>
    </row>
    <row r="5719" spans="1:9" x14ac:dyDescent="0.3">
      <c r="A5719" s="26">
        <v>45233</v>
      </c>
      <c r="B5719" s="27" t="s">
        <v>125</v>
      </c>
      <c r="C5719" s="27" t="s">
        <v>15</v>
      </c>
      <c r="D5719" s="27" t="s">
        <v>24</v>
      </c>
      <c r="E5719" s="28">
        <v>121870</v>
      </c>
      <c r="F5719" s="28">
        <v>46735</v>
      </c>
      <c r="G5719" s="27" t="s">
        <v>11</v>
      </c>
      <c r="H5719" s="27" t="s">
        <v>777</v>
      </c>
      <c r="I5719" s="27" t="s">
        <v>13</v>
      </c>
    </row>
    <row r="5720" spans="1:9" x14ac:dyDescent="0.3">
      <c r="A5720" s="26">
        <v>45233</v>
      </c>
      <c r="B5720" s="27" t="s">
        <v>125</v>
      </c>
      <c r="C5720" s="27" t="s">
        <v>32</v>
      </c>
      <c r="D5720" s="27" t="s">
        <v>7</v>
      </c>
      <c r="E5720" s="28">
        <v>117454</v>
      </c>
      <c r="F5720" s="28">
        <v>8269</v>
      </c>
      <c r="G5720" s="27" t="s">
        <v>17</v>
      </c>
      <c r="H5720" s="27" t="s">
        <v>993</v>
      </c>
      <c r="I5720" s="27" t="s">
        <v>13</v>
      </c>
    </row>
    <row r="5721" spans="1:9" x14ac:dyDescent="0.3">
      <c r="A5721" s="26">
        <v>45233</v>
      </c>
      <c r="B5721" s="27" t="s">
        <v>125</v>
      </c>
      <c r="C5721" s="27" t="s">
        <v>15</v>
      </c>
      <c r="D5721" s="27" t="s">
        <v>21</v>
      </c>
      <c r="E5721" s="28">
        <v>91851</v>
      </c>
      <c r="F5721" s="28">
        <v>12304</v>
      </c>
      <c r="G5721" s="27" t="s">
        <v>8</v>
      </c>
      <c r="H5721" s="27" t="s">
        <v>1004</v>
      </c>
      <c r="I5721" s="27" t="s">
        <v>13</v>
      </c>
    </row>
    <row r="5722" spans="1:9" x14ac:dyDescent="0.3">
      <c r="A5722" s="26">
        <v>45233</v>
      </c>
      <c r="B5722" s="27" t="s">
        <v>125</v>
      </c>
      <c r="C5722" s="27" t="s">
        <v>32</v>
      </c>
      <c r="D5722" s="27" t="s">
        <v>21</v>
      </c>
      <c r="E5722" s="28">
        <v>126640</v>
      </c>
      <c r="F5722" s="28">
        <v>127590</v>
      </c>
      <c r="G5722" s="27" t="s">
        <v>8</v>
      </c>
      <c r="H5722" s="27" t="s">
        <v>1033</v>
      </c>
      <c r="I5722" s="27" t="s">
        <v>13</v>
      </c>
    </row>
    <row r="5723" spans="1:9" x14ac:dyDescent="0.3">
      <c r="A5723" s="26">
        <v>45233</v>
      </c>
      <c r="B5723" s="27" t="s">
        <v>125</v>
      </c>
      <c r="C5723" s="27" t="s">
        <v>32</v>
      </c>
      <c r="D5723" s="27" t="s">
        <v>19</v>
      </c>
      <c r="E5723" s="28">
        <v>129863</v>
      </c>
      <c r="F5723" s="28">
        <v>76492</v>
      </c>
      <c r="G5723" s="27" t="s">
        <v>11</v>
      </c>
      <c r="H5723" s="27" t="s">
        <v>1043</v>
      </c>
      <c r="I5723" s="27" t="s">
        <v>13</v>
      </c>
    </row>
    <row r="5724" spans="1:9" x14ac:dyDescent="0.3">
      <c r="A5724" s="26">
        <v>45233</v>
      </c>
      <c r="B5724" s="27" t="s">
        <v>125</v>
      </c>
      <c r="C5724" s="27" t="s">
        <v>14</v>
      </c>
      <c r="D5724" s="27" t="s">
        <v>21</v>
      </c>
      <c r="E5724" s="28">
        <v>139278</v>
      </c>
      <c r="F5724" s="28">
        <v>162879</v>
      </c>
      <c r="G5724" s="27" t="s">
        <v>8</v>
      </c>
      <c r="H5724" s="27" t="s">
        <v>1348</v>
      </c>
      <c r="I5724" s="27" t="s">
        <v>13</v>
      </c>
    </row>
    <row r="5725" spans="1:9" x14ac:dyDescent="0.3">
      <c r="A5725" s="26">
        <v>45233</v>
      </c>
      <c r="B5725" s="27" t="s">
        <v>125</v>
      </c>
      <c r="C5725" s="27" t="s">
        <v>18</v>
      </c>
      <c r="D5725" s="27" t="s">
        <v>24</v>
      </c>
      <c r="E5725" s="28">
        <v>54146</v>
      </c>
      <c r="F5725" s="28">
        <v>64338</v>
      </c>
      <c r="G5725" s="27" t="s">
        <v>17</v>
      </c>
      <c r="H5725" s="27" t="s">
        <v>1704</v>
      </c>
      <c r="I5725" s="27" t="s">
        <v>13</v>
      </c>
    </row>
    <row r="5726" spans="1:9" x14ac:dyDescent="0.3">
      <c r="A5726" s="26">
        <v>45233</v>
      </c>
      <c r="B5726" s="27" t="s">
        <v>125</v>
      </c>
      <c r="C5726" s="27" t="s">
        <v>14</v>
      </c>
      <c r="D5726" s="27" t="s">
        <v>16</v>
      </c>
      <c r="E5726" s="28">
        <v>30387</v>
      </c>
      <c r="F5726" s="28">
        <v>140966</v>
      </c>
      <c r="G5726" s="27" t="s">
        <v>8</v>
      </c>
      <c r="H5726" s="27" t="s">
        <v>1899</v>
      </c>
      <c r="I5726" s="27" t="s">
        <v>13</v>
      </c>
    </row>
    <row r="5727" spans="1:9" x14ac:dyDescent="0.3">
      <c r="A5727" s="26">
        <v>45233</v>
      </c>
      <c r="B5727" s="27" t="s">
        <v>125</v>
      </c>
      <c r="C5727" s="27" t="s">
        <v>10</v>
      </c>
      <c r="D5727" s="27" t="s">
        <v>7</v>
      </c>
      <c r="E5727" s="28">
        <v>80152</v>
      </c>
      <c r="F5727" s="28">
        <v>90511</v>
      </c>
      <c r="G5727" s="27" t="s">
        <v>11</v>
      </c>
      <c r="H5727" s="27" t="s">
        <v>2022</v>
      </c>
      <c r="I5727" s="27" t="s">
        <v>13</v>
      </c>
    </row>
    <row r="5728" spans="1:9" x14ac:dyDescent="0.3">
      <c r="A5728" s="26">
        <v>45233</v>
      </c>
      <c r="B5728" s="27" t="s">
        <v>125</v>
      </c>
      <c r="C5728" s="27" t="s">
        <v>14</v>
      </c>
      <c r="D5728" s="27" t="s">
        <v>7</v>
      </c>
      <c r="E5728" s="28">
        <v>30505</v>
      </c>
      <c r="F5728" s="28">
        <v>115892</v>
      </c>
      <c r="G5728" s="27" t="s">
        <v>22</v>
      </c>
      <c r="H5728" s="27" t="s">
        <v>2655</v>
      </c>
      <c r="I5728" s="27" t="s">
        <v>13</v>
      </c>
    </row>
    <row r="5729" spans="1:9" x14ac:dyDescent="0.3">
      <c r="A5729" s="26">
        <v>45233</v>
      </c>
      <c r="B5729" s="27" t="s">
        <v>125</v>
      </c>
      <c r="C5729" s="27" t="s">
        <v>20</v>
      </c>
      <c r="D5729" s="27" t="s">
        <v>24</v>
      </c>
      <c r="E5729" s="28">
        <v>107758</v>
      </c>
      <c r="F5729" s="28">
        <v>13085</v>
      </c>
      <c r="G5729" s="27" t="s">
        <v>8</v>
      </c>
      <c r="H5729" s="27" t="s">
        <v>3155</v>
      </c>
      <c r="I5729" s="27" t="s">
        <v>13</v>
      </c>
    </row>
    <row r="5730" spans="1:9" x14ac:dyDescent="0.3">
      <c r="A5730" s="26">
        <v>45233</v>
      </c>
      <c r="B5730" s="27" t="s">
        <v>125</v>
      </c>
      <c r="C5730" s="27" t="s">
        <v>18</v>
      </c>
      <c r="D5730" s="27" t="s">
        <v>24</v>
      </c>
      <c r="E5730" s="28">
        <v>97525</v>
      </c>
      <c r="F5730" s="28">
        <v>58342</v>
      </c>
      <c r="G5730" s="27" t="s">
        <v>22</v>
      </c>
      <c r="H5730" s="27" t="s">
        <v>3194</v>
      </c>
      <c r="I5730" s="27" t="s">
        <v>13</v>
      </c>
    </row>
    <row r="5731" spans="1:9" x14ac:dyDescent="0.3">
      <c r="A5731" s="26">
        <v>45233</v>
      </c>
      <c r="B5731" s="27" t="s">
        <v>125</v>
      </c>
      <c r="C5731" s="27" t="s">
        <v>20</v>
      </c>
      <c r="D5731" s="27" t="s">
        <v>16</v>
      </c>
      <c r="E5731" s="28">
        <v>52846</v>
      </c>
      <c r="F5731" s="28">
        <v>29946</v>
      </c>
      <c r="G5731" s="27" t="s">
        <v>17</v>
      </c>
      <c r="H5731" s="27" t="s">
        <v>3234</v>
      </c>
      <c r="I5731" s="27" t="s">
        <v>13</v>
      </c>
    </row>
    <row r="5732" spans="1:9" x14ac:dyDescent="0.3">
      <c r="A5732" s="26">
        <v>45233</v>
      </c>
      <c r="B5732" s="27" t="s">
        <v>125</v>
      </c>
      <c r="C5732" s="27" t="s">
        <v>6</v>
      </c>
      <c r="D5732" s="27" t="s">
        <v>19</v>
      </c>
      <c r="E5732" s="28">
        <v>117100</v>
      </c>
      <c r="F5732" s="28">
        <v>112400</v>
      </c>
      <c r="G5732" s="27" t="s">
        <v>22</v>
      </c>
      <c r="H5732" s="27" t="s">
        <v>4114</v>
      </c>
      <c r="I5732" s="27" t="s">
        <v>9</v>
      </c>
    </row>
    <row r="5733" spans="1:9" x14ac:dyDescent="0.3">
      <c r="A5733" s="26">
        <v>45233</v>
      </c>
      <c r="B5733" s="27" t="s">
        <v>125</v>
      </c>
      <c r="C5733" s="27" t="s">
        <v>93</v>
      </c>
      <c r="D5733" s="27" t="s">
        <v>24</v>
      </c>
      <c r="E5733" s="28">
        <v>95100</v>
      </c>
      <c r="F5733" s="28">
        <v>100800</v>
      </c>
      <c r="G5733" s="27" t="s">
        <v>11</v>
      </c>
      <c r="H5733" s="27" t="s">
        <v>4158</v>
      </c>
      <c r="I5733" s="27" t="s">
        <v>9</v>
      </c>
    </row>
    <row r="5734" spans="1:9" x14ac:dyDescent="0.3">
      <c r="A5734" s="26">
        <v>45233</v>
      </c>
      <c r="B5734" s="27" t="s">
        <v>125</v>
      </c>
      <c r="C5734" s="27" t="s">
        <v>6</v>
      </c>
      <c r="D5734" s="27" t="s">
        <v>7</v>
      </c>
      <c r="E5734" s="28">
        <v>89900</v>
      </c>
      <c r="F5734" s="28">
        <v>103600</v>
      </c>
      <c r="G5734" s="27" t="s">
        <v>22</v>
      </c>
      <c r="H5734" s="27" t="s">
        <v>4374</v>
      </c>
      <c r="I5734" s="27" t="s">
        <v>9</v>
      </c>
    </row>
    <row r="5735" spans="1:9" x14ac:dyDescent="0.3">
      <c r="A5735" s="26">
        <v>45233</v>
      </c>
      <c r="B5735" s="27" t="s">
        <v>125</v>
      </c>
      <c r="C5735" s="27" t="s">
        <v>93</v>
      </c>
      <c r="D5735" s="27" t="s">
        <v>21</v>
      </c>
      <c r="E5735" s="28">
        <v>157800</v>
      </c>
      <c r="F5735" s="28">
        <v>157400</v>
      </c>
      <c r="G5735" s="27" t="s">
        <v>22</v>
      </c>
      <c r="H5735" s="27" t="s">
        <v>4385</v>
      </c>
      <c r="I5735" s="27" t="s">
        <v>9</v>
      </c>
    </row>
    <row r="5736" spans="1:9" x14ac:dyDescent="0.3">
      <c r="A5736" s="26">
        <v>45233</v>
      </c>
      <c r="B5736" s="27" t="s">
        <v>125</v>
      </c>
      <c r="C5736" s="27" t="s">
        <v>6</v>
      </c>
      <c r="D5736" s="27" t="s">
        <v>21</v>
      </c>
      <c r="E5736" s="28">
        <v>183800</v>
      </c>
      <c r="F5736" s="28">
        <v>220500</v>
      </c>
      <c r="G5736" s="27" t="s">
        <v>22</v>
      </c>
      <c r="H5736" s="27" t="s">
        <v>4415</v>
      </c>
      <c r="I5736" s="27" t="s">
        <v>9</v>
      </c>
    </row>
    <row r="5737" spans="1:9" x14ac:dyDescent="0.3">
      <c r="A5737" s="26">
        <v>45233</v>
      </c>
      <c r="B5737" s="27" t="s">
        <v>125</v>
      </c>
      <c r="C5737" s="27" t="s">
        <v>6</v>
      </c>
      <c r="D5737" s="27" t="s">
        <v>19</v>
      </c>
      <c r="E5737" s="28">
        <v>112900</v>
      </c>
      <c r="F5737" s="28">
        <v>113600</v>
      </c>
      <c r="G5737" s="27" t="s">
        <v>11</v>
      </c>
      <c r="H5737" s="27" t="s">
        <v>4425</v>
      </c>
      <c r="I5737" s="27" t="s">
        <v>9</v>
      </c>
    </row>
    <row r="5738" spans="1:9" x14ac:dyDescent="0.3">
      <c r="A5738" s="26">
        <v>45233</v>
      </c>
      <c r="B5738" s="27" t="s">
        <v>125</v>
      </c>
      <c r="C5738" s="27" t="s">
        <v>6</v>
      </c>
      <c r="D5738" s="27" t="s">
        <v>21</v>
      </c>
      <c r="E5738" s="28">
        <v>92200</v>
      </c>
      <c r="F5738" s="28">
        <v>116500</v>
      </c>
      <c r="G5738" s="27" t="s">
        <v>17</v>
      </c>
      <c r="H5738" s="27" t="s">
        <v>4731</v>
      </c>
      <c r="I5738" s="27" t="s">
        <v>9</v>
      </c>
    </row>
    <row r="5739" spans="1:9" x14ac:dyDescent="0.3">
      <c r="A5739" s="26">
        <v>45233</v>
      </c>
      <c r="B5739" s="27" t="s">
        <v>125</v>
      </c>
      <c r="C5739" s="27" t="s">
        <v>93</v>
      </c>
      <c r="D5739" s="27" t="s">
        <v>24</v>
      </c>
      <c r="E5739" s="28">
        <v>146300</v>
      </c>
      <c r="F5739" s="28">
        <v>126800</v>
      </c>
      <c r="G5739" s="27" t="s">
        <v>11</v>
      </c>
      <c r="H5739" s="27" t="s">
        <v>5087</v>
      </c>
      <c r="I5739" s="27" t="s">
        <v>9</v>
      </c>
    </row>
    <row r="5740" spans="1:9" x14ac:dyDescent="0.3">
      <c r="A5740" s="26">
        <v>45233</v>
      </c>
      <c r="B5740" s="27" t="s">
        <v>125</v>
      </c>
      <c r="C5740" s="27" t="s">
        <v>6</v>
      </c>
      <c r="D5740" s="27" t="s">
        <v>16</v>
      </c>
      <c r="E5740" s="28">
        <v>74600</v>
      </c>
      <c r="F5740" s="28">
        <v>79100</v>
      </c>
      <c r="G5740" s="27" t="s">
        <v>11</v>
      </c>
      <c r="H5740" s="27" t="s">
        <v>5283</v>
      </c>
      <c r="I5740" s="27" t="s">
        <v>9</v>
      </c>
    </row>
    <row r="5741" spans="1:9" x14ac:dyDescent="0.3">
      <c r="A5741" s="26">
        <v>45233</v>
      </c>
      <c r="B5741" s="27" t="s">
        <v>125</v>
      </c>
      <c r="C5741" s="27" t="s">
        <v>93</v>
      </c>
      <c r="D5741" s="27" t="s">
        <v>7</v>
      </c>
      <c r="E5741" s="28">
        <v>137100</v>
      </c>
      <c r="F5741" s="28">
        <v>134200</v>
      </c>
      <c r="G5741" s="27" t="s">
        <v>11</v>
      </c>
      <c r="H5741" s="27" t="s">
        <v>5406</v>
      </c>
      <c r="I5741" s="27" t="s">
        <v>9</v>
      </c>
    </row>
    <row r="5742" spans="1:9" x14ac:dyDescent="0.3">
      <c r="A5742" s="26">
        <v>45233</v>
      </c>
      <c r="B5742" s="27" t="s">
        <v>125</v>
      </c>
      <c r="C5742" s="27" t="s">
        <v>93</v>
      </c>
      <c r="D5742" s="27" t="s">
        <v>7</v>
      </c>
      <c r="E5742" s="28">
        <v>95500</v>
      </c>
      <c r="F5742" s="28">
        <v>86400</v>
      </c>
      <c r="G5742" s="27" t="s">
        <v>17</v>
      </c>
      <c r="H5742" s="27" t="s">
        <v>6040</v>
      </c>
      <c r="I5742" s="27" t="s">
        <v>9</v>
      </c>
    </row>
    <row r="5743" spans="1:9" x14ac:dyDescent="0.3">
      <c r="A5743" s="26">
        <v>45233</v>
      </c>
      <c r="B5743" s="27" t="s">
        <v>125</v>
      </c>
      <c r="C5743" s="27" t="s">
        <v>6</v>
      </c>
      <c r="D5743" s="27" t="s">
        <v>24</v>
      </c>
      <c r="E5743" s="28">
        <v>99900</v>
      </c>
      <c r="F5743" s="28">
        <v>85100</v>
      </c>
      <c r="G5743" s="27" t="s">
        <v>22</v>
      </c>
      <c r="H5743" s="27" t="s">
        <v>6540</v>
      </c>
      <c r="I5743" s="27" t="s">
        <v>9</v>
      </c>
    </row>
    <row r="5744" spans="1:9" x14ac:dyDescent="0.3">
      <c r="A5744" s="26">
        <v>45233</v>
      </c>
      <c r="B5744" s="27" t="s">
        <v>125</v>
      </c>
      <c r="C5744" s="27" t="s">
        <v>6</v>
      </c>
      <c r="D5744" s="27" t="s">
        <v>24</v>
      </c>
      <c r="E5744" s="28">
        <v>114800</v>
      </c>
      <c r="F5744" s="28">
        <v>92300</v>
      </c>
      <c r="G5744" s="27" t="s">
        <v>11</v>
      </c>
      <c r="H5744" s="27" t="s">
        <v>6579</v>
      </c>
      <c r="I5744" s="27" t="s">
        <v>9</v>
      </c>
    </row>
    <row r="5745" spans="1:9" x14ac:dyDescent="0.3">
      <c r="A5745" s="26">
        <v>45233</v>
      </c>
      <c r="B5745" s="27" t="s">
        <v>125</v>
      </c>
      <c r="C5745" s="27" t="s">
        <v>93</v>
      </c>
      <c r="D5745" s="27" t="s">
        <v>16</v>
      </c>
      <c r="E5745" s="28">
        <v>175200</v>
      </c>
      <c r="F5745" s="28">
        <v>184500</v>
      </c>
      <c r="G5745" s="27" t="s">
        <v>17</v>
      </c>
      <c r="H5745" s="27" t="s">
        <v>6619</v>
      </c>
      <c r="I5745" s="27" t="s">
        <v>9</v>
      </c>
    </row>
    <row r="5746" spans="1:9" x14ac:dyDescent="0.3">
      <c r="A5746" s="26">
        <v>45234</v>
      </c>
      <c r="B5746" s="27" t="s">
        <v>125</v>
      </c>
      <c r="C5746" s="27" t="s">
        <v>10</v>
      </c>
      <c r="D5746" s="27" t="s">
        <v>24</v>
      </c>
      <c r="E5746" s="28">
        <v>148410</v>
      </c>
      <c r="F5746" s="28">
        <v>82659</v>
      </c>
      <c r="G5746" s="27" t="s">
        <v>11</v>
      </c>
      <c r="H5746" s="27" t="s">
        <v>780</v>
      </c>
      <c r="I5746" s="27" t="s">
        <v>13</v>
      </c>
    </row>
    <row r="5747" spans="1:9" x14ac:dyDescent="0.3">
      <c r="A5747" s="26">
        <v>45234</v>
      </c>
      <c r="B5747" s="27" t="s">
        <v>125</v>
      </c>
      <c r="C5747" s="27" t="s">
        <v>32</v>
      </c>
      <c r="D5747" s="27" t="s">
        <v>24</v>
      </c>
      <c r="E5747" s="28">
        <v>39234</v>
      </c>
      <c r="F5747" s="28">
        <v>111516</v>
      </c>
      <c r="G5747" s="27" t="s">
        <v>8</v>
      </c>
      <c r="H5747" s="27" t="s">
        <v>1302</v>
      </c>
      <c r="I5747" s="27" t="s">
        <v>13</v>
      </c>
    </row>
    <row r="5748" spans="1:9" x14ac:dyDescent="0.3">
      <c r="A5748" s="26">
        <v>45234</v>
      </c>
      <c r="B5748" s="27" t="s">
        <v>125</v>
      </c>
      <c r="C5748" s="27" t="s">
        <v>10</v>
      </c>
      <c r="D5748" s="27" t="s">
        <v>7</v>
      </c>
      <c r="E5748" s="28">
        <v>82402</v>
      </c>
      <c r="F5748" s="28">
        <v>80483</v>
      </c>
      <c r="G5748" s="27" t="s">
        <v>22</v>
      </c>
      <c r="H5748" s="27" t="s">
        <v>1659</v>
      </c>
      <c r="I5748" s="27" t="s">
        <v>13</v>
      </c>
    </row>
    <row r="5749" spans="1:9" x14ac:dyDescent="0.3">
      <c r="A5749" s="26">
        <v>45234</v>
      </c>
      <c r="B5749" s="27" t="s">
        <v>125</v>
      </c>
      <c r="C5749" s="27" t="s">
        <v>10</v>
      </c>
      <c r="D5749" s="27" t="s">
        <v>7</v>
      </c>
      <c r="E5749" s="28">
        <v>53955</v>
      </c>
      <c r="F5749" s="28">
        <v>57146</v>
      </c>
      <c r="G5749" s="27" t="s">
        <v>8</v>
      </c>
      <c r="H5749" s="27" t="s">
        <v>1812</v>
      </c>
      <c r="I5749" s="27" t="s">
        <v>13</v>
      </c>
    </row>
    <row r="5750" spans="1:9" x14ac:dyDescent="0.3">
      <c r="A5750" s="26">
        <v>45234</v>
      </c>
      <c r="B5750" s="27" t="s">
        <v>125</v>
      </c>
      <c r="C5750" s="27" t="s">
        <v>14</v>
      </c>
      <c r="D5750" s="27" t="s">
        <v>24</v>
      </c>
      <c r="E5750" s="28">
        <v>21015</v>
      </c>
      <c r="F5750" s="28">
        <v>36505</v>
      </c>
      <c r="G5750" s="27" t="s">
        <v>17</v>
      </c>
      <c r="H5750" s="27" t="s">
        <v>1850</v>
      </c>
      <c r="I5750" s="27" t="s">
        <v>13</v>
      </c>
    </row>
    <row r="5751" spans="1:9" x14ac:dyDescent="0.3">
      <c r="A5751" s="26">
        <v>45234</v>
      </c>
      <c r="B5751" s="27" t="s">
        <v>125</v>
      </c>
      <c r="C5751" s="27" t="s">
        <v>10</v>
      </c>
      <c r="D5751" s="27" t="s">
        <v>16</v>
      </c>
      <c r="E5751" s="28">
        <v>101579</v>
      </c>
      <c r="F5751" s="28">
        <v>114677</v>
      </c>
      <c r="G5751" s="27" t="s">
        <v>11</v>
      </c>
      <c r="H5751" s="27" t="s">
        <v>2585</v>
      </c>
      <c r="I5751" s="27" t="s">
        <v>13</v>
      </c>
    </row>
    <row r="5752" spans="1:9" x14ac:dyDescent="0.3">
      <c r="A5752" s="26">
        <v>45234</v>
      </c>
      <c r="B5752" s="27" t="s">
        <v>125</v>
      </c>
      <c r="C5752" s="27" t="s">
        <v>14</v>
      </c>
      <c r="D5752" s="27" t="s">
        <v>16</v>
      </c>
      <c r="E5752" s="28">
        <v>140868</v>
      </c>
      <c r="F5752" s="28">
        <v>86043</v>
      </c>
      <c r="G5752" s="27" t="s">
        <v>11</v>
      </c>
      <c r="H5752" s="27" t="s">
        <v>3130</v>
      </c>
      <c r="I5752" s="27" t="s">
        <v>13</v>
      </c>
    </row>
    <row r="5753" spans="1:9" x14ac:dyDescent="0.3">
      <c r="A5753" s="26">
        <v>45234</v>
      </c>
      <c r="B5753" s="27" t="s">
        <v>125</v>
      </c>
      <c r="C5753" s="27" t="s">
        <v>6</v>
      </c>
      <c r="D5753" s="27" t="s">
        <v>24</v>
      </c>
      <c r="E5753" s="28">
        <v>118200</v>
      </c>
      <c r="F5753" s="28">
        <v>104800</v>
      </c>
      <c r="G5753" s="27" t="s">
        <v>22</v>
      </c>
      <c r="H5753" s="27" t="s">
        <v>4161</v>
      </c>
      <c r="I5753" s="27" t="s">
        <v>9</v>
      </c>
    </row>
    <row r="5754" spans="1:9" x14ac:dyDescent="0.3">
      <c r="A5754" s="26">
        <v>45234</v>
      </c>
      <c r="B5754" s="27" t="s">
        <v>125</v>
      </c>
      <c r="C5754" s="27" t="s">
        <v>93</v>
      </c>
      <c r="D5754" s="27" t="s">
        <v>21</v>
      </c>
      <c r="E5754" s="28">
        <v>93500</v>
      </c>
      <c r="F5754" s="28">
        <v>114300</v>
      </c>
      <c r="G5754" s="27" t="s">
        <v>11</v>
      </c>
      <c r="H5754" s="27" t="s">
        <v>4395</v>
      </c>
      <c r="I5754" s="27" t="s">
        <v>9</v>
      </c>
    </row>
    <row r="5755" spans="1:9" x14ac:dyDescent="0.3">
      <c r="A5755" s="26">
        <v>45234</v>
      </c>
      <c r="B5755" s="27" t="s">
        <v>125</v>
      </c>
      <c r="C5755" s="27" t="s">
        <v>93</v>
      </c>
      <c r="D5755" s="27" t="s">
        <v>24</v>
      </c>
      <c r="E5755" s="28">
        <v>97700</v>
      </c>
      <c r="F5755" s="28">
        <v>102100</v>
      </c>
      <c r="G5755" s="27" t="s">
        <v>11</v>
      </c>
      <c r="H5755" s="27" t="s">
        <v>4685</v>
      </c>
      <c r="I5755" s="27" t="s">
        <v>9</v>
      </c>
    </row>
    <row r="5756" spans="1:9" x14ac:dyDescent="0.3">
      <c r="A5756" s="26">
        <v>45234</v>
      </c>
      <c r="B5756" s="27" t="s">
        <v>125</v>
      </c>
      <c r="C5756" s="27" t="s">
        <v>93</v>
      </c>
      <c r="D5756" s="27" t="s">
        <v>7</v>
      </c>
      <c r="E5756" s="28">
        <v>107900</v>
      </c>
      <c r="F5756" s="28">
        <v>110700</v>
      </c>
      <c r="G5756" s="27" t="s">
        <v>22</v>
      </c>
      <c r="H5756" s="27" t="s">
        <v>5042</v>
      </c>
      <c r="I5756" s="27" t="s">
        <v>9</v>
      </c>
    </row>
    <row r="5757" spans="1:9" x14ac:dyDescent="0.3">
      <c r="A5757" s="26">
        <v>45234</v>
      </c>
      <c r="B5757" s="27" t="s">
        <v>125</v>
      </c>
      <c r="C5757" s="27" t="s">
        <v>6</v>
      </c>
      <c r="D5757" s="27" t="s">
        <v>7</v>
      </c>
      <c r="E5757" s="28">
        <v>127100</v>
      </c>
      <c r="F5757" s="28">
        <v>135300</v>
      </c>
      <c r="G5757" s="27" t="s">
        <v>11</v>
      </c>
      <c r="H5757" s="27" t="s">
        <v>5195</v>
      </c>
      <c r="I5757" s="27" t="s">
        <v>9</v>
      </c>
    </row>
    <row r="5758" spans="1:9" x14ac:dyDescent="0.3">
      <c r="A5758" s="26">
        <v>45234</v>
      </c>
      <c r="B5758" s="27" t="s">
        <v>125</v>
      </c>
      <c r="C5758" s="27" t="s">
        <v>93</v>
      </c>
      <c r="D5758" s="27" t="s">
        <v>24</v>
      </c>
      <c r="E5758" s="28">
        <v>97500</v>
      </c>
      <c r="F5758" s="28">
        <v>91800</v>
      </c>
      <c r="G5758" s="27" t="s">
        <v>17</v>
      </c>
      <c r="H5758" s="27" t="s">
        <v>5233</v>
      </c>
      <c r="I5758" s="27" t="s">
        <v>9</v>
      </c>
    </row>
    <row r="5759" spans="1:9" x14ac:dyDescent="0.3">
      <c r="A5759" s="26">
        <v>45234</v>
      </c>
      <c r="B5759" s="27" t="s">
        <v>125</v>
      </c>
      <c r="C5759" s="27" t="s">
        <v>93</v>
      </c>
      <c r="D5759" s="27" t="s">
        <v>16</v>
      </c>
      <c r="E5759" s="28">
        <v>52800</v>
      </c>
      <c r="F5759" s="28">
        <v>56800</v>
      </c>
      <c r="G5759" s="27" t="s">
        <v>11</v>
      </c>
      <c r="H5759" s="27" t="s">
        <v>5970</v>
      </c>
      <c r="I5759" s="27" t="s">
        <v>9</v>
      </c>
    </row>
    <row r="5760" spans="1:9" x14ac:dyDescent="0.3">
      <c r="A5760" s="26">
        <v>45234</v>
      </c>
      <c r="B5760" s="27" t="s">
        <v>125</v>
      </c>
      <c r="C5760" s="27" t="s">
        <v>6</v>
      </c>
      <c r="D5760" s="27" t="s">
        <v>16</v>
      </c>
      <c r="E5760" s="28">
        <v>83700</v>
      </c>
      <c r="F5760" s="28">
        <v>78500</v>
      </c>
      <c r="G5760" s="27" t="s">
        <v>11</v>
      </c>
      <c r="H5760" s="27" t="s">
        <v>6515</v>
      </c>
      <c r="I5760" s="27" t="s">
        <v>9</v>
      </c>
    </row>
    <row r="5761" spans="1:9" x14ac:dyDescent="0.3">
      <c r="A5761" s="26">
        <v>45235</v>
      </c>
      <c r="B5761" s="27" t="s">
        <v>125</v>
      </c>
      <c r="C5761" s="27" t="s">
        <v>18</v>
      </c>
      <c r="D5761" s="27" t="s">
        <v>19</v>
      </c>
      <c r="E5761" s="28">
        <v>71859</v>
      </c>
      <c r="F5761" s="28">
        <v>109454</v>
      </c>
      <c r="G5761" s="27" t="s">
        <v>22</v>
      </c>
      <c r="H5761" s="27" t="s">
        <v>67</v>
      </c>
      <c r="I5761" s="27" t="s">
        <v>13</v>
      </c>
    </row>
    <row r="5762" spans="1:9" x14ac:dyDescent="0.3">
      <c r="A5762" s="26">
        <v>45235</v>
      </c>
      <c r="B5762" s="27" t="s">
        <v>125</v>
      </c>
      <c r="C5762" s="27" t="s">
        <v>14</v>
      </c>
      <c r="D5762" s="27" t="s">
        <v>19</v>
      </c>
      <c r="E5762" s="28">
        <v>103431</v>
      </c>
      <c r="F5762" s="28">
        <v>103987</v>
      </c>
      <c r="G5762" s="27" t="s">
        <v>11</v>
      </c>
      <c r="H5762" s="27" t="s">
        <v>316</v>
      </c>
      <c r="I5762" s="27" t="s">
        <v>13</v>
      </c>
    </row>
    <row r="5763" spans="1:9" x14ac:dyDescent="0.3">
      <c r="A5763" s="26">
        <v>45235</v>
      </c>
      <c r="B5763" s="27" t="s">
        <v>125</v>
      </c>
      <c r="C5763" s="27" t="s">
        <v>10</v>
      </c>
      <c r="D5763" s="27" t="s">
        <v>21</v>
      </c>
      <c r="E5763" s="28">
        <v>79603</v>
      </c>
      <c r="F5763" s="28">
        <v>98005</v>
      </c>
      <c r="G5763" s="27" t="s">
        <v>11</v>
      </c>
      <c r="H5763" s="27" t="s">
        <v>349</v>
      </c>
      <c r="I5763" s="27" t="s">
        <v>13</v>
      </c>
    </row>
    <row r="5764" spans="1:9" x14ac:dyDescent="0.3">
      <c r="A5764" s="26">
        <v>45235</v>
      </c>
      <c r="B5764" s="27" t="s">
        <v>125</v>
      </c>
      <c r="C5764" s="27" t="s">
        <v>10</v>
      </c>
      <c r="D5764" s="27" t="s">
        <v>16</v>
      </c>
      <c r="E5764" s="28">
        <v>123262</v>
      </c>
      <c r="F5764" s="28">
        <v>132737</v>
      </c>
      <c r="G5764" s="27" t="s">
        <v>8</v>
      </c>
      <c r="H5764" s="27" t="s">
        <v>1712</v>
      </c>
      <c r="I5764" s="27" t="s">
        <v>13</v>
      </c>
    </row>
    <row r="5765" spans="1:9" x14ac:dyDescent="0.3">
      <c r="A5765" s="26">
        <v>45235</v>
      </c>
      <c r="B5765" s="27" t="s">
        <v>125</v>
      </c>
      <c r="C5765" s="27" t="s">
        <v>32</v>
      </c>
      <c r="D5765" s="27" t="s">
        <v>24</v>
      </c>
      <c r="E5765" s="28">
        <v>59612</v>
      </c>
      <c r="F5765" s="28">
        <v>168206</v>
      </c>
      <c r="G5765" s="27" t="s">
        <v>22</v>
      </c>
      <c r="H5765" s="27" t="s">
        <v>2271</v>
      </c>
      <c r="I5765" s="27" t="s">
        <v>13</v>
      </c>
    </row>
    <row r="5766" spans="1:9" x14ac:dyDescent="0.3">
      <c r="A5766" s="26">
        <v>45235</v>
      </c>
      <c r="B5766" s="27" t="s">
        <v>125</v>
      </c>
      <c r="C5766" s="27" t="s">
        <v>14</v>
      </c>
      <c r="D5766" s="27" t="s">
        <v>16</v>
      </c>
      <c r="E5766" s="28">
        <v>106225</v>
      </c>
      <c r="F5766" s="28">
        <v>16706</v>
      </c>
      <c r="G5766" s="27" t="s">
        <v>8</v>
      </c>
      <c r="H5766" s="27" t="s">
        <v>2595</v>
      </c>
      <c r="I5766" s="27" t="s">
        <v>13</v>
      </c>
    </row>
    <row r="5767" spans="1:9" x14ac:dyDescent="0.3">
      <c r="A5767" s="26">
        <v>45235</v>
      </c>
      <c r="B5767" s="27" t="s">
        <v>125</v>
      </c>
      <c r="C5767" s="27" t="s">
        <v>15</v>
      </c>
      <c r="D5767" s="27" t="s">
        <v>24</v>
      </c>
      <c r="E5767" s="28">
        <v>73566</v>
      </c>
      <c r="F5767" s="28">
        <v>121341</v>
      </c>
      <c r="G5767" s="27" t="s">
        <v>22</v>
      </c>
      <c r="H5767" s="27" t="s">
        <v>2818</v>
      </c>
      <c r="I5767" s="27" t="s">
        <v>13</v>
      </c>
    </row>
    <row r="5768" spans="1:9" x14ac:dyDescent="0.3">
      <c r="A5768" s="26">
        <v>45235</v>
      </c>
      <c r="B5768" s="27" t="s">
        <v>125</v>
      </c>
      <c r="C5768" s="27" t="s">
        <v>15</v>
      </c>
      <c r="D5768" s="27" t="s">
        <v>7</v>
      </c>
      <c r="E5768" s="28">
        <v>68627</v>
      </c>
      <c r="F5768" s="28">
        <v>34552</v>
      </c>
      <c r="G5768" s="27" t="s">
        <v>11</v>
      </c>
      <c r="H5768" s="27" t="s">
        <v>3104</v>
      </c>
      <c r="I5768" s="27" t="s">
        <v>13</v>
      </c>
    </row>
    <row r="5769" spans="1:9" x14ac:dyDescent="0.3">
      <c r="A5769" s="26">
        <v>45235</v>
      </c>
      <c r="B5769" s="27" t="s">
        <v>125</v>
      </c>
      <c r="C5769" s="27" t="s">
        <v>32</v>
      </c>
      <c r="D5769" s="27" t="s">
        <v>7</v>
      </c>
      <c r="E5769" s="28">
        <v>89114</v>
      </c>
      <c r="F5769" s="28">
        <v>104270</v>
      </c>
      <c r="G5769" s="27" t="s">
        <v>11</v>
      </c>
      <c r="H5769" s="27" t="s">
        <v>3387</v>
      </c>
      <c r="I5769" s="27" t="s">
        <v>13</v>
      </c>
    </row>
    <row r="5770" spans="1:9" x14ac:dyDescent="0.3">
      <c r="A5770" s="26">
        <v>45235</v>
      </c>
      <c r="B5770" s="27" t="s">
        <v>125</v>
      </c>
      <c r="C5770" s="27" t="s">
        <v>93</v>
      </c>
      <c r="D5770" s="27" t="s">
        <v>19</v>
      </c>
      <c r="E5770" s="28">
        <v>57200</v>
      </c>
      <c r="F5770" s="28">
        <v>52800</v>
      </c>
      <c r="G5770" s="27" t="s">
        <v>11</v>
      </c>
      <c r="H5770" s="27" t="s">
        <v>3480</v>
      </c>
      <c r="I5770" s="27" t="s">
        <v>9</v>
      </c>
    </row>
    <row r="5771" spans="1:9" x14ac:dyDescent="0.3">
      <c r="A5771" s="26">
        <v>45235</v>
      </c>
      <c r="B5771" s="27" t="s">
        <v>125</v>
      </c>
      <c r="C5771" s="27" t="s">
        <v>6</v>
      </c>
      <c r="D5771" s="27" t="s">
        <v>19</v>
      </c>
      <c r="E5771" s="28">
        <v>89900</v>
      </c>
      <c r="F5771" s="28">
        <v>101300</v>
      </c>
      <c r="G5771" s="27" t="s">
        <v>17</v>
      </c>
      <c r="H5771" s="27" t="s">
        <v>3697</v>
      </c>
      <c r="I5771" s="27" t="s">
        <v>9</v>
      </c>
    </row>
    <row r="5772" spans="1:9" x14ac:dyDescent="0.3">
      <c r="A5772" s="26">
        <v>45235</v>
      </c>
      <c r="B5772" s="27" t="s">
        <v>125</v>
      </c>
      <c r="C5772" s="27" t="s">
        <v>6</v>
      </c>
      <c r="D5772" s="27" t="s">
        <v>21</v>
      </c>
      <c r="E5772" s="28">
        <v>62300</v>
      </c>
      <c r="F5772" s="28">
        <v>69400</v>
      </c>
      <c r="G5772" s="27" t="s">
        <v>11</v>
      </c>
      <c r="H5772" s="27" t="s">
        <v>3730</v>
      </c>
      <c r="I5772" s="27" t="s">
        <v>9</v>
      </c>
    </row>
    <row r="5773" spans="1:9" x14ac:dyDescent="0.3">
      <c r="A5773" s="26">
        <v>45235</v>
      </c>
      <c r="B5773" s="27" t="s">
        <v>125</v>
      </c>
      <c r="C5773" s="27" t="s">
        <v>6</v>
      </c>
      <c r="D5773" s="27" t="s">
        <v>16</v>
      </c>
      <c r="E5773" s="28">
        <v>116700</v>
      </c>
      <c r="F5773" s="28">
        <v>113100</v>
      </c>
      <c r="G5773" s="27" t="s">
        <v>17</v>
      </c>
      <c r="H5773" s="27" t="s">
        <v>5095</v>
      </c>
      <c r="I5773" s="27" t="s">
        <v>9</v>
      </c>
    </row>
    <row r="5774" spans="1:9" x14ac:dyDescent="0.3">
      <c r="A5774" s="26">
        <v>45235</v>
      </c>
      <c r="B5774" s="27" t="s">
        <v>125</v>
      </c>
      <c r="C5774" s="27" t="s">
        <v>93</v>
      </c>
      <c r="D5774" s="27" t="s">
        <v>24</v>
      </c>
      <c r="E5774" s="28">
        <v>71400</v>
      </c>
      <c r="F5774" s="28">
        <v>75200</v>
      </c>
      <c r="G5774" s="27" t="s">
        <v>22</v>
      </c>
      <c r="H5774" s="27" t="s">
        <v>5656</v>
      </c>
      <c r="I5774" s="27" t="s">
        <v>9</v>
      </c>
    </row>
    <row r="5775" spans="1:9" x14ac:dyDescent="0.3">
      <c r="A5775" s="26">
        <v>45235</v>
      </c>
      <c r="B5775" s="27" t="s">
        <v>125</v>
      </c>
      <c r="C5775" s="27" t="s">
        <v>6</v>
      </c>
      <c r="D5775" s="27" t="s">
        <v>16</v>
      </c>
      <c r="E5775" s="28">
        <v>127600</v>
      </c>
      <c r="F5775" s="28">
        <v>135800</v>
      </c>
      <c r="G5775" s="27" t="s">
        <v>11</v>
      </c>
      <c r="H5775" s="27" t="s">
        <v>5980</v>
      </c>
      <c r="I5775" s="27" t="s">
        <v>9</v>
      </c>
    </row>
    <row r="5776" spans="1:9" x14ac:dyDescent="0.3">
      <c r="A5776" s="26">
        <v>45235</v>
      </c>
      <c r="B5776" s="27" t="s">
        <v>125</v>
      </c>
      <c r="C5776" s="27" t="s">
        <v>6</v>
      </c>
      <c r="D5776" s="27" t="s">
        <v>24</v>
      </c>
      <c r="E5776" s="28">
        <v>103100</v>
      </c>
      <c r="F5776" s="28">
        <v>110700</v>
      </c>
      <c r="G5776" s="27" t="s">
        <v>22</v>
      </c>
      <c r="H5776" s="27" t="s">
        <v>6203</v>
      </c>
      <c r="I5776" s="27" t="s">
        <v>9</v>
      </c>
    </row>
    <row r="5777" spans="1:9" x14ac:dyDescent="0.3">
      <c r="A5777" s="26">
        <v>45235</v>
      </c>
      <c r="B5777" s="27" t="s">
        <v>125</v>
      </c>
      <c r="C5777" s="27" t="s">
        <v>93</v>
      </c>
      <c r="D5777" s="27" t="s">
        <v>7</v>
      </c>
      <c r="E5777" s="28">
        <v>99800</v>
      </c>
      <c r="F5777" s="28">
        <v>127100</v>
      </c>
      <c r="G5777" s="27" t="s">
        <v>11</v>
      </c>
      <c r="H5777" s="27" t="s">
        <v>6489</v>
      </c>
      <c r="I5777" s="27" t="s">
        <v>9</v>
      </c>
    </row>
    <row r="5778" spans="1:9" x14ac:dyDescent="0.3">
      <c r="A5778" s="26">
        <v>45235</v>
      </c>
      <c r="B5778" s="27" t="s">
        <v>125</v>
      </c>
      <c r="C5778" s="27" t="s">
        <v>6</v>
      </c>
      <c r="D5778" s="27" t="s">
        <v>7</v>
      </c>
      <c r="E5778" s="28">
        <v>81900</v>
      </c>
      <c r="F5778" s="28">
        <v>71000</v>
      </c>
      <c r="G5778" s="27" t="s">
        <v>11</v>
      </c>
      <c r="H5778" s="27" t="s">
        <v>6772</v>
      </c>
      <c r="I5778" s="27" t="s">
        <v>9</v>
      </c>
    </row>
    <row r="5779" spans="1:9" x14ac:dyDescent="0.3">
      <c r="A5779" s="26">
        <v>45236</v>
      </c>
      <c r="B5779" s="27" t="s">
        <v>125</v>
      </c>
      <c r="C5779" s="27" t="s">
        <v>32</v>
      </c>
      <c r="D5779" s="27" t="s">
        <v>16</v>
      </c>
      <c r="E5779" s="28">
        <v>66433</v>
      </c>
      <c r="F5779" s="28">
        <v>136369</v>
      </c>
      <c r="G5779" s="27" t="s">
        <v>8</v>
      </c>
      <c r="H5779" s="27" t="s">
        <v>195</v>
      </c>
      <c r="I5779" s="27" t="s">
        <v>13</v>
      </c>
    </row>
    <row r="5780" spans="1:9" x14ac:dyDescent="0.3">
      <c r="A5780" s="26">
        <v>45236</v>
      </c>
      <c r="B5780" s="27" t="s">
        <v>125</v>
      </c>
      <c r="C5780" s="27" t="s">
        <v>14</v>
      </c>
      <c r="D5780" s="27" t="s">
        <v>16</v>
      </c>
      <c r="E5780" s="28">
        <v>93611</v>
      </c>
      <c r="F5780" s="28">
        <v>169798</v>
      </c>
      <c r="G5780" s="27" t="s">
        <v>17</v>
      </c>
      <c r="H5780" s="27" t="s">
        <v>453</v>
      </c>
      <c r="I5780" s="27" t="s">
        <v>13</v>
      </c>
    </row>
    <row r="5781" spans="1:9" x14ac:dyDescent="0.3">
      <c r="A5781" s="26">
        <v>45236</v>
      </c>
      <c r="B5781" s="27" t="s">
        <v>125</v>
      </c>
      <c r="C5781" s="27" t="s">
        <v>14</v>
      </c>
      <c r="D5781" s="27" t="s">
        <v>16</v>
      </c>
      <c r="E5781" s="28">
        <v>140640</v>
      </c>
      <c r="F5781" s="28">
        <v>153332</v>
      </c>
      <c r="G5781" s="27" t="s">
        <v>17</v>
      </c>
      <c r="H5781" s="27" t="s">
        <v>862</v>
      </c>
      <c r="I5781" s="27" t="s">
        <v>13</v>
      </c>
    </row>
    <row r="5782" spans="1:9" x14ac:dyDescent="0.3">
      <c r="A5782" s="26">
        <v>45236</v>
      </c>
      <c r="B5782" s="27" t="s">
        <v>125</v>
      </c>
      <c r="C5782" s="27" t="s">
        <v>18</v>
      </c>
      <c r="D5782" s="27" t="s">
        <v>24</v>
      </c>
      <c r="E5782" s="28">
        <v>141028</v>
      </c>
      <c r="F5782" s="28">
        <v>66617</v>
      </c>
      <c r="G5782" s="27" t="s">
        <v>8</v>
      </c>
      <c r="H5782" s="27" t="s">
        <v>902</v>
      </c>
      <c r="I5782" s="27" t="s">
        <v>13</v>
      </c>
    </row>
    <row r="5783" spans="1:9" x14ac:dyDescent="0.3">
      <c r="A5783" s="26">
        <v>45236</v>
      </c>
      <c r="B5783" s="27" t="s">
        <v>125</v>
      </c>
      <c r="C5783" s="27" t="s">
        <v>15</v>
      </c>
      <c r="D5783" s="27" t="s">
        <v>19</v>
      </c>
      <c r="E5783" s="28">
        <v>99271</v>
      </c>
      <c r="F5783" s="28">
        <v>11542</v>
      </c>
      <c r="G5783" s="27" t="s">
        <v>17</v>
      </c>
      <c r="H5783" s="27" t="s">
        <v>1636</v>
      </c>
      <c r="I5783" s="27" t="s">
        <v>13</v>
      </c>
    </row>
    <row r="5784" spans="1:9" x14ac:dyDescent="0.3">
      <c r="A5784" s="26">
        <v>45236</v>
      </c>
      <c r="B5784" s="27" t="s">
        <v>125</v>
      </c>
      <c r="C5784" s="27" t="s">
        <v>15</v>
      </c>
      <c r="D5784" s="27" t="s">
        <v>21</v>
      </c>
      <c r="E5784" s="28">
        <v>23746</v>
      </c>
      <c r="F5784" s="28">
        <v>12920</v>
      </c>
      <c r="G5784" s="27" t="s">
        <v>17</v>
      </c>
      <c r="H5784" s="27" t="s">
        <v>1784</v>
      </c>
      <c r="I5784" s="27" t="s">
        <v>13</v>
      </c>
    </row>
    <row r="5785" spans="1:9" x14ac:dyDescent="0.3">
      <c r="A5785" s="26">
        <v>45236</v>
      </c>
      <c r="B5785" s="27" t="s">
        <v>125</v>
      </c>
      <c r="C5785" s="27" t="s">
        <v>20</v>
      </c>
      <c r="D5785" s="27" t="s">
        <v>24</v>
      </c>
      <c r="E5785" s="28">
        <v>44942</v>
      </c>
      <c r="F5785" s="28">
        <v>107304</v>
      </c>
      <c r="G5785" s="27" t="s">
        <v>22</v>
      </c>
      <c r="H5785" s="27" t="s">
        <v>2554</v>
      </c>
      <c r="I5785" s="27" t="s">
        <v>13</v>
      </c>
    </row>
    <row r="5786" spans="1:9" x14ac:dyDescent="0.3">
      <c r="A5786" s="26">
        <v>45236</v>
      </c>
      <c r="B5786" s="27" t="s">
        <v>125</v>
      </c>
      <c r="C5786" s="27" t="s">
        <v>6</v>
      </c>
      <c r="D5786" s="27" t="s">
        <v>16</v>
      </c>
      <c r="E5786" s="28">
        <v>132100</v>
      </c>
      <c r="F5786" s="28">
        <v>112500</v>
      </c>
      <c r="G5786" s="27" t="s">
        <v>22</v>
      </c>
      <c r="H5786" s="27" t="s">
        <v>3576</v>
      </c>
      <c r="I5786" s="27" t="s">
        <v>9</v>
      </c>
    </row>
    <row r="5787" spans="1:9" x14ac:dyDescent="0.3">
      <c r="A5787" s="26">
        <v>45236</v>
      </c>
      <c r="B5787" s="27" t="s">
        <v>125</v>
      </c>
      <c r="C5787" s="27" t="s">
        <v>6</v>
      </c>
      <c r="D5787" s="27" t="s">
        <v>16</v>
      </c>
      <c r="E5787" s="28">
        <v>105400</v>
      </c>
      <c r="F5787" s="28">
        <v>105800</v>
      </c>
      <c r="G5787" s="27" t="s">
        <v>17</v>
      </c>
      <c r="H5787" s="27" t="s">
        <v>3834</v>
      </c>
      <c r="I5787" s="27" t="s">
        <v>9</v>
      </c>
    </row>
    <row r="5788" spans="1:9" x14ac:dyDescent="0.3">
      <c r="A5788" s="26">
        <v>45236</v>
      </c>
      <c r="B5788" s="27" t="s">
        <v>125</v>
      </c>
      <c r="C5788" s="27" t="s">
        <v>6</v>
      </c>
      <c r="D5788" s="27" t="s">
        <v>16</v>
      </c>
      <c r="E5788" s="28">
        <v>94400</v>
      </c>
      <c r="F5788" s="28">
        <v>98100</v>
      </c>
      <c r="G5788" s="27" t="s">
        <v>17</v>
      </c>
      <c r="H5788" s="27" t="s">
        <v>4243</v>
      </c>
      <c r="I5788" s="27" t="s">
        <v>9</v>
      </c>
    </row>
    <row r="5789" spans="1:9" x14ac:dyDescent="0.3">
      <c r="A5789" s="26">
        <v>45236</v>
      </c>
      <c r="B5789" s="27" t="s">
        <v>125</v>
      </c>
      <c r="C5789" s="27" t="s">
        <v>6</v>
      </c>
      <c r="D5789" s="27" t="s">
        <v>24</v>
      </c>
      <c r="E5789" s="28">
        <v>158500</v>
      </c>
      <c r="F5789" s="28">
        <v>152400</v>
      </c>
      <c r="G5789" s="27" t="s">
        <v>11</v>
      </c>
      <c r="H5789" s="27" t="s">
        <v>4283</v>
      </c>
      <c r="I5789" s="27" t="s">
        <v>9</v>
      </c>
    </row>
    <row r="5790" spans="1:9" x14ac:dyDescent="0.3">
      <c r="A5790" s="26">
        <v>45236</v>
      </c>
      <c r="B5790" s="27" t="s">
        <v>125</v>
      </c>
      <c r="C5790" s="27" t="s">
        <v>93</v>
      </c>
      <c r="D5790" s="27" t="s">
        <v>19</v>
      </c>
      <c r="E5790" s="28">
        <v>151800</v>
      </c>
      <c r="F5790" s="28">
        <v>170900</v>
      </c>
      <c r="G5790" s="27" t="s">
        <v>11</v>
      </c>
      <c r="H5790" s="27" t="s">
        <v>5019</v>
      </c>
      <c r="I5790" s="27" t="s">
        <v>9</v>
      </c>
    </row>
    <row r="5791" spans="1:9" x14ac:dyDescent="0.3">
      <c r="A5791" s="26">
        <v>45236</v>
      </c>
      <c r="B5791" s="27" t="s">
        <v>125</v>
      </c>
      <c r="C5791" s="27" t="s">
        <v>6</v>
      </c>
      <c r="D5791" s="27" t="s">
        <v>21</v>
      </c>
      <c r="E5791" s="28">
        <v>187700</v>
      </c>
      <c r="F5791" s="28">
        <v>195300</v>
      </c>
      <c r="G5791" s="27" t="s">
        <v>11</v>
      </c>
      <c r="H5791" s="27" t="s">
        <v>5167</v>
      </c>
      <c r="I5791" s="27" t="s">
        <v>9</v>
      </c>
    </row>
    <row r="5792" spans="1:9" x14ac:dyDescent="0.3">
      <c r="A5792" s="26">
        <v>45236</v>
      </c>
      <c r="B5792" s="27" t="s">
        <v>125</v>
      </c>
      <c r="C5792" s="27" t="s">
        <v>6</v>
      </c>
      <c r="D5792" s="27" t="s">
        <v>24</v>
      </c>
      <c r="E5792" s="28">
        <v>123800</v>
      </c>
      <c r="F5792" s="28">
        <v>119300</v>
      </c>
      <c r="G5792" s="27" t="s">
        <v>11</v>
      </c>
      <c r="H5792" s="27" t="s">
        <v>5939</v>
      </c>
      <c r="I5792" s="27" t="s">
        <v>9</v>
      </c>
    </row>
    <row r="5793" spans="1:9" x14ac:dyDescent="0.3">
      <c r="A5793" s="26">
        <v>45237</v>
      </c>
      <c r="B5793" s="27" t="s">
        <v>125</v>
      </c>
      <c r="C5793" s="27" t="s">
        <v>15</v>
      </c>
      <c r="D5793" s="27" t="s">
        <v>7</v>
      </c>
      <c r="E5793" s="28">
        <v>49069</v>
      </c>
      <c r="F5793" s="28">
        <v>75542</v>
      </c>
      <c r="G5793" s="27" t="s">
        <v>17</v>
      </c>
      <c r="H5793" s="27" t="s">
        <v>428</v>
      </c>
      <c r="I5793" s="27" t="s">
        <v>13</v>
      </c>
    </row>
    <row r="5794" spans="1:9" x14ac:dyDescent="0.3">
      <c r="A5794" s="26">
        <v>45237</v>
      </c>
      <c r="B5794" s="27" t="s">
        <v>125</v>
      </c>
      <c r="C5794" s="27" t="s">
        <v>14</v>
      </c>
      <c r="D5794" s="27" t="s">
        <v>21</v>
      </c>
      <c r="E5794" s="28">
        <v>54049</v>
      </c>
      <c r="F5794" s="28">
        <v>136367</v>
      </c>
      <c r="G5794" s="27" t="s">
        <v>22</v>
      </c>
      <c r="H5794" s="27" t="s">
        <v>443</v>
      </c>
      <c r="I5794" s="27" t="s">
        <v>13</v>
      </c>
    </row>
    <row r="5795" spans="1:9" x14ac:dyDescent="0.3">
      <c r="A5795" s="26">
        <v>45237</v>
      </c>
      <c r="B5795" s="27" t="s">
        <v>125</v>
      </c>
      <c r="C5795" s="27" t="s">
        <v>10</v>
      </c>
      <c r="D5795" s="27" t="s">
        <v>21</v>
      </c>
      <c r="E5795" s="28">
        <v>73486</v>
      </c>
      <c r="F5795" s="28">
        <v>71529</v>
      </c>
      <c r="G5795" s="27" t="s">
        <v>22</v>
      </c>
      <c r="H5795" s="27" t="s">
        <v>450</v>
      </c>
      <c r="I5795" s="27" t="s">
        <v>13</v>
      </c>
    </row>
    <row r="5796" spans="1:9" x14ac:dyDescent="0.3">
      <c r="A5796" s="26">
        <v>45237</v>
      </c>
      <c r="B5796" s="27" t="s">
        <v>125</v>
      </c>
      <c r="C5796" s="27" t="s">
        <v>15</v>
      </c>
      <c r="D5796" s="27" t="s">
        <v>7</v>
      </c>
      <c r="E5796" s="28">
        <v>141074</v>
      </c>
      <c r="F5796" s="28">
        <v>55873</v>
      </c>
      <c r="G5796" s="27" t="s">
        <v>8</v>
      </c>
      <c r="H5796" s="27" t="s">
        <v>518</v>
      </c>
      <c r="I5796" s="27" t="s">
        <v>13</v>
      </c>
    </row>
    <row r="5797" spans="1:9" x14ac:dyDescent="0.3">
      <c r="A5797" s="26">
        <v>45237</v>
      </c>
      <c r="B5797" s="27" t="s">
        <v>125</v>
      </c>
      <c r="C5797" s="27" t="s">
        <v>14</v>
      </c>
      <c r="D5797" s="27" t="s">
        <v>7</v>
      </c>
      <c r="E5797" s="28">
        <v>86180</v>
      </c>
      <c r="F5797" s="28">
        <v>24244</v>
      </c>
      <c r="G5797" s="27" t="s">
        <v>22</v>
      </c>
      <c r="H5797" s="27" t="s">
        <v>747</v>
      </c>
      <c r="I5797" s="27" t="s">
        <v>13</v>
      </c>
    </row>
    <row r="5798" spans="1:9" x14ac:dyDescent="0.3">
      <c r="A5798" s="26">
        <v>45237</v>
      </c>
      <c r="B5798" s="27" t="s">
        <v>125</v>
      </c>
      <c r="C5798" s="27" t="s">
        <v>14</v>
      </c>
      <c r="D5798" s="27" t="s">
        <v>24</v>
      </c>
      <c r="E5798" s="28">
        <v>124438</v>
      </c>
      <c r="F5798" s="28">
        <v>116955</v>
      </c>
      <c r="G5798" s="27" t="s">
        <v>17</v>
      </c>
      <c r="H5798" s="27" t="s">
        <v>1095</v>
      </c>
      <c r="I5798" s="27" t="s">
        <v>13</v>
      </c>
    </row>
    <row r="5799" spans="1:9" x14ac:dyDescent="0.3">
      <c r="A5799" s="26">
        <v>45237</v>
      </c>
      <c r="B5799" s="27" t="s">
        <v>125</v>
      </c>
      <c r="C5799" s="27" t="s">
        <v>15</v>
      </c>
      <c r="D5799" s="27" t="s">
        <v>7</v>
      </c>
      <c r="E5799" s="28">
        <v>78269</v>
      </c>
      <c r="F5799" s="28">
        <v>10364</v>
      </c>
      <c r="G5799" s="27" t="s">
        <v>8</v>
      </c>
      <c r="H5799" s="27" t="s">
        <v>1981</v>
      </c>
      <c r="I5799" s="27" t="s">
        <v>13</v>
      </c>
    </row>
    <row r="5800" spans="1:9" x14ac:dyDescent="0.3">
      <c r="A5800" s="26">
        <v>45237</v>
      </c>
      <c r="B5800" s="27" t="s">
        <v>125</v>
      </c>
      <c r="C5800" s="27" t="s">
        <v>20</v>
      </c>
      <c r="D5800" s="27" t="s">
        <v>19</v>
      </c>
      <c r="E5800" s="28">
        <v>66615</v>
      </c>
      <c r="F5800" s="28">
        <v>46465</v>
      </c>
      <c r="G5800" s="27" t="s">
        <v>17</v>
      </c>
      <c r="H5800" s="27" t="s">
        <v>2190</v>
      </c>
      <c r="I5800" s="27" t="s">
        <v>13</v>
      </c>
    </row>
    <row r="5801" spans="1:9" x14ac:dyDescent="0.3">
      <c r="A5801" s="26">
        <v>45237</v>
      </c>
      <c r="B5801" s="27" t="s">
        <v>125</v>
      </c>
      <c r="C5801" s="27" t="s">
        <v>18</v>
      </c>
      <c r="D5801" s="27" t="s">
        <v>21</v>
      </c>
      <c r="E5801" s="28">
        <v>75199</v>
      </c>
      <c r="F5801" s="28">
        <v>70787</v>
      </c>
      <c r="G5801" s="27" t="s">
        <v>8</v>
      </c>
      <c r="H5801" s="27" t="s">
        <v>2600</v>
      </c>
      <c r="I5801" s="27" t="s">
        <v>13</v>
      </c>
    </row>
    <row r="5802" spans="1:9" x14ac:dyDescent="0.3">
      <c r="A5802" s="26">
        <v>45237</v>
      </c>
      <c r="B5802" s="27" t="s">
        <v>125</v>
      </c>
      <c r="C5802" s="27" t="s">
        <v>14</v>
      </c>
      <c r="D5802" s="27" t="s">
        <v>21</v>
      </c>
      <c r="E5802" s="28">
        <v>106599</v>
      </c>
      <c r="F5802" s="28">
        <v>105385</v>
      </c>
      <c r="G5802" s="27" t="s">
        <v>22</v>
      </c>
      <c r="H5802" s="27" t="s">
        <v>2800</v>
      </c>
      <c r="I5802" s="27" t="s">
        <v>13</v>
      </c>
    </row>
    <row r="5803" spans="1:9" x14ac:dyDescent="0.3">
      <c r="A5803" s="26">
        <v>45237</v>
      </c>
      <c r="B5803" s="27" t="s">
        <v>125</v>
      </c>
      <c r="C5803" s="27" t="s">
        <v>14</v>
      </c>
      <c r="D5803" s="27" t="s">
        <v>16</v>
      </c>
      <c r="E5803" s="28">
        <v>40270</v>
      </c>
      <c r="F5803" s="28">
        <v>125877</v>
      </c>
      <c r="G5803" s="27" t="s">
        <v>8</v>
      </c>
      <c r="H5803" s="27" t="s">
        <v>2892</v>
      </c>
      <c r="I5803" s="27" t="s">
        <v>13</v>
      </c>
    </row>
    <row r="5804" spans="1:9" x14ac:dyDescent="0.3">
      <c r="A5804" s="26">
        <v>45237</v>
      </c>
      <c r="B5804" s="27" t="s">
        <v>125</v>
      </c>
      <c r="C5804" s="27" t="s">
        <v>15</v>
      </c>
      <c r="D5804" s="27" t="s">
        <v>16</v>
      </c>
      <c r="E5804" s="28">
        <v>99361</v>
      </c>
      <c r="F5804" s="28">
        <v>164640</v>
      </c>
      <c r="G5804" s="27" t="s">
        <v>17</v>
      </c>
      <c r="H5804" s="27" t="s">
        <v>3286</v>
      </c>
      <c r="I5804" s="27" t="s">
        <v>13</v>
      </c>
    </row>
    <row r="5805" spans="1:9" x14ac:dyDescent="0.3">
      <c r="A5805" s="26">
        <v>45237</v>
      </c>
      <c r="B5805" s="27" t="s">
        <v>125</v>
      </c>
      <c r="C5805" s="27" t="s">
        <v>14</v>
      </c>
      <c r="D5805" s="27" t="s">
        <v>24</v>
      </c>
      <c r="E5805" s="28">
        <v>127208</v>
      </c>
      <c r="F5805" s="28">
        <v>19467</v>
      </c>
      <c r="G5805" s="27" t="s">
        <v>22</v>
      </c>
      <c r="H5805" s="27" t="s">
        <v>3334</v>
      </c>
      <c r="I5805" s="27" t="s">
        <v>13</v>
      </c>
    </row>
    <row r="5806" spans="1:9" x14ac:dyDescent="0.3">
      <c r="A5806" s="26">
        <v>45237</v>
      </c>
      <c r="B5806" s="27" t="s">
        <v>125</v>
      </c>
      <c r="C5806" s="27" t="s">
        <v>93</v>
      </c>
      <c r="D5806" s="27" t="s">
        <v>7</v>
      </c>
      <c r="E5806" s="28">
        <v>263000</v>
      </c>
      <c r="F5806" s="28">
        <v>274000</v>
      </c>
      <c r="G5806" s="27" t="s">
        <v>11</v>
      </c>
      <c r="H5806" s="27" t="s">
        <v>3809</v>
      </c>
      <c r="I5806" s="27" t="s">
        <v>9</v>
      </c>
    </row>
    <row r="5807" spans="1:9" x14ac:dyDescent="0.3">
      <c r="A5807" s="26">
        <v>45237</v>
      </c>
      <c r="B5807" s="27" t="s">
        <v>125</v>
      </c>
      <c r="C5807" s="27" t="s">
        <v>93</v>
      </c>
      <c r="D5807" s="27" t="s">
        <v>21</v>
      </c>
      <c r="E5807" s="28">
        <v>116700</v>
      </c>
      <c r="F5807" s="28">
        <v>110300</v>
      </c>
      <c r="G5807" s="27" t="s">
        <v>17</v>
      </c>
      <c r="H5807" s="27" t="s">
        <v>3824</v>
      </c>
      <c r="I5807" s="27" t="s">
        <v>9</v>
      </c>
    </row>
    <row r="5808" spans="1:9" x14ac:dyDescent="0.3">
      <c r="A5808" s="26">
        <v>45237</v>
      </c>
      <c r="B5808" s="27" t="s">
        <v>125</v>
      </c>
      <c r="C5808" s="27" t="s">
        <v>6</v>
      </c>
      <c r="D5808" s="27" t="s">
        <v>21</v>
      </c>
      <c r="E5808" s="28">
        <v>62300</v>
      </c>
      <c r="F5808" s="28">
        <v>66100</v>
      </c>
      <c r="G5808" s="27" t="s">
        <v>11</v>
      </c>
      <c r="H5808" s="27" t="s">
        <v>3831</v>
      </c>
      <c r="I5808" s="27" t="s">
        <v>9</v>
      </c>
    </row>
    <row r="5809" spans="1:9" x14ac:dyDescent="0.3">
      <c r="A5809" s="26">
        <v>45237</v>
      </c>
      <c r="B5809" s="27" t="s">
        <v>125</v>
      </c>
      <c r="C5809" s="27" t="s">
        <v>6</v>
      </c>
      <c r="D5809" s="27" t="s">
        <v>7</v>
      </c>
      <c r="E5809" s="28">
        <v>110900</v>
      </c>
      <c r="F5809" s="28">
        <v>131200</v>
      </c>
      <c r="G5809" s="27" t="s">
        <v>22</v>
      </c>
      <c r="H5809" s="27" t="s">
        <v>3899</v>
      </c>
      <c r="I5809" s="27" t="s">
        <v>9</v>
      </c>
    </row>
    <row r="5810" spans="1:9" x14ac:dyDescent="0.3">
      <c r="A5810" s="26">
        <v>45237</v>
      </c>
      <c r="B5810" s="27" t="s">
        <v>125</v>
      </c>
      <c r="C5810" s="27" t="s">
        <v>6</v>
      </c>
      <c r="D5810" s="27" t="s">
        <v>7</v>
      </c>
      <c r="E5810" s="28">
        <v>103800</v>
      </c>
      <c r="F5810" s="28">
        <v>118900</v>
      </c>
      <c r="G5810" s="27" t="s">
        <v>22</v>
      </c>
      <c r="H5810" s="27" t="s">
        <v>4128</v>
      </c>
      <c r="I5810" s="27" t="s">
        <v>9</v>
      </c>
    </row>
    <row r="5811" spans="1:9" x14ac:dyDescent="0.3">
      <c r="A5811" s="26">
        <v>45237</v>
      </c>
      <c r="B5811" s="27" t="s">
        <v>125</v>
      </c>
      <c r="C5811" s="27" t="s">
        <v>6</v>
      </c>
      <c r="D5811" s="27" t="s">
        <v>24</v>
      </c>
      <c r="E5811" s="28">
        <v>45600</v>
      </c>
      <c r="F5811" s="28">
        <v>41800</v>
      </c>
      <c r="G5811" s="27" t="s">
        <v>22</v>
      </c>
      <c r="H5811" s="27" t="s">
        <v>4477</v>
      </c>
      <c r="I5811" s="27" t="s">
        <v>9</v>
      </c>
    </row>
    <row r="5812" spans="1:9" x14ac:dyDescent="0.3">
      <c r="A5812" s="26">
        <v>45237</v>
      </c>
      <c r="B5812" s="27" t="s">
        <v>125</v>
      </c>
      <c r="C5812" s="27" t="s">
        <v>6</v>
      </c>
      <c r="D5812" s="27" t="s">
        <v>7</v>
      </c>
      <c r="E5812" s="28">
        <v>119900</v>
      </c>
      <c r="F5812" s="28">
        <v>129200</v>
      </c>
      <c r="G5812" s="27" t="s">
        <v>17</v>
      </c>
      <c r="H5812" s="27" t="s">
        <v>5365</v>
      </c>
      <c r="I5812" s="27" t="s">
        <v>9</v>
      </c>
    </row>
    <row r="5813" spans="1:9" x14ac:dyDescent="0.3">
      <c r="A5813" s="26">
        <v>45237</v>
      </c>
      <c r="B5813" s="27" t="s">
        <v>125</v>
      </c>
      <c r="C5813" s="27" t="s">
        <v>6</v>
      </c>
      <c r="D5813" s="27" t="s">
        <v>19</v>
      </c>
      <c r="E5813" s="28">
        <v>82800</v>
      </c>
      <c r="F5813" s="28">
        <v>88500</v>
      </c>
      <c r="G5813" s="27" t="s">
        <v>11</v>
      </c>
      <c r="H5813" s="27" t="s">
        <v>5575</v>
      </c>
      <c r="I5813" s="27" t="s">
        <v>9</v>
      </c>
    </row>
    <row r="5814" spans="1:9" x14ac:dyDescent="0.3">
      <c r="A5814" s="26">
        <v>45237</v>
      </c>
      <c r="B5814" s="27" t="s">
        <v>125</v>
      </c>
      <c r="C5814" s="27" t="s">
        <v>93</v>
      </c>
      <c r="D5814" s="27" t="s">
        <v>21</v>
      </c>
      <c r="E5814" s="28">
        <v>140100</v>
      </c>
      <c r="F5814" s="28">
        <v>144500</v>
      </c>
      <c r="G5814" s="27" t="s">
        <v>11</v>
      </c>
      <c r="H5814" s="27" t="s">
        <v>5985</v>
      </c>
      <c r="I5814" s="27" t="s">
        <v>9</v>
      </c>
    </row>
    <row r="5815" spans="1:9" x14ac:dyDescent="0.3">
      <c r="A5815" s="26">
        <v>45237</v>
      </c>
      <c r="B5815" s="27" t="s">
        <v>125</v>
      </c>
      <c r="C5815" s="27" t="s">
        <v>6</v>
      </c>
      <c r="D5815" s="27" t="s">
        <v>21</v>
      </c>
      <c r="E5815" s="28">
        <v>74700</v>
      </c>
      <c r="F5815" s="28">
        <v>94100</v>
      </c>
      <c r="G5815" s="27" t="s">
        <v>11</v>
      </c>
      <c r="H5815" s="27" t="s">
        <v>6185</v>
      </c>
      <c r="I5815" s="27" t="s">
        <v>9</v>
      </c>
    </row>
    <row r="5816" spans="1:9" x14ac:dyDescent="0.3">
      <c r="A5816" s="26">
        <v>45237</v>
      </c>
      <c r="B5816" s="27" t="s">
        <v>125</v>
      </c>
      <c r="C5816" s="27" t="s">
        <v>6</v>
      </c>
      <c r="D5816" s="27" t="s">
        <v>16</v>
      </c>
      <c r="E5816" s="28">
        <v>80100</v>
      </c>
      <c r="F5816" s="28">
        <v>74100</v>
      </c>
      <c r="G5816" s="27" t="s">
        <v>11</v>
      </c>
      <c r="H5816" s="27" t="s">
        <v>6277</v>
      </c>
      <c r="I5816" s="27" t="s">
        <v>9</v>
      </c>
    </row>
    <row r="5817" spans="1:9" x14ac:dyDescent="0.3">
      <c r="A5817" s="26">
        <v>45237</v>
      </c>
      <c r="B5817" s="27" t="s">
        <v>125</v>
      </c>
      <c r="C5817" s="27" t="s">
        <v>6</v>
      </c>
      <c r="D5817" s="27" t="s">
        <v>16</v>
      </c>
      <c r="E5817" s="28">
        <v>104200</v>
      </c>
      <c r="F5817" s="28">
        <v>86500</v>
      </c>
      <c r="G5817" s="27" t="s">
        <v>11</v>
      </c>
      <c r="H5817" s="27" t="s">
        <v>6671</v>
      </c>
      <c r="I5817" s="27" t="s">
        <v>9</v>
      </c>
    </row>
    <row r="5818" spans="1:9" x14ac:dyDescent="0.3">
      <c r="A5818" s="26">
        <v>45237</v>
      </c>
      <c r="B5818" s="27" t="s">
        <v>125</v>
      </c>
      <c r="C5818" s="27" t="s">
        <v>93</v>
      </c>
      <c r="D5818" s="27" t="s">
        <v>24</v>
      </c>
      <c r="E5818" s="28">
        <v>74100</v>
      </c>
      <c r="F5818" s="28">
        <v>70500</v>
      </c>
      <c r="G5818" s="27" t="s">
        <v>11</v>
      </c>
      <c r="H5818" s="27" t="s">
        <v>6719</v>
      </c>
      <c r="I5818" s="27" t="s">
        <v>9</v>
      </c>
    </row>
    <row r="5819" spans="1:9" x14ac:dyDescent="0.3">
      <c r="A5819" s="26">
        <v>45238</v>
      </c>
      <c r="B5819" s="27" t="s">
        <v>125</v>
      </c>
      <c r="C5819" s="27" t="s">
        <v>14</v>
      </c>
      <c r="D5819" s="27" t="s">
        <v>24</v>
      </c>
      <c r="E5819" s="28">
        <v>125539</v>
      </c>
      <c r="F5819" s="28">
        <v>163993</v>
      </c>
      <c r="G5819" s="27" t="s">
        <v>11</v>
      </c>
      <c r="H5819" s="27" t="s">
        <v>1220</v>
      </c>
      <c r="I5819" s="27" t="s">
        <v>13</v>
      </c>
    </row>
    <row r="5820" spans="1:9" x14ac:dyDescent="0.3">
      <c r="A5820" s="26">
        <v>45238</v>
      </c>
      <c r="B5820" s="27" t="s">
        <v>125</v>
      </c>
      <c r="C5820" s="27" t="s">
        <v>15</v>
      </c>
      <c r="D5820" s="27" t="s">
        <v>16</v>
      </c>
      <c r="E5820" s="28">
        <v>58996</v>
      </c>
      <c r="F5820" s="28">
        <v>46992</v>
      </c>
      <c r="G5820" s="27" t="s">
        <v>11</v>
      </c>
      <c r="H5820" s="27" t="s">
        <v>1365</v>
      </c>
      <c r="I5820" s="27" t="s">
        <v>13</v>
      </c>
    </row>
    <row r="5821" spans="1:9" x14ac:dyDescent="0.3">
      <c r="A5821" s="26">
        <v>45238</v>
      </c>
      <c r="B5821" s="27" t="s">
        <v>125</v>
      </c>
      <c r="C5821" s="27" t="s">
        <v>32</v>
      </c>
      <c r="D5821" s="27" t="s">
        <v>16</v>
      </c>
      <c r="E5821" s="28">
        <v>63994</v>
      </c>
      <c r="F5821" s="28">
        <v>83978</v>
      </c>
      <c r="G5821" s="27" t="s">
        <v>22</v>
      </c>
      <c r="H5821" s="27" t="s">
        <v>1758</v>
      </c>
      <c r="I5821" s="27" t="s">
        <v>13</v>
      </c>
    </row>
    <row r="5822" spans="1:9" x14ac:dyDescent="0.3">
      <c r="A5822" s="26">
        <v>45238</v>
      </c>
      <c r="B5822" s="27" t="s">
        <v>125</v>
      </c>
      <c r="C5822" s="27" t="s">
        <v>20</v>
      </c>
      <c r="D5822" s="27" t="s">
        <v>7</v>
      </c>
      <c r="E5822" s="28">
        <v>59155</v>
      </c>
      <c r="F5822" s="28">
        <v>166900</v>
      </c>
      <c r="G5822" s="27" t="s">
        <v>8</v>
      </c>
      <c r="H5822" s="27" t="s">
        <v>1840</v>
      </c>
      <c r="I5822" s="27" t="s">
        <v>13</v>
      </c>
    </row>
    <row r="5823" spans="1:9" x14ac:dyDescent="0.3">
      <c r="A5823" s="26">
        <v>45238</v>
      </c>
      <c r="B5823" s="27" t="s">
        <v>125</v>
      </c>
      <c r="C5823" s="27" t="s">
        <v>10</v>
      </c>
      <c r="D5823" s="27" t="s">
        <v>19</v>
      </c>
      <c r="E5823" s="28">
        <v>130172</v>
      </c>
      <c r="F5823" s="28">
        <v>51553</v>
      </c>
      <c r="G5823" s="27" t="s">
        <v>11</v>
      </c>
      <c r="H5823" s="27" t="s">
        <v>1878</v>
      </c>
      <c r="I5823" s="27" t="s">
        <v>13</v>
      </c>
    </row>
    <row r="5824" spans="1:9" x14ac:dyDescent="0.3">
      <c r="A5824" s="26">
        <v>45238</v>
      </c>
      <c r="B5824" s="27" t="s">
        <v>125</v>
      </c>
      <c r="C5824" s="27" t="s">
        <v>18</v>
      </c>
      <c r="D5824" s="27" t="s">
        <v>16</v>
      </c>
      <c r="E5824" s="28">
        <v>32528</v>
      </c>
      <c r="F5824" s="28">
        <v>107837</v>
      </c>
      <c r="G5824" s="27" t="s">
        <v>17</v>
      </c>
      <c r="H5824" s="27" t="s">
        <v>2844</v>
      </c>
      <c r="I5824" s="27" t="s">
        <v>13</v>
      </c>
    </row>
    <row r="5825" spans="1:9" x14ac:dyDescent="0.3">
      <c r="A5825" s="26">
        <v>45238</v>
      </c>
      <c r="B5825" s="27" t="s">
        <v>125</v>
      </c>
      <c r="C5825" s="27" t="s">
        <v>15</v>
      </c>
      <c r="D5825" s="27" t="s">
        <v>24</v>
      </c>
      <c r="E5825" s="28">
        <v>42915</v>
      </c>
      <c r="F5825" s="28">
        <v>80119</v>
      </c>
      <c r="G5825" s="27" t="s">
        <v>8</v>
      </c>
      <c r="H5825" s="27" t="s">
        <v>3097</v>
      </c>
      <c r="I5825" s="27" t="s">
        <v>13</v>
      </c>
    </row>
    <row r="5826" spans="1:9" x14ac:dyDescent="0.3">
      <c r="A5826" s="26">
        <v>45238</v>
      </c>
      <c r="B5826" s="27" t="s">
        <v>125</v>
      </c>
      <c r="C5826" s="27" t="s">
        <v>6</v>
      </c>
      <c r="D5826" s="27" t="s">
        <v>24</v>
      </c>
      <c r="E5826" s="28">
        <v>103900</v>
      </c>
      <c r="F5826" s="28">
        <v>105400</v>
      </c>
      <c r="G5826" s="27" t="s">
        <v>17</v>
      </c>
      <c r="H5826" s="27" t="s">
        <v>4603</v>
      </c>
      <c r="I5826" s="27" t="s">
        <v>9</v>
      </c>
    </row>
    <row r="5827" spans="1:9" x14ac:dyDescent="0.3">
      <c r="A5827" s="26">
        <v>45238</v>
      </c>
      <c r="B5827" s="27" t="s">
        <v>125</v>
      </c>
      <c r="C5827" s="27" t="s">
        <v>93</v>
      </c>
      <c r="D5827" s="27" t="s">
        <v>16</v>
      </c>
      <c r="E5827" s="28">
        <v>120800</v>
      </c>
      <c r="F5827" s="28">
        <v>134000</v>
      </c>
      <c r="G5827" s="27" t="s">
        <v>11</v>
      </c>
      <c r="H5827" s="27" t="s">
        <v>4748</v>
      </c>
      <c r="I5827" s="27" t="s">
        <v>9</v>
      </c>
    </row>
    <row r="5828" spans="1:9" x14ac:dyDescent="0.3">
      <c r="A5828" s="26">
        <v>45238</v>
      </c>
      <c r="B5828" s="27" t="s">
        <v>125</v>
      </c>
      <c r="C5828" s="27" t="s">
        <v>6</v>
      </c>
      <c r="D5828" s="27" t="s">
        <v>16</v>
      </c>
      <c r="E5828" s="28">
        <v>66800</v>
      </c>
      <c r="F5828" s="28">
        <v>71500</v>
      </c>
      <c r="G5828" s="27" t="s">
        <v>11</v>
      </c>
      <c r="H5828" s="27" t="s">
        <v>5141</v>
      </c>
      <c r="I5828" s="27" t="s">
        <v>9</v>
      </c>
    </row>
    <row r="5829" spans="1:9" x14ac:dyDescent="0.3">
      <c r="A5829" s="26">
        <v>45238</v>
      </c>
      <c r="B5829" s="27" t="s">
        <v>125</v>
      </c>
      <c r="C5829" s="27" t="s">
        <v>6</v>
      </c>
      <c r="D5829" s="27" t="s">
        <v>7</v>
      </c>
      <c r="E5829" s="28">
        <v>104600</v>
      </c>
      <c r="F5829" s="28">
        <v>130600</v>
      </c>
      <c r="G5829" s="27" t="s">
        <v>11</v>
      </c>
      <c r="H5829" s="27" t="s">
        <v>5223</v>
      </c>
      <c r="I5829" s="27" t="s">
        <v>9</v>
      </c>
    </row>
    <row r="5830" spans="1:9" x14ac:dyDescent="0.3">
      <c r="A5830" s="26">
        <v>45238</v>
      </c>
      <c r="B5830" s="27" t="s">
        <v>125</v>
      </c>
      <c r="C5830" s="27" t="s">
        <v>93</v>
      </c>
      <c r="D5830" s="27" t="s">
        <v>19</v>
      </c>
      <c r="E5830" s="28">
        <v>125800</v>
      </c>
      <c r="F5830" s="28">
        <v>138800</v>
      </c>
      <c r="G5830" s="27" t="s">
        <v>17</v>
      </c>
      <c r="H5830" s="27" t="s">
        <v>5262</v>
      </c>
      <c r="I5830" s="27" t="s">
        <v>9</v>
      </c>
    </row>
    <row r="5831" spans="1:9" x14ac:dyDescent="0.3">
      <c r="A5831" s="26">
        <v>45238</v>
      </c>
      <c r="B5831" s="27" t="s">
        <v>125</v>
      </c>
      <c r="C5831" s="27" t="s">
        <v>93</v>
      </c>
      <c r="D5831" s="27" t="s">
        <v>16</v>
      </c>
      <c r="E5831" s="28">
        <v>84900</v>
      </c>
      <c r="F5831" s="28">
        <v>107900</v>
      </c>
      <c r="G5831" s="27" t="s">
        <v>22</v>
      </c>
      <c r="H5831" s="27" t="s">
        <v>6229</v>
      </c>
      <c r="I5831" s="27" t="s">
        <v>9</v>
      </c>
    </row>
    <row r="5832" spans="1:9" x14ac:dyDescent="0.3">
      <c r="A5832" s="26">
        <v>45238</v>
      </c>
      <c r="B5832" s="27" t="s">
        <v>125</v>
      </c>
      <c r="C5832" s="27" t="s">
        <v>6</v>
      </c>
      <c r="D5832" s="27" t="s">
        <v>24</v>
      </c>
      <c r="E5832" s="28">
        <v>227000</v>
      </c>
      <c r="F5832" s="28">
        <v>317100</v>
      </c>
      <c r="G5832" s="27" t="s">
        <v>11</v>
      </c>
      <c r="H5832" s="27" t="s">
        <v>6482</v>
      </c>
      <c r="I5832" s="27" t="s">
        <v>9</v>
      </c>
    </row>
    <row r="5833" spans="1:9" x14ac:dyDescent="0.3">
      <c r="A5833" s="26">
        <v>45239</v>
      </c>
      <c r="B5833" s="27" t="s">
        <v>125</v>
      </c>
      <c r="C5833" s="27" t="s">
        <v>20</v>
      </c>
      <c r="D5833" s="27" t="s">
        <v>7</v>
      </c>
      <c r="E5833" s="28">
        <v>12640</v>
      </c>
      <c r="F5833" s="28">
        <v>9080</v>
      </c>
      <c r="G5833" s="27" t="s">
        <v>8</v>
      </c>
      <c r="H5833" s="27" t="s">
        <v>215</v>
      </c>
      <c r="I5833" s="27" t="s">
        <v>13</v>
      </c>
    </row>
    <row r="5834" spans="1:9" x14ac:dyDescent="0.3">
      <c r="A5834" s="26">
        <v>45239</v>
      </c>
      <c r="B5834" s="27" t="s">
        <v>125</v>
      </c>
      <c r="C5834" s="27" t="s">
        <v>20</v>
      </c>
      <c r="D5834" s="27" t="s">
        <v>7</v>
      </c>
      <c r="E5834" s="28">
        <v>76423</v>
      </c>
      <c r="F5834" s="28">
        <v>101708</v>
      </c>
      <c r="G5834" s="27" t="s">
        <v>8</v>
      </c>
      <c r="H5834" s="27" t="s">
        <v>392</v>
      </c>
      <c r="I5834" s="27" t="s">
        <v>13</v>
      </c>
    </row>
    <row r="5835" spans="1:9" x14ac:dyDescent="0.3">
      <c r="A5835" s="26">
        <v>45239</v>
      </c>
      <c r="B5835" s="27" t="s">
        <v>125</v>
      </c>
      <c r="C5835" s="27" t="s">
        <v>20</v>
      </c>
      <c r="D5835" s="27" t="s">
        <v>24</v>
      </c>
      <c r="E5835" s="28">
        <v>68876</v>
      </c>
      <c r="F5835" s="28">
        <v>117364</v>
      </c>
      <c r="G5835" s="27" t="s">
        <v>11</v>
      </c>
      <c r="H5835" s="27" t="s">
        <v>1078</v>
      </c>
      <c r="I5835" s="27" t="s">
        <v>13</v>
      </c>
    </row>
    <row r="5836" spans="1:9" x14ac:dyDescent="0.3">
      <c r="A5836" s="26">
        <v>45239</v>
      </c>
      <c r="B5836" s="27" t="s">
        <v>125</v>
      </c>
      <c r="C5836" s="27" t="s">
        <v>18</v>
      </c>
      <c r="D5836" s="27" t="s">
        <v>7</v>
      </c>
      <c r="E5836" s="28">
        <v>79509</v>
      </c>
      <c r="F5836" s="28">
        <v>122341</v>
      </c>
      <c r="G5836" s="27" t="s">
        <v>11</v>
      </c>
      <c r="H5836" s="27" t="s">
        <v>1843</v>
      </c>
      <c r="I5836" s="27" t="s">
        <v>13</v>
      </c>
    </row>
    <row r="5837" spans="1:9" x14ac:dyDescent="0.3">
      <c r="A5837" s="26">
        <v>45239</v>
      </c>
      <c r="B5837" s="27" t="s">
        <v>125</v>
      </c>
      <c r="C5837" s="27" t="s">
        <v>15</v>
      </c>
      <c r="D5837" s="27" t="s">
        <v>16</v>
      </c>
      <c r="E5837" s="28">
        <v>148383</v>
      </c>
      <c r="F5837" s="28">
        <v>105794</v>
      </c>
      <c r="G5837" s="27" t="s">
        <v>17</v>
      </c>
      <c r="H5837" s="27" t="s">
        <v>1983</v>
      </c>
      <c r="I5837" s="27" t="s">
        <v>13</v>
      </c>
    </row>
    <row r="5838" spans="1:9" x14ac:dyDescent="0.3">
      <c r="A5838" s="26">
        <v>45239</v>
      </c>
      <c r="B5838" s="27" t="s">
        <v>125</v>
      </c>
      <c r="C5838" s="27" t="s">
        <v>20</v>
      </c>
      <c r="D5838" s="27" t="s">
        <v>7</v>
      </c>
      <c r="E5838" s="28">
        <v>144091</v>
      </c>
      <c r="F5838" s="28">
        <v>27965</v>
      </c>
      <c r="G5838" s="27" t="s">
        <v>8</v>
      </c>
      <c r="H5838" s="27" t="s">
        <v>2781</v>
      </c>
      <c r="I5838" s="27" t="s">
        <v>13</v>
      </c>
    </row>
    <row r="5839" spans="1:9" x14ac:dyDescent="0.3">
      <c r="A5839" s="26">
        <v>45239</v>
      </c>
      <c r="B5839" s="27" t="s">
        <v>125</v>
      </c>
      <c r="C5839" s="27" t="s">
        <v>20</v>
      </c>
      <c r="D5839" s="27" t="s">
        <v>16</v>
      </c>
      <c r="E5839" s="28">
        <v>73543</v>
      </c>
      <c r="F5839" s="28">
        <v>161979</v>
      </c>
      <c r="G5839" s="27" t="s">
        <v>8</v>
      </c>
      <c r="H5839" s="27" t="s">
        <v>3036</v>
      </c>
      <c r="I5839" s="27" t="s">
        <v>13</v>
      </c>
    </row>
    <row r="5840" spans="1:9" x14ac:dyDescent="0.3">
      <c r="A5840" s="26">
        <v>45239</v>
      </c>
      <c r="B5840" s="27" t="s">
        <v>125</v>
      </c>
      <c r="C5840" s="27" t="s">
        <v>32</v>
      </c>
      <c r="D5840" s="27" t="s">
        <v>7</v>
      </c>
      <c r="E5840" s="28">
        <v>122911</v>
      </c>
      <c r="F5840" s="28">
        <v>166317</v>
      </c>
      <c r="G5840" s="27" t="s">
        <v>8</v>
      </c>
      <c r="H5840" s="27" t="s">
        <v>3068</v>
      </c>
      <c r="I5840" s="27" t="s">
        <v>13</v>
      </c>
    </row>
    <row r="5841" spans="1:9" x14ac:dyDescent="0.3">
      <c r="A5841" s="26">
        <v>45239</v>
      </c>
      <c r="B5841" s="27" t="s">
        <v>125</v>
      </c>
      <c r="C5841" s="27" t="s">
        <v>32</v>
      </c>
      <c r="D5841" s="27" t="s">
        <v>7</v>
      </c>
      <c r="E5841" s="28">
        <v>32322</v>
      </c>
      <c r="F5841" s="28">
        <v>129129</v>
      </c>
      <c r="G5841" s="27" t="s">
        <v>8</v>
      </c>
      <c r="H5841" s="27" t="s">
        <v>3213</v>
      </c>
      <c r="I5841" s="27" t="s">
        <v>13</v>
      </c>
    </row>
    <row r="5842" spans="1:9" x14ac:dyDescent="0.3">
      <c r="A5842" s="26">
        <v>45239</v>
      </c>
      <c r="B5842" s="27" t="s">
        <v>125</v>
      </c>
      <c r="C5842" s="27" t="s">
        <v>93</v>
      </c>
      <c r="D5842" s="27" t="s">
        <v>7</v>
      </c>
      <c r="E5842" s="28">
        <v>88200</v>
      </c>
      <c r="F5842" s="28">
        <v>102100</v>
      </c>
      <c r="G5842" s="27" t="s">
        <v>11</v>
      </c>
      <c r="H5842" s="27" t="s">
        <v>3596</v>
      </c>
      <c r="I5842" s="27" t="s">
        <v>9</v>
      </c>
    </row>
    <row r="5843" spans="1:9" x14ac:dyDescent="0.3">
      <c r="A5843" s="26">
        <v>45239</v>
      </c>
      <c r="B5843" s="27" t="s">
        <v>125</v>
      </c>
      <c r="C5843" s="27" t="s">
        <v>6</v>
      </c>
      <c r="D5843" s="27" t="s">
        <v>7</v>
      </c>
      <c r="E5843" s="28">
        <v>90900</v>
      </c>
      <c r="F5843" s="28">
        <v>106200</v>
      </c>
      <c r="G5843" s="27" t="s">
        <v>22</v>
      </c>
      <c r="H5843" s="27" t="s">
        <v>3773</v>
      </c>
      <c r="I5843" s="27" t="s">
        <v>9</v>
      </c>
    </row>
    <row r="5844" spans="1:9" x14ac:dyDescent="0.3">
      <c r="A5844" s="26">
        <v>45239</v>
      </c>
      <c r="B5844" s="27" t="s">
        <v>125</v>
      </c>
      <c r="C5844" s="27" t="s">
        <v>93</v>
      </c>
      <c r="D5844" s="27" t="s">
        <v>24</v>
      </c>
      <c r="E5844" s="28">
        <v>101300</v>
      </c>
      <c r="F5844" s="28">
        <v>102000</v>
      </c>
      <c r="G5844" s="27" t="s">
        <v>17</v>
      </c>
      <c r="H5844" s="27" t="s">
        <v>4460</v>
      </c>
      <c r="I5844" s="27" t="s">
        <v>9</v>
      </c>
    </row>
    <row r="5845" spans="1:9" x14ac:dyDescent="0.3">
      <c r="A5845" s="26">
        <v>45239</v>
      </c>
      <c r="B5845" s="27" t="s">
        <v>125</v>
      </c>
      <c r="C5845" s="27" t="s">
        <v>93</v>
      </c>
      <c r="D5845" s="27" t="s">
        <v>7</v>
      </c>
      <c r="E5845" s="28">
        <v>97800</v>
      </c>
      <c r="F5845" s="28">
        <v>104800</v>
      </c>
      <c r="G5845" s="27" t="s">
        <v>11</v>
      </c>
      <c r="H5845" s="27" t="s">
        <v>5226</v>
      </c>
      <c r="I5845" s="27" t="s">
        <v>9</v>
      </c>
    </row>
    <row r="5846" spans="1:9" x14ac:dyDescent="0.3">
      <c r="A5846" s="26">
        <v>45239</v>
      </c>
      <c r="B5846" s="27" t="s">
        <v>125</v>
      </c>
      <c r="C5846" s="27" t="s">
        <v>6</v>
      </c>
      <c r="D5846" s="27" t="s">
        <v>16</v>
      </c>
      <c r="E5846" s="28">
        <v>131800</v>
      </c>
      <c r="F5846" s="28">
        <v>132900</v>
      </c>
      <c r="G5846" s="27" t="s">
        <v>17</v>
      </c>
      <c r="H5846" s="27" t="s">
        <v>5367</v>
      </c>
      <c r="I5846" s="27" t="s">
        <v>9</v>
      </c>
    </row>
    <row r="5847" spans="1:9" x14ac:dyDescent="0.3">
      <c r="A5847" s="26">
        <v>45239</v>
      </c>
      <c r="B5847" s="27" t="s">
        <v>125</v>
      </c>
      <c r="C5847" s="27" t="s">
        <v>6</v>
      </c>
      <c r="D5847" s="27" t="s">
        <v>7</v>
      </c>
      <c r="E5847" s="28">
        <v>51000</v>
      </c>
      <c r="F5847" s="28">
        <v>58400</v>
      </c>
      <c r="G5847" s="27" t="s">
        <v>11</v>
      </c>
      <c r="H5847" s="27" t="s">
        <v>6166</v>
      </c>
      <c r="I5847" s="27" t="s">
        <v>9</v>
      </c>
    </row>
    <row r="5848" spans="1:9" x14ac:dyDescent="0.3">
      <c r="A5848" s="26">
        <v>45239</v>
      </c>
      <c r="B5848" s="27" t="s">
        <v>125</v>
      </c>
      <c r="C5848" s="27" t="s">
        <v>6</v>
      </c>
      <c r="D5848" s="27" t="s">
        <v>16</v>
      </c>
      <c r="E5848" s="28">
        <v>87100</v>
      </c>
      <c r="F5848" s="28">
        <v>77500</v>
      </c>
      <c r="G5848" s="27" t="s">
        <v>22</v>
      </c>
      <c r="H5848" s="27" t="s">
        <v>6421</v>
      </c>
      <c r="I5848" s="27" t="s">
        <v>9</v>
      </c>
    </row>
    <row r="5849" spans="1:9" x14ac:dyDescent="0.3">
      <c r="A5849" s="26">
        <v>45239</v>
      </c>
      <c r="B5849" s="27" t="s">
        <v>125</v>
      </c>
      <c r="C5849" s="27" t="s">
        <v>6</v>
      </c>
      <c r="D5849" s="27" t="s">
        <v>7</v>
      </c>
      <c r="E5849" s="28">
        <v>117700</v>
      </c>
      <c r="F5849" s="28">
        <v>125600</v>
      </c>
      <c r="G5849" s="27" t="s">
        <v>22</v>
      </c>
      <c r="H5849" s="27" t="s">
        <v>6453</v>
      </c>
      <c r="I5849" s="27" t="s">
        <v>9</v>
      </c>
    </row>
    <row r="5850" spans="1:9" x14ac:dyDescent="0.3">
      <c r="A5850" s="26">
        <v>45239</v>
      </c>
      <c r="B5850" s="27" t="s">
        <v>125</v>
      </c>
      <c r="C5850" s="27" t="s">
        <v>6</v>
      </c>
      <c r="D5850" s="27" t="s">
        <v>7</v>
      </c>
      <c r="E5850" s="28">
        <v>39600</v>
      </c>
      <c r="F5850" s="28">
        <v>45200</v>
      </c>
      <c r="G5850" s="27" t="s">
        <v>11</v>
      </c>
      <c r="H5850" s="27" t="s">
        <v>6598</v>
      </c>
      <c r="I5850" s="27" t="s">
        <v>9</v>
      </c>
    </row>
    <row r="5851" spans="1:9" x14ac:dyDescent="0.3">
      <c r="A5851" s="26">
        <v>45240</v>
      </c>
      <c r="B5851" s="27" t="s">
        <v>125</v>
      </c>
      <c r="C5851" s="27" t="s">
        <v>32</v>
      </c>
      <c r="D5851" s="27" t="s">
        <v>19</v>
      </c>
      <c r="E5851" s="28">
        <v>140393</v>
      </c>
      <c r="F5851" s="28">
        <v>39247</v>
      </c>
      <c r="G5851" s="27" t="s">
        <v>17</v>
      </c>
      <c r="H5851" s="27" t="s">
        <v>488</v>
      </c>
      <c r="I5851" s="27" t="s">
        <v>13</v>
      </c>
    </row>
    <row r="5852" spans="1:9" x14ac:dyDescent="0.3">
      <c r="A5852" s="26">
        <v>45240</v>
      </c>
      <c r="B5852" s="27" t="s">
        <v>125</v>
      </c>
      <c r="C5852" s="27" t="s">
        <v>14</v>
      </c>
      <c r="D5852" s="27" t="s">
        <v>19</v>
      </c>
      <c r="E5852" s="28">
        <v>105596</v>
      </c>
      <c r="F5852" s="28">
        <v>70823</v>
      </c>
      <c r="G5852" s="27" t="s">
        <v>8</v>
      </c>
      <c r="H5852" s="27" t="s">
        <v>606</v>
      </c>
      <c r="I5852" s="27" t="s">
        <v>13</v>
      </c>
    </row>
    <row r="5853" spans="1:9" x14ac:dyDescent="0.3">
      <c r="A5853" s="26">
        <v>45240</v>
      </c>
      <c r="B5853" s="27" t="s">
        <v>125</v>
      </c>
      <c r="C5853" s="27" t="s">
        <v>32</v>
      </c>
      <c r="D5853" s="27" t="s">
        <v>16</v>
      </c>
      <c r="E5853" s="28">
        <v>76704</v>
      </c>
      <c r="F5853" s="28">
        <v>55326</v>
      </c>
      <c r="G5853" s="27" t="s">
        <v>8</v>
      </c>
      <c r="H5853" s="27" t="s">
        <v>781</v>
      </c>
      <c r="I5853" s="27" t="s">
        <v>13</v>
      </c>
    </row>
    <row r="5854" spans="1:9" x14ac:dyDescent="0.3">
      <c r="A5854" s="26">
        <v>45240</v>
      </c>
      <c r="B5854" s="27" t="s">
        <v>125</v>
      </c>
      <c r="C5854" s="27" t="s">
        <v>14</v>
      </c>
      <c r="D5854" s="27" t="s">
        <v>19</v>
      </c>
      <c r="E5854" s="28">
        <v>63956</v>
      </c>
      <c r="F5854" s="28">
        <v>29068</v>
      </c>
      <c r="G5854" s="27" t="s">
        <v>8</v>
      </c>
      <c r="H5854" s="27" t="s">
        <v>784</v>
      </c>
      <c r="I5854" s="27" t="s">
        <v>13</v>
      </c>
    </row>
    <row r="5855" spans="1:9" x14ac:dyDescent="0.3">
      <c r="A5855" s="26">
        <v>45240</v>
      </c>
      <c r="B5855" s="27" t="s">
        <v>125</v>
      </c>
      <c r="C5855" s="27" t="s">
        <v>32</v>
      </c>
      <c r="D5855" s="27" t="s">
        <v>19</v>
      </c>
      <c r="E5855" s="28">
        <v>116873</v>
      </c>
      <c r="F5855" s="28">
        <v>133084</v>
      </c>
      <c r="G5855" s="27" t="s">
        <v>8</v>
      </c>
      <c r="H5855" s="27" t="s">
        <v>791</v>
      </c>
      <c r="I5855" s="27" t="s">
        <v>13</v>
      </c>
    </row>
    <row r="5856" spans="1:9" x14ac:dyDescent="0.3">
      <c r="A5856" s="26">
        <v>45240</v>
      </c>
      <c r="B5856" s="27" t="s">
        <v>125</v>
      </c>
      <c r="C5856" s="27" t="s">
        <v>20</v>
      </c>
      <c r="D5856" s="27" t="s">
        <v>16</v>
      </c>
      <c r="E5856" s="28">
        <v>11521</v>
      </c>
      <c r="F5856" s="28">
        <v>118748</v>
      </c>
      <c r="G5856" s="27" t="s">
        <v>8</v>
      </c>
      <c r="H5856" s="27" t="s">
        <v>977</v>
      </c>
      <c r="I5856" s="27" t="s">
        <v>13</v>
      </c>
    </row>
    <row r="5857" spans="1:9" x14ac:dyDescent="0.3">
      <c r="A5857" s="26">
        <v>45240</v>
      </c>
      <c r="B5857" s="27" t="s">
        <v>125</v>
      </c>
      <c r="C5857" s="27" t="s">
        <v>20</v>
      </c>
      <c r="D5857" s="27" t="s">
        <v>16</v>
      </c>
      <c r="E5857" s="28">
        <v>41288</v>
      </c>
      <c r="F5857" s="28">
        <v>143356</v>
      </c>
      <c r="G5857" s="27" t="s">
        <v>8</v>
      </c>
      <c r="H5857" s="27" t="s">
        <v>1590</v>
      </c>
      <c r="I5857" s="27" t="s">
        <v>13</v>
      </c>
    </row>
    <row r="5858" spans="1:9" x14ac:dyDescent="0.3">
      <c r="A5858" s="26">
        <v>45240</v>
      </c>
      <c r="B5858" s="27" t="s">
        <v>125</v>
      </c>
      <c r="C5858" s="27" t="s">
        <v>20</v>
      </c>
      <c r="D5858" s="27" t="s">
        <v>24</v>
      </c>
      <c r="E5858" s="28">
        <v>62598</v>
      </c>
      <c r="F5858" s="28">
        <v>25353</v>
      </c>
      <c r="G5858" s="27" t="s">
        <v>11</v>
      </c>
      <c r="H5858" s="27" t="s">
        <v>1872</v>
      </c>
      <c r="I5858" s="27" t="s">
        <v>13</v>
      </c>
    </row>
    <row r="5859" spans="1:9" x14ac:dyDescent="0.3">
      <c r="A5859" s="26">
        <v>45240</v>
      </c>
      <c r="B5859" s="27" t="s">
        <v>125</v>
      </c>
      <c r="C5859" s="27" t="s">
        <v>15</v>
      </c>
      <c r="D5859" s="27" t="s">
        <v>16</v>
      </c>
      <c r="E5859" s="28">
        <v>137571</v>
      </c>
      <c r="F5859" s="28">
        <v>125966</v>
      </c>
      <c r="G5859" s="27" t="s">
        <v>22</v>
      </c>
      <c r="H5859" s="27" t="s">
        <v>2202</v>
      </c>
      <c r="I5859" s="27" t="s">
        <v>13</v>
      </c>
    </row>
    <row r="5860" spans="1:9" x14ac:dyDescent="0.3">
      <c r="A5860" s="26">
        <v>45240</v>
      </c>
      <c r="B5860" s="27" t="s">
        <v>125</v>
      </c>
      <c r="C5860" s="27" t="s">
        <v>10</v>
      </c>
      <c r="D5860" s="27" t="s">
        <v>21</v>
      </c>
      <c r="E5860" s="28">
        <v>114110</v>
      </c>
      <c r="F5860" s="28">
        <v>40432</v>
      </c>
      <c r="G5860" s="27" t="s">
        <v>17</v>
      </c>
      <c r="H5860" s="27" t="s">
        <v>2507</v>
      </c>
      <c r="I5860" s="27" t="s">
        <v>13</v>
      </c>
    </row>
    <row r="5861" spans="1:9" x14ac:dyDescent="0.3">
      <c r="A5861" s="26">
        <v>45240</v>
      </c>
      <c r="B5861" s="27" t="s">
        <v>125</v>
      </c>
      <c r="C5861" s="27" t="s">
        <v>18</v>
      </c>
      <c r="D5861" s="27" t="s">
        <v>16</v>
      </c>
      <c r="E5861" s="28">
        <v>33902</v>
      </c>
      <c r="F5861" s="28">
        <v>111747</v>
      </c>
      <c r="G5861" s="27" t="s">
        <v>8</v>
      </c>
      <c r="H5861" s="27" t="s">
        <v>2568</v>
      </c>
      <c r="I5861" s="27" t="s">
        <v>13</v>
      </c>
    </row>
    <row r="5862" spans="1:9" x14ac:dyDescent="0.3">
      <c r="A5862" s="26">
        <v>45240</v>
      </c>
      <c r="B5862" s="27" t="s">
        <v>125</v>
      </c>
      <c r="C5862" s="27" t="s">
        <v>20</v>
      </c>
      <c r="D5862" s="27" t="s">
        <v>7</v>
      </c>
      <c r="E5862" s="28">
        <v>20534</v>
      </c>
      <c r="F5862" s="28">
        <v>101988</v>
      </c>
      <c r="G5862" s="27" t="s">
        <v>22</v>
      </c>
      <c r="H5862" s="27" t="s">
        <v>2770</v>
      </c>
      <c r="I5862" s="27" t="s">
        <v>13</v>
      </c>
    </row>
    <row r="5863" spans="1:9" x14ac:dyDescent="0.3">
      <c r="A5863" s="26">
        <v>45240</v>
      </c>
      <c r="B5863" s="27" t="s">
        <v>125</v>
      </c>
      <c r="C5863" s="27" t="s">
        <v>14</v>
      </c>
      <c r="D5863" s="27" t="s">
        <v>19</v>
      </c>
      <c r="E5863" s="28">
        <v>131074</v>
      </c>
      <c r="F5863" s="28">
        <v>89142</v>
      </c>
      <c r="G5863" s="27" t="s">
        <v>8</v>
      </c>
      <c r="H5863" s="27" t="s">
        <v>3219</v>
      </c>
      <c r="I5863" s="27" t="s">
        <v>13</v>
      </c>
    </row>
    <row r="5864" spans="1:9" x14ac:dyDescent="0.3">
      <c r="A5864" s="26">
        <v>45240</v>
      </c>
      <c r="B5864" s="27" t="s">
        <v>125</v>
      </c>
      <c r="C5864" s="27" t="s">
        <v>15</v>
      </c>
      <c r="D5864" s="27" t="s">
        <v>7</v>
      </c>
      <c r="E5864" s="28">
        <v>33769</v>
      </c>
      <c r="F5864" s="28">
        <v>127777</v>
      </c>
      <c r="G5864" s="27" t="s">
        <v>17</v>
      </c>
      <c r="H5864" s="27" t="s">
        <v>3355</v>
      </c>
      <c r="I5864" s="27" t="s">
        <v>13</v>
      </c>
    </row>
    <row r="5865" spans="1:9" x14ac:dyDescent="0.3">
      <c r="A5865" s="26">
        <v>45240</v>
      </c>
      <c r="B5865" s="27" t="s">
        <v>125</v>
      </c>
      <c r="C5865" s="27" t="s">
        <v>93</v>
      </c>
      <c r="D5865" s="27" t="s">
        <v>19</v>
      </c>
      <c r="E5865" s="28">
        <v>182400</v>
      </c>
      <c r="F5865" s="28">
        <v>166400</v>
      </c>
      <c r="G5865" s="27" t="s">
        <v>17</v>
      </c>
      <c r="H5865" s="27" t="s">
        <v>3869</v>
      </c>
      <c r="I5865" s="27" t="s">
        <v>9</v>
      </c>
    </row>
    <row r="5866" spans="1:9" x14ac:dyDescent="0.3">
      <c r="A5866" s="26">
        <v>45240</v>
      </c>
      <c r="B5866" s="27" t="s">
        <v>125</v>
      </c>
      <c r="C5866" s="27" t="s">
        <v>93</v>
      </c>
      <c r="D5866" s="27" t="s">
        <v>19</v>
      </c>
      <c r="E5866" s="28">
        <v>125700</v>
      </c>
      <c r="F5866" s="28">
        <v>125800</v>
      </c>
      <c r="G5866" s="27" t="s">
        <v>17</v>
      </c>
      <c r="H5866" s="27" t="s">
        <v>3987</v>
      </c>
      <c r="I5866" s="27" t="s">
        <v>9</v>
      </c>
    </row>
    <row r="5867" spans="1:9" x14ac:dyDescent="0.3">
      <c r="A5867" s="26">
        <v>45240</v>
      </c>
      <c r="B5867" s="27" t="s">
        <v>125</v>
      </c>
      <c r="C5867" s="27" t="s">
        <v>93</v>
      </c>
      <c r="D5867" s="27" t="s">
        <v>16</v>
      </c>
      <c r="E5867" s="28">
        <v>327800</v>
      </c>
      <c r="F5867" s="28">
        <v>358800</v>
      </c>
      <c r="G5867" s="27" t="s">
        <v>11</v>
      </c>
      <c r="H5867" s="27" t="s">
        <v>4162</v>
      </c>
      <c r="I5867" s="27" t="s">
        <v>9</v>
      </c>
    </row>
    <row r="5868" spans="1:9" x14ac:dyDescent="0.3">
      <c r="A5868" s="26">
        <v>45240</v>
      </c>
      <c r="B5868" s="27" t="s">
        <v>125</v>
      </c>
      <c r="C5868" s="27" t="s">
        <v>6</v>
      </c>
      <c r="D5868" s="27" t="s">
        <v>19</v>
      </c>
      <c r="E5868" s="28">
        <v>107700</v>
      </c>
      <c r="F5868" s="28">
        <v>118600</v>
      </c>
      <c r="G5868" s="27" t="s">
        <v>17</v>
      </c>
      <c r="H5868" s="27" t="s">
        <v>4165</v>
      </c>
      <c r="I5868" s="27" t="s">
        <v>9</v>
      </c>
    </row>
    <row r="5869" spans="1:9" x14ac:dyDescent="0.3">
      <c r="A5869" s="26">
        <v>45240</v>
      </c>
      <c r="B5869" s="27" t="s">
        <v>125</v>
      </c>
      <c r="C5869" s="27" t="s">
        <v>6</v>
      </c>
      <c r="D5869" s="27" t="s">
        <v>19</v>
      </c>
      <c r="E5869" s="28">
        <v>152200</v>
      </c>
      <c r="F5869" s="28">
        <v>130000</v>
      </c>
      <c r="G5869" s="27" t="s">
        <v>11</v>
      </c>
      <c r="H5869" s="27" t="s">
        <v>4172</v>
      </c>
      <c r="I5869" s="27" t="s">
        <v>9</v>
      </c>
    </row>
    <row r="5870" spans="1:9" x14ac:dyDescent="0.3">
      <c r="A5870" s="26">
        <v>45240</v>
      </c>
      <c r="B5870" s="27" t="s">
        <v>125</v>
      </c>
      <c r="C5870" s="27" t="s">
        <v>6</v>
      </c>
      <c r="D5870" s="27" t="s">
        <v>16</v>
      </c>
      <c r="E5870" s="28">
        <v>137200</v>
      </c>
      <c r="F5870" s="28">
        <v>115500</v>
      </c>
      <c r="G5870" s="27" t="s">
        <v>22</v>
      </c>
      <c r="H5870" s="27" t="s">
        <v>4358</v>
      </c>
      <c r="I5870" s="27" t="s">
        <v>9</v>
      </c>
    </row>
    <row r="5871" spans="1:9" x14ac:dyDescent="0.3">
      <c r="A5871" s="26">
        <v>45240</v>
      </c>
      <c r="B5871" s="27" t="s">
        <v>125</v>
      </c>
      <c r="C5871" s="27" t="s">
        <v>6</v>
      </c>
      <c r="D5871" s="27" t="s">
        <v>16</v>
      </c>
      <c r="E5871" s="28">
        <v>140500</v>
      </c>
      <c r="F5871" s="28">
        <v>154000</v>
      </c>
      <c r="G5871" s="27" t="s">
        <v>22</v>
      </c>
      <c r="H5871" s="27" t="s">
        <v>4973</v>
      </c>
      <c r="I5871" s="27" t="s">
        <v>9</v>
      </c>
    </row>
    <row r="5872" spans="1:9" x14ac:dyDescent="0.3">
      <c r="A5872" s="26">
        <v>45240</v>
      </c>
      <c r="B5872" s="27" t="s">
        <v>125</v>
      </c>
      <c r="C5872" s="27" t="s">
        <v>6</v>
      </c>
      <c r="D5872" s="27" t="s">
        <v>24</v>
      </c>
      <c r="E5872" s="28">
        <v>143700</v>
      </c>
      <c r="F5872" s="28">
        <v>213800</v>
      </c>
      <c r="G5872" s="27" t="s">
        <v>22</v>
      </c>
      <c r="H5872" s="27" t="s">
        <v>5256</v>
      </c>
      <c r="I5872" s="27" t="s">
        <v>9</v>
      </c>
    </row>
    <row r="5873" spans="1:9" x14ac:dyDescent="0.3">
      <c r="A5873" s="26">
        <v>45240</v>
      </c>
      <c r="B5873" s="27" t="s">
        <v>125</v>
      </c>
      <c r="C5873" s="27" t="s">
        <v>93</v>
      </c>
      <c r="D5873" s="27" t="s">
        <v>16</v>
      </c>
      <c r="E5873" s="28">
        <v>117700</v>
      </c>
      <c r="F5873" s="28">
        <v>95500</v>
      </c>
      <c r="G5873" s="27" t="s">
        <v>17</v>
      </c>
      <c r="H5873" s="27" t="s">
        <v>5587</v>
      </c>
      <c r="I5873" s="27" t="s">
        <v>9</v>
      </c>
    </row>
    <row r="5874" spans="1:9" x14ac:dyDescent="0.3">
      <c r="A5874" s="26">
        <v>45240</v>
      </c>
      <c r="B5874" s="27" t="s">
        <v>125</v>
      </c>
      <c r="C5874" s="27" t="s">
        <v>93</v>
      </c>
      <c r="D5874" s="27" t="s">
        <v>21</v>
      </c>
      <c r="E5874" s="28">
        <v>196700</v>
      </c>
      <c r="F5874" s="28">
        <v>163600</v>
      </c>
      <c r="G5874" s="27" t="s">
        <v>11</v>
      </c>
      <c r="H5874" s="27" t="s">
        <v>5892</v>
      </c>
      <c r="I5874" s="27" t="s">
        <v>9</v>
      </c>
    </row>
    <row r="5875" spans="1:9" x14ac:dyDescent="0.3">
      <c r="A5875" s="26">
        <v>45240</v>
      </c>
      <c r="B5875" s="27" t="s">
        <v>125</v>
      </c>
      <c r="C5875" s="27" t="s">
        <v>6</v>
      </c>
      <c r="D5875" s="27" t="s">
        <v>16</v>
      </c>
      <c r="E5875" s="28">
        <v>87600</v>
      </c>
      <c r="F5875" s="28">
        <v>114700</v>
      </c>
      <c r="G5875" s="27" t="s">
        <v>11</v>
      </c>
      <c r="H5875" s="27" t="s">
        <v>5953</v>
      </c>
      <c r="I5875" s="27" t="s">
        <v>9</v>
      </c>
    </row>
    <row r="5876" spans="1:9" x14ac:dyDescent="0.3">
      <c r="A5876" s="26">
        <v>45240</v>
      </c>
      <c r="B5876" s="27" t="s">
        <v>125</v>
      </c>
      <c r="C5876" s="27" t="s">
        <v>6</v>
      </c>
      <c r="D5876" s="27" t="s">
        <v>7</v>
      </c>
      <c r="E5876" s="28">
        <v>286100</v>
      </c>
      <c r="F5876" s="28">
        <v>286100</v>
      </c>
      <c r="G5876" s="27" t="s">
        <v>11</v>
      </c>
      <c r="H5876" s="27" t="s">
        <v>6155</v>
      </c>
      <c r="I5876" s="27" t="s">
        <v>9</v>
      </c>
    </row>
    <row r="5877" spans="1:9" x14ac:dyDescent="0.3">
      <c r="A5877" s="26">
        <v>45240</v>
      </c>
      <c r="B5877" s="27" t="s">
        <v>125</v>
      </c>
      <c r="C5877" s="27" t="s">
        <v>93</v>
      </c>
      <c r="D5877" s="27" t="s">
        <v>19</v>
      </c>
      <c r="E5877" s="28">
        <v>143100</v>
      </c>
      <c r="F5877" s="28">
        <v>161200</v>
      </c>
      <c r="G5877" s="27" t="s">
        <v>11</v>
      </c>
      <c r="H5877" s="27" t="s">
        <v>6604</v>
      </c>
      <c r="I5877" s="27" t="s">
        <v>9</v>
      </c>
    </row>
    <row r="5878" spans="1:9" x14ac:dyDescent="0.3">
      <c r="A5878" s="26">
        <v>45240</v>
      </c>
      <c r="B5878" s="27" t="s">
        <v>125</v>
      </c>
      <c r="C5878" s="27" t="s">
        <v>6</v>
      </c>
      <c r="D5878" s="27" t="s">
        <v>7</v>
      </c>
      <c r="E5878" s="28">
        <v>103800</v>
      </c>
      <c r="F5878" s="28">
        <v>75000</v>
      </c>
      <c r="G5878" s="27" t="s">
        <v>22</v>
      </c>
      <c r="H5878" s="27" t="s">
        <v>6740</v>
      </c>
      <c r="I5878" s="27" t="s">
        <v>9</v>
      </c>
    </row>
    <row r="5879" spans="1:9" x14ac:dyDescent="0.3">
      <c r="A5879" s="26">
        <v>45241</v>
      </c>
      <c r="B5879" s="27" t="s">
        <v>125</v>
      </c>
      <c r="C5879" s="27" t="s">
        <v>18</v>
      </c>
      <c r="D5879" s="27" t="s">
        <v>24</v>
      </c>
      <c r="E5879" s="28">
        <v>19702</v>
      </c>
      <c r="F5879" s="28">
        <v>87896</v>
      </c>
      <c r="G5879" s="27" t="s">
        <v>11</v>
      </c>
      <c r="H5879" s="27" t="s">
        <v>68</v>
      </c>
      <c r="I5879" s="27" t="s">
        <v>13</v>
      </c>
    </row>
    <row r="5880" spans="1:9" x14ac:dyDescent="0.3">
      <c r="A5880" s="26">
        <v>45241</v>
      </c>
      <c r="B5880" s="27" t="s">
        <v>125</v>
      </c>
      <c r="C5880" s="27" t="s">
        <v>15</v>
      </c>
      <c r="D5880" s="27" t="s">
        <v>7</v>
      </c>
      <c r="E5880" s="28">
        <v>57770</v>
      </c>
      <c r="F5880" s="28">
        <v>165735</v>
      </c>
      <c r="G5880" s="27" t="s">
        <v>8</v>
      </c>
      <c r="H5880" s="27" t="s">
        <v>1529</v>
      </c>
      <c r="I5880" s="27" t="s">
        <v>13</v>
      </c>
    </row>
    <row r="5881" spans="1:9" x14ac:dyDescent="0.3">
      <c r="A5881" s="26">
        <v>45241</v>
      </c>
      <c r="B5881" s="27" t="s">
        <v>125</v>
      </c>
      <c r="C5881" s="27" t="s">
        <v>14</v>
      </c>
      <c r="D5881" s="27" t="s">
        <v>16</v>
      </c>
      <c r="E5881" s="28">
        <v>75702</v>
      </c>
      <c r="F5881" s="28">
        <v>24834</v>
      </c>
      <c r="G5881" s="27" t="s">
        <v>11</v>
      </c>
      <c r="H5881" s="27" t="s">
        <v>2104</v>
      </c>
      <c r="I5881" s="27" t="s">
        <v>13</v>
      </c>
    </row>
    <row r="5882" spans="1:9" x14ac:dyDescent="0.3">
      <c r="A5882" s="26">
        <v>45241</v>
      </c>
      <c r="B5882" s="27" t="s">
        <v>125</v>
      </c>
      <c r="C5882" s="27" t="s">
        <v>15</v>
      </c>
      <c r="D5882" s="27" t="s">
        <v>16</v>
      </c>
      <c r="E5882" s="28">
        <v>103538</v>
      </c>
      <c r="F5882" s="28">
        <v>46599</v>
      </c>
      <c r="G5882" s="27" t="s">
        <v>17</v>
      </c>
      <c r="H5882" s="27" t="s">
        <v>2764</v>
      </c>
      <c r="I5882" s="27" t="s">
        <v>13</v>
      </c>
    </row>
    <row r="5883" spans="1:9" x14ac:dyDescent="0.3">
      <c r="A5883" s="26">
        <v>45241</v>
      </c>
      <c r="B5883" s="27" t="s">
        <v>125</v>
      </c>
      <c r="C5883" s="27" t="s">
        <v>20</v>
      </c>
      <c r="D5883" s="27" t="s">
        <v>21</v>
      </c>
      <c r="E5883" s="28">
        <v>52576</v>
      </c>
      <c r="F5883" s="28">
        <v>55260</v>
      </c>
      <c r="G5883" s="27" t="s">
        <v>22</v>
      </c>
      <c r="H5883" s="27" t="s">
        <v>2932</v>
      </c>
      <c r="I5883" s="27" t="s">
        <v>13</v>
      </c>
    </row>
    <row r="5884" spans="1:9" x14ac:dyDescent="0.3">
      <c r="A5884" s="26">
        <v>45241</v>
      </c>
      <c r="B5884" s="27" t="s">
        <v>125</v>
      </c>
      <c r="C5884" s="27" t="s">
        <v>10</v>
      </c>
      <c r="D5884" s="27" t="s">
        <v>7</v>
      </c>
      <c r="E5884" s="28">
        <v>12434</v>
      </c>
      <c r="F5884" s="28">
        <v>161672</v>
      </c>
      <c r="G5884" s="27" t="s">
        <v>8</v>
      </c>
      <c r="H5884" s="27" t="s">
        <v>2952</v>
      </c>
      <c r="I5884" s="27" t="s">
        <v>13</v>
      </c>
    </row>
    <row r="5885" spans="1:9" x14ac:dyDescent="0.3">
      <c r="A5885" s="26">
        <v>45241</v>
      </c>
      <c r="B5885" s="27" t="s">
        <v>125</v>
      </c>
      <c r="C5885" s="27" t="s">
        <v>6</v>
      </c>
      <c r="D5885" s="27" t="s">
        <v>24</v>
      </c>
      <c r="E5885" s="28">
        <v>88300</v>
      </c>
      <c r="F5885" s="28">
        <v>92600</v>
      </c>
      <c r="G5885" s="27" t="s">
        <v>17</v>
      </c>
      <c r="H5885" s="27" t="s">
        <v>3440</v>
      </c>
      <c r="I5885" s="27" t="s">
        <v>9</v>
      </c>
    </row>
    <row r="5886" spans="1:9" x14ac:dyDescent="0.3">
      <c r="A5886" s="26">
        <v>45241</v>
      </c>
      <c r="B5886" s="27" t="s">
        <v>125</v>
      </c>
      <c r="C5886" s="27" t="s">
        <v>6</v>
      </c>
      <c r="D5886" s="27" t="s">
        <v>7</v>
      </c>
      <c r="E5886" s="28">
        <v>75900</v>
      </c>
      <c r="F5886" s="28">
        <v>67400</v>
      </c>
      <c r="G5886" s="27" t="s">
        <v>11</v>
      </c>
      <c r="H5886" s="27" t="s">
        <v>4912</v>
      </c>
      <c r="I5886" s="27" t="s">
        <v>9</v>
      </c>
    </row>
    <row r="5887" spans="1:9" x14ac:dyDescent="0.3">
      <c r="A5887" s="26">
        <v>45241</v>
      </c>
      <c r="B5887" s="27" t="s">
        <v>125</v>
      </c>
      <c r="C5887" s="27" t="s">
        <v>6</v>
      </c>
      <c r="D5887" s="27" t="s">
        <v>16</v>
      </c>
      <c r="E5887" s="28">
        <v>59700</v>
      </c>
      <c r="F5887" s="28">
        <v>61200</v>
      </c>
      <c r="G5887" s="27" t="s">
        <v>11</v>
      </c>
      <c r="H5887" s="27" t="s">
        <v>5488</v>
      </c>
      <c r="I5887" s="27" t="s">
        <v>9</v>
      </c>
    </row>
    <row r="5888" spans="1:9" x14ac:dyDescent="0.3">
      <c r="A5888" s="26">
        <v>45241</v>
      </c>
      <c r="B5888" s="27" t="s">
        <v>125</v>
      </c>
      <c r="C5888" s="27" t="s">
        <v>93</v>
      </c>
      <c r="D5888" s="27" t="s">
        <v>16</v>
      </c>
      <c r="E5888" s="28">
        <v>150200</v>
      </c>
      <c r="F5888" s="28">
        <v>205100</v>
      </c>
      <c r="G5888" s="27" t="s">
        <v>22</v>
      </c>
      <c r="H5888" s="27" t="s">
        <v>6149</v>
      </c>
      <c r="I5888" s="27" t="s">
        <v>9</v>
      </c>
    </row>
    <row r="5889" spans="1:9" x14ac:dyDescent="0.3">
      <c r="A5889" s="26">
        <v>45241</v>
      </c>
      <c r="B5889" s="27" t="s">
        <v>125</v>
      </c>
      <c r="C5889" s="27" t="s">
        <v>6</v>
      </c>
      <c r="D5889" s="27" t="s">
        <v>21</v>
      </c>
      <c r="E5889" s="28">
        <v>77100</v>
      </c>
      <c r="F5889" s="28">
        <v>65600</v>
      </c>
      <c r="G5889" s="27" t="s">
        <v>11</v>
      </c>
      <c r="H5889" s="27" t="s">
        <v>6317</v>
      </c>
      <c r="I5889" s="27" t="s">
        <v>9</v>
      </c>
    </row>
    <row r="5890" spans="1:9" x14ac:dyDescent="0.3">
      <c r="A5890" s="26">
        <v>45241</v>
      </c>
      <c r="B5890" s="27" t="s">
        <v>125</v>
      </c>
      <c r="C5890" s="27" t="s">
        <v>93</v>
      </c>
      <c r="D5890" s="27" t="s">
        <v>7</v>
      </c>
      <c r="E5890" s="28">
        <v>102000</v>
      </c>
      <c r="F5890" s="28">
        <v>96600</v>
      </c>
      <c r="G5890" s="27" t="s">
        <v>11</v>
      </c>
      <c r="H5890" s="27" t="s">
        <v>6337</v>
      </c>
      <c r="I5890" s="27" t="s">
        <v>9</v>
      </c>
    </row>
    <row r="5891" spans="1:9" x14ac:dyDescent="0.3">
      <c r="A5891" s="26">
        <v>45242</v>
      </c>
      <c r="B5891" s="27" t="s">
        <v>125</v>
      </c>
      <c r="C5891" s="27" t="s">
        <v>20</v>
      </c>
      <c r="D5891" s="27" t="s">
        <v>19</v>
      </c>
      <c r="E5891" s="28">
        <v>63213</v>
      </c>
      <c r="F5891" s="28">
        <v>137778</v>
      </c>
      <c r="G5891" s="27" t="s">
        <v>8</v>
      </c>
      <c r="H5891" s="27" t="s">
        <v>137</v>
      </c>
      <c r="I5891" s="27" t="s">
        <v>13</v>
      </c>
    </row>
    <row r="5892" spans="1:9" x14ac:dyDescent="0.3">
      <c r="A5892" s="26">
        <v>45242</v>
      </c>
      <c r="B5892" s="27" t="s">
        <v>125</v>
      </c>
      <c r="C5892" s="27" t="s">
        <v>32</v>
      </c>
      <c r="D5892" s="27" t="s">
        <v>24</v>
      </c>
      <c r="E5892" s="28">
        <v>121184</v>
      </c>
      <c r="F5892" s="28">
        <v>66242</v>
      </c>
      <c r="G5892" s="27" t="s">
        <v>11</v>
      </c>
      <c r="H5892" s="27" t="s">
        <v>533</v>
      </c>
      <c r="I5892" s="27" t="s">
        <v>13</v>
      </c>
    </row>
    <row r="5893" spans="1:9" x14ac:dyDescent="0.3">
      <c r="A5893" s="26">
        <v>45242</v>
      </c>
      <c r="B5893" s="27" t="s">
        <v>125</v>
      </c>
      <c r="C5893" s="27" t="s">
        <v>18</v>
      </c>
      <c r="D5893" s="27" t="s">
        <v>7</v>
      </c>
      <c r="E5893" s="28">
        <v>75662</v>
      </c>
      <c r="F5893" s="28">
        <v>157336</v>
      </c>
      <c r="G5893" s="27" t="s">
        <v>17</v>
      </c>
      <c r="H5893" s="27" t="s">
        <v>1016</v>
      </c>
      <c r="I5893" s="27" t="s">
        <v>13</v>
      </c>
    </row>
    <row r="5894" spans="1:9" x14ac:dyDescent="0.3">
      <c r="A5894" s="26">
        <v>45242</v>
      </c>
      <c r="B5894" s="27" t="s">
        <v>125</v>
      </c>
      <c r="C5894" s="27" t="s">
        <v>32</v>
      </c>
      <c r="D5894" s="27" t="s">
        <v>7</v>
      </c>
      <c r="E5894" s="28">
        <v>85108</v>
      </c>
      <c r="F5894" s="28">
        <v>62999</v>
      </c>
      <c r="G5894" s="27" t="s">
        <v>22</v>
      </c>
      <c r="H5894" s="27" t="s">
        <v>1118</v>
      </c>
      <c r="I5894" s="27" t="s">
        <v>13</v>
      </c>
    </row>
    <row r="5895" spans="1:9" x14ac:dyDescent="0.3">
      <c r="A5895" s="26">
        <v>45242</v>
      </c>
      <c r="B5895" s="27" t="s">
        <v>125</v>
      </c>
      <c r="C5895" s="27" t="s">
        <v>20</v>
      </c>
      <c r="D5895" s="27" t="s">
        <v>7</v>
      </c>
      <c r="E5895" s="28">
        <v>33306</v>
      </c>
      <c r="F5895" s="28">
        <v>38678</v>
      </c>
      <c r="G5895" s="27" t="s">
        <v>22</v>
      </c>
      <c r="H5895" s="27" t="s">
        <v>1142</v>
      </c>
      <c r="I5895" s="27" t="s">
        <v>13</v>
      </c>
    </row>
    <row r="5896" spans="1:9" x14ac:dyDescent="0.3">
      <c r="A5896" s="26">
        <v>45242</v>
      </c>
      <c r="B5896" s="27" t="s">
        <v>125</v>
      </c>
      <c r="C5896" s="27" t="s">
        <v>20</v>
      </c>
      <c r="D5896" s="27" t="s">
        <v>19</v>
      </c>
      <c r="E5896" s="28">
        <v>117370</v>
      </c>
      <c r="F5896" s="28">
        <v>84545</v>
      </c>
      <c r="G5896" s="27" t="s">
        <v>22</v>
      </c>
      <c r="H5896" s="27" t="s">
        <v>1566</v>
      </c>
      <c r="I5896" s="27" t="s">
        <v>13</v>
      </c>
    </row>
    <row r="5897" spans="1:9" x14ac:dyDescent="0.3">
      <c r="A5897" s="26">
        <v>45242</v>
      </c>
      <c r="B5897" s="27" t="s">
        <v>125</v>
      </c>
      <c r="C5897" s="27" t="s">
        <v>20</v>
      </c>
      <c r="D5897" s="27" t="s">
        <v>7</v>
      </c>
      <c r="E5897" s="28">
        <v>80498</v>
      </c>
      <c r="F5897" s="28">
        <v>18375</v>
      </c>
      <c r="G5897" s="27" t="s">
        <v>22</v>
      </c>
      <c r="H5897" s="27" t="s">
        <v>1744</v>
      </c>
      <c r="I5897" s="27" t="s">
        <v>13</v>
      </c>
    </row>
    <row r="5898" spans="1:9" x14ac:dyDescent="0.3">
      <c r="A5898" s="26">
        <v>45242</v>
      </c>
      <c r="B5898" s="27" t="s">
        <v>125</v>
      </c>
      <c r="C5898" s="27" t="s">
        <v>10</v>
      </c>
      <c r="D5898" s="27" t="s">
        <v>19</v>
      </c>
      <c r="E5898" s="28">
        <v>82493</v>
      </c>
      <c r="F5898" s="28">
        <v>161432</v>
      </c>
      <c r="G5898" s="27" t="s">
        <v>22</v>
      </c>
      <c r="H5898" s="27" t="s">
        <v>2314</v>
      </c>
      <c r="I5898" s="27" t="s">
        <v>13</v>
      </c>
    </row>
    <row r="5899" spans="1:9" x14ac:dyDescent="0.3">
      <c r="A5899" s="26">
        <v>45242</v>
      </c>
      <c r="B5899" s="27" t="s">
        <v>125</v>
      </c>
      <c r="C5899" s="27" t="s">
        <v>14</v>
      </c>
      <c r="D5899" s="27" t="s">
        <v>24</v>
      </c>
      <c r="E5899" s="28">
        <v>122070</v>
      </c>
      <c r="F5899" s="28">
        <v>92110</v>
      </c>
      <c r="G5899" s="27" t="s">
        <v>8</v>
      </c>
      <c r="H5899" s="27" t="s">
        <v>2436</v>
      </c>
      <c r="I5899" s="27" t="s">
        <v>13</v>
      </c>
    </row>
    <row r="5900" spans="1:9" x14ac:dyDescent="0.3">
      <c r="A5900" s="26">
        <v>45242</v>
      </c>
      <c r="B5900" s="27" t="s">
        <v>125</v>
      </c>
      <c r="C5900" s="27" t="s">
        <v>10</v>
      </c>
      <c r="D5900" s="27" t="s">
        <v>24</v>
      </c>
      <c r="E5900" s="28">
        <v>148577</v>
      </c>
      <c r="F5900" s="28">
        <v>151079</v>
      </c>
      <c r="G5900" s="27" t="s">
        <v>22</v>
      </c>
      <c r="H5900" s="27" t="s">
        <v>2831</v>
      </c>
      <c r="I5900" s="27" t="s">
        <v>13</v>
      </c>
    </row>
    <row r="5901" spans="1:9" x14ac:dyDescent="0.3">
      <c r="A5901" s="26">
        <v>45242</v>
      </c>
      <c r="B5901" s="27" t="s">
        <v>125</v>
      </c>
      <c r="C5901" s="27" t="s">
        <v>18</v>
      </c>
      <c r="D5901" s="27" t="s">
        <v>21</v>
      </c>
      <c r="E5901" s="28">
        <v>49352</v>
      </c>
      <c r="F5901" s="28">
        <v>69011</v>
      </c>
      <c r="G5901" s="27" t="s">
        <v>8</v>
      </c>
      <c r="H5901" s="27" t="s">
        <v>2849</v>
      </c>
      <c r="I5901" s="27" t="s">
        <v>13</v>
      </c>
    </row>
    <row r="5902" spans="1:9" x14ac:dyDescent="0.3">
      <c r="A5902" s="26">
        <v>45242</v>
      </c>
      <c r="B5902" s="27" t="s">
        <v>125</v>
      </c>
      <c r="C5902" s="27" t="s">
        <v>14</v>
      </c>
      <c r="D5902" s="27" t="s">
        <v>24</v>
      </c>
      <c r="E5902" s="28">
        <v>12293</v>
      </c>
      <c r="F5902" s="28">
        <v>74322</v>
      </c>
      <c r="G5902" s="27" t="s">
        <v>22</v>
      </c>
      <c r="H5902" s="27" t="s">
        <v>3065</v>
      </c>
      <c r="I5902" s="27" t="s">
        <v>13</v>
      </c>
    </row>
    <row r="5903" spans="1:9" x14ac:dyDescent="0.3">
      <c r="A5903" s="26">
        <v>45242</v>
      </c>
      <c r="B5903" s="27" t="s">
        <v>125</v>
      </c>
      <c r="C5903" s="27" t="s">
        <v>18</v>
      </c>
      <c r="D5903" s="27" t="s">
        <v>21</v>
      </c>
      <c r="E5903" s="28">
        <v>134139</v>
      </c>
      <c r="F5903" s="28">
        <v>138725</v>
      </c>
      <c r="G5903" s="27" t="s">
        <v>22</v>
      </c>
      <c r="H5903" s="27" t="s">
        <v>3262</v>
      </c>
      <c r="I5903" s="27" t="s">
        <v>13</v>
      </c>
    </row>
    <row r="5904" spans="1:9" x14ac:dyDescent="0.3">
      <c r="A5904" s="26">
        <v>45242</v>
      </c>
      <c r="B5904" s="27" t="s">
        <v>125</v>
      </c>
      <c r="C5904" s="27" t="s">
        <v>93</v>
      </c>
      <c r="D5904" s="27" t="s">
        <v>19</v>
      </c>
      <c r="E5904" s="28">
        <v>72900</v>
      </c>
      <c r="F5904" s="28">
        <v>46200</v>
      </c>
      <c r="G5904" s="27" t="s">
        <v>22</v>
      </c>
      <c r="H5904" s="27" t="s">
        <v>3518</v>
      </c>
      <c r="I5904" s="27" t="s">
        <v>9</v>
      </c>
    </row>
    <row r="5905" spans="1:9" x14ac:dyDescent="0.3">
      <c r="A5905" s="26">
        <v>45242</v>
      </c>
      <c r="B5905" s="27" t="s">
        <v>125</v>
      </c>
      <c r="C5905" s="27" t="s">
        <v>6</v>
      </c>
      <c r="D5905" s="27" t="s">
        <v>24</v>
      </c>
      <c r="E5905" s="28">
        <v>166100</v>
      </c>
      <c r="F5905" s="28">
        <v>185800</v>
      </c>
      <c r="G5905" s="27" t="s">
        <v>22</v>
      </c>
      <c r="H5905" s="27" t="s">
        <v>3914</v>
      </c>
      <c r="I5905" s="27" t="s">
        <v>9</v>
      </c>
    </row>
    <row r="5906" spans="1:9" x14ac:dyDescent="0.3">
      <c r="A5906" s="26">
        <v>45242</v>
      </c>
      <c r="B5906" s="27" t="s">
        <v>125</v>
      </c>
      <c r="C5906" s="27" t="s">
        <v>6</v>
      </c>
      <c r="D5906" s="27" t="s">
        <v>7</v>
      </c>
      <c r="E5906" s="28">
        <v>128600</v>
      </c>
      <c r="F5906" s="28">
        <v>165900</v>
      </c>
      <c r="G5906" s="27" t="s">
        <v>11</v>
      </c>
      <c r="H5906" s="27" t="s">
        <v>4398</v>
      </c>
      <c r="I5906" s="27" t="s">
        <v>9</v>
      </c>
    </row>
    <row r="5907" spans="1:9" x14ac:dyDescent="0.3">
      <c r="A5907" s="26">
        <v>45242</v>
      </c>
      <c r="B5907" s="27" t="s">
        <v>125</v>
      </c>
      <c r="C5907" s="27" t="s">
        <v>6</v>
      </c>
      <c r="D5907" s="27" t="s">
        <v>7</v>
      </c>
      <c r="E5907" s="28">
        <v>125600</v>
      </c>
      <c r="F5907" s="28">
        <v>100800</v>
      </c>
      <c r="G5907" s="27" t="s">
        <v>11</v>
      </c>
      <c r="H5907" s="27" t="s">
        <v>4501</v>
      </c>
      <c r="I5907" s="27" t="s">
        <v>9</v>
      </c>
    </row>
    <row r="5908" spans="1:9" x14ac:dyDescent="0.3">
      <c r="A5908" s="26">
        <v>45242</v>
      </c>
      <c r="B5908" s="27" t="s">
        <v>125</v>
      </c>
      <c r="C5908" s="27" t="s">
        <v>93</v>
      </c>
      <c r="D5908" s="27" t="s">
        <v>7</v>
      </c>
      <c r="E5908" s="28">
        <v>162100</v>
      </c>
      <c r="F5908" s="28">
        <v>156800</v>
      </c>
      <c r="G5908" s="27" t="s">
        <v>22</v>
      </c>
      <c r="H5908" s="27" t="s">
        <v>4525</v>
      </c>
      <c r="I5908" s="27" t="s">
        <v>9</v>
      </c>
    </row>
    <row r="5909" spans="1:9" x14ac:dyDescent="0.3">
      <c r="A5909" s="26">
        <v>45242</v>
      </c>
      <c r="B5909" s="27" t="s">
        <v>125</v>
      </c>
      <c r="C5909" s="27" t="s">
        <v>6</v>
      </c>
      <c r="D5909" s="27" t="s">
        <v>19</v>
      </c>
      <c r="E5909" s="28">
        <v>65200</v>
      </c>
      <c r="F5909" s="28">
        <v>86700</v>
      </c>
      <c r="G5909" s="27" t="s">
        <v>22</v>
      </c>
      <c r="H5909" s="27" t="s">
        <v>4949</v>
      </c>
      <c r="I5909" s="27" t="s">
        <v>9</v>
      </c>
    </row>
    <row r="5910" spans="1:9" x14ac:dyDescent="0.3">
      <c r="A5910" s="26">
        <v>45242</v>
      </c>
      <c r="B5910" s="27" t="s">
        <v>125</v>
      </c>
      <c r="C5910" s="27" t="s">
        <v>6</v>
      </c>
      <c r="D5910" s="27" t="s">
        <v>7</v>
      </c>
      <c r="E5910" s="28">
        <v>111500</v>
      </c>
      <c r="F5910" s="28">
        <v>81600</v>
      </c>
      <c r="G5910" s="27" t="s">
        <v>17</v>
      </c>
      <c r="H5910" s="27" t="s">
        <v>5127</v>
      </c>
      <c r="I5910" s="27" t="s">
        <v>9</v>
      </c>
    </row>
    <row r="5911" spans="1:9" x14ac:dyDescent="0.3">
      <c r="A5911" s="26">
        <v>45242</v>
      </c>
      <c r="B5911" s="27" t="s">
        <v>125</v>
      </c>
      <c r="C5911" s="27" t="s">
        <v>93</v>
      </c>
      <c r="D5911" s="27" t="s">
        <v>19</v>
      </c>
      <c r="E5911" s="28">
        <v>92400</v>
      </c>
      <c r="F5911" s="28">
        <v>87500</v>
      </c>
      <c r="G5911" s="27" t="s">
        <v>11</v>
      </c>
      <c r="H5911" s="27" t="s">
        <v>5699</v>
      </c>
      <c r="I5911" s="27" t="s">
        <v>9</v>
      </c>
    </row>
    <row r="5912" spans="1:9" x14ac:dyDescent="0.3">
      <c r="A5912" s="26">
        <v>45242</v>
      </c>
      <c r="B5912" s="27" t="s">
        <v>125</v>
      </c>
      <c r="C5912" s="27" t="s">
        <v>6</v>
      </c>
      <c r="D5912" s="27" t="s">
        <v>24</v>
      </c>
      <c r="E5912" s="28">
        <v>156700</v>
      </c>
      <c r="F5912" s="28">
        <v>183500</v>
      </c>
      <c r="G5912" s="27" t="s">
        <v>11</v>
      </c>
      <c r="H5912" s="27" t="s">
        <v>5821</v>
      </c>
      <c r="I5912" s="27" t="s">
        <v>9</v>
      </c>
    </row>
    <row r="5913" spans="1:9" x14ac:dyDescent="0.3">
      <c r="A5913" s="26">
        <v>45242</v>
      </c>
      <c r="B5913" s="27" t="s">
        <v>125</v>
      </c>
      <c r="C5913" s="27" t="s">
        <v>6</v>
      </c>
      <c r="D5913" s="27" t="s">
        <v>24</v>
      </c>
      <c r="E5913" s="28">
        <v>155500</v>
      </c>
      <c r="F5913" s="28">
        <v>197500</v>
      </c>
      <c r="G5913" s="27" t="s">
        <v>17</v>
      </c>
      <c r="H5913" s="27" t="s">
        <v>6216</v>
      </c>
      <c r="I5913" s="27" t="s">
        <v>9</v>
      </c>
    </row>
    <row r="5914" spans="1:9" x14ac:dyDescent="0.3">
      <c r="A5914" s="26">
        <v>45242</v>
      </c>
      <c r="B5914" s="27" t="s">
        <v>125</v>
      </c>
      <c r="C5914" s="27" t="s">
        <v>6</v>
      </c>
      <c r="D5914" s="27" t="s">
        <v>21</v>
      </c>
      <c r="E5914" s="28">
        <v>151400</v>
      </c>
      <c r="F5914" s="28">
        <v>137600</v>
      </c>
      <c r="G5914" s="27" t="s">
        <v>11</v>
      </c>
      <c r="H5914" s="27" t="s">
        <v>6234</v>
      </c>
      <c r="I5914" s="27" t="s">
        <v>9</v>
      </c>
    </row>
    <row r="5915" spans="1:9" x14ac:dyDescent="0.3">
      <c r="A5915" s="26">
        <v>45242</v>
      </c>
      <c r="B5915" s="27" t="s">
        <v>125</v>
      </c>
      <c r="C5915" s="27" t="s">
        <v>93</v>
      </c>
      <c r="D5915" s="27" t="s">
        <v>24</v>
      </c>
      <c r="E5915" s="28">
        <v>130900</v>
      </c>
      <c r="F5915" s="28">
        <v>138300</v>
      </c>
      <c r="G5915" s="27" t="s">
        <v>22</v>
      </c>
      <c r="H5915" s="27" t="s">
        <v>6450</v>
      </c>
      <c r="I5915" s="27" t="s">
        <v>9</v>
      </c>
    </row>
    <row r="5916" spans="1:9" x14ac:dyDescent="0.3">
      <c r="A5916" s="26">
        <v>45242</v>
      </c>
      <c r="B5916" s="27" t="s">
        <v>125</v>
      </c>
      <c r="C5916" s="27" t="s">
        <v>6</v>
      </c>
      <c r="D5916" s="27" t="s">
        <v>21</v>
      </c>
      <c r="E5916" s="28">
        <v>148100</v>
      </c>
      <c r="F5916" s="28">
        <v>150200</v>
      </c>
      <c r="G5916" s="27" t="s">
        <v>11</v>
      </c>
      <c r="H5916" s="27" t="s">
        <v>6647</v>
      </c>
      <c r="I5916" s="27" t="s">
        <v>9</v>
      </c>
    </row>
    <row r="5917" spans="1:9" x14ac:dyDescent="0.3">
      <c r="A5917" s="26">
        <v>45243</v>
      </c>
      <c r="B5917" s="27" t="s">
        <v>125</v>
      </c>
      <c r="C5917" s="27" t="s">
        <v>10</v>
      </c>
      <c r="D5917" s="27" t="s">
        <v>7</v>
      </c>
      <c r="E5917" s="28">
        <v>148143</v>
      </c>
      <c r="F5917" s="28">
        <v>153494</v>
      </c>
      <c r="G5917" s="27" t="s">
        <v>22</v>
      </c>
      <c r="H5917" s="27" t="s">
        <v>274</v>
      </c>
      <c r="I5917" s="27" t="s">
        <v>13</v>
      </c>
    </row>
    <row r="5918" spans="1:9" x14ac:dyDescent="0.3">
      <c r="A5918" s="26">
        <v>45243</v>
      </c>
      <c r="B5918" s="27" t="s">
        <v>125</v>
      </c>
      <c r="C5918" s="27" t="s">
        <v>14</v>
      </c>
      <c r="D5918" s="27" t="s">
        <v>19</v>
      </c>
      <c r="E5918" s="28">
        <v>123700</v>
      </c>
      <c r="F5918" s="28">
        <v>45880</v>
      </c>
      <c r="G5918" s="27" t="s">
        <v>17</v>
      </c>
      <c r="H5918" s="27" t="s">
        <v>344</v>
      </c>
      <c r="I5918" s="27" t="s">
        <v>13</v>
      </c>
    </row>
    <row r="5919" spans="1:9" x14ac:dyDescent="0.3">
      <c r="A5919" s="26">
        <v>45243</v>
      </c>
      <c r="B5919" s="27" t="s">
        <v>125</v>
      </c>
      <c r="C5919" s="27" t="s">
        <v>20</v>
      </c>
      <c r="D5919" s="27" t="s">
        <v>16</v>
      </c>
      <c r="E5919" s="28">
        <v>68526</v>
      </c>
      <c r="F5919" s="28">
        <v>167033</v>
      </c>
      <c r="G5919" s="27" t="s">
        <v>8</v>
      </c>
      <c r="H5919" s="27" t="s">
        <v>1012</v>
      </c>
      <c r="I5919" s="27" t="s">
        <v>13</v>
      </c>
    </row>
    <row r="5920" spans="1:9" x14ac:dyDescent="0.3">
      <c r="A5920" s="26">
        <v>45243</v>
      </c>
      <c r="B5920" s="27" t="s">
        <v>125</v>
      </c>
      <c r="C5920" s="27" t="s">
        <v>15</v>
      </c>
      <c r="D5920" s="27" t="s">
        <v>21</v>
      </c>
      <c r="E5920" s="28">
        <v>53851</v>
      </c>
      <c r="F5920" s="28">
        <v>47680</v>
      </c>
      <c r="G5920" s="27" t="s">
        <v>22</v>
      </c>
      <c r="H5920" s="27" t="s">
        <v>2356</v>
      </c>
      <c r="I5920" s="27" t="s">
        <v>13</v>
      </c>
    </row>
    <row r="5921" spans="1:9" x14ac:dyDescent="0.3">
      <c r="A5921" s="26">
        <v>45243</v>
      </c>
      <c r="B5921" s="27" t="s">
        <v>125</v>
      </c>
      <c r="C5921" s="27" t="s">
        <v>14</v>
      </c>
      <c r="D5921" s="27" t="s">
        <v>7</v>
      </c>
      <c r="E5921" s="28">
        <v>56620</v>
      </c>
      <c r="F5921" s="28">
        <v>56887</v>
      </c>
      <c r="G5921" s="27" t="s">
        <v>8</v>
      </c>
      <c r="H5921" s="27" t="s">
        <v>2577</v>
      </c>
      <c r="I5921" s="27" t="s">
        <v>13</v>
      </c>
    </row>
    <row r="5922" spans="1:9" x14ac:dyDescent="0.3">
      <c r="A5922" s="26">
        <v>45243</v>
      </c>
      <c r="B5922" s="27" t="s">
        <v>125</v>
      </c>
      <c r="C5922" s="27" t="s">
        <v>14</v>
      </c>
      <c r="D5922" s="27" t="s">
        <v>21</v>
      </c>
      <c r="E5922" s="28">
        <v>45935</v>
      </c>
      <c r="F5922" s="28">
        <v>130502</v>
      </c>
      <c r="G5922" s="27" t="s">
        <v>8</v>
      </c>
      <c r="H5922" s="27" t="s">
        <v>2649</v>
      </c>
      <c r="I5922" s="27" t="s">
        <v>13</v>
      </c>
    </row>
    <row r="5923" spans="1:9" x14ac:dyDescent="0.3">
      <c r="A5923" s="26">
        <v>45243</v>
      </c>
      <c r="B5923" s="27" t="s">
        <v>125</v>
      </c>
      <c r="C5923" s="27" t="s">
        <v>15</v>
      </c>
      <c r="D5923" s="27" t="s">
        <v>16</v>
      </c>
      <c r="E5923" s="28">
        <v>136549</v>
      </c>
      <c r="F5923" s="28">
        <v>125413</v>
      </c>
      <c r="G5923" s="27" t="s">
        <v>17</v>
      </c>
      <c r="H5923" s="27" t="s">
        <v>2730</v>
      </c>
      <c r="I5923" s="27" t="s">
        <v>13</v>
      </c>
    </row>
    <row r="5924" spans="1:9" x14ac:dyDescent="0.3">
      <c r="A5924" s="26">
        <v>45243</v>
      </c>
      <c r="B5924" s="27" t="s">
        <v>125</v>
      </c>
      <c r="C5924" s="27" t="s">
        <v>14</v>
      </c>
      <c r="D5924" s="27" t="s">
        <v>16</v>
      </c>
      <c r="E5924" s="28">
        <v>58321</v>
      </c>
      <c r="F5924" s="28">
        <v>16014</v>
      </c>
      <c r="G5924" s="27" t="s">
        <v>17</v>
      </c>
      <c r="H5924" s="27" t="s">
        <v>2803</v>
      </c>
      <c r="I5924" s="27" t="s">
        <v>13</v>
      </c>
    </row>
    <row r="5925" spans="1:9" x14ac:dyDescent="0.3">
      <c r="A5925" s="26">
        <v>45243</v>
      </c>
      <c r="B5925" s="27" t="s">
        <v>125</v>
      </c>
      <c r="C5925" s="27" t="s">
        <v>6</v>
      </c>
      <c r="D5925" s="27" t="s">
        <v>7</v>
      </c>
      <c r="E5925" s="28">
        <v>129000</v>
      </c>
      <c r="F5925" s="28">
        <v>130100</v>
      </c>
      <c r="G5925" s="27" t="s">
        <v>17</v>
      </c>
      <c r="H5925" s="27" t="s">
        <v>3655</v>
      </c>
      <c r="I5925" s="27" t="s">
        <v>9</v>
      </c>
    </row>
    <row r="5926" spans="1:9" x14ac:dyDescent="0.3">
      <c r="A5926" s="26">
        <v>45243</v>
      </c>
      <c r="B5926" s="27" t="s">
        <v>125</v>
      </c>
      <c r="C5926" s="27" t="s">
        <v>6</v>
      </c>
      <c r="D5926" s="27" t="s">
        <v>19</v>
      </c>
      <c r="E5926" s="28">
        <v>110600</v>
      </c>
      <c r="F5926" s="28">
        <v>104100</v>
      </c>
      <c r="G5926" s="27" t="s">
        <v>11</v>
      </c>
      <c r="H5926" s="27" t="s">
        <v>3725</v>
      </c>
      <c r="I5926" s="27" t="s">
        <v>9</v>
      </c>
    </row>
    <row r="5927" spans="1:9" x14ac:dyDescent="0.3">
      <c r="A5927" s="26">
        <v>45243</v>
      </c>
      <c r="B5927" s="27" t="s">
        <v>125</v>
      </c>
      <c r="C5927" s="27" t="s">
        <v>93</v>
      </c>
      <c r="D5927" s="27" t="s">
        <v>16</v>
      </c>
      <c r="E5927" s="28">
        <v>81900</v>
      </c>
      <c r="F5927" s="28">
        <v>95900</v>
      </c>
      <c r="G5927" s="27" t="s">
        <v>11</v>
      </c>
      <c r="H5927" s="27" t="s">
        <v>4393</v>
      </c>
      <c r="I5927" s="27" t="s">
        <v>9</v>
      </c>
    </row>
    <row r="5928" spans="1:9" x14ac:dyDescent="0.3">
      <c r="A5928" s="26">
        <v>45243</v>
      </c>
      <c r="B5928" s="27" t="s">
        <v>125</v>
      </c>
      <c r="C5928" s="27" t="s">
        <v>6</v>
      </c>
      <c r="D5928" s="27" t="s">
        <v>21</v>
      </c>
      <c r="E5928" s="28">
        <v>159600</v>
      </c>
      <c r="F5928" s="28">
        <v>166700</v>
      </c>
      <c r="G5928" s="27" t="s">
        <v>22</v>
      </c>
      <c r="H5928" s="27" t="s">
        <v>5741</v>
      </c>
      <c r="I5928" s="27" t="s">
        <v>9</v>
      </c>
    </row>
    <row r="5929" spans="1:9" x14ac:dyDescent="0.3">
      <c r="A5929" s="26">
        <v>45243</v>
      </c>
      <c r="B5929" s="27" t="s">
        <v>125</v>
      </c>
      <c r="C5929" s="27" t="s">
        <v>93</v>
      </c>
      <c r="D5929" s="27" t="s">
        <v>7</v>
      </c>
      <c r="E5929" s="28">
        <v>81700</v>
      </c>
      <c r="F5929" s="28">
        <v>93900</v>
      </c>
      <c r="G5929" s="27" t="s">
        <v>11</v>
      </c>
      <c r="H5929" s="27" t="s">
        <v>5962</v>
      </c>
      <c r="I5929" s="27" t="s">
        <v>9</v>
      </c>
    </row>
    <row r="5930" spans="1:9" x14ac:dyDescent="0.3">
      <c r="A5930" s="26">
        <v>45243</v>
      </c>
      <c r="B5930" s="27" t="s">
        <v>125</v>
      </c>
      <c r="C5930" s="27" t="s">
        <v>93</v>
      </c>
      <c r="D5930" s="27" t="s">
        <v>21</v>
      </c>
      <c r="E5930" s="28">
        <v>245300</v>
      </c>
      <c r="F5930" s="28">
        <v>287000</v>
      </c>
      <c r="G5930" s="27" t="s">
        <v>11</v>
      </c>
      <c r="H5930" s="27" t="s">
        <v>6034</v>
      </c>
      <c r="I5930" s="27" t="s">
        <v>9</v>
      </c>
    </row>
    <row r="5931" spans="1:9" x14ac:dyDescent="0.3">
      <c r="A5931" s="26">
        <v>45243</v>
      </c>
      <c r="B5931" s="27" t="s">
        <v>125</v>
      </c>
      <c r="C5931" s="27" t="s">
        <v>6</v>
      </c>
      <c r="D5931" s="27" t="s">
        <v>16</v>
      </c>
      <c r="E5931" s="28">
        <v>208100</v>
      </c>
      <c r="F5931" s="28">
        <v>226000</v>
      </c>
      <c r="G5931" s="27" t="s">
        <v>11</v>
      </c>
      <c r="H5931" s="27" t="s">
        <v>6115</v>
      </c>
      <c r="I5931" s="27" t="s">
        <v>9</v>
      </c>
    </row>
    <row r="5932" spans="1:9" x14ac:dyDescent="0.3">
      <c r="A5932" s="26">
        <v>45243</v>
      </c>
      <c r="B5932" s="27" t="s">
        <v>125</v>
      </c>
      <c r="C5932" s="27" t="s">
        <v>6</v>
      </c>
      <c r="D5932" s="27" t="s">
        <v>16</v>
      </c>
      <c r="E5932" s="28">
        <v>68100</v>
      </c>
      <c r="F5932" s="28">
        <v>60600</v>
      </c>
      <c r="G5932" s="27" t="s">
        <v>22</v>
      </c>
      <c r="H5932" s="27" t="s">
        <v>6188</v>
      </c>
      <c r="I5932" s="27" t="s">
        <v>9</v>
      </c>
    </row>
    <row r="5933" spans="1:9" x14ac:dyDescent="0.3">
      <c r="A5933" s="26">
        <v>45244</v>
      </c>
      <c r="B5933" s="27" t="s">
        <v>125</v>
      </c>
      <c r="C5933" s="27" t="s">
        <v>14</v>
      </c>
      <c r="D5933" s="27" t="s">
        <v>21</v>
      </c>
      <c r="E5933" s="28">
        <v>73409</v>
      </c>
      <c r="F5933" s="28">
        <v>22916</v>
      </c>
      <c r="G5933" s="27" t="s">
        <v>11</v>
      </c>
      <c r="H5933" s="27" t="s">
        <v>1730</v>
      </c>
      <c r="I5933" s="27" t="s">
        <v>13</v>
      </c>
    </row>
    <row r="5934" spans="1:9" x14ac:dyDescent="0.3">
      <c r="A5934" s="26">
        <v>45244</v>
      </c>
      <c r="B5934" s="27" t="s">
        <v>125</v>
      </c>
      <c r="C5934" s="27" t="s">
        <v>18</v>
      </c>
      <c r="D5934" s="27" t="s">
        <v>7</v>
      </c>
      <c r="E5934" s="28">
        <v>46978</v>
      </c>
      <c r="F5934" s="28">
        <v>45483</v>
      </c>
      <c r="G5934" s="27" t="s">
        <v>17</v>
      </c>
      <c r="H5934" s="27" t="s">
        <v>2175</v>
      </c>
      <c r="I5934" s="27" t="s">
        <v>13</v>
      </c>
    </row>
    <row r="5935" spans="1:9" x14ac:dyDescent="0.3">
      <c r="A5935" s="26">
        <v>45244</v>
      </c>
      <c r="B5935" s="27" t="s">
        <v>125</v>
      </c>
      <c r="C5935" s="27" t="s">
        <v>15</v>
      </c>
      <c r="D5935" s="27" t="s">
        <v>19</v>
      </c>
      <c r="E5935" s="28">
        <v>19747</v>
      </c>
      <c r="F5935" s="28">
        <v>16989</v>
      </c>
      <c r="G5935" s="27" t="s">
        <v>17</v>
      </c>
      <c r="H5935" s="27" t="s">
        <v>2253</v>
      </c>
      <c r="I5935" s="27" t="s">
        <v>13</v>
      </c>
    </row>
    <row r="5936" spans="1:9" x14ac:dyDescent="0.3">
      <c r="A5936" s="26">
        <v>45244</v>
      </c>
      <c r="B5936" s="27" t="s">
        <v>125</v>
      </c>
      <c r="C5936" s="27" t="s">
        <v>32</v>
      </c>
      <c r="D5936" s="27" t="s">
        <v>19</v>
      </c>
      <c r="E5936" s="28">
        <v>71138</v>
      </c>
      <c r="F5936" s="28">
        <v>114213</v>
      </c>
      <c r="G5936" s="27" t="s">
        <v>11</v>
      </c>
      <c r="H5936" s="27" t="s">
        <v>2288</v>
      </c>
      <c r="I5936" s="27" t="s">
        <v>13</v>
      </c>
    </row>
    <row r="5937" spans="1:9" x14ac:dyDescent="0.3">
      <c r="A5937" s="26">
        <v>45244</v>
      </c>
      <c r="B5937" s="27" t="s">
        <v>125</v>
      </c>
      <c r="C5937" s="27" t="s">
        <v>15</v>
      </c>
      <c r="D5937" s="27" t="s">
        <v>24</v>
      </c>
      <c r="E5937" s="28">
        <v>52970</v>
      </c>
      <c r="F5937" s="28">
        <v>88181</v>
      </c>
      <c r="G5937" s="27" t="s">
        <v>17</v>
      </c>
      <c r="H5937" s="27" t="s">
        <v>3055</v>
      </c>
      <c r="I5937" s="27" t="s">
        <v>13</v>
      </c>
    </row>
    <row r="5938" spans="1:9" x14ac:dyDescent="0.3">
      <c r="A5938" s="26">
        <v>45244</v>
      </c>
      <c r="B5938" s="27" t="s">
        <v>125</v>
      </c>
      <c r="C5938" s="27" t="s">
        <v>15</v>
      </c>
      <c r="D5938" s="27" t="s">
        <v>19</v>
      </c>
      <c r="E5938" s="28">
        <v>99220</v>
      </c>
      <c r="F5938" s="28">
        <v>81467</v>
      </c>
      <c r="G5938" s="27" t="s">
        <v>17</v>
      </c>
      <c r="H5938" s="27" t="s">
        <v>3353</v>
      </c>
      <c r="I5938" s="27" t="s">
        <v>13</v>
      </c>
    </row>
    <row r="5939" spans="1:9" x14ac:dyDescent="0.3">
      <c r="A5939" s="26">
        <v>45244</v>
      </c>
      <c r="B5939" s="27" t="s">
        <v>125</v>
      </c>
      <c r="C5939" s="27" t="s">
        <v>93</v>
      </c>
      <c r="D5939" s="27" t="s">
        <v>21</v>
      </c>
      <c r="E5939" s="28">
        <v>98300</v>
      </c>
      <c r="F5939" s="28">
        <v>98100</v>
      </c>
      <c r="G5939" s="27" t="s">
        <v>11</v>
      </c>
      <c r="H5939" s="27" t="s">
        <v>5113</v>
      </c>
      <c r="I5939" s="27" t="s">
        <v>9</v>
      </c>
    </row>
    <row r="5940" spans="1:9" x14ac:dyDescent="0.3">
      <c r="A5940" s="26">
        <v>45244</v>
      </c>
      <c r="B5940" s="27" t="s">
        <v>125</v>
      </c>
      <c r="C5940" s="27" t="s">
        <v>6</v>
      </c>
      <c r="D5940" s="27" t="s">
        <v>7</v>
      </c>
      <c r="E5940" s="28">
        <v>69900</v>
      </c>
      <c r="F5940" s="28">
        <v>68500</v>
      </c>
      <c r="G5940" s="27" t="s">
        <v>22</v>
      </c>
      <c r="H5940" s="27" t="s">
        <v>5560</v>
      </c>
      <c r="I5940" s="27" t="s">
        <v>9</v>
      </c>
    </row>
    <row r="5941" spans="1:9" x14ac:dyDescent="0.3">
      <c r="A5941" s="26">
        <v>45244</v>
      </c>
      <c r="B5941" s="27" t="s">
        <v>125</v>
      </c>
      <c r="C5941" s="27" t="s">
        <v>93</v>
      </c>
      <c r="D5941" s="27" t="s">
        <v>19</v>
      </c>
      <c r="E5941" s="28">
        <v>103000</v>
      </c>
      <c r="F5941" s="28">
        <v>103000</v>
      </c>
      <c r="G5941" s="27" t="s">
        <v>22</v>
      </c>
      <c r="H5941" s="27" t="s">
        <v>5638</v>
      </c>
      <c r="I5941" s="27" t="s">
        <v>9</v>
      </c>
    </row>
    <row r="5942" spans="1:9" x14ac:dyDescent="0.3">
      <c r="A5942" s="26">
        <v>45244</v>
      </c>
      <c r="B5942" s="27" t="s">
        <v>125</v>
      </c>
      <c r="C5942" s="27" t="s">
        <v>93</v>
      </c>
      <c r="D5942" s="27" t="s">
        <v>19</v>
      </c>
      <c r="E5942" s="28">
        <v>90300</v>
      </c>
      <c r="F5942" s="28">
        <v>87500</v>
      </c>
      <c r="G5942" s="27" t="s">
        <v>22</v>
      </c>
      <c r="H5942" s="27" t="s">
        <v>5673</v>
      </c>
      <c r="I5942" s="27" t="s">
        <v>9</v>
      </c>
    </row>
    <row r="5943" spans="1:9" x14ac:dyDescent="0.3">
      <c r="A5943" s="26">
        <v>45244</v>
      </c>
      <c r="B5943" s="27" t="s">
        <v>125</v>
      </c>
      <c r="C5943" s="27" t="s">
        <v>6</v>
      </c>
      <c r="D5943" s="27" t="s">
        <v>24</v>
      </c>
      <c r="E5943" s="28">
        <v>107100</v>
      </c>
      <c r="F5943" s="28">
        <v>107300</v>
      </c>
      <c r="G5943" s="27" t="s">
        <v>22</v>
      </c>
      <c r="H5943" s="27" t="s">
        <v>6440</v>
      </c>
      <c r="I5943" s="27" t="s">
        <v>9</v>
      </c>
    </row>
    <row r="5944" spans="1:9" x14ac:dyDescent="0.3">
      <c r="A5944" s="26">
        <v>45244</v>
      </c>
      <c r="B5944" s="27" t="s">
        <v>125</v>
      </c>
      <c r="C5944" s="27" t="s">
        <v>6</v>
      </c>
      <c r="D5944" s="27" t="s">
        <v>19</v>
      </c>
      <c r="E5944" s="28">
        <v>193000</v>
      </c>
      <c r="F5944" s="28">
        <v>194700</v>
      </c>
      <c r="G5944" s="27" t="s">
        <v>22</v>
      </c>
      <c r="H5944" s="27" t="s">
        <v>6738</v>
      </c>
      <c r="I5944" s="27" t="s">
        <v>9</v>
      </c>
    </row>
    <row r="5945" spans="1:9" x14ac:dyDescent="0.3">
      <c r="A5945" s="26">
        <v>45245</v>
      </c>
      <c r="B5945" s="27" t="s">
        <v>125</v>
      </c>
      <c r="C5945" s="27" t="s">
        <v>10</v>
      </c>
      <c r="D5945" s="27" t="s">
        <v>19</v>
      </c>
      <c r="E5945" s="28">
        <v>94118</v>
      </c>
      <c r="F5945" s="28">
        <v>142377</v>
      </c>
      <c r="G5945" s="27" t="s">
        <v>11</v>
      </c>
      <c r="H5945" s="27" t="s">
        <v>220</v>
      </c>
      <c r="I5945" s="27" t="s">
        <v>13</v>
      </c>
    </row>
    <row r="5946" spans="1:9" x14ac:dyDescent="0.3">
      <c r="A5946" s="26">
        <v>45245</v>
      </c>
      <c r="B5946" s="27" t="s">
        <v>125</v>
      </c>
      <c r="C5946" s="27" t="s">
        <v>32</v>
      </c>
      <c r="D5946" s="27" t="s">
        <v>21</v>
      </c>
      <c r="E5946" s="28">
        <v>10169</v>
      </c>
      <c r="F5946" s="28">
        <v>37756</v>
      </c>
      <c r="G5946" s="27" t="s">
        <v>22</v>
      </c>
      <c r="H5946" s="27" t="s">
        <v>711</v>
      </c>
      <c r="I5946" s="27" t="s">
        <v>13</v>
      </c>
    </row>
    <row r="5947" spans="1:9" x14ac:dyDescent="0.3">
      <c r="A5947" s="26">
        <v>45245</v>
      </c>
      <c r="B5947" s="27" t="s">
        <v>125</v>
      </c>
      <c r="C5947" s="27" t="s">
        <v>15</v>
      </c>
      <c r="D5947" s="27" t="s">
        <v>16</v>
      </c>
      <c r="E5947" s="28">
        <v>91844</v>
      </c>
      <c r="F5947" s="28">
        <v>54175</v>
      </c>
      <c r="G5947" s="27" t="s">
        <v>22</v>
      </c>
      <c r="H5947" s="27" t="s">
        <v>1067</v>
      </c>
      <c r="I5947" s="27" t="s">
        <v>13</v>
      </c>
    </row>
    <row r="5948" spans="1:9" x14ac:dyDescent="0.3">
      <c r="A5948" s="26">
        <v>45245</v>
      </c>
      <c r="B5948" s="27" t="s">
        <v>125</v>
      </c>
      <c r="C5948" s="27" t="s">
        <v>15</v>
      </c>
      <c r="D5948" s="27" t="s">
        <v>7</v>
      </c>
      <c r="E5948" s="28">
        <v>83429</v>
      </c>
      <c r="F5948" s="28">
        <v>87850</v>
      </c>
      <c r="G5948" s="27" t="s">
        <v>22</v>
      </c>
      <c r="H5948" s="27" t="s">
        <v>1435</v>
      </c>
      <c r="I5948" s="27" t="s">
        <v>13</v>
      </c>
    </row>
    <row r="5949" spans="1:9" x14ac:dyDescent="0.3">
      <c r="A5949" s="26">
        <v>45245</v>
      </c>
      <c r="B5949" s="27" t="s">
        <v>125</v>
      </c>
      <c r="C5949" s="27" t="s">
        <v>18</v>
      </c>
      <c r="D5949" s="27" t="s">
        <v>16</v>
      </c>
      <c r="E5949" s="28">
        <v>121694</v>
      </c>
      <c r="F5949" s="28">
        <v>46342</v>
      </c>
      <c r="G5949" s="27" t="s">
        <v>11</v>
      </c>
      <c r="H5949" s="27" t="s">
        <v>1505</v>
      </c>
      <c r="I5949" s="27" t="s">
        <v>13</v>
      </c>
    </row>
    <row r="5950" spans="1:9" x14ac:dyDescent="0.3">
      <c r="A5950" s="26">
        <v>45245</v>
      </c>
      <c r="B5950" s="27" t="s">
        <v>125</v>
      </c>
      <c r="C5950" s="27" t="s">
        <v>10</v>
      </c>
      <c r="D5950" s="27" t="s">
        <v>16</v>
      </c>
      <c r="E5950" s="28">
        <v>134947</v>
      </c>
      <c r="F5950" s="28">
        <v>12968</v>
      </c>
      <c r="G5950" s="27" t="s">
        <v>17</v>
      </c>
      <c r="H5950" s="27" t="s">
        <v>1507</v>
      </c>
      <c r="I5950" s="27" t="s">
        <v>13</v>
      </c>
    </row>
    <row r="5951" spans="1:9" x14ac:dyDescent="0.3">
      <c r="A5951" s="26">
        <v>45245</v>
      </c>
      <c r="B5951" s="27" t="s">
        <v>125</v>
      </c>
      <c r="C5951" s="27" t="s">
        <v>20</v>
      </c>
      <c r="D5951" s="27" t="s">
        <v>7</v>
      </c>
      <c r="E5951" s="28">
        <v>81887</v>
      </c>
      <c r="F5951" s="28">
        <v>35544</v>
      </c>
      <c r="G5951" s="27" t="s">
        <v>17</v>
      </c>
      <c r="H5951" s="27" t="s">
        <v>1627</v>
      </c>
      <c r="I5951" s="27" t="s">
        <v>13</v>
      </c>
    </row>
    <row r="5952" spans="1:9" x14ac:dyDescent="0.3">
      <c r="A5952" s="26">
        <v>45245</v>
      </c>
      <c r="B5952" s="27" t="s">
        <v>125</v>
      </c>
      <c r="C5952" s="27" t="s">
        <v>32</v>
      </c>
      <c r="D5952" s="27" t="s">
        <v>7</v>
      </c>
      <c r="E5952" s="28">
        <v>129871</v>
      </c>
      <c r="F5952" s="28">
        <v>73921</v>
      </c>
      <c r="G5952" s="27" t="s">
        <v>22</v>
      </c>
      <c r="H5952" s="27" t="s">
        <v>1643</v>
      </c>
      <c r="I5952" s="27" t="s">
        <v>13</v>
      </c>
    </row>
    <row r="5953" spans="1:9" x14ac:dyDescent="0.3">
      <c r="A5953" s="26">
        <v>45245</v>
      </c>
      <c r="B5953" s="27" t="s">
        <v>125</v>
      </c>
      <c r="C5953" s="27" t="s">
        <v>15</v>
      </c>
      <c r="D5953" s="27" t="s">
        <v>19</v>
      </c>
      <c r="E5953" s="28">
        <v>13569</v>
      </c>
      <c r="F5953" s="28">
        <v>130021</v>
      </c>
      <c r="G5953" s="27" t="s">
        <v>8</v>
      </c>
      <c r="H5953" s="27" t="s">
        <v>1681</v>
      </c>
      <c r="I5953" s="27" t="s">
        <v>13</v>
      </c>
    </row>
    <row r="5954" spans="1:9" x14ac:dyDescent="0.3">
      <c r="A5954" s="26">
        <v>45245</v>
      </c>
      <c r="B5954" s="27" t="s">
        <v>125</v>
      </c>
      <c r="C5954" s="27" t="s">
        <v>20</v>
      </c>
      <c r="D5954" s="27" t="s">
        <v>16</v>
      </c>
      <c r="E5954" s="28">
        <v>82785</v>
      </c>
      <c r="F5954" s="28">
        <v>98794</v>
      </c>
      <c r="G5954" s="27" t="s">
        <v>17</v>
      </c>
      <c r="H5954" s="27" t="s">
        <v>2790</v>
      </c>
      <c r="I5954" s="27" t="s">
        <v>13</v>
      </c>
    </row>
    <row r="5955" spans="1:9" x14ac:dyDescent="0.3">
      <c r="A5955" s="26">
        <v>45245</v>
      </c>
      <c r="B5955" s="27" t="s">
        <v>125</v>
      </c>
      <c r="C5955" s="27" t="s">
        <v>10</v>
      </c>
      <c r="D5955" s="27" t="s">
        <v>7</v>
      </c>
      <c r="E5955" s="28">
        <v>25106</v>
      </c>
      <c r="F5955" s="28">
        <v>38801</v>
      </c>
      <c r="G5955" s="27" t="s">
        <v>17</v>
      </c>
      <c r="H5955" s="27" t="s">
        <v>2948</v>
      </c>
      <c r="I5955" s="27" t="s">
        <v>13</v>
      </c>
    </row>
    <row r="5956" spans="1:9" x14ac:dyDescent="0.3">
      <c r="A5956" s="26">
        <v>45245</v>
      </c>
      <c r="B5956" s="27" t="s">
        <v>125</v>
      </c>
      <c r="C5956" s="27" t="s">
        <v>15</v>
      </c>
      <c r="D5956" s="27" t="s">
        <v>16</v>
      </c>
      <c r="E5956" s="28">
        <v>60430</v>
      </c>
      <c r="F5956" s="28">
        <v>45510</v>
      </c>
      <c r="G5956" s="27" t="s">
        <v>11</v>
      </c>
      <c r="H5956" s="27" t="s">
        <v>3120</v>
      </c>
      <c r="I5956" s="27" t="s">
        <v>13</v>
      </c>
    </row>
    <row r="5957" spans="1:9" x14ac:dyDescent="0.3">
      <c r="A5957" s="26">
        <v>45245</v>
      </c>
      <c r="B5957" s="27" t="s">
        <v>125</v>
      </c>
      <c r="C5957" s="27" t="s">
        <v>6</v>
      </c>
      <c r="D5957" s="27" t="s">
        <v>19</v>
      </c>
      <c r="E5957" s="28">
        <v>143000</v>
      </c>
      <c r="F5957" s="28">
        <v>145400</v>
      </c>
      <c r="G5957" s="27" t="s">
        <v>17</v>
      </c>
      <c r="H5957" s="27" t="s">
        <v>3601</v>
      </c>
      <c r="I5957" s="27" t="s">
        <v>9</v>
      </c>
    </row>
    <row r="5958" spans="1:9" x14ac:dyDescent="0.3">
      <c r="A5958" s="26">
        <v>45245</v>
      </c>
      <c r="B5958" s="27" t="s">
        <v>125</v>
      </c>
      <c r="C5958" s="27" t="s">
        <v>6</v>
      </c>
      <c r="D5958" s="27" t="s">
        <v>21</v>
      </c>
      <c r="E5958" s="28">
        <v>189000</v>
      </c>
      <c r="F5958" s="28">
        <v>144900</v>
      </c>
      <c r="G5958" s="27" t="s">
        <v>11</v>
      </c>
      <c r="H5958" s="27" t="s">
        <v>4092</v>
      </c>
      <c r="I5958" s="27" t="s">
        <v>9</v>
      </c>
    </row>
    <row r="5959" spans="1:9" x14ac:dyDescent="0.3">
      <c r="A5959" s="26">
        <v>45245</v>
      </c>
      <c r="B5959" s="27" t="s">
        <v>125</v>
      </c>
      <c r="C5959" s="27" t="s">
        <v>93</v>
      </c>
      <c r="D5959" s="27" t="s">
        <v>16</v>
      </c>
      <c r="E5959" s="28">
        <v>103300</v>
      </c>
      <c r="F5959" s="28">
        <v>99300</v>
      </c>
      <c r="G5959" s="27" t="s">
        <v>22</v>
      </c>
      <c r="H5959" s="27" t="s">
        <v>4449</v>
      </c>
      <c r="I5959" s="27" t="s">
        <v>9</v>
      </c>
    </row>
    <row r="5960" spans="1:9" x14ac:dyDescent="0.3">
      <c r="A5960" s="26">
        <v>45245</v>
      </c>
      <c r="B5960" s="27" t="s">
        <v>125</v>
      </c>
      <c r="C5960" s="27" t="s">
        <v>6</v>
      </c>
      <c r="D5960" s="27" t="s">
        <v>7</v>
      </c>
      <c r="E5960" s="28">
        <v>111700</v>
      </c>
      <c r="F5960" s="28">
        <v>76300</v>
      </c>
      <c r="G5960" s="27" t="s">
        <v>11</v>
      </c>
      <c r="H5960" s="27" t="s">
        <v>4818</v>
      </c>
      <c r="I5960" s="27" t="s">
        <v>9</v>
      </c>
    </row>
    <row r="5961" spans="1:9" x14ac:dyDescent="0.3">
      <c r="A5961" s="26">
        <v>45245</v>
      </c>
      <c r="B5961" s="27" t="s">
        <v>125</v>
      </c>
      <c r="C5961" s="27" t="s">
        <v>6</v>
      </c>
      <c r="D5961" s="27" t="s">
        <v>16</v>
      </c>
      <c r="E5961" s="28">
        <v>195500</v>
      </c>
      <c r="F5961" s="28">
        <v>229900</v>
      </c>
      <c r="G5961" s="27" t="s">
        <v>11</v>
      </c>
      <c r="H5961" s="27" t="s">
        <v>4888</v>
      </c>
      <c r="I5961" s="27" t="s">
        <v>9</v>
      </c>
    </row>
    <row r="5962" spans="1:9" x14ac:dyDescent="0.3">
      <c r="A5962" s="26">
        <v>45245</v>
      </c>
      <c r="B5962" s="27" t="s">
        <v>125</v>
      </c>
      <c r="C5962" s="27" t="s">
        <v>93</v>
      </c>
      <c r="D5962" s="27" t="s">
        <v>16</v>
      </c>
      <c r="E5962" s="28">
        <v>205300</v>
      </c>
      <c r="F5962" s="28">
        <v>188600</v>
      </c>
      <c r="G5962" s="27" t="s">
        <v>22</v>
      </c>
      <c r="H5962" s="27" t="s">
        <v>4890</v>
      </c>
      <c r="I5962" s="27" t="s">
        <v>9</v>
      </c>
    </row>
    <row r="5963" spans="1:9" x14ac:dyDescent="0.3">
      <c r="A5963" s="26">
        <v>45245</v>
      </c>
      <c r="B5963" s="27" t="s">
        <v>125</v>
      </c>
      <c r="C5963" s="27" t="s">
        <v>6</v>
      </c>
      <c r="D5963" s="27" t="s">
        <v>7</v>
      </c>
      <c r="E5963" s="28">
        <v>248700</v>
      </c>
      <c r="F5963" s="28">
        <v>261700</v>
      </c>
      <c r="G5963" s="27" t="s">
        <v>17</v>
      </c>
      <c r="H5963" s="27" t="s">
        <v>5010</v>
      </c>
      <c r="I5963" s="27" t="s">
        <v>9</v>
      </c>
    </row>
    <row r="5964" spans="1:9" x14ac:dyDescent="0.3">
      <c r="A5964" s="26">
        <v>45245</v>
      </c>
      <c r="B5964" s="27" t="s">
        <v>125</v>
      </c>
      <c r="C5964" s="27" t="s">
        <v>6</v>
      </c>
      <c r="D5964" s="27" t="s">
        <v>7</v>
      </c>
      <c r="E5964" s="28">
        <v>88200</v>
      </c>
      <c r="F5964" s="28">
        <v>116000</v>
      </c>
      <c r="G5964" s="27" t="s">
        <v>17</v>
      </c>
      <c r="H5964" s="27" t="s">
        <v>5026</v>
      </c>
      <c r="I5964" s="27" t="s">
        <v>9</v>
      </c>
    </row>
    <row r="5965" spans="1:9" x14ac:dyDescent="0.3">
      <c r="A5965" s="26">
        <v>45245</v>
      </c>
      <c r="B5965" s="27" t="s">
        <v>125</v>
      </c>
      <c r="C5965" s="27" t="s">
        <v>93</v>
      </c>
      <c r="D5965" s="27" t="s">
        <v>19</v>
      </c>
      <c r="E5965" s="28">
        <v>118800</v>
      </c>
      <c r="F5965" s="28">
        <v>121200</v>
      </c>
      <c r="G5965" s="27" t="s">
        <v>11</v>
      </c>
      <c r="H5965" s="27" t="s">
        <v>5064</v>
      </c>
      <c r="I5965" s="27" t="s">
        <v>9</v>
      </c>
    </row>
    <row r="5966" spans="1:9" x14ac:dyDescent="0.3">
      <c r="A5966" s="26">
        <v>45245</v>
      </c>
      <c r="B5966" s="27" t="s">
        <v>125</v>
      </c>
      <c r="C5966" s="27" t="s">
        <v>6</v>
      </c>
      <c r="D5966" s="27" t="s">
        <v>16</v>
      </c>
      <c r="E5966" s="28">
        <v>94400</v>
      </c>
      <c r="F5966" s="28">
        <v>75200</v>
      </c>
      <c r="G5966" s="27" t="s">
        <v>22</v>
      </c>
      <c r="H5966" s="27" t="s">
        <v>6175</v>
      </c>
      <c r="I5966" s="27" t="s">
        <v>9</v>
      </c>
    </row>
    <row r="5967" spans="1:9" x14ac:dyDescent="0.3">
      <c r="A5967" s="26">
        <v>45245</v>
      </c>
      <c r="B5967" s="27" t="s">
        <v>125</v>
      </c>
      <c r="C5967" s="27" t="s">
        <v>93</v>
      </c>
      <c r="D5967" s="27" t="s">
        <v>7</v>
      </c>
      <c r="E5967" s="28">
        <v>68900</v>
      </c>
      <c r="F5967" s="28">
        <v>72600</v>
      </c>
      <c r="G5967" s="27" t="s">
        <v>11</v>
      </c>
      <c r="H5967" s="27" t="s">
        <v>6333</v>
      </c>
      <c r="I5967" s="27" t="s">
        <v>9</v>
      </c>
    </row>
    <row r="5968" spans="1:9" x14ac:dyDescent="0.3">
      <c r="A5968" s="26">
        <v>45245</v>
      </c>
      <c r="B5968" s="27" t="s">
        <v>125</v>
      </c>
      <c r="C5968" s="27" t="s">
        <v>6</v>
      </c>
      <c r="D5968" s="27" t="s">
        <v>16</v>
      </c>
      <c r="E5968" s="28">
        <v>195700</v>
      </c>
      <c r="F5968" s="28">
        <v>196100</v>
      </c>
      <c r="G5968" s="27" t="s">
        <v>11</v>
      </c>
      <c r="H5968" s="27" t="s">
        <v>6505</v>
      </c>
      <c r="I5968" s="27" t="s">
        <v>9</v>
      </c>
    </row>
    <row r="5969" spans="1:9" x14ac:dyDescent="0.3">
      <c r="A5969" s="26">
        <v>45246</v>
      </c>
      <c r="B5969" s="27" t="s">
        <v>125</v>
      </c>
      <c r="C5969" s="27" t="s">
        <v>14</v>
      </c>
      <c r="D5969" s="27" t="s">
        <v>16</v>
      </c>
      <c r="E5969" s="28">
        <v>113616</v>
      </c>
      <c r="F5969" s="28">
        <v>152470</v>
      </c>
      <c r="G5969" s="27" t="s">
        <v>11</v>
      </c>
      <c r="H5969" s="27" t="s">
        <v>307</v>
      </c>
      <c r="I5969" s="27" t="s">
        <v>13</v>
      </c>
    </row>
    <row r="5970" spans="1:9" x14ac:dyDescent="0.3">
      <c r="A5970" s="26">
        <v>45246</v>
      </c>
      <c r="B5970" s="27" t="s">
        <v>125</v>
      </c>
      <c r="C5970" s="27" t="s">
        <v>14</v>
      </c>
      <c r="D5970" s="27" t="s">
        <v>21</v>
      </c>
      <c r="E5970" s="28">
        <v>107057</v>
      </c>
      <c r="F5970" s="28">
        <v>31872</v>
      </c>
      <c r="G5970" s="27" t="s">
        <v>11</v>
      </c>
      <c r="H5970" s="27" t="s">
        <v>330</v>
      </c>
      <c r="I5970" s="27" t="s">
        <v>13</v>
      </c>
    </row>
    <row r="5971" spans="1:9" x14ac:dyDescent="0.3">
      <c r="A5971" s="26">
        <v>45246</v>
      </c>
      <c r="B5971" s="27" t="s">
        <v>125</v>
      </c>
      <c r="C5971" s="27" t="s">
        <v>10</v>
      </c>
      <c r="D5971" s="27" t="s">
        <v>16</v>
      </c>
      <c r="E5971" s="28">
        <v>24065</v>
      </c>
      <c r="F5971" s="28">
        <v>149443</v>
      </c>
      <c r="G5971" s="27" t="s">
        <v>22</v>
      </c>
      <c r="H5971" s="27" t="s">
        <v>663</v>
      </c>
      <c r="I5971" s="27" t="s">
        <v>13</v>
      </c>
    </row>
    <row r="5972" spans="1:9" x14ac:dyDescent="0.3">
      <c r="A5972" s="26">
        <v>45246</v>
      </c>
      <c r="B5972" s="27" t="s">
        <v>125</v>
      </c>
      <c r="C5972" s="27" t="s">
        <v>18</v>
      </c>
      <c r="D5972" s="27" t="s">
        <v>21</v>
      </c>
      <c r="E5972" s="28">
        <v>110162</v>
      </c>
      <c r="F5972" s="28">
        <v>151394</v>
      </c>
      <c r="G5972" s="27" t="s">
        <v>11</v>
      </c>
      <c r="H5972" s="27" t="s">
        <v>844</v>
      </c>
      <c r="I5972" s="27" t="s">
        <v>13</v>
      </c>
    </row>
    <row r="5973" spans="1:9" x14ac:dyDescent="0.3">
      <c r="A5973" s="26">
        <v>45246</v>
      </c>
      <c r="B5973" s="27" t="s">
        <v>125</v>
      </c>
      <c r="C5973" s="27" t="s">
        <v>14</v>
      </c>
      <c r="D5973" s="27" t="s">
        <v>19</v>
      </c>
      <c r="E5973" s="28">
        <v>80282</v>
      </c>
      <c r="F5973" s="28">
        <v>169207</v>
      </c>
      <c r="G5973" s="27" t="s">
        <v>11</v>
      </c>
      <c r="H5973" s="27" t="s">
        <v>1588</v>
      </c>
      <c r="I5973" s="27" t="s">
        <v>13</v>
      </c>
    </row>
    <row r="5974" spans="1:9" x14ac:dyDescent="0.3">
      <c r="A5974" s="26">
        <v>45246</v>
      </c>
      <c r="B5974" s="27" t="s">
        <v>125</v>
      </c>
      <c r="C5974" s="27" t="s">
        <v>10</v>
      </c>
      <c r="D5974" s="27" t="s">
        <v>24</v>
      </c>
      <c r="E5974" s="28">
        <v>80466</v>
      </c>
      <c r="F5974" s="28">
        <v>152584</v>
      </c>
      <c r="G5974" s="27" t="s">
        <v>11</v>
      </c>
      <c r="H5974" s="27" t="s">
        <v>2061</v>
      </c>
      <c r="I5974" s="27" t="s">
        <v>13</v>
      </c>
    </row>
    <row r="5975" spans="1:9" x14ac:dyDescent="0.3">
      <c r="A5975" s="26">
        <v>45246</v>
      </c>
      <c r="B5975" s="27" t="s">
        <v>125</v>
      </c>
      <c r="C5975" s="27" t="s">
        <v>18</v>
      </c>
      <c r="D5975" s="27" t="s">
        <v>19</v>
      </c>
      <c r="E5975" s="28">
        <v>17148</v>
      </c>
      <c r="F5975" s="28">
        <v>155884</v>
      </c>
      <c r="G5975" s="27" t="s">
        <v>22</v>
      </c>
      <c r="H5975" s="27" t="s">
        <v>2204</v>
      </c>
      <c r="I5975" s="27" t="s">
        <v>13</v>
      </c>
    </row>
    <row r="5976" spans="1:9" x14ac:dyDescent="0.3">
      <c r="A5976" s="26">
        <v>45246</v>
      </c>
      <c r="B5976" s="27" t="s">
        <v>125</v>
      </c>
      <c r="C5976" s="27" t="s">
        <v>32</v>
      </c>
      <c r="D5976" s="27" t="s">
        <v>7</v>
      </c>
      <c r="E5976" s="28">
        <v>43288</v>
      </c>
      <c r="F5976" s="28">
        <v>85759</v>
      </c>
      <c r="G5976" s="27" t="s">
        <v>22</v>
      </c>
      <c r="H5976" s="27" t="s">
        <v>2248</v>
      </c>
      <c r="I5976" s="27" t="s">
        <v>13</v>
      </c>
    </row>
    <row r="5977" spans="1:9" x14ac:dyDescent="0.3">
      <c r="A5977" s="26">
        <v>45246</v>
      </c>
      <c r="B5977" s="27" t="s">
        <v>125</v>
      </c>
      <c r="C5977" s="27" t="s">
        <v>32</v>
      </c>
      <c r="D5977" s="27" t="s">
        <v>24</v>
      </c>
      <c r="E5977" s="28">
        <v>109796</v>
      </c>
      <c r="F5977" s="28">
        <v>50607</v>
      </c>
      <c r="G5977" s="27" t="s">
        <v>17</v>
      </c>
      <c r="H5977" s="27" t="s">
        <v>2891</v>
      </c>
      <c r="I5977" s="27" t="s">
        <v>13</v>
      </c>
    </row>
    <row r="5978" spans="1:9" x14ac:dyDescent="0.3">
      <c r="A5978" s="26">
        <v>45246</v>
      </c>
      <c r="B5978" s="27" t="s">
        <v>125</v>
      </c>
      <c r="C5978" s="27" t="s">
        <v>15</v>
      </c>
      <c r="D5978" s="27" t="s">
        <v>16</v>
      </c>
      <c r="E5978" s="28">
        <v>137267</v>
      </c>
      <c r="F5978" s="28">
        <v>146328</v>
      </c>
      <c r="G5978" s="27" t="s">
        <v>17</v>
      </c>
      <c r="H5978" s="27" t="s">
        <v>3304</v>
      </c>
      <c r="I5978" s="27" t="s">
        <v>13</v>
      </c>
    </row>
    <row r="5979" spans="1:9" x14ac:dyDescent="0.3">
      <c r="A5979" s="26">
        <v>45246</v>
      </c>
      <c r="B5979" s="27" t="s">
        <v>125</v>
      </c>
      <c r="C5979" s="27" t="s">
        <v>20</v>
      </c>
      <c r="D5979" s="27" t="s">
        <v>16</v>
      </c>
      <c r="E5979" s="28">
        <v>87083</v>
      </c>
      <c r="F5979" s="28">
        <v>137298</v>
      </c>
      <c r="G5979" s="27" t="s">
        <v>17</v>
      </c>
      <c r="H5979" s="27" t="s">
        <v>3305</v>
      </c>
      <c r="I5979" s="27" t="s">
        <v>13</v>
      </c>
    </row>
    <row r="5980" spans="1:9" x14ac:dyDescent="0.3">
      <c r="A5980" s="26">
        <v>45246</v>
      </c>
      <c r="B5980" s="27" t="s">
        <v>125</v>
      </c>
      <c r="C5980" s="27" t="s">
        <v>6</v>
      </c>
      <c r="D5980" s="27" t="s">
        <v>16</v>
      </c>
      <c r="E5980" s="28">
        <v>229800</v>
      </c>
      <c r="F5980" s="28">
        <v>151500</v>
      </c>
      <c r="G5980" s="27" t="s">
        <v>11</v>
      </c>
      <c r="H5980" s="27" t="s">
        <v>3688</v>
      </c>
      <c r="I5980" s="27" t="s">
        <v>9</v>
      </c>
    </row>
    <row r="5981" spans="1:9" x14ac:dyDescent="0.3">
      <c r="A5981" s="26">
        <v>45246</v>
      </c>
      <c r="B5981" s="27" t="s">
        <v>125</v>
      </c>
      <c r="C5981" s="27" t="s">
        <v>6</v>
      </c>
      <c r="D5981" s="27" t="s">
        <v>21</v>
      </c>
      <c r="E5981" s="28">
        <v>56200</v>
      </c>
      <c r="F5981" s="28">
        <v>52700</v>
      </c>
      <c r="G5981" s="27" t="s">
        <v>17</v>
      </c>
      <c r="H5981" s="27" t="s">
        <v>3711</v>
      </c>
      <c r="I5981" s="27" t="s">
        <v>9</v>
      </c>
    </row>
    <row r="5982" spans="1:9" x14ac:dyDescent="0.3">
      <c r="A5982" s="26">
        <v>45246</v>
      </c>
      <c r="B5982" s="27" t="s">
        <v>125</v>
      </c>
      <c r="C5982" s="27" t="s">
        <v>93</v>
      </c>
      <c r="D5982" s="27" t="s">
        <v>16</v>
      </c>
      <c r="E5982" s="28">
        <v>96600</v>
      </c>
      <c r="F5982" s="28">
        <v>82500</v>
      </c>
      <c r="G5982" s="27" t="s">
        <v>22</v>
      </c>
      <c r="H5982" s="27" t="s">
        <v>4044</v>
      </c>
      <c r="I5982" s="27" t="s">
        <v>9</v>
      </c>
    </row>
    <row r="5983" spans="1:9" x14ac:dyDescent="0.3">
      <c r="A5983" s="26">
        <v>45246</v>
      </c>
      <c r="B5983" s="27" t="s">
        <v>125</v>
      </c>
      <c r="C5983" s="27" t="s">
        <v>93</v>
      </c>
      <c r="D5983" s="27" t="s">
        <v>21</v>
      </c>
      <c r="E5983" s="28">
        <v>65400</v>
      </c>
      <c r="F5983" s="28">
        <v>82700</v>
      </c>
      <c r="G5983" s="27" t="s">
        <v>17</v>
      </c>
      <c r="H5983" s="27" t="s">
        <v>4225</v>
      </c>
      <c r="I5983" s="27" t="s">
        <v>9</v>
      </c>
    </row>
    <row r="5984" spans="1:9" x14ac:dyDescent="0.3">
      <c r="A5984" s="26">
        <v>45246</v>
      </c>
      <c r="B5984" s="27" t="s">
        <v>125</v>
      </c>
      <c r="C5984" s="27" t="s">
        <v>6</v>
      </c>
      <c r="D5984" s="27" t="s">
        <v>19</v>
      </c>
      <c r="E5984" s="28">
        <v>146100</v>
      </c>
      <c r="F5984" s="28">
        <v>139800</v>
      </c>
      <c r="G5984" s="27" t="s">
        <v>11</v>
      </c>
      <c r="H5984" s="27" t="s">
        <v>4971</v>
      </c>
      <c r="I5984" s="27" t="s">
        <v>9</v>
      </c>
    </row>
    <row r="5985" spans="1:9" x14ac:dyDescent="0.3">
      <c r="A5985" s="26">
        <v>45246</v>
      </c>
      <c r="B5985" s="27" t="s">
        <v>125</v>
      </c>
      <c r="C5985" s="27" t="s">
        <v>6</v>
      </c>
      <c r="D5985" s="27" t="s">
        <v>24</v>
      </c>
      <c r="E5985" s="28">
        <v>119700</v>
      </c>
      <c r="F5985" s="28">
        <v>100100</v>
      </c>
      <c r="G5985" s="27" t="s">
        <v>22</v>
      </c>
      <c r="H5985" s="27" t="s">
        <v>5445</v>
      </c>
      <c r="I5985" s="27" t="s">
        <v>9</v>
      </c>
    </row>
    <row r="5986" spans="1:9" x14ac:dyDescent="0.3">
      <c r="A5986" s="26">
        <v>45246</v>
      </c>
      <c r="B5986" s="27" t="s">
        <v>125</v>
      </c>
      <c r="C5986" s="27" t="s">
        <v>93</v>
      </c>
      <c r="D5986" s="27" t="s">
        <v>19</v>
      </c>
      <c r="E5986" s="28">
        <v>99400</v>
      </c>
      <c r="F5986" s="28">
        <v>102000</v>
      </c>
      <c r="G5986" s="27" t="s">
        <v>11</v>
      </c>
      <c r="H5986" s="27" t="s">
        <v>5589</v>
      </c>
      <c r="I5986" s="27" t="s">
        <v>9</v>
      </c>
    </row>
    <row r="5987" spans="1:9" x14ac:dyDescent="0.3">
      <c r="A5987" s="26">
        <v>45246</v>
      </c>
      <c r="B5987" s="27" t="s">
        <v>125</v>
      </c>
      <c r="C5987" s="27" t="s">
        <v>6</v>
      </c>
      <c r="D5987" s="27" t="s">
        <v>7</v>
      </c>
      <c r="E5987" s="28">
        <v>106200</v>
      </c>
      <c r="F5987" s="28">
        <v>132100</v>
      </c>
      <c r="G5987" s="27" t="s">
        <v>11</v>
      </c>
      <c r="H5987" s="27" t="s">
        <v>5633</v>
      </c>
      <c r="I5987" s="27" t="s">
        <v>9</v>
      </c>
    </row>
    <row r="5988" spans="1:9" x14ac:dyDescent="0.3">
      <c r="A5988" s="26">
        <v>45246</v>
      </c>
      <c r="B5988" s="27" t="s">
        <v>125</v>
      </c>
      <c r="C5988" s="27" t="s">
        <v>6</v>
      </c>
      <c r="D5988" s="27" t="s">
        <v>24</v>
      </c>
      <c r="E5988" s="28">
        <v>143700</v>
      </c>
      <c r="F5988" s="28">
        <v>164600</v>
      </c>
      <c r="G5988" s="27" t="s">
        <v>17</v>
      </c>
      <c r="H5988" s="27" t="s">
        <v>6276</v>
      </c>
      <c r="I5988" s="27" t="s">
        <v>9</v>
      </c>
    </row>
    <row r="5989" spans="1:9" x14ac:dyDescent="0.3">
      <c r="A5989" s="26">
        <v>45246</v>
      </c>
      <c r="B5989" s="27" t="s">
        <v>125</v>
      </c>
      <c r="C5989" s="27" t="s">
        <v>93</v>
      </c>
      <c r="D5989" s="27" t="s">
        <v>16</v>
      </c>
      <c r="E5989" s="28">
        <v>83300</v>
      </c>
      <c r="F5989" s="28">
        <v>89200</v>
      </c>
      <c r="G5989" s="27" t="s">
        <v>11</v>
      </c>
      <c r="H5989" s="27" t="s">
        <v>6689</v>
      </c>
      <c r="I5989" s="27" t="s">
        <v>9</v>
      </c>
    </row>
    <row r="5990" spans="1:9" x14ac:dyDescent="0.3">
      <c r="A5990" s="26">
        <v>45246</v>
      </c>
      <c r="B5990" s="27" t="s">
        <v>125</v>
      </c>
      <c r="C5990" s="27" t="s">
        <v>6</v>
      </c>
      <c r="D5990" s="27" t="s">
        <v>16</v>
      </c>
      <c r="E5990" s="28">
        <v>125800</v>
      </c>
      <c r="F5990" s="28">
        <v>120900</v>
      </c>
      <c r="G5990" s="27" t="s">
        <v>22</v>
      </c>
      <c r="H5990" s="27" t="s">
        <v>6690</v>
      </c>
      <c r="I5990" s="27" t="s">
        <v>9</v>
      </c>
    </row>
    <row r="5991" spans="1:9" x14ac:dyDescent="0.3">
      <c r="A5991" s="26">
        <v>45247</v>
      </c>
      <c r="B5991" s="27" t="s">
        <v>125</v>
      </c>
      <c r="C5991" s="27" t="s">
        <v>32</v>
      </c>
      <c r="D5991" s="27" t="s">
        <v>24</v>
      </c>
      <c r="E5991" s="28">
        <v>104968</v>
      </c>
      <c r="F5991" s="28">
        <v>119388</v>
      </c>
      <c r="G5991" s="27" t="s">
        <v>22</v>
      </c>
      <c r="H5991" s="27" t="s">
        <v>544</v>
      </c>
      <c r="I5991" s="27" t="s">
        <v>13</v>
      </c>
    </row>
    <row r="5992" spans="1:9" x14ac:dyDescent="0.3">
      <c r="A5992" s="26">
        <v>45247</v>
      </c>
      <c r="B5992" s="27" t="s">
        <v>125</v>
      </c>
      <c r="C5992" s="27" t="s">
        <v>14</v>
      </c>
      <c r="D5992" s="27" t="s">
        <v>16</v>
      </c>
      <c r="E5992" s="28">
        <v>129771</v>
      </c>
      <c r="F5992" s="28">
        <v>42489</v>
      </c>
      <c r="G5992" s="27" t="s">
        <v>8</v>
      </c>
      <c r="H5992" s="27" t="s">
        <v>1007</v>
      </c>
      <c r="I5992" s="27" t="s">
        <v>13</v>
      </c>
    </row>
    <row r="5993" spans="1:9" x14ac:dyDescent="0.3">
      <c r="A5993" s="26">
        <v>45247</v>
      </c>
      <c r="B5993" s="27" t="s">
        <v>125</v>
      </c>
      <c r="C5993" s="27" t="s">
        <v>10</v>
      </c>
      <c r="D5993" s="27" t="s">
        <v>21</v>
      </c>
      <c r="E5993" s="28">
        <v>81270</v>
      </c>
      <c r="F5993" s="28">
        <v>12187</v>
      </c>
      <c r="G5993" s="27" t="s">
        <v>17</v>
      </c>
      <c r="H5993" s="27" t="s">
        <v>1732</v>
      </c>
      <c r="I5993" s="27" t="s">
        <v>13</v>
      </c>
    </row>
    <row r="5994" spans="1:9" x14ac:dyDescent="0.3">
      <c r="A5994" s="26">
        <v>45247</v>
      </c>
      <c r="B5994" s="27" t="s">
        <v>125</v>
      </c>
      <c r="C5994" s="27" t="s">
        <v>18</v>
      </c>
      <c r="D5994" s="27" t="s">
        <v>21</v>
      </c>
      <c r="E5994" s="28">
        <v>66581</v>
      </c>
      <c r="F5994" s="28">
        <v>157704</v>
      </c>
      <c r="G5994" s="27" t="s">
        <v>11</v>
      </c>
      <c r="H5994" s="27" t="s">
        <v>1996</v>
      </c>
      <c r="I5994" s="27" t="s">
        <v>13</v>
      </c>
    </row>
    <row r="5995" spans="1:9" x14ac:dyDescent="0.3">
      <c r="A5995" s="26">
        <v>45247</v>
      </c>
      <c r="B5995" s="27" t="s">
        <v>125</v>
      </c>
      <c r="C5995" s="27" t="s">
        <v>14</v>
      </c>
      <c r="D5995" s="27" t="s">
        <v>24</v>
      </c>
      <c r="E5995" s="28">
        <v>146642</v>
      </c>
      <c r="F5995" s="28">
        <v>122158</v>
      </c>
      <c r="G5995" s="27" t="s">
        <v>11</v>
      </c>
      <c r="H5995" s="27" t="s">
        <v>2829</v>
      </c>
      <c r="I5995" s="27" t="s">
        <v>13</v>
      </c>
    </row>
    <row r="5996" spans="1:9" x14ac:dyDescent="0.3">
      <c r="A5996" s="26">
        <v>45247</v>
      </c>
      <c r="B5996" s="27" t="s">
        <v>125</v>
      </c>
      <c r="C5996" s="27" t="s">
        <v>14</v>
      </c>
      <c r="D5996" s="27" t="s">
        <v>21</v>
      </c>
      <c r="E5996" s="28">
        <v>127466</v>
      </c>
      <c r="F5996" s="28">
        <v>127502</v>
      </c>
      <c r="G5996" s="27" t="s">
        <v>17</v>
      </c>
      <c r="H5996" s="27" t="s">
        <v>3336</v>
      </c>
      <c r="I5996" s="27" t="s">
        <v>13</v>
      </c>
    </row>
    <row r="5997" spans="1:9" x14ac:dyDescent="0.3">
      <c r="A5997" s="26">
        <v>45247</v>
      </c>
      <c r="B5997" s="27" t="s">
        <v>125</v>
      </c>
      <c r="C5997" s="27" t="s">
        <v>15</v>
      </c>
      <c r="D5997" s="27" t="s">
        <v>16</v>
      </c>
      <c r="E5997" s="28">
        <v>76437</v>
      </c>
      <c r="F5997" s="28">
        <v>12330</v>
      </c>
      <c r="G5997" s="27" t="s">
        <v>8</v>
      </c>
      <c r="H5997" s="27" t="s">
        <v>3402</v>
      </c>
      <c r="I5997" s="27" t="s">
        <v>13</v>
      </c>
    </row>
    <row r="5998" spans="1:9" x14ac:dyDescent="0.3">
      <c r="A5998" s="26">
        <v>45247</v>
      </c>
      <c r="B5998" s="27" t="s">
        <v>125</v>
      </c>
      <c r="C5998" s="27" t="s">
        <v>6</v>
      </c>
      <c r="D5998" s="27" t="s">
        <v>24</v>
      </c>
      <c r="E5998" s="28">
        <v>132100</v>
      </c>
      <c r="F5998" s="28">
        <v>134200</v>
      </c>
      <c r="G5998" s="27" t="s">
        <v>17</v>
      </c>
      <c r="H5998" s="27" t="s">
        <v>3925</v>
      </c>
      <c r="I5998" s="27" t="s">
        <v>9</v>
      </c>
    </row>
    <row r="5999" spans="1:9" x14ac:dyDescent="0.3">
      <c r="A5999" s="26">
        <v>45247</v>
      </c>
      <c r="B5999" s="27" t="s">
        <v>125</v>
      </c>
      <c r="C5999" s="27" t="s">
        <v>6</v>
      </c>
      <c r="D5999" s="27" t="s">
        <v>16</v>
      </c>
      <c r="E5999" s="28">
        <v>218700</v>
      </c>
      <c r="F5999" s="28">
        <v>261200</v>
      </c>
      <c r="G5999" s="27" t="s">
        <v>17</v>
      </c>
      <c r="H5999" s="27" t="s">
        <v>4388</v>
      </c>
      <c r="I5999" s="27" t="s">
        <v>9</v>
      </c>
    </row>
    <row r="6000" spans="1:9" x14ac:dyDescent="0.3">
      <c r="A6000" s="26">
        <v>45247</v>
      </c>
      <c r="B6000" s="27" t="s">
        <v>125</v>
      </c>
      <c r="C6000" s="27" t="s">
        <v>93</v>
      </c>
      <c r="D6000" s="27" t="s">
        <v>21</v>
      </c>
      <c r="E6000" s="28">
        <v>155900</v>
      </c>
      <c r="F6000" s="28">
        <v>206500</v>
      </c>
      <c r="G6000" s="27" t="s">
        <v>22</v>
      </c>
      <c r="H6000" s="27" t="s">
        <v>5115</v>
      </c>
      <c r="I6000" s="27" t="s">
        <v>9</v>
      </c>
    </row>
    <row r="6001" spans="1:9" x14ac:dyDescent="0.3">
      <c r="A6001" s="26">
        <v>45247</v>
      </c>
      <c r="B6001" s="27" t="s">
        <v>125</v>
      </c>
      <c r="C6001" s="27" t="s">
        <v>6</v>
      </c>
      <c r="D6001" s="27" t="s">
        <v>21</v>
      </c>
      <c r="E6001" s="28">
        <v>247300</v>
      </c>
      <c r="F6001" s="28">
        <v>290500</v>
      </c>
      <c r="G6001" s="27" t="s">
        <v>22</v>
      </c>
      <c r="H6001" s="27" t="s">
        <v>5380</v>
      </c>
      <c r="I6001" s="27" t="s">
        <v>9</v>
      </c>
    </row>
    <row r="6002" spans="1:9" x14ac:dyDescent="0.3">
      <c r="A6002" s="26">
        <v>45247</v>
      </c>
      <c r="B6002" s="27" t="s">
        <v>125</v>
      </c>
      <c r="C6002" s="27" t="s">
        <v>6</v>
      </c>
      <c r="D6002" s="27" t="s">
        <v>24</v>
      </c>
      <c r="E6002" s="28">
        <v>120400</v>
      </c>
      <c r="F6002" s="28">
        <v>120700</v>
      </c>
      <c r="G6002" s="27" t="s">
        <v>22</v>
      </c>
      <c r="H6002" s="27" t="s">
        <v>6214</v>
      </c>
      <c r="I6002" s="27" t="s">
        <v>9</v>
      </c>
    </row>
    <row r="6003" spans="1:9" x14ac:dyDescent="0.3">
      <c r="A6003" s="26">
        <v>45247</v>
      </c>
      <c r="B6003" s="27" t="s">
        <v>125</v>
      </c>
      <c r="C6003" s="27" t="s">
        <v>6</v>
      </c>
      <c r="D6003" s="27" t="s">
        <v>21</v>
      </c>
      <c r="E6003" s="28">
        <v>115600</v>
      </c>
      <c r="F6003" s="28">
        <v>139400</v>
      </c>
      <c r="G6003" s="27" t="s">
        <v>22</v>
      </c>
      <c r="H6003" s="27" t="s">
        <v>6721</v>
      </c>
      <c r="I6003" s="27" t="s">
        <v>9</v>
      </c>
    </row>
    <row r="6004" spans="1:9" x14ac:dyDescent="0.3">
      <c r="A6004" s="26">
        <v>45247</v>
      </c>
      <c r="B6004" s="27" t="s">
        <v>125</v>
      </c>
      <c r="C6004" s="27" t="s">
        <v>93</v>
      </c>
      <c r="D6004" s="27" t="s">
        <v>16</v>
      </c>
      <c r="E6004" s="28">
        <v>150200</v>
      </c>
      <c r="F6004" s="28">
        <v>125200</v>
      </c>
      <c r="G6004" s="27" t="s">
        <v>11</v>
      </c>
      <c r="H6004" s="27" t="s">
        <v>6787</v>
      </c>
      <c r="I6004" s="27" t="s">
        <v>9</v>
      </c>
    </row>
    <row r="6005" spans="1:9" x14ac:dyDescent="0.3">
      <c r="A6005" s="26">
        <v>45248</v>
      </c>
      <c r="B6005" s="27" t="s">
        <v>125</v>
      </c>
      <c r="C6005" s="27" t="s">
        <v>14</v>
      </c>
      <c r="D6005" s="27" t="s">
        <v>16</v>
      </c>
      <c r="E6005" s="28">
        <v>136092</v>
      </c>
      <c r="F6005" s="28">
        <v>161382</v>
      </c>
      <c r="G6005" s="27" t="s">
        <v>22</v>
      </c>
      <c r="H6005" s="27" t="s">
        <v>70</v>
      </c>
      <c r="I6005" s="27" t="s">
        <v>13</v>
      </c>
    </row>
    <row r="6006" spans="1:9" x14ac:dyDescent="0.3">
      <c r="A6006" s="26">
        <v>45248</v>
      </c>
      <c r="B6006" s="27" t="s">
        <v>125</v>
      </c>
      <c r="C6006" s="27" t="s">
        <v>10</v>
      </c>
      <c r="D6006" s="27" t="s">
        <v>16</v>
      </c>
      <c r="E6006" s="28">
        <v>102115</v>
      </c>
      <c r="F6006" s="28">
        <v>90119</v>
      </c>
      <c r="G6006" s="27" t="s">
        <v>17</v>
      </c>
      <c r="H6006" s="27" t="s">
        <v>69</v>
      </c>
      <c r="I6006" s="27" t="s">
        <v>13</v>
      </c>
    </row>
    <row r="6007" spans="1:9" x14ac:dyDescent="0.3">
      <c r="A6007" s="26">
        <v>45248</v>
      </c>
      <c r="B6007" s="27" t="s">
        <v>125</v>
      </c>
      <c r="C6007" s="27" t="s">
        <v>14</v>
      </c>
      <c r="D6007" s="27" t="s">
        <v>19</v>
      </c>
      <c r="E6007" s="28">
        <v>148524</v>
      </c>
      <c r="F6007" s="28">
        <v>101321</v>
      </c>
      <c r="G6007" s="27" t="s">
        <v>22</v>
      </c>
      <c r="H6007" s="27" t="s">
        <v>1049</v>
      </c>
      <c r="I6007" s="27" t="s">
        <v>13</v>
      </c>
    </row>
    <row r="6008" spans="1:9" x14ac:dyDescent="0.3">
      <c r="A6008" s="26">
        <v>45248</v>
      </c>
      <c r="B6008" s="27" t="s">
        <v>125</v>
      </c>
      <c r="C6008" s="27" t="s">
        <v>20</v>
      </c>
      <c r="D6008" s="27" t="s">
        <v>7</v>
      </c>
      <c r="E6008" s="28">
        <v>16553</v>
      </c>
      <c r="F6008" s="28">
        <v>51232</v>
      </c>
      <c r="G6008" s="27" t="s">
        <v>22</v>
      </c>
      <c r="H6008" s="27" t="s">
        <v>1412</v>
      </c>
      <c r="I6008" s="27" t="s">
        <v>13</v>
      </c>
    </row>
    <row r="6009" spans="1:9" x14ac:dyDescent="0.3">
      <c r="A6009" s="26">
        <v>45248</v>
      </c>
      <c r="B6009" s="27" t="s">
        <v>125</v>
      </c>
      <c r="C6009" s="27" t="s">
        <v>32</v>
      </c>
      <c r="D6009" s="27" t="s">
        <v>16</v>
      </c>
      <c r="E6009" s="28">
        <v>38025</v>
      </c>
      <c r="F6009" s="28">
        <v>90209</v>
      </c>
      <c r="G6009" s="27" t="s">
        <v>8</v>
      </c>
      <c r="H6009" s="27" t="s">
        <v>1936</v>
      </c>
      <c r="I6009" s="27" t="s">
        <v>13</v>
      </c>
    </row>
    <row r="6010" spans="1:9" x14ac:dyDescent="0.3">
      <c r="A6010" s="26">
        <v>45248</v>
      </c>
      <c r="B6010" s="27" t="s">
        <v>125</v>
      </c>
      <c r="C6010" s="27" t="s">
        <v>32</v>
      </c>
      <c r="D6010" s="27" t="s">
        <v>19</v>
      </c>
      <c r="E6010" s="28">
        <v>104658</v>
      </c>
      <c r="F6010" s="28">
        <v>159900</v>
      </c>
      <c r="G6010" s="27" t="s">
        <v>22</v>
      </c>
      <c r="H6010" s="27" t="s">
        <v>2101</v>
      </c>
      <c r="I6010" s="27" t="s">
        <v>13</v>
      </c>
    </row>
    <row r="6011" spans="1:9" x14ac:dyDescent="0.3">
      <c r="A6011" s="26">
        <v>45248</v>
      </c>
      <c r="B6011" s="27" t="s">
        <v>125</v>
      </c>
      <c r="C6011" s="27" t="s">
        <v>20</v>
      </c>
      <c r="D6011" s="27" t="s">
        <v>16</v>
      </c>
      <c r="E6011" s="28">
        <v>121645</v>
      </c>
      <c r="F6011" s="28">
        <v>124967</v>
      </c>
      <c r="G6011" s="27" t="s">
        <v>8</v>
      </c>
      <c r="H6011" s="27" t="s">
        <v>2491</v>
      </c>
      <c r="I6011" s="27" t="s">
        <v>13</v>
      </c>
    </row>
    <row r="6012" spans="1:9" x14ac:dyDescent="0.3">
      <c r="A6012" s="26">
        <v>45248</v>
      </c>
      <c r="B6012" s="27" t="s">
        <v>125</v>
      </c>
      <c r="C6012" s="27" t="s">
        <v>15</v>
      </c>
      <c r="D6012" s="27" t="s">
        <v>21</v>
      </c>
      <c r="E6012" s="28">
        <v>141179</v>
      </c>
      <c r="F6012" s="28">
        <v>21906</v>
      </c>
      <c r="G6012" s="27" t="s">
        <v>11</v>
      </c>
      <c r="H6012" s="27" t="s">
        <v>2599</v>
      </c>
      <c r="I6012" s="27" t="s">
        <v>13</v>
      </c>
    </row>
    <row r="6013" spans="1:9" x14ac:dyDescent="0.3">
      <c r="A6013" s="26">
        <v>45248</v>
      </c>
      <c r="B6013" s="27" t="s">
        <v>125</v>
      </c>
      <c r="C6013" s="27" t="s">
        <v>10</v>
      </c>
      <c r="D6013" s="27" t="s">
        <v>7</v>
      </c>
      <c r="E6013" s="28">
        <v>122590</v>
      </c>
      <c r="F6013" s="28">
        <v>102980</v>
      </c>
      <c r="G6013" s="27" t="s">
        <v>8</v>
      </c>
      <c r="H6013" s="27" t="s">
        <v>3244</v>
      </c>
      <c r="I6013" s="27" t="s">
        <v>13</v>
      </c>
    </row>
    <row r="6014" spans="1:9" x14ac:dyDescent="0.3">
      <c r="A6014" s="26">
        <v>45248</v>
      </c>
      <c r="B6014" s="27" t="s">
        <v>125</v>
      </c>
      <c r="C6014" s="27" t="s">
        <v>93</v>
      </c>
      <c r="D6014" s="27" t="s">
        <v>16</v>
      </c>
      <c r="E6014" s="28">
        <v>157400</v>
      </c>
      <c r="F6014" s="28">
        <v>155600</v>
      </c>
      <c r="G6014" s="27" t="s">
        <v>11</v>
      </c>
      <c r="H6014" s="27" t="s">
        <v>3469</v>
      </c>
      <c r="I6014" s="27" t="s">
        <v>9</v>
      </c>
    </row>
    <row r="6015" spans="1:9" x14ac:dyDescent="0.3">
      <c r="A6015" s="26">
        <v>45248</v>
      </c>
      <c r="B6015" s="27" t="s">
        <v>125</v>
      </c>
      <c r="C6015" s="27" t="s">
        <v>6</v>
      </c>
      <c r="D6015" s="27" t="s">
        <v>16</v>
      </c>
      <c r="E6015" s="28">
        <v>180400</v>
      </c>
      <c r="F6015" s="28">
        <v>217100</v>
      </c>
      <c r="G6015" s="27" t="s">
        <v>11</v>
      </c>
      <c r="H6015" s="27" t="s">
        <v>3489</v>
      </c>
      <c r="I6015" s="27" t="s">
        <v>9</v>
      </c>
    </row>
    <row r="6016" spans="1:9" x14ac:dyDescent="0.3">
      <c r="A6016" s="26">
        <v>45248</v>
      </c>
      <c r="B6016" s="27" t="s">
        <v>125</v>
      </c>
      <c r="C6016" s="27" t="s">
        <v>93</v>
      </c>
      <c r="D6016" s="27" t="s">
        <v>19</v>
      </c>
      <c r="E6016" s="28">
        <v>128000</v>
      </c>
      <c r="F6016" s="28">
        <v>138200</v>
      </c>
      <c r="G6016" s="27" t="s">
        <v>11</v>
      </c>
      <c r="H6016" s="27" t="s">
        <v>4431</v>
      </c>
      <c r="I6016" s="27" t="s">
        <v>9</v>
      </c>
    </row>
    <row r="6017" spans="1:9" x14ac:dyDescent="0.3">
      <c r="A6017" s="26">
        <v>45248</v>
      </c>
      <c r="B6017" s="27" t="s">
        <v>125</v>
      </c>
      <c r="C6017" s="27" t="s">
        <v>6</v>
      </c>
      <c r="D6017" s="27" t="s">
        <v>7</v>
      </c>
      <c r="E6017" s="28">
        <v>209400</v>
      </c>
      <c r="F6017" s="28">
        <v>184900</v>
      </c>
      <c r="G6017" s="27" t="s">
        <v>11</v>
      </c>
      <c r="H6017" s="27" t="s">
        <v>4795</v>
      </c>
      <c r="I6017" s="27" t="s">
        <v>9</v>
      </c>
    </row>
    <row r="6018" spans="1:9" x14ac:dyDescent="0.3">
      <c r="A6018" s="26">
        <v>45248</v>
      </c>
      <c r="B6018" s="27" t="s">
        <v>125</v>
      </c>
      <c r="C6018" s="27" t="s">
        <v>93</v>
      </c>
      <c r="D6018" s="27" t="s">
        <v>16</v>
      </c>
      <c r="E6018" s="28">
        <v>53600</v>
      </c>
      <c r="F6018" s="28">
        <v>43300</v>
      </c>
      <c r="G6018" s="27" t="s">
        <v>11</v>
      </c>
      <c r="H6018" s="27" t="s">
        <v>5320</v>
      </c>
      <c r="I6018" s="27" t="s">
        <v>9</v>
      </c>
    </row>
    <row r="6019" spans="1:9" x14ac:dyDescent="0.3">
      <c r="A6019" s="26">
        <v>45248</v>
      </c>
      <c r="B6019" s="27" t="s">
        <v>125</v>
      </c>
      <c r="C6019" s="27" t="s">
        <v>6</v>
      </c>
      <c r="D6019" s="27" t="s">
        <v>19</v>
      </c>
      <c r="E6019" s="28">
        <v>69600</v>
      </c>
      <c r="F6019" s="28">
        <v>75600</v>
      </c>
      <c r="G6019" s="27" t="s">
        <v>11</v>
      </c>
      <c r="H6019" s="27" t="s">
        <v>5485</v>
      </c>
      <c r="I6019" s="27" t="s">
        <v>9</v>
      </c>
    </row>
    <row r="6020" spans="1:9" x14ac:dyDescent="0.3">
      <c r="A6020" s="26">
        <v>45248</v>
      </c>
      <c r="B6020" s="27" t="s">
        <v>125</v>
      </c>
      <c r="C6020" s="27" t="s">
        <v>93</v>
      </c>
      <c r="D6020" s="27" t="s">
        <v>16</v>
      </c>
      <c r="E6020" s="28">
        <v>106300</v>
      </c>
      <c r="F6020" s="28">
        <v>89200</v>
      </c>
      <c r="G6020" s="27" t="s">
        <v>22</v>
      </c>
      <c r="H6020" s="27" t="s">
        <v>5876</v>
      </c>
      <c r="I6020" s="27" t="s">
        <v>9</v>
      </c>
    </row>
    <row r="6021" spans="1:9" x14ac:dyDescent="0.3">
      <c r="A6021" s="26">
        <v>45248</v>
      </c>
      <c r="B6021" s="27" t="s">
        <v>125</v>
      </c>
      <c r="C6021" s="27" t="s">
        <v>6</v>
      </c>
      <c r="D6021" s="27" t="s">
        <v>21</v>
      </c>
      <c r="E6021" s="28">
        <v>137300</v>
      </c>
      <c r="F6021" s="28">
        <v>161100</v>
      </c>
      <c r="G6021" s="27" t="s">
        <v>11</v>
      </c>
      <c r="H6021" s="27" t="s">
        <v>5984</v>
      </c>
      <c r="I6021" s="27" t="s">
        <v>9</v>
      </c>
    </row>
    <row r="6022" spans="1:9" x14ac:dyDescent="0.3">
      <c r="A6022" s="26">
        <v>45248</v>
      </c>
      <c r="B6022" s="27" t="s">
        <v>125</v>
      </c>
      <c r="C6022" s="27" t="s">
        <v>6</v>
      </c>
      <c r="D6022" s="27" t="s">
        <v>7</v>
      </c>
      <c r="E6022" s="28">
        <v>146800</v>
      </c>
      <c r="F6022" s="28">
        <v>154500</v>
      </c>
      <c r="G6022" s="27" t="s">
        <v>17</v>
      </c>
      <c r="H6022" s="27" t="s">
        <v>6629</v>
      </c>
      <c r="I6022" s="27" t="s">
        <v>9</v>
      </c>
    </row>
    <row r="6023" spans="1:9" x14ac:dyDescent="0.3">
      <c r="A6023" s="26">
        <v>45249</v>
      </c>
      <c r="B6023" s="27" t="s">
        <v>125</v>
      </c>
      <c r="C6023" s="27" t="s">
        <v>15</v>
      </c>
      <c r="D6023" s="27" t="s">
        <v>24</v>
      </c>
      <c r="E6023" s="28">
        <v>35497</v>
      </c>
      <c r="F6023" s="28">
        <v>92028</v>
      </c>
      <c r="G6023" s="27" t="s">
        <v>17</v>
      </c>
      <c r="H6023" s="27" t="s">
        <v>372</v>
      </c>
      <c r="I6023" s="27" t="s">
        <v>13</v>
      </c>
    </row>
    <row r="6024" spans="1:9" x14ac:dyDescent="0.3">
      <c r="A6024" s="26">
        <v>45249</v>
      </c>
      <c r="B6024" s="27" t="s">
        <v>125</v>
      </c>
      <c r="C6024" s="27" t="s">
        <v>32</v>
      </c>
      <c r="D6024" s="27" t="s">
        <v>21</v>
      </c>
      <c r="E6024" s="28">
        <v>38696</v>
      </c>
      <c r="F6024" s="28">
        <v>151773</v>
      </c>
      <c r="G6024" s="27" t="s">
        <v>17</v>
      </c>
      <c r="H6024" s="27" t="s">
        <v>1154</v>
      </c>
      <c r="I6024" s="27" t="s">
        <v>13</v>
      </c>
    </row>
    <row r="6025" spans="1:9" x14ac:dyDescent="0.3">
      <c r="A6025" s="26">
        <v>45249</v>
      </c>
      <c r="B6025" s="27" t="s">
        <v>125</v>
      </c>
      <c r="C6025" s="27" t="s">
        <v>18</v>
      </c>
      <c r="D6025" s="27" t="s">
        <v>24</v>
      </c>
      <c r="E6025" s="28">
        <v>130938</v>
      </c>
      <c r="F6025" s="28">
        <v>117963</v>
      </c>
      <c r="G6025" s="27" t="s">
        <v>17</v>
      </c>
      <c r="H6025" s="27" t="s">
        <v>1322</v>
      </c>
      <c r="I6025" s="27" t="s">
        <v>13</v>
      </c>
    </row>
    <row r="6026" spans="1:9" x14ac:dyDescent="0.3">
      <c r="A6026" s="26">
        <v>45249</v>
      </c>
      <c r="B6026" s="27" t="s">
        <v>125</v>
      </c>
      <c r="C6026" s="27" t="s">
        <v>10</v>
      </c>
      <c r="D6026" s="27" t="s">
        <v>19</v>
      </c>
      <c r="E6026" s="28">
        <v>149600</v>
      </c>
      <c r="F6026" s="28">
        <v>95659</v>
      </c>
      <c r="G6026" s="27" t="s">
        <v>11</v>
      </c>
      <c r="H6026" s="27" t="s">
        <v>2116</v>
      </c>
      <c r="I6026" s="27" t="s">
        <v>13</v>
      </c>
    </row>
    <row r="6027" spans="1:9" x14ac:dyDescent="0.3">
      <c r="A6027" s="26">
        <v>45249</v>
      </c>
      <c r="B6027" s="27" t="s">
        <v>125</v>
      </c>
      <c r="C6027" s="27" t="s">
        <v>10</v>
      </c>
      <c r="D6027" s="27" t="s">
        <v>19</v>
      </c>
      <c r="E6027" s="28">
        <v>52411</v>
      </c>
      <c r="F6027" s="28">
        <v>132257</v>
      </c>
      <c r="G6027" s="27" t="s">
        <v>17</v>
      </c>
      <c r="H6027" s="27" t="s">
        <v>2129</v>
      </c>
      <c r="I6027" s="27" t="s">
        <v>13</v>
      </c>
    </row>
    <row r="6028" spans="1:9" x14ac:dyDescent="0.3">
      <c r="A6028" s="26">
        <v>45249</v>
      </c>
      <c r="B6028" s="27" t="s">
        <v>125</v>
      </c>
      <c r="C6028" s="27" t="s">
        <v>32</v>
      </c>
      <c r="D6028" s="27" t="s">
        <v>7</v>
      </c>
      <c r="E6028" s="28">
        <v>75829</v>
      </c>
      <c r="F6028" s="28">
        <v>135931</v>
      </c>
      <c r="G6028" s="27" t="s">
        <v>11</v>
      </c>
      <c r="H6028" s="27" t="s">
        <v>2799</v>
      </c>
      <c r="I6028" s="27" t="s">
        <v>13</v>
      </c>
    </row>
    <row r="6029" spans="1:9" x14ac:dyDescent="0.3">
      <c r="A6029" s="26">
        <v>45249</v>
      </c>
      <c r="B6029" s="27" t="s">
        <v>125</v>
      </c>
      <c r="C6029" s="27" t="s">
        <v>32</v>
      </c>
      <c r="D6029" s="27" t="s">
        <v>16</v>
      </c>
      <c r="E6029" s="28">
        <v>50396</v>
      </c>
      <c r="F6029" s="28">
        <v>143046</v>
      </c>
      <c r="G6029" s="27" t="s">
        <v>22</v>
      </c>
      <c r="H6029" s="27" t="s">
        <v>3029</v>
      </c>
      <c r="I6029" s="27" t="s">
        <v>13</v>
      </c>
    </row>
    <row r="6030" spans="1:9" x14ac:dyDescent="0.3">
      <c r="A6030" s="26">
        <v>45249</v>
      </c>
      <c r="B6030" s="27" t="s">
        <v>125</v>
      </c>
      <c r="C6030" s="27" t="s">
        <v>20</v>
      </c>
      <c r="D6030" s="27" t="s">
        <v>19</v>
      </c>
      <c r="E6030" s="28">
        <v>131493</v>
      </c>
      <c r="F6030" s="28">
        <v>123930</v>
      </c>
      <c r="G6030" s="27" t="s">
        <v>17</v>
      </c>
      <c r="H6030" s="27" t="s">
        <v>3147</v>
      </c>
      <c r="I6030" s="27" t="s">
        <v>13</v>
      </c>
    </row>
    <row r="6031" spans="1:9" x14ac:dyDescent="0.3">
      <c r="A6031" s="26">
        <v>45249</v>
      </c>
      <c r="B6031" s="27" t="s">
        <v>125</v>
      </c>
      <c r="C6031" s="27" t="s">
        <v>6</v>
      </c>
      <c r="D6031" s="27" t="s">
        <v>24</v>
      </c>
      <c r="E6031" s="28">
        <v>105700</v>
      </c>
      <c r="F6031" s="28">
        <v>106700</v>
      </c>
      <c r="G6031" s="27" t="s">
        <v>11</v>
      </c>
      <c r="H6031" s="27" t="s">
        <v>3753</v>
      </c>
      <c r="I6031" s="27" t="s">
        <v>9</v>
      </c>
    </row>
    <row r="6032" spans="1:9" x14ac:dyDescent="0.3">
      <c r="A6032" s="26">
        <v>45249</v>
      </c>
      <c r="B6032" s="27" t="s">
        <v>125</v>
      </c>
      <c r="C6032" s="27" t="s">
        <v>93</v>
      </c>
      <c r="D6032" s="27" t="s">
        <v>21</v>
      </c>
      <c r="E6032" s="28">
        <v>240500</v>
      </c>
      <c r="F6032" s="28">
        <v>228200</v>
      </c>
      <c r="G6032" s="27" t="s">
        <v>22</v>
      </c>
      <c r="H6032" s="27" t="s">
        <v>4537</v>
      </c>
      <c r="I6032" s="27" t="s">
        <v>9</v>
      </c>
    </row>
    <row r="6033" spans="1:9" x14ac:dyDescent="0.3">
      <c r="A6033" s="26">
        <v>45249</v>
      </c>
      <c r="B6033" s="27" t="s">
        <v>125</v>
      </c>
      <c r="C6033" s="27" t="s">
        <v>6</v>
      </c>
      <c r="D6033" s="27" t="s">
        <v>24</v>
      </c>
      <c r="E6033" s="28">
        <v>114700</v>
      </c>
      <c r="F6033" s="28">
        <v>122900</v>
      </c>
      <c r="G6033" s="27" t="s">
        <v>22</v>
      </c>
      <c r="H6033" s="27" t="s">
        <v>4705</v>
      </c>
      <c r="I6033" s="27" t="s">
        <v>9</v>
      </c>
    </row>
    <row r="6034" spans="1:9" x14ac:dyDescent="0.3">
      <c r="A6034" s="26">
        <v>45249</v>
      </c>
      <c r="B6034" s="27" t="s">
        <v>125</v>
      </c>
      <c r="C6034" s="27" t="s">
        <v>6</v>
      </c>
      <c r="D6034" s="27" t="s">
        <v>19</v>
      </c>
      <c r="E6034" s="28">
        <v>116800</v>
      </c>
      <c r="F6034" s="28">
        <v>117500</v>
      </c>
      <c r="G6034" s="27" t="s">
        <v>11</v>
      </c>
      <c r="H6034" s="27" t="s">
        <v>5500</v>
      </c>
      <c r="I6034" s="27" t="s">
        <v>9</v>
      </c>
    </row>
    <row r="6035" spans="1:9" x14ac:dyDescent="0.3">
      <c r="A6035" s="26">
        <v>45249</v>
      </c>
      <c r="B6035" s="27" t="s">
        <v>125</v>
      </c>
      <c r="C6035" s="27" t="s">
        <v>6</v>
      </c>
      <c r="D6035" s="27" t="s">
        <v>19</v>
      </c>
      <c r="E6035" s="28">
        <v>206800</v>
      </c>
      <c r="F6035" s="28">
        <v>191400</v>
      </c>
      <c r="G6035" s="27" t="s">
        <v>22</v>
      </c>
      <c r="H6035" s="27" t="s">
        <v>5513</v>
      </c>
      <c r="I6035" s="27" t="s">
        <v>9</v>
      </c>
    </row>
    <row r="6036" spans="1:9" x14ac:dyDescent="0.3">
      <c r="A6036" s="26">
        <v>45249</v>
      </c>
      <c r="B6036" s="27" t="s">
        <v>125</v>
      </c>
      <c r="C6036" s="27" t="s">
        <v>93</v>
      </c>
      <c r="D6036" s="27" t="s">
        <v>7</v>
      </c>
      <c r="E6036" s="28">
        <v>122300</v>
      </c>
      <c r="F6036" s="28">
        <v>151700</v>
      </c>
      <c r="G6036" s="27" t="s">
        <v>11</v>
      </c>
      <c r="H6036" s="27" t="s">
        <v>6184</v>
      </c>
      <c r="I6036" s="27" t="s">
        <v>9</v>
      </c>
    </row>
    <row r="6037" spans="1:9" x14ac:dyDescent="0.3">
      <c r="A6037" s="26">
        <v>45249</v>
      </c>
      <c r="B6037" s="27" t="s">
        <v>125</v>
      </c>
      <c r="C6037" s="27" t="s">
        <v>93</v>
      </c>
      <c r="D6037" s="27" t="s">
        <v>16</v>
      </c>
      <c r="E6037" s="28">
        <v>61100</v>
      </c>
      <c r="F6037" s="28">
        <v>51700</v>
      </c>
      <c r="G6037" s="27" t="s">
        <v>11</v>
      </c>
      <c r="H6037" s="27" t="s">
        <v>6414</v>
      </c>
      <c r="I6037" s="27" t="s">
        <v>9</v>
      </c>
    </row>
    <row r="6038" spans="1:9" x14ac:dyDescent="0.3">
      <c r="A6038" s="26">
        <v>45249</v>
      </c>
      <c r="B6038" s="27" t="s">
        <v>125</v>
      </c>
      <c r="C6038" s="27" t="s">
        <v>93</v>
      </c>
      <c r="D6038" s="27" t="s">
        <v>19</v>
      </c>
      <c r="E6038" s="28">
        <v>207700</v>
      </c>
      <c r="F6038" s="28">
        <v>234800</v>
      </c>
      <c r="G6038" s="27" t="s">
        <v>11</v>
      </c>
      <c r="H6038" s="27" t="s">
        <v>6532</v>
      </c>
      <c r="I6038" s="27" t="s">
        <v>9</v>
      </c>
    </row>
    <row r="6039" spans="1:9" x14ac:dyDescent="0.3">
      <c r="A6039" s="26">
        <v>45250</v>
      </c>
      <c r="B6039" s="27" t="s">
        <v>125</v>
      </c>
      <c r="C6039" s="27" t="s">
        <v>10</v>
      </c>
      <c r="D6039" s="27" t="s">
        <v>24</v>
      </c>
      <c r="E6039" s="28">
        <v>90919</v>
      </c>
      <c r="F6039" s="28">
        <v>54477</v>
      </c>
      <c r="G6039" s="27" t="s">
        <v>11</v>
      </c>
      <c r="H6039" s="27" t="s">
        <v>771</v>
      </c>
      <c r="I6039" s="27" t="s">
        <v>13</v>
      </c>
    </row>
    <row r="6040" spans="1:9" x14ac:dyDescent="0.3">
      <c r="A6040" s="26">
        <v>45250</v>
      </c>
      <c r="B6040" s="27" t="s">
        <v>125</v>
      </c>
      <c r="C6040" s="27" t="s">
        <v>18</v>
      </c>
      <c r="D6040" s="27" t="s">
        <v>24</v>
      </c>
      <c r="E6040" s="28">
        <v>83080</v>
      </c>
      <c r="F6040" s="28">
        <v>33413</v>
      </c>
      <c r="G6040" s="27" t="s">
        <v>22</v>
      </c>
      <c r="H6040" s="27" t="s">
        <v>942</v>
      </c>
      <c r="I6040" s="27" t="s">
        <v>13</v>
      </c>
    </row>
    <row r="6041" spans="1:9" x14ac:dyDescent="0.3">
      <c r="A6041" s="26">
        <v>45250</v>
      </c>
      <c r="B6041" s="27" t="s">
        <v>125</v>
      </c>
      <c r="C6041" s="27" t="s">
        <v>18</v>
      </c>
      <c r="D6041" s="27" t="s">
        <v>21</v>
      </c>
      <c r="E6041" s="28">
        <v>126775</v>
      </c>
      <c r="F6041" s="28">
        <v>91468</v>
      </c>
      <c r="G6041" s="27" t="s">
        <v>17</v>
      </c>
      <c r="H6041" s="27" t="s">
        <v>1017</v>
      </c>
      <c r="I6041" s="27" t="s">
        <v>13</v>
      </c>
    </row>
    <row r="6042" spans="1:9" x14ac:dyDescent="0.3">
      <c r="A6042" s="26">
        <v>45250</v>
      </c>
      <c r="B6042" s="27" t="s">
        <v>125</v>
      </c>
      <c r="C6042" s="27" t="s">
        <v>10</v>
      </c>
      <c r="D6042" s="27" t="s">
        <v>19</v>
      </c>
      <c r="E6042" s="28">
        <v>132098</v>
      </c>
      <c r="F6042" s="28">
        <v>28823</v>
      </c>
      <c r="G6042" s="27" t="s">
        <v>8</v>
      </c>
      <c r="H6042" s="27" t="s">
        <v>1537</v>
      </c>
      <c r="I6042" s="27" t="s">
        <v>13</v>
      </c>
    </row>
    <row r="6043" spans="1:9" x14ac:dyDescent="0.3">
      <c r="A6043" s="26">
        <v>45250</v>
      </c>
      <c r="B6043" s="27" t="s">
        <v>125</v>
      </c>
      <c r="C6043" s="27" t="s">
        <v>15</v>
      </c>
      <c r="D6043" s="27" t="s">
        <v>21</v>
      </c>
      <c r="E6043" s="28">
        <v>76346</v>
      </c>
      <c r="F6043" s="28">
        <v>77249</v>
      </c>
      <c r="G6043" s="27" t="s">
        <v>22</v>
      </c>
      <c r="H6043" s="27" t="s">
        <v>1967</v>
      </c>
      <c r="I6043" s="27" t="s">
        <v>13</v>
      </c>
    </row>
    <row r="6044" spans="1:9" x14ac:dyDescent="0.3">
      <c r="A6044" s="26">
        <v>45250</v>
      </c>
      <c r="B6044" s="27" t="s">
        <v>125</v>
      </c>
      <c r="C6044" s="27" t="s">
        <v>10</v>
      </c>
      <c r="D6044" s="27" t="s">
        <v>21</v>
      </c>
      <c r="E6044" s="28">
        <v>104776</v>
      </c>
      <c r="F6044" s="28">
        <v>55931</v>
      </c>
      <c r="G6044" s="27" t="s">
        <v>17</v>
      </c>
      <c r="H6044" s="27" t="s">
        <v>3143</v>
      </c>
      <c r="I6044" s="27" t="s">
        <v>13</v>
      </c>
    </row>
    <row r="6045" spans="1:9" x14ac:dyDescent="0.3">
      <c r="A6045" s="26">
        <v>45250</v>
      </c>
      <c r="B6045" s="27" t="s">
        <v>125</v>
      </c>
      <c r="C6045" s="27" t="s">
        <v>93</v>
      </c>
      <c r="D6045" s="27" t="s">
        <v>24</v>
      </c>
      <c r="E6045" s="28">
        <v>71600</v>
      </c>
      <c r="F6045" s="28">
        <v>73300</v>
      </c>
      <c r="G6045" s="27" t="s">
        <v>17</v>
      </c>
      <c r="H6045" s="27" t="s">
        <v>4152</v>
      </c>
      <c r="I6045" s="27" t="s">
        <v>9</v>
      </c>
    </row>
    <row r="6046" spans="1:9" x14ac:dyDescent="0.3">
      <c r="A6046" s="26">
        <v>45250</v>
      </c>
      <c r="B6046" s="27" t="s">
        <v>125</v>
      </c>
      <c r="C6046" s="27" t="s">
        <v>6</v>
      </c>
      <c r="D6046" s="27" t="s">
        <v>24</v>
      </c>
      <c r="E6046" s="28">
        <v>67700</v>
      </c>
      <c r="F6046" s="28">
        <v>65000</v>
      </c>
      <c r="G6046" s="27" t="s">
        <v>17</v>
      </c>
      <c r="H6046" s="27" t="s">
        <v>4323</v>
      </c>
      <c r="I6046" s="27" t="s">
        <v>9</v>
      </c>
    </row>
    <row r="6047" spans="1:9" x14ac:dyDescent="0.3">
      <c r="A6047" s="26">
        <v>45250</v>
      </c>
      <c r="B6047" s="27" t="s">
        <v>125</v>
      </c>
      <c r="C6047" s="27" t="s">
        <v>6</v>
      </c>
      <c r="D6047" s="27" t="s">
        <v>21</v>
      </c>
      <c r="E6047" s="28">
        <v>195700</v>
      </c>
      <c r="F6047" s="28">
        <v>204000</v>
      </c>
      <c r="G6047" s="27" t="s">
        <v>22</v>
      </c>
      <c r="H6047" s="27" t="s">
        <v>4399</v>
      </c>
      <c r="I6047" s="27" t="s">
        <v>9</v>
      </c>
    </row>
    <row r="6048" spans="1:9" x14ac:dyDescent="0.3">
      <c r="A6048" s="26">
        <v>45250</v>
      </c>
      <c r="B6048" s="27" t="s">
        <v>125</v>
      </c>
      <c r="C6048" s="27" t="s">
        <v>6</v>
      </c>
      <c r="D6048" s="27" t="s">
        <v>19</v>
      </c>
      <c r="E6048" s="28">
        <v>97100</v>
      </c>
      <c r="F6048" s="28">
        <v>104900</v>
      </c>
      <c r="G6048" s="27" t="s">
        <v>11</v>
      </c>
      <c r="H6048" s="27" t="s">
        <v>4920</v>
      </c>
      <c r="I6048" s="27" t="s">
        <v>9</v>
      </c>
    </row>
    <row r="6049" spans="1:9" x14ac:dyDescent="0.3">
      <c r="A6049" s="26">
        <v>45250</v>
      </c>
      <c r="B6049" s="27" t="s">
        <v>125</v>
      </c>
      <c r="C6049" s="27" t="s">
        <v>93</v>
      </c>
      <c r="D6049" s="27" t="s">
        <v>21</v>
      </c>
      <c r="E6049" s="28">
        <v>91700</v>
      </c>
      <c r="F6049" s="28">
        <v>91400</v>
      </c>
      <c r="G6049" s="27" t="s">
        <v>11</v>
      </c>
      <c r="H6049" s="27" t="s">
        <v>5351</v>
      </c>
      <c r="I6049" s="27" t="s">
        <v>9</v>
      </c>
    </row>
    <row r="6050" spans="1:9" x14ac:dyDescent="0.3">
      <c r="A6050" s="26">
        <v>45250</v>
      </c>
      <c r="B6050" s="27" t="s">
        <v>125</v>
      </c>
      <c r="C6050" s="27" t="s">
        <v>93</v>
      </c>
      <c r="D6050" s="27" t="s">
        <v>21</v>
      </c>
      <c r="E6050" s="28">
        <v>171900</v>
      </c>
      <c r="F6050" s="28">
        <v>132900</v>
      </c>
      <c r="G6050" s="27" t="s">
        <v>22</v>
      </c>
      <c r="H6050" s="27" t="s">
        <v>6528</v>
      </c>
      <c r="I6050" s="27" t="s">
        <v>9</v>
      </c>
    </row>
    <row r="6051" spans="1:9" x14ac:dyDescent="0.3">
      <c r="A6051" s="26">
        <v>45251</v>
      </c>
      <c r="B6051" s="27" t="s">
        <v>125</v>
      </c>
      <c r="C6051" s="27" t="s">
        <v>20</v>
      </c>
      <c r="D6051" s="27" t="s">
        <v>24</v>
      </c>
      <c r="E6051" s="28">
        <v>111922</v>
      </c>
      <c r="F6051" s="28">
        <v>166082</v>
      </c>
      <c r="G6051" s="27" t="s">
        <v>17</v>
      </c>
      <c r="H6051" s="27" t="s">
        <v>509</v>
      </c>
      <c r="I6051" s="27" t="s">
        <v>13</v>
      </c>
    </row>
    <row r="6052" spans="1:9" x14ac:dyDescent="0.3">
      <c r="A6052" s="26">
        <v>45251</v>
      </c>
      <c r="B6052" s="27" t="s">
        <v>125</v>
      </c>
      <c r="C6052" s="27" t="s">
        <v>15</v>
      </c>
      <c r="D6052" s="27" t="s">
        <v>7</v>
      </c>
      <c r="E6052" s="28">
        <v>78160</v>
      </c>
      <c r="F6052" s="28">
        <v>49072</v>
      </c>
      <c r="G6052" s="27" t="s">
        <v>22</v>
      </c>
      <c r="H6052" s="27" t="s">
        <v>954</v>
      </c>
      <c r="I6052" s="27" t="s">
        <v>13</v>
      </c>
    </row>
    <row r="6053" spans="1:9" x14ac:dyDescent="0.3">
      <c r="A6053" s="26">
        <v>45251</v>
      </c>
      <c r="B6053" s="27" t="s">
        <v>125</v>
      </c>
      <c r="C6053" s="27" t="s">
        <v>10</v>
      </c>
      <c r="D6053" s="27" t="s">
        <v>16</v>
      </c>
      <c r="E6053" s="28">
        <v>145899</v>
      </c>
      <c r="F6053" s="28">
        <v>26137</v>
      </c>
      <c r="G6053" s="27" t="s">
        <v>11</v>
      </c>
      <c r="H6053" s="27" t="s">
        <v>1615</v>
      </c>
      <c r="I6053" s="27" t="s">
        <v>13</v>
      </c>
    </row>
    <row r="6054" spans="1:9" x14ac:dyDescent="0.3">
      <c r="A6054" s="26">
        <v>45251</v>
      </c>
      <c r="B6054" s="27" t="s">
        <v>125</v>
      </c>
      <c r="C6054" s="27" t="s">
        <v>18</v>
      </c>
      <c r="D6054" s="27" t="s">
        <v>21</v>
      </c>
      <c r="E6054" s="28">
        <v>140895</v>
      </c>
      <c r="F6054" s="28">
        <v>86080</v>
      </c>
      <c r="G6054" s="27" t="s">
        <v>11</v>
      </c>
      <c r="H6054" s="27" t="s">
        <v>2359</v>
      </c>
      <c r="I6054" s="27" t="s">
        <v>13</v>
      </c>
    </row>
    <row r="6055" spans="1:9" x14ac:dyDescent="0.3">
      <c r="A6055" s="26">
        <v>45251</v>
      </c>
      <c r="B6055" s="27" t="s">
        <v>125</v>
      </c>
      <c r="C6055" s="27" t="s">
        <v>14</v>
      </c>
      <c r="D6055" s="27" t="s">
        <v>21</v>
      </c>
      <c r="E6055" s="28">
        <v>102729</v>
      </c>
      <c r="F6055" s="28">
        <v>87754</v>
      </c>
      <c r="G6055" s="27" t="s">
        <v>11</v>
      </c>
      <c r="H6055" s="27" t="s">
        <v>2532</v>
      </c>
      <c r="I6055" s="27" t="s">
        <v>13</v>
      </c>
    </row>
    <row r="6056" spans="1:9" x14ac:dyDescent="0.3">
      <c r="A6056" s="26">
        <v>45251</v>
      </c>
      <c r="B6056" s="27" t="s">
        <v>125</v>
      </c>
      <c r="C6056" s="27" t="s">
        <v>15</v>
      </c>
      <c r="D6056" s="27" t="s">
        <v>7</v>
      </c>
      <c r="E6056" s="28">
        <v>104380</v>
      </c>
      <c r="F6056" s="28">
        <v>17362</v>
      </c>
      <c r="G6056" s="27" t="s">
        <v>11</v>
      </c>
      <c r="H6056" s="27" t="s">
        <v>2607</v>
      </c>
      <c r="I6056" s="27" t="s">
        <v>13</v>
      </c>
    </row>
    <row r="6057" spans="1:9" x14ac:dyDescent="0.3">
      <c r="A6057" s="26">
        <v>45251</v>
      </c>
      <c r="B6057" s="27" t="s">
        <v>125</v>
      </c>
      <c r="C6057" s="27" t="s">
        <v>32</v>
      </c>
      <c r="D6057" s="27" t="s">
        <v>19</v>
      </c>
      <c r="E6057" s="28">
        <v>11434</v>
      </c>
      <c r="F6057" s="28">
        <v>133099</v>
      </c>
      <c r="G6057" s="27" t="s">
        <v>17</v>
      </c>
      <c r="H6057" s="27" t="s">
        <v>2741</v>
      </c>
      <c r="I6057" s="27" t="s">
        <v>13</v>
      </c>
    </row>
    <row r="6058" spans="1:9" x14ac:dyDescent="0.3">
      <c r="A6058" s="26">
        <v>45251</v>
      </c>
      <c r="B6058" s="27" t="s">
        <v>125</v>
      </c>
      <c r="C6058" s="27" t="s">
        <v>14</v>
      </c>
      <c r="D6058" s="27" t="s">
        <v>24</v>
      </c>
      <c r="E6058" s="28">
        <v>98992</v>
      </c>
      <c r="F6058" s="28">
        <v>144153</v>
      </c>
      <c r="G6058" s="27" t="s">
        <v>11</v>
      </c>
      <c r="H6058" s="27" t="s">
        <v>2779</v>
      </c>
      <c r="I6058" s="27" t="s">
        <v>13</v>
      </c>
    </row>
    <row r="6059" spans="1:9" x14ac:dyDescent="0.3">
      <c r="A6059" s="26">
        <v>45251</v>
      </c>
      <c r="B6059" s="27" t="s">
        <v>125</v>
      </c>
      <c r="C6059" s="27" t="s">
        <v>18</v>
      </c>
      <c r="D6059" s="27" t="s">
        <v>16</v>
      </c>
      <c r="E6059" s="28">
        <v>24464</v>
      </c>
      <c r="F6059" s="28">
        <v>121552</v>
      </c>
      <c r="G6059" s="27" t="s">
        <v>22</v>
      </c>
      <c r="H6059" s="27" t="s">
        <v>3048</v>
      </c>
      <c r="I6059" s="27" t="s">
        <v>13</v>
      </c>
    </row>
    <row r="6060" spans="1:9" x14ac:dyDescent="0.3">
      <c r="A6060" s="26">
        <v>45251</v>
      </c>
      <c r="B6060" s="27" t="s">
        <v>125</v>
      </c>
      <c r="C6060" s="27" t="s">
        <v>93</v>
      </c>
      <c r="D6060" s="27" t="s">
        <v>24</v>
      </c>
      <c r="E6060" s="28">
        <v>116300</v>
      </c>
      <c r="F6060" s="28">
        <v>106900</v>
      </c>
      <c r="G6060" s="27" t="s">
        <v>22</v>
      </c>
      <c r="H6060" s="27" t="s">
        <v>3890</v>
      </c>
      <c r="I6060" s="27" t="s">
        <v>9</v>
      </c>
    </row>
    <row r="6061" spans="1:9" x14ac:dyDescent="0.3">
      <c r="A6061" s="26">
        <v>45251</v>
      </c>
      <c r="B6061" s="27" t="s">
        <v>125</v>
      </c>
      <c r="C6061" s="27" t="s">
        <v>6</v>
      </c>
      <c r="D6061" s="27" t="s">
        <v>7</v>
      </c>
      <c r="E6061" s="28">
        <v>126700</v>
      </c>
      <c r="F6061" s="28">
        <v>134000</v>
      </c>
      <c r="G6061" s="27" t="s">
        <v>17</v>
      </c>
      <c r="H6061" s="27" t="s">
        <v>4335</v>
      </c>
      <c r="I6061" s="27" t="s">
        <v>9</v>
      </c>
    </row>
    <row r="6062" spans="1:9" x14ac:dyDescent="0.3">
      <c r="A6062" s="26">
        <v>45251</v>
      </c>
      <c r="B6062" s="27" t="s">
        <v>125</v>
      </c>
      <c r="C6062" s="27" t="s">
        <v>93</v>
      </c>
      <c r="D6062" s="27" t="s">
        <v>16</v>
      </c>
      <c r="E6062" s="28">
        <v>71400</v>
      </c>
      <c r="F6062" s="28">
        <v>58900</v>
      </c>
      <c r="G6062" s="27" t="s">
        <v>11</v>
      </c>
      <c r="H6062" s="27" t="s">
        <v>4998</v>
      </c>
      <c r="I6062" s="27" t="s">
        <v>9</v>
      </c>
    </row>
    <row r="6063" spans="1:9" x14ac:dyDescent="0.3">
      <c r="A6063" s="26">
        <v>45251</v>
      </c>
      <c r="B6063" s="27" t="s">
        <v>125</v>
      </c>
      <c r="C6063" s="27" t="s">
        <v>6</v>
      </c>
      <c r="D6063" s="27" t="s">
        <v>21</v>
      </c>
      <c r="E6063" s="28">
        <v>142700</v>
      </c>
      <c r="F6063" s="28">
        <v>197700</v>
      </c>
      <c r="G6063" s="27" t="s">
        <v>22</v>
      </c>
      <c r="H6063" s="27" t="s">
        <v>5744</v>
      </c>
      <c r="I6063" s="27" t="s">
        <v>9</v>
      </c>
    </row>
    <row r="6064" spans="1:9" x14ac:dyDescent="0.3">
      <c r="A6064" s="26">
        <v>45251</v>
      </c>
      <c r="B6064" s="27" t="s">
        <v>125</v>
      </c>
      <c r="C6064" s="27" t="s">
        <v>6</v>
      </c>
      <c r="D6064" s="27" t="s">
        <v>21</v>
      </c>
      <c r="E6064" s="28">
        <v>90300</v>
      </c>
      <c r="F6064" s="28">
        <v>97700</v>
      </c>
      <c r="G6064" s="27" t="s">
        <v>11</v>
      </c>
      <c r="H6064" s="27" t="s">
        <v>5917</v>
      </c>
      <c r="I6064" s="27" t="s">
        <v>9</v>
      </c>
    </row>
    <row r="6065" spans="1:9" x14ac:dyDescent="0.3">
      <c r="A6065" s="26">
        <v>45251</v>
      </c>
      <c r="B6065" s="27" t="s">
        <v>125</v>
      </c>
      <c r="C6065" s="27" t="s">
        <v>93</v>
      </c>
      <c r="D6065" s="27" t="s">
        <v>7</v>
      </c>
      <c r="E6065" s="28">
        <v>183200</v>
      </c>
      <c r="F6065" s="28">
        <v>173100</v>
      </c>
      <c r="G6065" s="27" t="s">
        <v>11</v>
      </c>
      <c r="H6065" s="27" t="s">
        <v>5992</v>
      </c>
      <c r="I6065" s="27" t="s">
        <v>9</v>
      </c>
    </row>
    <row r="6066" spans="1:9" x14ac:dyDescent="0.3">
      <c r="A6066" s="26">
        <v>45251</v>
      </c>
      <c r="B6066" s="27" t="s">
        <v>125</v>
      </c>
      <c r="C6066" s="27" t="s">
        <v>93</v>
      </c>
      <c r="D6066" s="27" t="s">
        <v>19</v>
      </c>
      <c r="E6066" s="28">
        <v>133200</v>
      </c>
      <c r="F6066" s="28">
        <v>138500</v>
      </c>
      <c r="G6066" s="27" t="s">
        <v>11</v>
      </c>
      <c r="H6066" s="27" t="s">
        <v>6126</v>
      </c>
      <c r="I6066" s="27" t="s">
        <v>9</v>
      </c>
    </row>
    <row r="6067" spans="1:9" x14ac:dyDescent="0.3">
      <c r="A6067" s="26">
        <v>45251</v>
      </c>
      <c r="B6067" s="27" t="s">
        <v>125</v>
      </c>
      <c r="C6067" s="27" t="s">
        <v>93</v>
      </c>
      <c r="D6067" s="27" t="s">
        <v>24</v>
      </c>
      <c r="E6067" s="28">
        <v>94400</v>
      </c>
      <c r="F6067" s="28">
        <v>80700</v>
      </c>
      <c r="G6067" s="27" t="s">
        <v>22</v>
      </c>
      <c r="H6067" s="27" t="s">
        <v>6164</v>
      </c>
      <c r="I6067" s="27" t="s">
        <v>9</v>
      </c>
    </row>
    <row r="6068" spans="1:9" x14ac:dyDescent="0.3">
      <c r="A6068" s="26">
        <v>45251</v>
      </c>
      <c r="B6068" s="27" t="s">
        <v>125</v>
      </c>
      <c r="C6068" s="27" t="s">
        <v>6</v>
      </c>
      <c r="D6068" s="27" t="s">
        <v>16</v>
      </c>
      <c r="E6068" s="28">
        <v>163400</v>
      </c>
      <c r="F6068" s="28">
        <v>177700</v>
      </c>
      <c r="G6068" s="27" t="s">
        <v>11</v>
      </c>
      <c r="H6068" s="27" t="s">
        <v>6433</v>
      </c>
      <c r="I6068" s="27" t="s">
        <v>9</v>
      </c>
    </row>
    <row r="6069" spans="1:9" x14ac:dyDescent="0.3">
      <c r="A6069" s="26">
        <v>45252</v>
      </c>
      <c r="B6069" s="27" t="s">
        <v>125</v>
      </c>
      <c r="C6069" s="27" t="s">
        <v>15</v>
      </c>
      <c r="D6069" s="27" t="s">
        <v>21</v>
      </c>
      <c r="E6069" s="28">
        <v>116578</v>
      </c>
      <c r="F6069" s="28">
        <v>10377</v>
      </c>
      <c r="G6069" s="27" t="s">
        <v>8</v>
      </c>
      <c r="H6069" s="27" t="s">
        <v>1360</v>
      </c>
      <c r="I6069" s="27" t="s">
        <v>13</v>
      </c>
    </row>
    <row r="6070" spans="1:9" x14ac:dyDescent="0.3">
      <c r="A6070" s="26">
        <v>45252</v>
      </c>
      <c r="B6070" s="27" t="s">
        <v>125</v>
      </c>
      <c r="C6070" s="27" t="s">
        <v>32</v>
      </c>
      <c r="D6070" s="27" t="s">
        <v>19</v>
      </c>
      <c r="E6070" s="28">
        <v>77326</v>
      </c>
      <c r="F6070" s="28">
        <v>109901</v>
      </c>
      <c r="G6070" s="27" t="s">
        <v>8</v>
      </c>
      <c r="H6070" s="27" t="s">
        <v>2128</v>
      </c>
      <c r="I6070" s="27" t="s">
        <v>13</v>
      </c>
    </row>
    <row r="6071" spans="1:9" x14ac:dyDescent="0.3">
      <c r="A6071" s="26">
        <v>45252</v>
      </c>
      <c r="B6071" s="27" t="s">
        <v>125</v>
      </c>
      <c r="C6071" s="27" t="s">
        <v>14</v>
      </c>
      <c r="D6071" s="27" t="s">
        <v>24</v>
      </c>
      <c r="E6071" s="28">
        <v>136934</v>
      </c>
      <c r="F6071" s="28">
        <v>163899</v>
      </c>
      <c r="G6071" s="27" t="s">
        <v>22</v>
      </c>
      <c r="H6071" s="27" t="s">
        <v>2949</v>
      </c>
      <c r="I6071" s="27" t="s">
        <v>13</v>
      </c>
    </row>
    <row r="6072" spans="1:9" x14ac:dyDescent="0.3">
      <c r="A6072" s="26">
        <v>45252</v>
      </c>
      <c r="B6072" s="27" t="s">
        <v>125</v>
      </c>
      <c r="C6072" s="27" t="s">
        <v>14</v>
      </c>
      <c r="D6072" s="27" t="s">
        <v>21</v>
      </c>
      <c r="E6072" s="28">
        <v>91518</v>
      </c>
      <c r="F6072" s="28">
        <v>135106</v>
      </c>
      <c r="G6072" s="27" t="s">
        <v>11</v>
      </c>
      <c r="H6072" s="27" t="s">
        <v>3232</v>
      </c>
      <c r="I6072" s="27" t="s">
        <v>13</v>
      </c>
    </row>
    <row r="6073" spans="1:9" x14ac:dyDescent="0.3">
      <c r="A6073" s="26">
        <v>45252</v>
      </c>
      <c r="B6073" s="27" t="s">
        <v>125</v>
      </c>
      <c r="C6073" s="27" t="s">
        <v>93</v>
      </c>
      <c r="D6073" s="27" t="s">
        <v>21</v>
      </c>
      <c r="E6073" s="28">
        <v>107400</v>
      </c>
      <c r="F6073" s="28">
        <v>124900</v>
      </c>
      <c r="G6073" s="27" t="s">
        <v>11</v>
      </c>
      <c r="H6073" s="27" t="s">
        <v>4743</v>
      </c>
      <c r="I6073" s="27" t="s">
        <v>9</v>
      </c>
    </row>
    <row r="6074" spans="1:9" x14ac:dyDescent="0.3">
      <c r="A6074" s="26">
        <v>45252</v>
      </c>
      <c r="B6074" s="27" t="s">
        <v>125</v>
      </c>
      <c r="C6074" s="27" t="s">
        <v>93</v>
      </c>
      <c r="D6074" s="27" t="s">
        <v>19</v>
      </c>
      <c r="E6074" s="28">
        <v>154000</v>
      </c>
      <c r="F6074" s="28">
        <v>212200</v>
      </c>
      <c r="G6074" s="27" t="s">
        <v>11</v>
      </c>
      <c r="H6074" s="27" t="s">
        <v>5512</v>
      </c>
      <c r="I6074" s="27" t="s">
        <v>9</v>
      </c>
    </row>
    <row r="6075" spans="1:9" x14ac:dyDescent="0.3">
      <c r="A6075" s="26">
        <v>45252</v>
      </c>
      <c r="B6075" s="27" t="s">
        <v>125</v>
      </c>
      <c r="C6075" s="27" t="s">
        <v>6</v>
      </c>
      <c r="D6075" s="27" t="s">
        <v>24</v>
      </c>
      <c r="E6075" s="28">
        <v>247600</v>
      </c>
      <c r="F6075" s="28">
        <v>245600</v>
      </c>
      <c r="G6075" s="27" t="s">
        <v>11</v>
      </c>
      <c r="H6075" s="27" t="s">
        <v>6334</v>
      </c>
      <c r="I6075" s="27" t="s">
        <v>9</v>
      </c>
    </row>
    <row r="6076" spans="1:9" x14ac:dyDescent="0.3">
      <c r="A6076" s="26">
        <v>45252</v>
      </c>
      <c r="B6076" s="27" t="s">
        <v>125</v>
      </c>
      <c r="C6076" s="27" t="s">
        <v>6</v>
      </c>
      <c r="D6076" s="27" t="s">
        <v>21</v>
      </c>
      <c r="E6076" s="28">
        <v>126800</v>
      </c>
      <c r="F6076" s="28">
        <v>171300</v>
      </c>
      <c r="G6076" s="27" t="s">
        <v>11</v>
      </c>
      <c r="H6076" s="27" t="s">
        <v>6617</v>
      </c>
      <c r="I6076" s="27" t="s">
        <v>9</v>
      </c>
    </row>
    <row r="6077" spans="1:9" x14ac:dyDescent="0.3">
      <c r="A6077" s="26">
        <v>45253</v>
      </c>
      <c r="B6077" s="27" t="s">
        <v>125</v>
      </c>
      <c r="C6077" s="27" t="s">
        <v>18</v>
      </c>
      <c r="D6077" s="27" t="s">
        <v>19</v>
      </c>
      <c r="E6077" s="28">
        <v>70773</v>
      </c>
      <c r="F6077" s="28">
        <v>126060</v>
      </c>
      <c r="G6077" s="27" t="s">
        <v>17</v>
      </c>
      <c r="H6077" s="27" t="s">
        <v>71</v>
      </c>
      <c r="I6077" s="27" t="s">
        <v>13</v>
      </c>
    </row>
    <row r="6078" spans="1:9" x14ac:dyDescent="0.3">
      <c r="A6078" s="26">
        <v>45253</v>
      </c>
      <c r="B6078" s="27" t="s">
        <v>125</v>
      </c>
      <c r="C6078" s="27" t="s">
        <v>32</v>
      </c>
      <c r="D6078" s="27" t="s">
        <v>16</v>
      </c>
      <c r="E6078" s="28">
        <v>126443</v>
      </c>
      <c r="F6078" s="28">
        <v>14326</v>
      </c>
      <c r="G6078" s="27" t="s">
        <v>8</v>
      </c>
      <c r="H6078" s="27" t="s">
        <v>135</v>
      </c>
      <c r="I6078" s="27" t="s">
        <v>13</v>
      </c>
    </row>
    <row r="6079" spans="1:9" x14ac:dyDescent="0.3">
      <c r="A6079" s="26">
        <v>45253</v>
      </c>
      <c r="B6079" s="27" t="s">
        <v>125</v>
      </c>
      <c r="C6079" s="27" t="s">
        <v>32</v>
      </c>
      <c r="D6079" s="27" t="s">
        <v>7</v>
      </c>
      <c r="E6079" s="28">
        <v>48821</v>
      </c>
      <c r="F6079" s="28">
        <v>101939</v>
      </c>
      <c r="G6079" s="27" t="s">
        <v>22</v>
      </c>
      <c r="H6079" s="27" t="s">
        <v>525</v>
      </c>
      <c r="I6079" s="27" t="s">
        <v>13</v>
      </c>
    </row>
    <row r="6080" spans="1:9" x14ac:dyDescent="0.3">
      <c r="A6080" s="26">
        <v>45253</v>
      </c>
      <c r="B6080" s="27" t="s">
        <v>125</v>
      </c>
      <c r="C6080" s="27" t="s">
        <v>18</v>
      </c>
      <c r="D6080" s="27" t="s">
        <v>16</v>
      </c>
      <c r="E6080" s="28">
        <v>11052</v>
      </c>
      <c r="F6080" s="28">
        <v>59697</v>
      </c>
      <c r="G6080" s="27" t="s">
        <v>8</v>
      </c>
      <c r="H6080" s="27" t="s">
        <v>1152</v>
      </c>
      <c r="I6080" s="27" t="s">
        <v>13</v>
      </c>
    </row>
    <row r="6081" spans="1:9" x14ac:dyDescent="0.3">
      <c r="A6081" s="26">
        <v>45253</v>
      </c>
      <c r="B6081" s="27" t="s">
        <v>125</v>
      </c>
      <c r="C6081" s="27" t="s">
        <v>18</v>
      </c>
      <c r="D6081" s="27" t="s">
        <v>21</v>
      </c>
      <c r="E6081" s="28">
        <v>86441</v>
      </c>
      <c r="F6081" s="28">
        <v>112438</v>
      </c>
      <c r="G6081" s="27" t="s">
        <v>11</v>
      </c>
      <c r="H6081" s="27" t="s">
        <v>2787</v>
      </c>
      <c r="I6081" s="27" t="s">
        <v>13</v>
      </c>
    </row>
    <row r="6082" spans="1:9" x14ac:dyDescent="0.3">
      <c r="A6082" s="26">
        <v>45253</v>
      </c>
      <c r="B6082" s="27" t="s">
        <v>125</v>
      </c>
      <c r="C6082" s="27" t="s">
        <v>10</v>
      </c>
      <c r="D6082" s="27" t="s">
        <v>24</v>
      </c>
      <c r="E6082" s="28">
        <v>104362</v>
      </c>
      <c r="F6082" s="28">
        <v>105783</v>
      </c>
      <c r="G6082" s="27" t="s">
        <v>17</v>
      </c>
      <c r="H6082" s="27" t="s">
        <v>2856</v>
      </c>
      <c r="I6082" s="27" t="s">
        <v>13</v>
      </c>
    </row>
    <row r="6083" spans="1:9" x14ac:dyDescent="0.3">
      <c r="A6083" s="26">
        <v>45253</v>
      </c>
      <c r="B6083" s="27" t="s">
        <v>125</v>
      </c>
      <c r="C6083" s="27" t="s">
        <v>6</v>
      </c>
      <c r="D6083" s="27" t="s">
        <v>19</v>
      </c>
      <c r="E6083" s="28">
        <v>103900</v>
      </c>
      <c r="F6083" s="28">
        <v>116100</v>
      </c>
      <c r="G6083" s="27" t="s">
        <v>11</v>
      </c>
      <c r="H6083" s="27" t="s">
        <v>3472</v>
      </c>
      <c r="I6083" s="27" t="s">
        <v>9</v>
      </c>
    </row>
    <row r="6084" spans="1:9" x14ac:dyDescent="0.3">
      <c r="A6084" s="26">
        <v>45253</v>
      </c>
      <c r="B6084" s="27" t="s">
        <v>125</v>
      </c>
      <c r="C6084" s="27" t="s">
        <v>93</v>
      </c>
      <c r="D6084" s="27" t="s">
        <v>16</v>
      </c>
      <c r="E6084" s="28">
        <v>55800</v>
      </c>
      <c r="F6084" s="28">
        <v>42100</v>
      </c>
      <c r="G6084" s="27" t="s">
        <v>22</v>
      </c>
      <c r="H6084" s="27" t="s">
        <v>3516</v>
      </c>
      <c r="I6084" s="27" t="s">
        <v>9</v>
      </c>
    </row>
    <row r="6085" spans="1:9" x14ac:dyDescent="0.3">
      <c r="A6085" s="26">
        <v>45253</v>
      </c>
      <c r="B6085" s="27" t="s">
        <v>125</v>
      </c>
      <c r="C6085" s="27" t="s">
        <v>93</v>
      </c>
      <c r="D6085" s="27" t="s">
        <v>7</v>
      </c>
      <c r="E6085" s="28">
        <v>44200</v>
      </c>
      <c r="F6085" s="28">
        <v>49000</v>
      </c>
      <c r="G6085" s="27" t="s">
        <v>11</v>
      </c>
      <c r="H6085" s="27" t="s">
        <v>3906</v>
      </c>
      <c r="I6085" s="27" t="s">
        <v>9</v>
      </c>
    </row>
    <row r="6086" spans="1:9" x14ac:dyDescent="0.3">
      <c r="A6086" s="26">
        <v>45253</v>
      </c>
      <c r="B6086" s="27" t="s">
        <v>125</v>
      </c>
      <c r="C6086" s="27" t="s">
        <v>6</v>
      </c>
      <c r="D6086" s="27" t="s">
        <v>16</v>
      </c>
      <c r="E6086" s="28">
        <v>119500</v>
      </c>
      <c r="F6086" s="28">
        <v>122400</v>
      </c>
      <c r="G6086" s="27" t="s">
        <v>11</v>
      </c>
      <c r="H6086" s="27" t="s">
        <v>4535</v>
      </c>
      <c r="I6086" s="27" t="s">
        <v>9</v>
      </c>
    </row>
    <row r="6087" spans="1:9" x14ac:dyDescent="0.3">
      <c r="A6087" s="26">
        <v>45253</v>
      </c>
      <c r="B6087" s="27" t="s">
        <v>125</v>
      </c>
      <c r="C6087" s="27" t="s">
        <v>6</v>
      </c>
      <c r="D6087" s="27" t="s">
        <v>21</v>
      </c>
      <c r="E6087" s="28">
        <v>123200</v>
      </c>
      <c r="F6087" s="28">
        <v>116000</v>
      </c>
      <c r="G6087" s="27" t="s">
        <v>11</v>
      </c>
      <c r="H6087" s="27" t="s">
        <v>6172</v>
      </c>
      <c r="I6087" s="27" t="s">
        <v>9</v>
      </c>
    </row>
    <row r="6088" spans="1:9" x14ac:dyDescent="0.3">
      <c r="A6088" s="26">
        <v>45253</v>
      </c>
      <c r="B6088" s="27" t="s">
        <v>125</v>
      </c>
      <c r="C6088" s="27" t="s">
        <v>6</v>
      </c>
      <c r="D6088" s="27" t="s">
        <v>24</v>
      </c>
      <c r="E6088" s="28">
        <v>74400</v>
      </c>
      <c r="F6088" s="28">
        <v>58600</v>
      </c>
      <c r="G6088" s="27" t="s">
        <v>11</v>
      </c>
      <c r="H6088" s="27" t="s">
        <v>6241</v>
      </c>
      <c r="I6088" s="27" t="s">
        <v>9</v>
      </c>
    </row>
    <row r="6089" spans="1:9" x14ac:dyDescent="0.3">
      <c r="A6089" s="26">
        <v>45254</v>
      </c>
      <c r="B6089" s="27" t="s">
        <v>125</v>
      </c>
      <c r="C6089" s="27" t="s">
        <v>32</v>
      </c>
      <c r="D6089" s="27" t="s">
        <v>7</v>
      </c>
      <c r="E6089" s="28">
        <v>81734</v>
      </c>
      <c r="F6089" s="28">
        <v>15638</v>
      </c>
      <c r="G6089" s="27" t="s">
        <v>17</v>
      </c>
      <c r="H6089" s="27" t="s">
        <v>2166</v>
      </c>
      <c r="I6089" s="27" t="s">
        <v>13</v>
      </c>
    </row>
    <row r="6090" spans="1:9" x14ac:dyDescent="0.3">
      <c r="A6090" s="26">
        <v>45254</v>
      </c>
      <c r="B6090" s="27" t="s">
        <v>125</v>
      </c>
      <c r="C6090" s="27" t="s">
        <v>15</v>
      </c>
      <c r="D6090" s="27" t="s">
        <v>7</v>
      </c>
      <c r="E6090" s="28">
        <v>55963</v>
      </c>
      <c r="F6090" s="28">
        <v>70496</v>
      </c>
      <c r="G6090" s="27" t="s">
        <v>8</v>
      </c>
      <c r="H6090" s="27" t="s">
        <v>2379</v>
      </c>
      <c r="I6090" s="27" t="s">
        <v>13</v>
      </c>
    </row>
    <row r="6091" spans="1:9" x14ac:dyDescent="0.3">
      <c r="A6091" s="26">
        <v>45254</v>
      </c>
      <c r="B6091" s="27" t="s">
        <v>125</v>
      </c>
      <c r="C6091" s="27" t="s">
        <v>18</v>
      </c>
      <c r="D6091" s="27" t="s">
        <v>24</v>
      </c>
      <c r="E6091" s="28">
        <v>10141</v>
      </c>
      <c r="F6091" s="28">
        <v>155879</v>
      </c>
      <c r="G6091" s="27" t="s">
        <v>17</v>
      </c>
      <c r="H6091" s="27" t="s">
        <v>2988</v>
      </c>
      <c r="I6091" s="27" t="s">
        <v>13</v>
      </c>
    </row>
    <row r="6092" spans="1:9" x14ac:dyDescent="0.3">
      <c r="A6092" s="26">
        <v>45254</v>
      </c>
      <c r="B6092" s="27" t="s">
        <v>125</v>
      </c>
      <c r="C6092" s="27" t="s">
        <v>18</v>
      </c>
      <c r="D6092" s="27" t="s">
        <v>24</v>
      </c>
      <c r="E6092" s="28">
        <v>80675</v>
      </c>
      <c r="F6092" s="28">
        <v>23367</v>
      </c>
      <c r="G6092" s="27" t="s">
        <v>17</v>
      </c>
      <c r="H6092" s="27" t="s">
        <v>3007</v>
      </c>
      <c r="I6092" s="27" t="s">
        <v>13</v>
      </c>
    </row>
    <row r="6093" spans="1:9" x14ac:dyDescent="0.3">
      <c r="A6093" s="26">
        <v>45254</v>
      </c>
      <c r="B6093" s="27" t="s">
        <v>125</v>
      </c>
      <c r="C6093" s="27" t="s">
        <v>32</v>
      </c>
      <c r="D6093" s="27" t="s">
        <v>7</v>
      </c>
      <c r="E6093" s="28">
        <v>94763</v>
      </c>
      <c r="F6093" s="28">
        <v>9098</v>
      </c>
      <c r="G6093" s="27" t="s">
        <v>11</v>
      </c>
      <c r="H6093" s="27" t="s">
        <v>3221</v>
      </c>
      <c r="I6093" s="27" t="s">
        <v>13</v>
      </c>
    </row>
    <row r="6094" spans="1:9" x14ac:dyDescent="0.3">
      <c r="A6094" s="26">
        <v>45254</v>
      </c>
      <c r="B6094" s="27" t="s">
        <v>125</v>
      </c>
      <c r="C6094" s="27" t="s">
        <v>15</v>
      </c>
      <c r="D6094" s="27" t="s">
        <v>21</v>
      </c>
      <c r="E6094" s="28">
        <v>149088</v>
      </c>
      <c r="F6094" s="28">
        <v>76557</v>
      </c>
      <c r="G6094" s="27" t="s">
        <v>8</v>
      </c>
      <c r="H6094" s="27" t="s">
        <v>3359</v>
      </c>
      <c r="I6094" s="27" t="s">
        <v>13</v>
      </c>
    </row>
    <row r="6095" spans="1:9" x14ac:dyDescent="0.3">
      <c r="A6095" s="26">
        <v>45254</v>
      </c>
      <c r="B6095" s="27" t="s">
        <v>125</v>
      </c>
      <c r="C6095" s="27" t="s">
        <v>6</v>
      </c>
      <c r="D6095" s="27" t="s">
        <v>7</v>
      </c>
      <c r="E6095" s="28">
        <v>61300</v>
      </c>
      <c r="F6095" s="28">
        <v>77000</v>
      </c>
      <c r="G6095" s="27" t="s">
        <v>22</v>
      </c>
      <c r="H6095" s="27" t="s">
        <v>5551</v>
      </c>
      <c r="I6095" s="27" t="s">
        <v>9</v>
      </c>
    </row>
    <row r="6096" spans="1:9" x14ac:dyDescent="0.3">
      <c r="A6096" s="26">
        <v>45254</v>
      </c>
      <c r="B6096" s="27" t="s">
        <v>125</v>
      </c>
      <c r="C6096" s="27" t="s">
        <v>93</v>
      </c>
      <c r="D6096" s="27" t="s">
        <v>7</v>
      </c>
      <c r="E6096" s="28">
        <v>100200</v>
      </c>
      <c r="F6096" s="28">
        <v>126600</v>
      </c>
      <c r="G6096" s="27" t="s">
        <v>11</v>
      </c>
      <c r="H6096" s="27" t="s">
        <v>5764</v>
      </c>
      <c r="I6096" s="27" t="s">
        <v>9</v>
      </c>
    </row>
    <row r="6097" spans="1:9" x14ac:dyDescent="0.3">
      <c r="A6097" s="26">
        <v>45254</v>
      </c>
      <c r="B6097" s="27" t="s">
        <v>125</v>
      </c>
      <c r="C6097" s="27" t="s">
        <v>93</v>
      </c>
      <c r="D6097" s="27" t="s">
        <v>24</v>
      </c>
      <c r="E6097" s="28">
        <v>115000</v>
      </c>
      <c r="F6097" s="28">
        <v>95200</v>
      </c>
      <c r="G6097" s="27" t="s">
        <v>11</v>
      </c>
      <c r="H6097" s="27" t="s">
        <v>6373</v>
      </c>
      <c r="I6097" s="27" t="s">
        <v>9</v>
      </c>
    </row>
    <row r="6098" spans="1:9" x14ac:dyDescent="0.3">
      <c r="A6098" s="26">
        <v>45254</v>
      </c>
      <c r="B6098" s="27" t="s">
        <v>125</v>
      </c>
      <c r="C6098" s="27" t="s">
        <v>93</v>
      </c>
      <c r="D6098" s="27" t="s">
        <v>24</v>
      </c>
      <c r="E6098" s="28">
        <v>106500</v>
      </c>
      <c r="F6098" s="28">
        <v>118300</v>
      </c>
      <c r="G6098" s="27" t="s">
        <v>11</v>
      </c>
      <c r="H6098" s="27" t="s">
        <v>6392</v>
      </c>
      <c r="I6098" s="27" t="s">
        <v>9</v>
      </c>
    </row>
    <row r="6099" spans="1:9" x14ac:dyDescent="0.3">
      <c r="A6099" s="26">
        <v>45254</v>
      </c>
      <c r="B6099" s="27" t="s">
        <v>125</v>
      </c>
      <c r="C6099" s="27" t="s">
        <v>6</v>
      </c>
      <c r="D6099" s="27" t="s">
        <v>7</v>
      </c>
      <c r="E6099" s="28">
        <v>127300</v>
      </c>
      <c r="F6099" s="28">
        <v>135900</v>
      </c>
      <c r="G6099" s="27" t="s">
        <v>22</v>
      </c>
      <c r="H6099" s="27" t="s">
        <v>6606</v>
      </c>
      <c r="I6099" s="27" t="s">
        <v>9</v>
      </c>
    </row>
    <row r="6100" spans="1:9" x14ac:dyDescent="0.3">
      <c r="A6100" s="26">
        <v>45254</v>
      </c>
      <c r="B6100" s="27" t="s">
        <v>125</v>
      </c>
      <c r="C6100" s="27" t="s">
        <v>6</v>
      </c>
      <c r="D6100" s="27" t="s">
        <v>21</v>
      </c>
      <c r="E6100" s="28">
        <v>138500</v>
      </c>
      <c r="F6100" s="28">
        <v>127000</v>
      </c>
      <c r="G6100" s="27" t="s">
        <v>17</v>
      </c>
      <c r="H6100" s="27" t="s">
        <v>6744</v>
      </c>
      <c r="I6100" s="27" t="s">
        <v>9</v>
      </c>
    </row>
    <row r="6101" spans="1:9" x14ac:dyDescent="0.3">
      <c r="A6101" s="26">
        <v>45255</v>
      </c>
      <c r="B6101" s="27" t="s">
        <v>125</v>
      </c>
      <c r="C6101" s="27" t="s">
        <v>32</v>
      </c>
      <c r="D6101" s="27" t="s">
        <v>19</v>
      </c>
      <c r="E6101" s="28">
        <v>34082</v>
      </c>
      <c r="F6101" s="28">
        <v>53649</v>
      </c>
      <c r="G6101" s="27" t="s">
        <v>8</v>
      </c>
      <c r="H6101" s="27" t="s">
        <v>609</v>
      </c>
      <c r="I6101" s="27" t="s">
        <v>13</v>
      </c>
    </row>
    <row r="6102" spans="1:9" x14ac:dyDescent="0.3">
      <c r="A6102" s="26">
        <v>45255</v>
      </c>
      <c r="B6102" s="27" t="s">
        <v>125</v>
      </c>
      <c r="C6102" s="27" t="s">
        <v>10</v>
      </c>
      <c r="D6102" s="27" t="s">
        <v>19</v>
      </c>
      <c r="E6102" s="28">
        <v>26238</v>
      </c>
      <c r="F6102" s="28">
        <v>157201</v>
      </c>
      <c r="G6102" s="27" t="s">
        <v>8</v>
      </c>
      <c r="H6102" s="27" t="s">
        <v>905</v>
      </c>
      <c r="I6102" s="27" t="s">
        <v>13</v>
      </c>
    </row>
    <row r="6103" spans="1:9" x14ac:dyDescent="0.3">
      <c r="A6103" s="26">
        <v>45255</v>
      </c>
      <c r="B6103" s="27" t="s">
        <v>125</v>
      </c>
      <c r="C6103" s="27" t="s">
        <v>20</v>
      </c>
      <c r="D6103" s="27" t="s">
        <v>7</v>
      </c>
      <c r="E6103" s="28">
        <v>31116</v>
      </c>
      <c r="F6103" s="28">
        <v>63434</v>
      </c>
      <c r="G6103" s="27" t="s">
        <v>8</v>
      </c>
      <c r="H6103" s="27" t="s">
        <v>908</v>
      </c>
      <c r="I6103" s="27" t="s">
        <v>13</v>
      </c>
    </row>
    <row r="6104" spans="1:9" x14ac:dyDescent="0.3">
      <c r="A6104" s="26">
        <v>45255</v>
      </c>
      <c r="B6104" s="27" t="s">
        <v>125</v>
      </c>
      <c r="C6104" s="27" t="s">
        <v>14</v>
      </c>
      <c r="D6104" s="27" t="s">
        <v>21</v>
      </c>
      <c r="E6104" s="28">
        <v>94872</v>
      </c>
      <c r="F6104" s="28">
        <v>89189</v>
      </c>
      <c r="G6104" s="27" t="s">
        <v>17</v>
      </c>
      <c r="H6104" s="27" t="s">
        <v>958</v>
      </c>
      <c r="I6104" s="27" t="s">
        <v>13</v>
      </c>
    </row>
    <row r="6105" spans="1:9" x14ac:dyDescent="0.3">
      <c r="A6105" s="26">
        <v>45255</v>
      </c>
      <c r="B6105" s="27" t="s">
        <v>125</v>
      </c>
      <c r="C6105" s="27" t="s">
        <v>18</v>
      </c>
      <c r="D6105" s="27" t="s">
        <v>19</v>
      </c>
      <c r="E6105" s="28">
        <v>71185</v>
      </c>
      <c r="F6105" s="28">
        <v>138754</v>
      </c>
      <c r="G6105" s="27" t="s">
        <v>22</v>
      </c>
      <c r="H6105" s="27" t="s">
        <v>1680</v>
      </c>
      <c r="I6105" s="27" t="s">
        <v>13</v>
      </c>
    </row>
    <row r="6106" spans="1:9" x14ac:dyDescent="0.3">
      <c r="A6106" s="26">
        <v>45255</v>
      </c>
      <c r="B6106" s="27" t="s">
        <v>125</v>
      </c>
      <c r="C6106" s="27" t="s">
        <v>18</v>
      </c>
      <c r="D6106" s="27" t="s">
        <v>16</v>
      </c>
      <c r="E6106" s="28">
        <v>100597</v>
      </c>
      <c r="F6106" s="28">
        <v>152677</v>
      </c>
      <c r="G6106" s="27" t="s">
        <v>8</v>
      </c>
      <c r="H6106" s="27" t="s">
        <v>1726</v>
      </c>
      <c r="I6106" s="27" t="s">
        <v>13</v>
      </c>
    </row>
    <row r="6107" spans="1:9" x14ac:dyDescent="0.3">
      <c r="A6107" s="26">
        <v>45255</v>
      </c>
      <c r="B6107" s="27" t="s">
        <v>125</v>
      </c>
      <c r="C6107" s="27" t="s">
        <v>18</v>
      </c>
      <c r="D6107" s="27" t="s">
        <v>19</v>
      </c>
      <c r="E6107" s="28">
        <v>61003</v>
      </c>
      <c r="F6107" s="28">
        <v>9524</v>
      </c>
      <c r="G6107" s="27" t="s">
        <v>11</v>
      </c>
      <c r="H6107" s="27" t="s">
        <v>2945</v>
      </c>
      <c r="I6107" s="27" t="s">
        <v>13</v>
      </c>
    </row>
    <row r="6108" spans="1:9" x14ac:dyDescent="0.3">
      <c r="A6108" s="26">
        <v>45255</v>
      </c>
      <c r="B6108" s="27" t="s">
        <v>125</v>
      </c>
      <c r="C6108" s="27" t="s">
        <v>18</v>
      </c>
      <c r="D6108" s="27" t="s">
        <v>7</v>
      </c>
      <c r="E6108" s="28">
        <v>23539</v>
      </c>
      <c r="F6108" s="28">
        <v>137368</v>
      </c>
      <c r="G6108" s="27" t="s">
        <v>17</v>
      </c>
      <c r="H6108" s="27" t="s">
        <v>3158</v>
      </c>
      <c r="I6108" s="27" t="s">
        <v>13</v>
      </c>
    </row>
    <row r="6109" spans="1:9" x14ac:dyDescent="0.3">
      <c r="A6109" s="26">
        <v>45255</v>
      </c>
      <c r="B6109" s="27" t="s">
        <v>125</v>
      </c>
      <c r="C6109" s="27" t="s">
        <v>6</v>
      </c>
      <c r="D6109" s="27" t="s">
        <v>19</v>
      </c>
      <c r="E6109" s="28">
        <v>68000</v>
      </c>
      <c r="F6109" s="28">
        <v>78300</v>
      </c>
      <c r="G6109" s="27" t="s">
        <v>11</v>
      </c>
      <c r="H6109" s="27" t="s">
        <v>3990</v>
      </c>
      <c r="I6109" s="27" t="s">
        <v>9</v>
      </c>
    </row>
    <row r="6110" spans="1:9" x14ac:dyDescent="0.3">
      <c r="A6110" s="26">
        <v>45255</v>
      </c>
      <c r="B6110" s="27" t="s">
        <v>125</v>
      </c>
      <c r="C6110" s="27" t="s">
        <v>93</v>
      </c>
      <c r="D6110" s="27" t="s">
        <v>19</v>
      </c>
      <c r="E6110" s="28">
        <v>132600</v>
      </c>
      <c r="F6110" s="28">
        <v>119800</v>
      </c>
      <c r="G6110" s="27" t="s">
        <v>22</v>
      </c>
      <c r="H6110" s="27" t="s">
        <v>4286</v>
      </c>
      <c r="I6110" s="27" t="s">
        <v>9</v>
      </c>
    </row>
    <row r="6111" spans="1:9" x14ac:dyDescent="0.3">
      <c r="A6111" s="26">
        <v>45255</v>
      </c>
      <c r="B6111" s="27" t="s">
        <v>125</v>
      </c>
      <c r="C6111" s="27" t="s">
        <v>6</v>
      </c>
      <c r="D6111" s="27" t="s">
        <v>7</v>
      </c>
      <c r="E6111" s="28">
        <v>87800</v>
      </c>
      <c r="F6111" s="28">
        <v>70100</v>
      </c>
      <c r="G6111" s="27" t="s">
        <v>22</v>
      </c>
      <c r="H6111" s="27" t="s">
        <v>4289</v>
      </c>
      <c r="I6111" s="27" t="s">
        <v>9</v>
      </c>
    </row>
    <row r="6112" spans="1:9" x14ac:dyDescent="0.3">
      <c r="A6112" s="26">
        <v>45255</v>
      </c>
      <c r="B6112" s="27" t="s">
        <v>125</v>
      </c>
      <c r="C6112" s="27" t="s">
        <v>6</v>
      </c>
      <c r="D6112" s="27" t="s">
        <v>21</v>
      </c>
      <c r="E6112" s="28">
        <v>84000</v>
      </c>
      <c r="F6112" s="28">
        <v>78900</v>
      </c>
      <c r="G6112" s="27" t="s">
        <v>11</v>
      </c>
      <c r="H6112" s="27" t="s">
        <v>4339</v>
      </c>
      <c r="I6112" s="27" t="s">
        <v>9</v>
      </c>
    </row>
    <row r="6113" spans="1:9" x14ac:dyDescent="0.3">
      <c r="A6113" s="26">
        <v>45255</v>
      </c>
      <c r="B6113" s="27" t="s">
        <v>125</v>
      </c>
      <c r="C6113" s="27" t="s">
        <v>6</v>
      </c>
      <c r="D6113" s="27" t="s">
        <v>19</v>
      </c>
      <c r="E6113" s="28">
        <v>127600</v>
      </c>
      <c r="F6113" s="28">
        <v>133700</v>
      </c>
      <c r="G6113" s="27" t="s">
        <v>22</v>
      </c>
      <c r="H6113" s="27" t="s">
        <v>5063</v>
      </c>
      <c r="I6113" s="27" t="s">
        <v>9</v>
      </c>
    </row>
    <row r="6114" spans="1:9" x14ac:dyDescent="0.3">
      <c r="A6114" s="26">
        <v>45255</v>
      </c>
      <c r="B6114" s="27" t="s">
        <v>125</v>
      </c>
      <c r="C6114" s="27" t="s">
        <v>6</v>
      </c>
      <c r="D6114" s="27" t="s">
        <v>16</v>
      </c>
      <c r="E6114" s="28">
        <v>155100</v>
      </c>
      <c r="F6114" s="28">
        <v>163000</v>
      </c>
      <c r="G6114" s="27" t="s">
        <v>11</v>
      </c>
      <c r="H6114" s="27" t="s">
        <v>5109</v>
      </c>
      <c r="I6114" s="27" t="s">
        <v>9</v>
      </c>
    </row>
    <row r="6115" spans="1:9" x14ac:dyDescent="0.3">
      <c r="A6115" s="26">
        <v>45255</v>
      </c>
      <c r="B6115" s="27" t="s">
        <v>125</v>
      </c>
      <c r="C6115" s="27" t="s">
        <v>93</v>
      </c>
      <c r="D6115" s="27" t="s">
        <v>19</v>
      </c>
      <c r="E6115" s="28">
        <v>73700</v>
      </c>
      <c r="F6115" s="28">
        <v>67900</v>
      </c>
      <c r="G6115" s="27" t="s">
        <v>22</v>
      </c>
      <c r="H6115" s="27" t="s">
        <v>6330</v>
      </c>
      <c r="I6115" s="27" t="s">
        <v>9</v>
      </c>
    </row>
    <row r="6116" spans="1:9" x14ac:dyDescent="0.3">
      <c r="A6116" s="26">
        <v>45255</v>
      </c>
      <c r="B6116" s="27" t="s">
        <v>125</v>
      </c>
      <c r="C6116" s="27" t="s">
        <v>93</v>
      </c>
      <c r="D6116" s="27" t="s">
        <v>7</v>
      </c>
      <c r="E6116" s="28">
        <v>68500</v>
      </c>
      <c r="F6116" s="28">
        <v>72800</v>
      </c>
      <c r="G6116" s="27" t="s">
        <v>17</v>
      </c>
      <c r="H6116" s="27" t="s">
        <v>6543</v>
      </c>
      <c r="I6116" s="27" t="s">
        <v>9</v>
      </c>
    </row>
    <row r="6117" spans="1:9" x14ac:dyDescent="0.3">
      <c r="A6117" s="26">
        <v>45256</v>
      </c>
      <c r="B6117" s="27" t="s">
        <v>125</v>
      </c>
      <c r="C6117" s="27" t="s">
        <v>32</v>
      </c>
      <c r="D6117" s="27" t="s">
        <v>19</v>
      </c>
      <c r="E6117" s="28">
        <v>65770</v>
      </c>
      <c r="F6117" s="28">
        <v>96074</v>
      </c>
      <c r="G6117" s="27" t="s">
        <v>11</v>
      </c>
      <c r="H6117" s="27" t="s">
        <v>72</v>
      </c>
      <c r="I6117" s="27" t="s">
        <v>13</v>
      </c>
    </row>
    <row r="6118" spans="1:9" x14ac:dyDescent="0.3">
      <c r="A6118" s="26">
        <v>45256</v>
      </c>
      <c r="B6118" s="27" t="s">
        <v>125</v>
      </c>
      <c r="C6118" s="27" t="s">
        <v>6</v>
      </c>
      <c r="D6118" s="27" t="s">
        <v>19</v>
      </c>
      <c r="E6118" s="28">
        <v>204900</v>
      </c>
      <c r="F6118" s="28">
        <v>282300</v>
      </c>
      <c r="G6118" s="27" t="s">
        <v>11</v>
      </c>
      <c r="H6118" s="27" t="s">
        <v>3486</v>
      </c>
      <c r="I6118" s="27" t="s">
        <v>9</v>
      </c>
    </row>
    <row r="6119" spans="1:9" x14ac:dyDescent="0.3">
      <c r="A6119" s="26">
        <v>45257</v>
      </c>
      <c r="B6119" s="27" t="s">
        <v>125</v>
      </c>
      <c r="C6119" s="27" t="s">
        <v>18</v>
      </c>
      <c r="D6119" s="27" t="s">
        <v>24</v>
      </c>
      <c r="E6119" s="28">
        <v>50030</v>
      </c>
      <c r="F6119" s="28">
        <v>95768</v>
      </c>
      <c r="G6119" s="27" t="s">
        <v>8</v>
      </c>
      <c r="H6119" s="27" t="s">
        <v>107</v>
      </c>
      <c r="I6119" s="27" t="s">
        <v>13</v>
      </c>
    </row>
    <row r="6120" spans="1:9" x14ac:dyDescent="0.3">
      <c r="A6120" s="26">
        <v>45257</v>
      </c>
      <c r="B6120" s="27" t="s">
        <v>125</v>
      </c>
      <c r="C6120" s="27" t="s">
        <v>20</v>
      </c>
      <c r="D6120" s="27" t="s">
        <v>7</v>
      </c>
      <c r="E6120" s="28">
        <v>82404</v>
      </c>
      <c r="F6120" s="28">
        <v>157389</v>
      </c>
      <c r="G6120" s="27" t="s">
        <v>17</v>
      </c>
      <c r="H6120" s="27" t="s">
        <v>146</v>
      </c>
      <c r="I6120" s="27" t="s">
        <v>13</v>
      </c>
    </row>
    <row r="6121" spans="1:9" x14ac:dyDescent="0.3">
      <c r="A6121" s="26">
        <v>45257</v>
      </c>
      <c r="B6121" s="27" t="s">
        <v>125</v>
      </c>
      <c r="C6121" s="27" t="s">
        <v>15</v>
      </c>
      <c r="D6121" s="27" t="s">
        <v>19</v>
      </c>
      <c r="E6121" s="28">
        <v>60930</v>
      </c>
      <c r="F6121" s="28">
        <v>63805</v>
      </c>
      <c r="G6121" s="27" t="s">
        <v>22</v>
      </c>
      <c r="H6121" s="27" t="s">
        <v>1664</v>
      </c>
      <c r="I6121" s="27" t="s">
        <v>13</v>
      </c>
    </row>
    <row r="6122" spans="1:9" x14ac:dyDescent="0.3">
      <c r="A6122" s="26">
        <v>45257</v>
      </c>
      <c r="B6122" s="27" t="s">
        <v>125</v>
      </c>
      <c r="C6122" s="27" t="s">
        <v>20</v>
      </c>
      <c r="D6122" s="27" t="s">
        <v>7</v>
      </c>
      <c r="E6122" s="28">
        <v>60387</v>
      </c>
      <c r="F6122" s="28">
        <v>161023</v>
      </c>
      <c r="G6122" s="27" t="s">
        <v>11</v>
      </c>
      <c r="H6122" s="27" t="s">
        <v>2254</v>
      </c>
      <c r="I6122" s="27" t="s">
        <v>13</v>
      </c>
    </row>
    <row r="6123" spans="1:9" x14ac:dyDescent="0.3">
      <c r="A6123" s="26">
        <v>45257</v>
      </c>
      <c r="B6123" s="27" t="s">
        <v>125</v>
      </c>
      <c r="C6123" s="27" t="s">
        <v>10</v>
      </c>
      <c r="D6123" s="27" t="s">
        <v>19</v>
      </c>
      <c r="E6123" s="28">
        <v>146146</v>
      </c>
      <c r="F6123" s="28">
        <v>11663</v>
      </c>
      <c r="G6123" s="27" t="s">
        <v>8</v>
      </c>
      <c r="H6123" s="27" t="s">
        <v>2778</v>
      </c>
      <c r="I6123" s="27" t="s">
        <v>13</v>
      </c>
    </row>
    <row r="6124" spans="1:9" x14ac:dyDescent="0.3">
      <c r="A6124" s="26">
        <v>45257</v>
      </c>
      <c r="B6124" s="27" t="s">
        <v>125</v>
      </c>
      <c r="C6124" s="27" t="s">
        <v>15</v>
      </c>
      <c r="D6124" s="27" t="s">
        <v>21</v>
      </c>
      <c r="E6124" s="28">
        <v>106350</v>
      </c>
      <c r="F6124" s="28">
        <v>51105</v>
      </c>
      <c r="G6124" s="27" t="s">
        <v>22</v>
      </c>
      <c r="H6124" s="27" t="s">
        <v>3233</v>
      </c>
      <c r="I6124" s="27" t="s">
        <v>13</v>
      </c>
    </row>
    <row r="6125" spans="1:9" x14ac:dyDescent="0.3">
      <c r="A6125" s="26">
        <v>45257</v>
      </c>
      <c r="B6125" s="27" t="s">
        <v>125</v>
      </c>
      <c r="C6125" s="27" t="s">
        <v>6</v>
      </c>
      <c r="D6125" s="27" t="s">
        <v>24</v>
      </c>
      <c r="E6125" s="28">
        <v>108600</v>
      </c>
      <c r="F6125" s="28">
        <v>96800</v>
      </c>
      <c r="G6125" s="27" t="s">
        <v>11</v>
      </c>
      <c r="H6125" s="27" t="s">
        <v>3507</v>
      </c>
      <c r="I6125" s="27" t="s">
        <v>9</v>
      </c>
    </row>
    <row r="6126" spans="1:9" x14ac:dyDescent="0.3">
      <c r="A6126" s="26">
        <v>45257</v>
      </c>
      <c r="B6126" s="27" t="s">
        <v>125</v>
      </c>
      <c r="C6126" s="27" t="s">
        <v>6</v>
      </c>
      <c r="D6126" s="27" t="s">
        <v>7</v>
      </c>
      <c r="E6126" s="28">
        <v>101800</v>
      </c>
      <c r="F6126" s="28">
        <v>96200</v>
      </c>
      <c r="G6126" s="27" t="s">
        <v>22</v>
      </c>
      <c r="H6126" s="27" t="s">
        <v>3527</v>
      </c>
      <c r="I6126" s="27" t="s">
        <v>9</v>
      </c>
    </row>
    <row r="6127" spans="1:9" x14ac:dyDescent="0.3">
      <c r="A6127" s="26">
        <v>45257</v>
      </c>
      <c r="B6127" s="27" t="s">
        <v>125</v>
      </c>
      <c r="C6127" s="27" t="s">
        <v>6</v>
      </c>
      <c r="D6127" s="27" t="s">
        <v>19</v>
      </c>
      <c r="E6127" s="28">
        <v>72500</v>
      </c>
      <c r="F6127" s="28">
        <v>67800</v>
      </c>
      <c r="G6127" s="27" t="s">
        <v>11</v>
      </c>
      <c r="H6127" s="27" t="s">
        <v>5047</v>
      </c>
      <c r="I6127" s="27" t="s">
        <v>9</v>
      </c>
    </row>
    <row r="6128" spans="1:9" x14ac:dyDescent="0.3">
      <c r="A6128" s="26">
        <v>45257</v>
      </c>
      <c r="B6128" s="27" t="s">
        <v>125</v>
      </c>
      <c r="C6128" s="27" t="s">
        <v>6</v>
      </c>
      <c r="D6128" s="27" t="s">
        <v>7</v>
      </c>
      <c r="E6128" s="28">
        <v>133300</v>
      </c>
      <c r="F6128" s="28">
        <v>149700</v>
      </c>
      <c r="G6128" s="27" t="s">
        <v>11</v>
      </c>
      <c r="H6128" s="27" t="s">
        <v>5639</v>
      </c>
      <c r="I6128" s="27" t="s">
        <v>9</v>
      </c>
    </row>
    <row r="6129" spans="1:9" x14ac:dyDescent="0.3">
      <c r="A6129" s="26">
        <v>45257</v>
      </c>
      <c r="B6129" s="27" t="s">
        <v>125</v>
      </c>
      <c r="C6129" s="27" t="s">
        <v>6</v>
      </c>
      <c r="D6129" s="27" t="s">
        <v>19</v>
      </c>
      <c r="E6129" s="28">
        <v>122700</v>
      </c>
      <c r="F6129" s="28">
        <v>90200</v>
      </c>
      <c r="G6129" s="27" t="s">
        <v>11</v>
      </c>
      <c r="H6129" s="27" t="s">
        <v>6163</v>
      </c>
      <c r="I6129" s="27" t="s">
        <v>9</v>
      </c>
    </row>
    <row r="6130" spans="1:9" x14ac:dyDescent="0.3">
      <c r="A6130" s="26">
        <v>45257</v>
      </c>
      <c r="B6130" s="27" t="s">
        <v>125</v>
      </c>
      <c r="C6130" s="27" t="s">
        <v>6</v>
      </c>
      <c r="D6130" s="27" t="s">
        <v>21</v>
      </c>
      <c r="E6130" s="28">
        <v>124900</v>
      </c>
      <c r="F6130" s="28">
        <v>109100</v>
      </c>
      <c r="G6130" s="27" t="s">
        <v>22</v>
      </c>
      <c r="H6130" s="27" t="s">
        <v>6618</v>
      </c>
      <c r="I6130" s="27" t="s">
        <v>9</v>
      </c>
    </row>
    <row r="6131" spans="1:9" x14ac:dyDescent="0.3">
      <c r="A6131" s="26">
        <v>45258</v>
      </c>
      <c r="B6131" s="27" t="s">
        <v>125</v>
      </c>
      <c r="C6131" s="27" t="s">
        <v>18</v>
      </c>
      <c r="D6131" s="27" t="s">
        <v>7</v>
      </c>
      <c r="E6131" s="28">
        <v>100150</v>
      </c>
      <c r="F6131" s="28">
        <v>57502</v>
      </c>
      <c r="G6131" s="27" t="s">
        <v>22</v>
      </c>
      <c r="H6131" s="27" t="s">
        <v>1114</v>
      </c>
      <c r="I6131" s="27" t="s">
        <v>13</v>
      </c>
    </row>
    <row r="6132" spans="1:9" x14ac:dyDescent="0.3">
      <c r="A6132" s="26">
        <v>45258</v>
      </c>
      <c r="B6132" s="27" t="s">
        <v>125</v>
      </c>
      <c r="C6132" s="27" t="s">
        <v>14</v>
      </c>
      <c r="D6132" s="27" t="s">
        <v>21</v>
      </c>
      <c r="E6132" s="28">
        <v>145092</v>
      </c>
      <c r="F6132" s="28">
        <v>126723</v>
      </c>
      <c r="G6132" s="27" t="s">
        <v>8</v>
      </c>
      <c r="H6132" s="27" t="s">
        <v>1202</v>
      </c>
      <c r="I6132" s="27" t="s">
        <v>13</v>
      </c>
    </row>
    <row r="6133" spans="1:9" x14ac:dyDescent="0.3">
      <c r="A6133" s="26">
        <v>45258</v>
      </c>
      <c r="B6133" s="27" t="s">
        <v>125</v>
      </c>
      <c r="C6133" s="27" t="s">
        <v>32</v>
      </c>
      <c r="D6133" s="27" t="s">
        <v>7</v>
      </c>
      <c r="E6133" s="28">
        <v>84374</v>
      </c>
      <c r="F6133" s="28">
        <v>33446</v>
      </c>
      <c r="G6133" s="27" t="s">
        <v>22</v>
      </c>
      <c r="H6133" s="27" t="s">
        <v>1363</v>
      </c>
      <c r="I6133" s="27" t="s">
        <v>13</v>
      </c>
    </row>
    <row r="6134" spans="1:9" x14ac:dyDescent="0.3">
      <c r="A6134" s="26">
        <v>45258</v>
      </c>
      <c r="B6134" s="27" t="s">
        <v>125</v>
      </c>
      <c r="C6134" s="27" t="s">
        <v>10</v>
      </c>
      <c r="D6134" s="27" t="s">
        <v>21</v>
      </c>
      <c r="E6134" s="28">
        <v>142698</v>
      </c>
      <c r="F6134" s="28">
        <v>106736</v>
      </c>
      <c r="G6134" s="27" t="s">
        <v>22</v>
      </c>
      <c r="H6134" s="27" t="s">
        <v>2000</v>
      </c>
      <c r="I6134" s="27" t="s">
        <v>13</v>
      </c>
    </row>
    <row r="6135" spans="1:9" x14ac:dyDescent="0.3">
      <c r="A6135" s="26">
        <v>45258</v>
      </c>
      <c r="B6135" s="27" t="s">
        <v>125</v>
      </c>
      <c r="C6135" s="27" t="s">
        <v>14</v>
      </c>
      <c r="D6135" s="27" t="s">
        <v>7</v>
      </c>
      <c r="E6135" s="28">
        <v>149279</v>
      </c>
      <c r="F6135" s="28">
        <v>87298</v>
      </c>
      <c r="G6135" s="27" t="s">
        <v>11</v>
      </c>
      <c r="H6135" s="27" t="s">
        <v>2795</v>
      </c>
      <c r="I6135" s="27" t="s">
        <v>13</v>
      </c>
    </row>
    <row r="6136" spans="1:9" x14ac:dyDescent="0.3">
      <c r="A6136" s="26">
        <v>45258</v>
      </c>
      <c r="B6136" s="27" t="s">
        <v>125</v>
      </c>
      <c r="C6136" s="27" t="s">
        <v>18</v>
      </c>
      <c r="D6136" s="27" t="s">
        <v>16</v>
      </c>
      <c r="E6136" s="28">
        <v>107412</v>
      </c>
      <c r="F6136" s="28">
        <v>85885</v>
      </c>
      <c r="G6136" s="27" t="s">
        <v>11</v>
      </c>
      <c r="H6136" s="27" t="s">
        <v>2902</v>
      </c>
      <c r="I6136" s="27" t="s">
        <v>13</v>
      </c>
    </row>
    <row r="6137" spans="1:9" x14ac:dyDescent="0.3">
      <c r="A6137" s="26">
        <v>45258</v>
      </c>
      <c r="B6137" s="27" t="s">
        <v>125</v>
      </c>
      <c r="C6137" s="27" t="s">
        <v>6</v>
      </c>
      <c r="D6137" s="27" t="s">
        <v>7</v>
      </c>
      <c r="E6137" s="28">
        <v>108800</v>
      </c>
      <c r="F6137" s="28">
        <v>135200</v>
      </c>
      <c r="G6137" s="27" t="s">
        <v>22</v>
      </c>
      <c r="H6137" s="27" t="s">
        <v>4497</v>
      </c>
      <c r="I6137" s="27" t="s">
        <v>9</v>
      </c>
    </row>
    <row r="6138" spans="1:9" x14ac:dyDescent="0.3">
      <c r="A6138" s="26">
        <v>45258</v>
      </c>
      <c r="B6138" s="27" t="s">
        <v>125</v>
      </c>
      <c r="C6138" s="27" t="s">
        <v>93</v>
      </c>
      <c r="D6138" s="27" t="s">
        <v>21</v>
      </c>
      <c r="E6138" s="28">
        <v>131100</v>
      </c>
      <c r="F6138" s="28">
        <v>144700</v>
      </c>
      <c r="G6138" s="27" t="s">
        <v>11</v>
      </c>
      <c r="H6138" s="27" t="s">
        <v>4585</v>
      </c>
      <c r="I6138" s="27" t="s">
        <v>9</v>
      </c>
    </row>
    <row r="6139" spans="1:9" x14ac:dyDescent="0.3">
      <c r="A6139" s="26">
        <v>45258</v>
      </c>
      <c r="B6139" s="27" t="s">
        <v>125</v>
      </c>
      <c r="C6139" s="27" t="s">
        <v>93</v>
      </c>
      <c r="D6139" s="27" t="s">
        <v>7</v>
      </c>
      <c r="E6139" s="28">
        <v>94100</v>
      </c>
      <c r="F6139" s="28">
        <v>57600</v>
      </c>
      <c r="G6139" s="27" t="s">
        <v>11</v>
      </c>
      <c r="H6139" s="27" t="s">
        <v>4746</v>
      </c>
      <c r="I6139" s="27" t="s">
        <v>9</v>
      </c>
    </row>
    <row r="6140" spans="1:9" x14ac:dyDescent="0.3">
      <c r="A6140" s="26">
        <v>45258</v>
      </c>
      <c r="B6140" s="27" t="s">
        <v>125</v>
      </c>
      <c r="C6140" s="27" t="s">
        <v>93</v>
      </c>
      <c r="D6140" s="27" t="s">
        <v>21</v>
      </c>
      <c r="E6140" s="28">
        <v>170900</v>
      </c>
      <c r="F6140" s="28">
        <v>191200</v>
      </c>
      <c r="G6140" s="27" t="s">
        <v>17</v>
      </c>
      <c r="H6140" s="27" t="s">
        <v>5384</v>
      </c>
      <c r="I6140" s="27" t="s">
        <v>9</v>
      </c>
    </row>
    <row r="6141" spans="1:9" x14ac:dyDescent="0.3">
      <c r="A6141" s="26">
        <v>45258</v>
      </c>
      <c r="B6141" s="27" t="s">
        <v>125</v>
      </c>
      <c r="C6141" s="27" t="s">
        <v>93</v>
      </c>
      <c r="D6141" s="27" t="s">
        <v>7</v>
      </c>
      <c r="E6141" s="28">
        <v>89000</v>
      </c>
      <c r="F6141" s="28">
        <v>81700</v>
      </c>
      <c r="G6141" s="27" t="s">
        <v>11</v>
      </c>
      <c r="H6141" s="27" t="s">
        <v>6180</v>
      </c>
      <c r="I6141" s="27" t="s">
        <v>9</v>
      </c>
    </row>
    <row r="6142" spans="1:9" x14ac:dyDescent="0.3">
      <c r="A6142" s="26">
        <v>45258</v>
      </c>
      <c r="B6142" s="27" t="s">
        <v>125</v>
      </c>
      <c r="C6142" s="27" t="s">
        <v>93</v>
      </c>
      <c r="D6142" s="27" t="s">
        <v>16</v>
      </c>
      <c r="E6142" s="28">
        <v>96300</v>
      </c>
      <c r="F6142" s="28">
        <v>115000</v>
      </c>
      <c r="G6142" s="27" t="s">
        <v>11</v>
      </c>
      <c r="H6142" s="27" t="s">
        <v>6287</v>
      </c>
      <c r="I6142" s="27" t="s">
        <v>9</v>
      </c>
    </row>
    <row r="6143" spans="1:9" x14ac:dyDescent="0.3">
      <c r="A6143" s="26">
        <v>45259</v>
      </c>
      <c r="B6143" s="27" t="s">
        <v>125</v>
      </c>
      <c r="C6143" s="27" t="s">
        <v>15</v>
      </c>
      <c r="D6143" s="27" t="s">
        <v>16</v>
      </c>
      <c r="E6143" s="28">
        <v>64351</v>
      </c>
      <c r="F6143" s="28">
        <v>64261</v>
      </c>
      <c r="G6143" s="27" t="s">
        <v>11</v>
      </c>
      <c r="H6143" s="27" t="s">
        <v>153</v>
      </c>
      <c r="I6143" s="27" t="s">
        <v>13</v>
      </c>
    </row>
    <row r="6144" spans="1:9" x14ac:dyDescent="0.3">
      <c r="A6144" s="26">
        <v>45259</v>
      </c>
      <c r="B6144" s="27" t="s">
        <v>125</v>
      </c>
      <c r="C6144" s="27" t="s">
        <v>14</v>
      </c>
      <c r="D6144" s="27" t="s">
        <v>24</v>
      </c>
      <c r="E6144" s="28">
        <v>90567</v>
      </c>
      <c r="F6144" s="28">
        <v>41136</v>
      </c>
      <c r="G6144" s="27" t="s">
        <v>17</v>
      </c>
      <c r="H6144" s="27" t="s">
        <v>223</v>
      </c>
      <c r="I6144" s="27" t="s">
        <v>13</v>
      </c>
    </row>
    <row r="6145" spans="1:9" x14ac:dyDescent="0.3">
      <c r="A6145" s="26">
        <v>45259</v>
      </c>
      <c r="B6145" s="27" t="s">
        <v>125</v>
      </c>
      <c r="C6145" s="27" t="s">
        <v>32</v>
      </c>
      <c r="D6145" s="27" t="s">
        <v>21</v>
      </c>
      <c r="E6145" s="28">
        <v>104317</v>
      </c>
      <c r="F6145" s="28">
        <v>90728</v>
      </c>
      <c r="G6145" s="27" t="s">
        <v>22</v>
      </c>
      <c r="H6145" s="27" t="s">
        <v>317</v>
      </c>
      <c r="I6145" s="27" t="s">
        <v>13</v>
      </c>
    </row>
    <row r="6146" spans="1:9" x14ac:dyDescent="0.3">
      <c r="A6146" s="26">
        <v>45259</v>
      </c>
      <c r="B6146" s="27" t="s">
        <v>125</v>
      </c>
      <c r="C6146" s="27" t="s">
        <v>18</v>
      </c>
      <c r="D6146" s="27" t="s">
        <v>19</v>
      </c>
      <c r="E6146" s="28">
        <v>113988</v>
      </c>
      <c r="F6146" s="28">
        <v>97482</v>
      </c>
      <c r="G6146" s="27" t="s">
        <v>17</v>
      </c>
      <c r="H6146" s="27" t="s">
        <v>348</v>
      </c>
      <c r="I6146" s="27" t="s">
        <v>13</v>
      </c>
    </row>
    <row r="6147" spans="1:9" x14ac:dyDescent="0.3">
      <c r="A6147" s="26">
        <v>45259</v>
      </c>
      <c r="B6147" s="27" t="s">
        <v>125</v>
      </c>
      <c r="C6147" s="27" t="s">
        <v>14</v>
      </c>
      <c r="D6147" s="27" t="s">
        <v>16</v>
      </c>
      <c r="E6147" s="28">
        <v>15846</v>
      </c>
      <c r="F6147" s="28">
        <v>23767</v>
      </c>
      <c r="G6147" s="27" t="s">
        <v>17</v>
      </c>
      <c r="H6147" s="27" t="s">
        <v>445</v>
      </c>
      <c r="I6147" s="27" t="s">
        <v>13</v>
      </c>
    </row>
    <row r="6148" spans="1:9" x14ac:dyDescent="0.3">
      <c r="A6148" s="26">
        <v>45259</v>
      </c>
      <c r="B6148" s="27" t="s">
        <v>125</v>
      </c>
      <c r="C6148" s="27" t="s">
        <v>18</v>
      </c>
      <c r="D6148" s="27" t="s">
        <v>21</v>
      </c>
      <c r="E6148" s="28">
        <v>43645</v>
      </c>
      <c r="F6148" s="28">
        <v>97359</v>
      </c>
      <c r="G6148" s="27" t="s">
        <v>17</v>
      </c>
      <c r="H6148" s="27" t="s">
        <v>470</v>
      </c>
      <c r="I6148" s="27" t="s">
        <v>13</v>
      </c>
    </row>
    <row r="6149" spans="1:9" x14ac:dyDescent="0.3">
      <c r="A6149" s="26">
        <v>45259</v>
      </c>
      <c r="B6149" s="27" t="s">
        <v>125</v>
      </c>
      <c r="C6149" s="27" t="s">
        <v>32</v>
      </c>
      <c r="D6149" s="27" t="s">
        <v>16</v>
      </c>
      <c r="E6149" s="28">
        <v>116298</v>
      </c>
      <c r="F6149" s="28">
        <v>108254</v>
      </c>
      <c r="G6149" s="27" t="s">
        <v>17</v>
      </c>
      <c r="H6149" s="27" t="s">
        <v>614</v>
      </c>
      <c r="I6149" s="27" t="s">
        <v>13</v>
      </c>
    </row>
    <row r="6150" spans="1:9" x14ac:dyDescent="0.3">
      <c r="A6150" s="26">
        <v>45259</v>
      </c>
      <c r="B6150" s="27" t="s">
        <v>125</v>
      </c>
      <c r="C6150" s="27" t="s">
        <v>10</v>
      </c>
      <c r="D6150" s="27" t="s">
        <v>16</v>
      </c>
      <c r="E6150" s="28">
        <v>50080</v>
      </c>
      <c r="F6150" s="28">
        <v>83738</v>
      </c>
      <c r="G6150" s="27" t="s">
        <v>22</v>
      </c>
      <c r="H6150" s="27" t="s">
        <v>657</v>
      </c>
      <c r="I6150" s="27" t="s">
        <v>13</v>
      </c>
    </row>
    <row r="6151" spans="1:9" x14ac:dyDescent="0.3">
      <c r="A6151" s="26">
        <v>45259</v>
      </c>
      <c r="B6151" s="27" t="s">
        <v>125</v>
      </c>
      <c r="C6151" s="27" t="s">
        <v>20</v>
      </c>
      <c r="D6151" s="27" t="s">
        <v>21</v>
      </c>
      <c r="E6151" s="28">
        <v>12380</v>
      </c>
      <c r="F6151" s="28">
        <v>124210</v>
      </c>
      <c r="G6151" s="27" t="s">
        <v>22</v>
      </c>
      <c r="H6151" s="27" t="s">
        <v>1086</v>
      </c>
      <c r="I6151" s="27" t="s">
        <v>13</v>
      </c>
    </row>
    <row r="6152" spans="1:9" x14ac:dyDescent="0.3">
      <c r="A6152" s="26">
        <v>45259</v>
      </c>
      <c r="B6152" s="27" t="s">
        <v>125</v>
      </c>
      <c r="C6152" s="27" t="s">
        <v>20</v>
      </c>
      <c r="D6152" s="27" t="s">
        <v>19</v>
      </c>
      <c r="E6152" s="28">
        <v>58393</v>
      </c>
      <c r="F6152" s="28">
        <v>36356</v>
      </c>
      <c r="G6152" s="27" t="s">
        <v>22</v>
      </c>
      <c r="H6152" s="27" t="s">
        <v>1216</v>
      </c>
      <c r="I6152" s="27" t="s">
        <v>13</v>
      </c>
    </row>
    <row r="6153" spans="1:9" x14ac:dyDescent="0.3">
      <c r="A6153" s="26">
        <v>45259</v>
      </c>
      <c r="B6153" s="27" t="s">
        <v>125</v>
      </c>
      <c r="C6153" s="27" t="s">
        <v>14</v>
      </c>
      <c r="D6153" s="27" t="s">
        <v>24</v>
      </c>
      <c r="E6153" s="28">
        <v>36738</v>
      </c>
      <c r="F6153" s="28">
        <v>8072</v>
      </c>
      <c r="G6153" s="27" t="s">
        <v>17</v>
      </c>
      <c r="H6153" s="27" t="s">
        <v>1561</v>
      </c>
      <c r="I6153" s="27" t="s">
        <v>13</v>
      </c>
    </row>
    <row r="6154" spans="1:9" x14ac:dyDescent="0.3">
      <c r="A6154" s="26">
        <v>45259</v>
      </c>
      <c r="B6154" s="27" t="s">
        <v>125</v>
      </c>
      <c r="C6154" s="27" t="s">
        <v>14</v>
      </c>
      <c r="D6154" s="27" t="s">
        <v>7</v>
      </c>
      <c r="E6154" s="28">
        <v>20357</v>
      </c>
      <c r="F6154" s="28">
        <v>126523</v>
      </c>
      <c r="G6154" s="27" t="s">
        <v>17</v>
      </c>
      <c r="H6154" s="27" t="s">
        <v>1617</v>
      </c>
      <c r="I6154" s="27" t="s">
        <v>13</v>
      </c>
    </row>
    <row r="6155" spans="1:9" x14ac:dyDescent="0.3">
      <c r="A6155" s="26">
        <v>45259</v>
      </c>
      <c r="B6155" s="27" t="s">
        <v>125</v>
      </c>
      <c r="C6155" s="27" t="s">
        <v>10</v>
      </c>
      <c r="D6155" s="27" t="s">
        <v>16</v>
      </c>
      <c r="E6155" s="28">
        <v>59456</v>
      </c>
      <c r="F6155" s="28">
        <v>145892</v>
      </c>
      <c r="G6155" s="27" t="s">
        <v>8</v>
      </c>
      <c r="H6155" s="27" t="s">
        <v>2042</v>
      </c>
      <c r="I6155" s="27" t="s">
        <v>13</v>
      </c>
    </row>
    <row r="6156" spans="1:9" x14ac:dyDescent="0.3">
      <c r="A6156" s="26">
        <v>45259</v>
      </c>
      <c r="B6156" s="27" t="s">
        <v>125</v>
      </c>
      <c r="C6156" s="27" t="s">
        <v>20</v>
      </c>
      <c r="D6156" s="27" t="s">
        <v>7</v>
      </c>
      <c r="E6156" s="28">
        <v>50435</v>
      </c>
      <c r="F6156" s="28">
        <v>107407</v>
      </c>
      <c r="G6156" s="27" t="s">
        <v>11</v>
      </c>
      <c r="H6156" s="27" t="s">
        <v>2098</v>
      </c>
      <c r="I6156" s="27" t="s">
        <v>13</v>
      </c>
    </row>
    <row r="6157" spans="1:9" x14ac:dyDescent="0.3">
      <c r="A6157" s="26">
        <v>45259</v>
      </c>
      <c r="B6157" s="27" t="s">
        <v>125</v>
      </c>
      <c r="C6157" s="27" t="s">
        <v>18</v>
      </c>
      <c r="D6157" s="27" t="s">
        <v>24</v>
      </c>
      <c r="E6157" s="28">
        <v>27851</v>
      </c>
      <c r="F6157" s="28">
        <v>115212</v>
      </c>
      <c r="G6157" s="27" t="s">
        <v>17</v>
      </c>
      <c r="H6157" s="27" t="s">
        <v>2310</v>
      </c>
      <c r="I6157" s="27" t="s">
        <v>13</v>
      </c>
    </row>
    <row r="6158" spans="1:9" x14ac:dyDescent="0.3">
      <c r="A6158" s="26">
        <v>45259</v>
      </c>
      <c r="B6158" s="27" t="s">
        <v>125</v>
      </c>
      <c r="C6158" s="27" t="s">
        <v>15</v>
      </c>
      <c r="D6158" s="27" t="s">
        <v>24</v>
      </c>
      <c r="E6158" s="28">
        <v>54055</v>
      </c>
      <c r="F6158" s="28">
        <v>119345</v>
      </c>
      <c r="G6158" s="27" t="s">
        <v>8</v>
      </c>
      <c r="H6158" s="27" t="s">
        <v>2754</v>
      </c>
      <c r="I6158" s="27" t="s">
        <v>13</v>
      </c>
    </row>
    <row r="6159" spans="1:9" x14ac:dyDescent="0.3">
      <c r="A6159" s="26">
        <v>45259</v>
      </c>
      <c r="B6159" s="27" t="s">
        <v>125</v>
      </c>
      <c r="C6159" s="27" t="s">
        <v>20</v>
      </c>
      <c r="D6159" s="27" t="s">
        <v>16</v>
      </c>
      <c r="E6159" s="28">
        <v>120370</v>
      </c>
      <c r="F6159" s="28">
        <v>90220</v>
      </c>
      <c r="G6159" s="27" t="s">
        <v>17</v>
      </c>
      <c r="H6159" s="27" t="s">
        <v>2977</v>
      </c>
      <c r="I6159" s="27" t="s">
        <v>13</v>
      </c>
    </row>
    <row r="6160" spans="1:9" x14ac:dyDescent="0.3">
      <c r="A6160" s="26">
        <v>45259</v>
      </c>
      <c r="B6160" s="27" t="s">
        <v>125</v>
      </c>
      <c r="C6160" s="27" t="s">
        <v>20</v>
      </c>
      <c r="D6160" s="27" t="s">
        <v>21</v>
      </c>
      <c r="E6160" s="28">
        <v>83129</v>
      </c>
      <c r="F6160" s="28">
        <v>19036</v>
      </c>
      <c r="G6160" s="27" t="s">
        <v>22</v>
      </c>
      <c r="H6160" s="27" t="s">
        <v>3114</v>
      </c>
      <c r="I6160" s="27" t="s">
        <v>13</v>
      </c>
    </row>
    <row r="6161" spans="1:9" x14ac:dyDescent="0.3">
      <c r="A6161" s="26">
        <v>45259</v>
      </c>
      <c r="B6161" s="27" t="s">
        <v>125</v>
      </c>
      <c r="C6161" s="27" t="s">
        <v>93</v>
      </c>
      <c r="D6161" s="27" t="s">
        <v>16</v>
      </c>
      <c r="E6161" s="28">
        <v>226700</v>
      </c>
      <c r="F6161" s="28">
        <v>229900</v>
      </c>
      <c r="G6161" s="27" t="s">
        <v>11</v>
      </c>
      <c r="H6161" s="27" t="s">
        <v>3534</v>
      </c>
      <c r="I6161" s="27" t="s">
        <v>9</v>
      </c>
    </row>
    <row r="6162" spans="1:9" x14ac:dyDescent="0.3">
      <c r="A6162" s="26">
        <v>45259</v>
      </c>
      <c r="B6162" s="27" t="s">
        <v>125</v>
      </c>
      <c r="C6162" s="27" t="s">
        <v>6</v>
      </c>
      <c r="D6162" s="27" t="s">
        <v>24</v>
      </c>
      <c r="E6162" s="28">
        <v>102900</v>
      </c>
      <c r="F6162" s="28">
        <v>94700</v>
      </c>
      <c r="G6162" s="27" t="s">
        <v>17</v>
      </c>
      <c r="H6162" s="27" t="s">
        <v>3604</v>
      </c>
      <c r="I6162" s="27" t="s">
        <v>9</v>
      </c>
    </row>
    <row r="6163" spans="1:9" x14ac:dyDescent="0.3">
      <c r="A6163" s="26">
        <v>45259</v>
      </c>
      <c r="B6163" s="27" t="s">
        <v>125</v>
      </c>
      <c r="C6163" s="27" t="s">
        <v>6</v>
      </c>
      <c r="D6163" s="27" t="s">
        <v>21</v>
      </c>
      <c r="E6163" s="28">
        <v>122300</v>
      </c>
      <c r="F6163" s="28">
        <v>134000</v>
      </c>
      <c r="G6163" s="27" t="s">
        <v>11</v>
      </c>
      <c r="H6163" s="27" t="s">
        <v>3698</v>
      </c>
      <c r="I6163" s="27" t="s">
        <v>9</v>
      </c>
    </row>
    <row r="6164" spans="1:9" x14ac:dyDescent="0.3">
      <c r="A6164" s="26">
        <v>45259</v>
      </c>
      <c r="B6164" s="27" t="s">
        <v>125</v>
      </c>
      <c r="C6164" s="27" t="s">
        <v>93</v>
      </c>
      <c r="D6164" s="27" t="s">
        <v>19</v>
      </c>
      <c r="E6164" s="28">
        <v>74500</v>
      </c>
      <c r="F6164" s="28">
        <v>92400</v>
      </c>
      <c r="G6164" s="27" t="s">
        <v>11</v>
      </c>
      <c r="H6164" s="27" t="s">
        <v>3729</v>
      </c>
      <c r="I6164" s="27" t="s">
        <v>9</v>
      </c>
    </row>
    <row r="6165" spans="1:9" x14ac:dyDescent="0.3">
      <c r="A6165" s="26">
        <v>45259</v>
      </c>
      <c r="B6165" s="27" t="s">
        <v>125</v>
      </c>
      <c r="C6165" s="27" t="s">
        <v>93</v>
      </c>
      <c r="D6165" s="27" t="s">
        <v>16</v>
      </c>
      <c r="E6165" s="28">
        <v>181200</v>
      </c>
      <c r="F6165" s="28">
        <v>242600</v>
      </c>
      <c r="G6165" s="27" t="s">
        <v>11</v>
      </c>
      <c r="H6165" s="27" t="s">
        <v>3826</v>
      </c>
      <c r="I6165" s="27" t="s">
        <v>9</v>
      </c>
    </row>
    <row r="6166" spans="1:9" x14ac:dyDescent="0.3">
      <c r="A6166" s="26">
        <v>45259</v>
      </c>
      <c r="B6166" s="27" t="s">
        <v>125</v>
      </c>
      <c r="C6166" s="27" t="s">
        <v>6</v>
      </c>
      <c r="D6166" s="27" t="s">
        <v>21</v>
      </c>
      <c r="E6166" s="28">
        <v>121100</v>
      </c>
      <c r="F6166" s="28">
        <v>145300</v>
      </c>
      <c r="G6166" s="27" t="s">
        <v>11</v>
      </c>
      <c r="H6166" s="27" t="s">
        <v>3851</v>
      </c>
      <c r="I6166" s="27" t="s">
        <v>9</v>
      </c>
    </row>
    <row r="6167" spans="1:9" x14ac:dyDescent="0.3">
      <c r="A6167" s="26">
        <v>45259</v>
      </c>
      <c r="B6167" s="27" t="s">
        <v>125</v>
      </c>
      <c r="C6167" s="27" t="s">
        <v>6</v>
      </c>
      <c r="D6167" s="27" t="s">
        <v>16</v>
      </c>
      <c r="E6167" s="28">
        <v>116000</v>
      </c>
      <c r="F6167" s="28">
        <v>125200</v>
      </c>
      <c r="G6167" s="27" t="s">
        <v>11</v>
      </c>
      <c r="H6167" s="27" t="s">
        <v>3995</v>
      </c>
      <c r="I6167" s="27" t="s">
        <v>9</v>
      </c>
    </row>
    <row r="6168" spans="1:9" x14ac:dyDescent="0.3">
      <c r="A6168" s="26">
        <v>45259</v>
      </c>
      <c r="B6168" s="27" t="s">
        <v>125</v>
      </c>
      <c r="C6168" s="27" t="s">
        <v>93</v>
      </c>
      <c r="D6168" s="27" t="s">
        <v>16</v>
      </c>
      <c r="E6168" s="28">
        <v>158600</v>
      </c>
      <c r="F6168" s="28">
        <v>144000</v>
      </c>
      <c r="G6168" s="27" t="s">
        <v>11</v>
      </c>
      <c r="H6168" s="27" t="s">
        <v>4038</v>
      </c>
      <c r="I6168" s="27" t="s">
        <v>9</v>
      </c>
    </row>
    <row r="6169" spans="1:9" x14ac:dyDescent="0.3">
      <c r="A6169" s="26">
        <v>45259</v>
      </c>
      <c r="B6169" s="27" t="s">
        <v>125</v>
      </c>
      <c r="C6169" s="27" t="s">
        <v>6</v>
      </c>
      <c r="D6169" s="27" t="s">
        <v>21</v>
      </c>
      <c r="E6169" s="28">
        <v>151900</v>
      </c>
      <c r="F6169" s="28">
        <v>146100</v>
      </c>
      <c r="G6169" s="27" t="s">
        <v>22</v>
      </c>
      <c r="H6169" s="27" t="s">
        <v>4468</v>
      </c>
      <c r="I6169" s="27" t="s">
        <v>9</v>
      </c>
    </row>
    <row r="6170" spans="1:9" x14ac:dyDescent="0.3">
      <c r="A6170" s="26">
        <v>45259</v>
      </c>
      <c r="B6170" s="27" t="s">
        <v>125</v>
      </c>
      <c r="C6170" s="27" t="s">
        <v>6</v>
      </c>
      <c r="D6170" s="27" t="s">
        <v>19</v>
      </c>
      <c r="E6170" s="28">
        <v>127500</v>
      </c>
      <c r="F6170" s="28">
        <v>107400</v>
      </c>
      <c r="G6170" s="27" t="s">
        <v>11</v>
      </c>
      <c r="H6170" s="27" t="s">
        <v>4599</v>
      </c>
      <c r="I6170" s="27" t="s">
        <v>9</v>
      </c>
    </row>
    <row r="6171" spans="1:9" x14ac:dyDescent="0.3">
      <c r="A6171" s="26">
        <v>45259</v>
      </c>
      <c r="B6171" s="27" t="s">
        <v>125</v>
      </c>
      <c r="C6171" s="27" t="s">
        <v>6</v>
      </c>
      <c r="D6171" s="27" t="s">
        <v>24</v>
      </c>
      <c r="E6171" s="28">
        <v>81100</v>
      </c>
      <c r="F6171" s="28">
        <v>90200</v>
      </c>
      <c r="G6171" s="27" t="s">
        <v>22</v>
      </c>
      <c r="H6171" s="27" t="s">
        <v>4944</v>
      </c>
      <c r="I6171" s="27" t="s">
        <v>9</v>
      </c>
    </row>
    <row r="6172" spans="1:9" x14ac:dyDescent="0.3">
      <c r="A6172" s="26">
        <v>45259</v>
      </c>
      <c r="B6172" s="27" t="s">
        <v>125</v>
      </c>
      <c r="C6172" s="27" t="s">
        <v>93</v>
      </c>
      <c r="D6172" s="27" t="s">
        <v>7</v>
      </c>
      <c r="E6172" s="28">
        <v>96700</v>
      </c>
      <c r="F6172" s="28">
        <v>93100</v>
      </c>
      <c r="G6172" s="27" t="s">
        <v>11</v>
      </c>
      <c r="H6172" s="27" t="s">
        <v>5000</v>
      </c>
      <c r="I6172" s="27" t="s">
        <v>9</v>
      </c>
    </row>
    <row r="6173" spans="1:9" x14ac:dyDescent="0.3">
      <c r="A6173" s="26">
        <v>45259</v>
      </c>
      <c r="B6173" s="27" t="s">
        <v>125</v>
      </c>
      <c r="C6173" s="27" t="s">
        <v>93</v>
      </c>
      <c r="D6173" s="27" t="s">
        <v>16</v>
      </c>
      <c r="E6173" s="28">
        <v>106900</v>
      </c>
      <c r="F6173" s="28">
        <v>112400</v>
      </c>
      <c r="G6173" s="27" t="s">
        <v>17</v>
      </c>
      <c r="H6173" s="27" t="s">
        <v>5426</v>
      </c>
      <c r="I6173" s="27" t="s">
        <v>9</v>
      </c>
    </row>
    <row r="6174" spans="1:9" x14ac:dyDescent="0.3">
      <c r="A6174" s="26">
        <v>45259</v>
      </c>
      <c r="B6174" s="27" t="s">
        <v>125</v>
      </c>
      <c r="C6174" s="27" t="s">
        <v>93</v>
      </c>
      <c r="D6174" s="27" t="s">
        <v>7</v>
      </c>
      <c r="E6174" s="28">
        <v>213200</v>
      </c>
      <c r="F6174" s="28">
        <v>229400</v>
      </c>
      <c r="G6174" s="27" t="s">
        <v>11</v>
      </c>
      <c r="H6174" s="27" t="s">
        <v>5482</v>
      </c>
      <c r="I6174" s="27" t="s">
        <v>9</v>
      </c>
    </row>
    <row r="6175" spans="1:9" x14ac:dyDescent="0.3">
      <c r="A6175" s="26">
        <v>45259</v>
      </c>
      <c r="B6175" s="27" t="s">
        <v>125</v>
      </c>
      <c r="C6175" s="27" t="s">
        <v>93</v>
      </c>
      <c r="D6175" s="27" t="s">
        <v>24</v>
      </c>
      <c r="E6175" s="28">
        <v>271700</v>
      </c>
      <c r="F6175" s="28">
        <v>317000</v>
      </c>
      <c r="G6175" s="27" t="s">
        <v>17</v>
      </c>
      <c r="H6175" s="27" t="s">
        <v>5695</v>
      </c>
      <c r="I6175" s="27" t="s">
        <v>9</v>
      </c>
    </row>
    <row r="6176" spans="1:9" x14ac:dyDescent="0.3">
      <c r="A6176" s="26">
        <v>45259</v>
      </c>
      <c r="B6176" s="27" t="s">
        <v>125</v>
      </c>
      <c r="C6176" s="27" t="s">
        <v>93</v>
      </c>
      <c r="D6176" s="27" t="s">
        <v>24</v>
      </c>
      <c r="E6176" s="28">
        <v>96700</v>
      </c>
      <c r="F6176" s="28">
        <v>88400</v>
      </c>
      <c r="G6176" s="27" t="s">
        <v>11</v>
      </c>
      <c r="H6176" s="27" t="s">
        <v>6139</v>
      </c>
      <c r="I6176" s="27" t="s">
        <v>9</v>
      </c>
    </row>
    <row r="6177" spans="1:9" x14ac:dyDescent="0.3">
      <c r="A6177" s="26">
        <v>45259</v>
      </c>
      <c r="B6177" s="27" t="s">
        <v>125</v>
      </c>
      <c r="C6177" s="27" t="s">
        <v>93</v>
      </c>
      <c r="D6177" s="27" t="s">
        <v>16</v>
      </c>
      <c r="E6177" s="28">
        <v>60200</v>
      </c>
      <c r="F6177" s="28">
        <v>54300</v>
      </c>
      <c r="G6177" s="27" t="s">
        <v>11</v>
      </c>
      <c r="H6177" s="27" t="s">
        <v>6362</v>
      </c>
      <c r="I6177" s="27" t="s">
        <v>9</v>
      </c>
    </row>
    <row r="6178" spans="1:9" x14ac:dyDescent="0.3">
      <c r="A6178" s="26">
        <v>45259</v>
      </c>
      <c r="B6178" s="27" t="s">
        <v>125</v>
      </c>
      <c r="C6178" s="27" t="s">
        <v>6</v>
      </c>
      <c r="D6178" s="27" t="s">
        <v>21</v>
      </c>
      <c r="E6178" s="28">
        <v>151300</v>
      </c>
      <c r="F6178" s="28">
        <v>162100</v>
      </c>
      <c r="G6178" s="27" t="s">
        <v>22</v>
      </c>
      <c r="H6178" s="27" t="s">
        <v>6499</v>
      </c>
      <c r="I6178" s="27" t="s">
        <v>9</v>
      </c>
    </row>
    <row r="6179" spans="1:9" x14ac:dyDescent="0.3">
      <c r="A6179" s="26">
        <v>45260</v>
      </c>
      <c r="B6179" s="27" t="s">
        <v>125</v>
      </c>
      <c r="C6179" s="27" t="s">
        <v>15</v>
      </c>
      <c r="D6179" s="27" t="s">
        <v>24</v>
      </c>
      <c r="E6179" s="28">
        <v>84426</v>
      </c>
      <c r="F6179" s="28">
        <v>143537</v>
      </c>
      <c r="G6179" s="27" t="s">
        <v>22</v>
      </c>
      <c r="H6179" s="27" t="s">
        <v>325</v>
      </c>
      <c r="I6179" s="27" t="s">
        <v>13</v>
      </c>
    </row>
    <row r="6180" spans="1:9" x14ac:dyDescent="0.3">
      <c r="A6180" s="26">
        <v>45260</v>
      </c>
      <c r="B6180" s="27" t="s">
        <v>125</v>
      </c>
      <c r="C6180" s="27" t="s">
        <v>14</v>
      </c>
      <c r="D6180" s="27" t="s">
        <v>7</v>
      </c>
      <c r="E6180" s="28">
        <v>116405</v>
      </c>
      <c r="F6180" s="28">
        <v>10112</v>
      </c>
      <c r="G6180" s="27" t="s">
        <v>22</v>
      </c>
      <c r="H6180" s="27" t="s">
        <v>503</v>
      </c>
      <c r="I6180" s="27" t="s">
        <v>13</v>
      </c>
    </row>
    <row r="6181" spans="1:9" x14ac:dyDescent="0.3">
      <c r="A6181" s="26">
        <v>45260</v>
      </c>
      <c r="B6181" s="27" t="s">
        <v>125</v>
      </c>
      <c r="C6181" s="27" t="s">
        <v>15</v>
      </c>
      <c r="D6181" s="27" t="s">
        <v>16</v>
      </c>
      <c r="E6181" s="28">
        <v>25136</v>
      </c>
      <c r="F6181" s="28">
        <v>58732</v>
      </c>
      <c r="G6181" s="27" t="s">
        <v>22</v>
      </c>
      <c r="H6181" s="27" t="s">
        <v>504</v>
      </c>
      <c r="I6181" s="27" t="s">
        <v>13</v>
      </c>
    </row>
    <row r="6182" spans="1:9" x14ac:dyDescent="0.3">
      <c r="A6182" s="26">
        <v>45260</v>
      </c>
      <c r="B6182" s="27" t="s">
        <v>125</v>
      </c>
      <c r="C6182" s="27" t="s">
        <v>15</v>
      </c>
      <c r="D6182" s="27" t="s">
        <v>7</v>
      </c>
      <c r="E6182" s="28">
        <v>113665</v>
      </c>
      <c r="F6182" s="28">
        <v>86761</v>
      </c>
      <c r="G6182" s="27" t="s">
        <v>11</v>
      </c>
      <c r="H6182" s="27" t="s">
        <v>1265</v>
      </c>
      <c r="I6182" s="27" t="s">
        <v>13</v>
      </c>
    </row>
    <row r="6183" spans="1:9" x14ac:dyDescent="0.3">
      <c r="A6183" s="26">
        <v>45260</v>
      </c>
      <c r="B6183" s="27" t="s">
        <v>125</v>
      </c>
      <c r="C6183" s="27" t="s">
        <v>14</v>
      </c>
      <c r="D6183" s="27" t="s">
        <v>24</v>
      </c>
      <c r="E6183" s="28">
        <v>148578</v>
      </c>
      <c r="F6183" s="28">
        <v>157450</v>
      </c>
      <c r="G6183" s="27" t="s">
        <v>22</v>
      </c>
      <c r="H6183" s="27" t="s">
        <v>1912</v>
      </c>
      <c r="I6183" s="27" t="s">
        <v>13</v>
      </c>
    </row>
    <row r="6184" spans="1:9" x14ac:dyDescent="0.3">
      <c r="A6184" s="26">
        <v>45260</v>
      </c>
      <c r="B6184" s="27" t="s">
        <v>125</v>
      </c>
      <c r="C6184" s="27" t="s">
        <v>18</v>
      </c>
      <c r="D6184" s="27" t="s">
        <v>24</v>
      </c>
      <c r="E6184" s="28">
        <v>58717</v>
      </c>
      <c r="F6184" s="28">
        <v>121032</v>
      </c>
      <c r="G6184" s="27" t="s">
        <v>11</v>
      </c>
      <c r="H6184" s="27" t="s">
        <v>2854</v>
      </c>
      <c r="I6184" s="27" t="s">
        <v>13</v>
      </c>
    </row>
    <row r="6185" spans="1:9" x14ac:dyDescent="0.3">
      <c r="A6185" s="26">
        <v>45260</v>
      </c>
      <c r="B6185" s="27" t="s">
        <v>125</v>
      </c>
      <c r="C6185" s="27" t="s">
        <v>10</v>
      </c>
      <c r="D6185" s="27" t="s">
        <v>24</v>
      </c>
      <c r="E6185" s="28">
        <v>82103</v>
      </c>
      <c r="F6185" s="28">
        <v>26897</v>
      </c>
      <c r="G6185" s="27" t="s">
        <v>22</v>
      </c>
      <c r="H6185" s="27" t="s">
        <v>3263</v>
      </c>
      <c r="I6185" s="27" t="s">
        <v>13</v>
      </c>
    </row>
    <row r="6186" spans="1:9" x14ac:dyDescent="0.3">
      <c r="A6186" s="26">
        <v>45260</v>
      </c>
      <c r="B6186" s="27" t="s">
        <v>125</v>
      </c>
      <c r="C6186" s="27" t="s">
        <v>18</v>
      </c>
      <c r="D6186" s="27" t="s">
        <v>21</v>
      </c>
      <c r="E6186" s="28">
        <v>34354</v>
      </c>
      <c r="F6186" s="28">
        <v>22253</v>
      </c>
      <c r="G6186" s="27" t="s">
        <v>11</v>
      </c>
      <c r="H6186" s="27" t="s">
        <v>3349</v>
      </c>
      <c r="I6186" s="27" t="s">
        <v>13</v>
      </c>
    </row>
    <row r="6187" spans="1:9" x14ac:dyDescent="0.3">
      <c r="A6187" s="26">
        <v>45260</v>
      </c>
      <c r="B6187" s="27" t="s">
        <v>125</v>
      </c>
      <c r="C6187" s="27" t="s">
        <v>6</v>
      </c>
      <c r="D6187" s="27" t="s">
        <v>24</v>
      </c>
      <c r="E6187" s="28">
        <v>158200</v>
      </c>
      <c r="F6187" s="28">
        <v>127600</v>
      </c>
      <c r="G6187" s="27" t="s">
        <v>11</v>
      </c>
      <c r="H6187" s="27" t="s">
        <v>3706</v>
      </c>
      <c r="I6187" s="27" t="s">
        <v>9</v>
      </c>
    </row>
    <row r="6188" spans="1:9" x14ac:dyDescent="0.3">
      <c r="A6188" s="26">
        <v>45260</v>
      </c>
      <c r="B6188" s="27" t="s">
        <v>125</v>
      </c>
      <c r="C6188" s="27" t="s">
        <v>93</v>
      </c>
      <c r="D6188" s="27" t="s">
        <v>7</v>
      </c>
      <c r="E6188" s="28">
        <v>262500</v>
      </c>
      <c r="F6188" s="28">
        <v>343700</v>
      </c>
      <c r="G6188" s="27" t="s">
        <v>17</v>
      </c>
      <c r="H6188" s="27" t="s">
        <v>3884</v>
      </c>
      <c r="I6188" s="27" t="s">
        <v>9</v>
      </c>
    </row>
    <row r="6189" spans="1:9" x14ac:dyDescent="0.3">
      <c r="A6189" s="26">
        <v>45260</v>
      </c>
      <c r="B6189" s="27" t="s">
        <v>125</v>
      </c>
      <c r="C6189" s="27" t="s">
        <v>93</v>
      </c>
      <c r="D6189" s="27" t="s">
        <v>16</v>
      </c>
      <c r="E6189" s="28">
        <v>167900</v>
      </c>
      <c r="F6189" s="28">
        <v>127400</v>
      </c>
      <c r="G6189" s="27" t="s">
        <v>11</v>
      </c>
      <c r="H6189" s="27" t="s">
        <v>3885</v>
      </c>
      <c r="I6189" s="27" t="s">
        <v>9</v>
      </c>
    </row>
    <row r="6190" spans="1:9" x14ac:dyDescent="0.3">
      <c r="A6190" s="26">
        <v>45260</v>
      </c>
      <c r="B6190" s="27" t="s">
        <v>125</v>
      </c>
      <c r="C6190" s="27" t="s">
        <v>6</v>
      </c>
      <c r="D6190" s="27" t="s">
        <v>7</v>
      </c>
      <c r="E6190" s="28">
        <v>74400</v>
      </c>
      <c r="F6190" s="28">
        <v>80700</v>
      </c>
      <c r="G6190" s="27" t="s">
        <v>22</v>
      </c>
      <c r="H6190" s="27" t="s">
        <v>4648</v>
      </c>
      <c r="I6190" s="27" t="s">
        <v>9</v>
      </c>
    </row>
    <row r="6191" spans="1:9" x14ac:dyDescent="0.3">
      <c r="A6191" s="26">
        <v>45260</v>
      </c>
      <c r="B6191" s="27" t="s">
        <v>125</v>
      </c>
      <c r="C6191" s="27" t="s">
        <v>6</v>
      </c>
      <c r="D6191" s="27" t="s">
        <v>24</v>
      </c>
      <c r="E6191" s="28">
        <v>148300</v>
      </c>
      <c r="F6191" s="28">
        <v>159000</v>
      </c>
      <c r="G6191" s="27" t="s">
        <v>22</v>
      </c>
      <c r="H6191" s="27" t="s">
        <v>5296</v>
      </c>
      <c r="I6191" s="27" t="s">
        <v>9</v>
      </c>
    </row>
    <row r="6192" spans="1:9" x14ac:dyDescent="0.3">
      <c r="A6192" s="26">
        <v>45260</v>
      </c>
      <c r="B6192" s="27" t="s">
        <v>125</v>
      </c>
      <c r="C6192" s="27" t="s">
        <v>93</v>
      </c>
      <c r="D6192" s="27" t="s">
        <v>24</v>
      </c>
      <c r="E6192" s="28">
        <v>217600</v>
      </c>
      <c r="F6192" s="28">
        <v>210400</v>
      </c>
      <c r="G6192" s="27" t="s">
        <v>11</v>
      </c>
      <c r="H6192" s="27" t="s">
        <v>6239</v>
      </c>
      <c r="I6192" s="27" t="s">
        <v>9</v>
      </c>
    </row>
    <row r="6193" spans="1:9" x14ac:dyDescent="0.3">
      <c r="A6193" s="26">
        <v>45260</v>
      </c>
      <c r="B6193" s="27" t="s">
        <v>125</v>
      </c>
      <c r="C6193" s="27" t="s">
        <v>6</v>
      </c>
      <c r="D6193" s="27" t="s">
        <v>24</v>
      </c>
      <c r="E6193" s="28">
        <v>114400</v>
      </c>
      <c r="F6193" s="28">
        <v>137300</v>
      </c>
      <c r="G6193" s="27" t="s">
        <v>11</v>
      </c>
      <c r="H6193" s="27" t="s">
        <v>6648</v>
      </c>
      <c r="I6193" s="27" t="s">
        <v>9</v>
      </c>
    </row>
    <row r="6194" spans="1:9" x14ac:dyDescent="0.3">
      <c r="A6194" s="26">
        <v>45260</v>
      </c>
      <c r="B6194" s="27" t="s">
        <v>125</v>
      </c>
      <c r="C6194" s="27" t="s">
        <v>93</v>
      </c>
      <c r="D6194" s="27" t="s">
        <v>21</v>
      </c>
      <c r="E6194" s="28">
        <v>133800</v>
      </c>
      <c r="F6194" s="28">
        <v>112100</v>
      </c>
      <c r="G6194" s="27" t="s">
        <v>11</v>
      </c>
      <c r="H6194" s="27" t="s">
        <v>6734</v>
      </c>
      <c r="I6194" s="27" t="s">
        <v>9</v>
      </c>
    </row>
    <row r="6195" spans="1:9" x14ac:dyDescent="0.3">
      <c r="A6195" s="26">
        <v>45261</v>
      </c>
      <c r="B6195" s="27" t="s">
        <v>126</v>
      </c>
      <c r="C6195" s="27" t="s">
        <v>14</v>
      </c>
      <c r="D6195" s="27" t="s">
        <v>24</v>
      </c>
      <c r="E6195" s="28">
        <v>111907</v>
      </c>
      <c r="F6195" s="28">
        <v>23332</v>
      </c>
      <c r="G6195" s="27" t="s">
        <v>11</v>
      </c>
      <c r="H6195" s="27" t="s">
        <v>73</v>
      </c>
      <c r="I6195" s="27" t="s">
        <v>13</v>
      </c>
    </row>
    <row r="6196" spans="1:9" x14ac:dyDescent="0.3">
      <c r="A6196" s="26">
        <v>45261</v>
      </c>
      <c r="B6196" s="27" t="s">
        <v>126</v>
      </c>
      <c r="C6196" s="27" t="s">
        <v>32</v>
      </c>
      <c r="D6196" s="27" t="s">
        <v>21</v>
      </c>
      <c r="E6196" s="28">
        <v>27585</v>
      </c>
      <c r="F6196" s="28">
        <v>125811</v>
      </c>
      <c r="G6196" s="27" t="s">
        <v>17</v>
      </c>
      <c r="H6196" s="27" t="s">
        <v>927</v>
      </c>
      <c r="I6196" s="27" t="s">
        <v>13</v>
      </c>
    </row>
    <row r="6197" spans="1:9" x14ac:dyDescent="0.3">
      <c r="A6197" s="26">
        <v>45261</v>
      </c>
      <c r="B6197" s="27" t="s">
        <v>126</v>
      </c>
      <c r="C6197" s="27" t="s">
        <v>14</v>
      </c>
      <c r="D6197" s="27" t="s">
        <v>21</v>
      </c>
      <c r="E6197" s="28">
        <v>35644</v>
      </c>
      <c r="F6197" s="28">
        <v>123028</v>
      </c>
      <c r="G6197" s="27" t="s">
        <v>8</v>
      </c>
      <c r="H6197" s="27" t="s">
        <v>944</v>
      </c>
      <c r="I6197" s="27" t="s">
        <v>13</v>
      </c>
    </row>
    <row r="6198" spans="1:9" x14ac:dyDescent="0.3">
      <c r="A6198" s="26">
        <v>45261</v>
      </c>
      <c r="B6198" s="27" t="s">
        <v>126</v>
      </c>
      <c r="C6198" s="27" t="s">
        <v>18</v>
      </c>
      <c r="D6198" s="27" t="s">
        <v>16</v>
      </c>
      <c r="E6198" s="28">
        <v>49764</v>
      </c>
      <c r="F6198" s="28">
        <v>165668</v>
      </c>
      <c r="G6198" s="27" t="s">
        <v>22</v>
      </c>
      <c r="H6198" s="27" t="s">
        <v>1099</v>
      </c>
      <c r="I6198" s="27" t="s">
        <v>13</v>
      </c>
    </row>
    <row r="6199" spans="1:9" x14ac:dyDescent="0.3">
      <c r="A6199" s="26">
        <v>45261</v>
      </c>
      <c r="B6199" s="27" t="s">
        <v>126</v>
      </c>
      <c r="C6199" s="27" t="s">
        <v>14</v>
      </c>
      <c r="D6199" s="27" t="s">
        <v>16</v>
      </c>
      <c r="E6199" s="28">
        <v>101374</v>
      </c>
      <c r="F6199" s="28">
        <v>133850</v>
      </c>
      <c r="G6199" s="27" t="s">
        <v>8</v>
      </c>
      <c r="H6199" s="27" t="s">
        <v>1177</v>
      </c>
      <c r="I6199" s="27" t="s">
        <v>13</v>
      </c>
    </row>
    <row r="6200" spans="1:9" x14ac:dyDescent="0.3">
      <c r="A6200" s="26">
        <v>45261</v>
      </c>
      <c r="B6200" s="27" t="s">
        <v>126</v>
      </c>
      <c r="C6200" s="27" t="s">
        <v>15</v>
      </c>
      <c r="D6200" s="27" t="s">
        <v>24</v>
      </c>
      <c r="E6200" s="28">
        <v>128187</v>
      </c>
      <c r="F6200" s="28">
        <v>130452</v>
      </c>
      <c r="G6200" s="27" t="s">
        <v>17</v>
      </c>
      <c r="H6200" s="27" t="s">
        <v>2306</v>
      </c>
      <c r="I6200" s="27" t="s">
        <v>13</v>
      </c>
    </row>
    <row r="6201" spans="1:9" x14ac:dyDescent="0.3">
      <c r="A6201" s="26">
        <v>45261</v>
      </c>
      <c r="B6201" s="27" t="s">
        <v>126</v>
      </c>
      <c r="C6201" s="27" t="s">
        <v>6</v>
      </c>
      <c r="D6201" s="27" t="s">
        <v>24</v>
      </c>
      <c r="E6201" s="28">
        <v>106600</v>
      </c>
      <c r="F6201" s="28">
        <v>101000</v>
      </c>
      <c r="G6201" s="27" t="s">
        <v>22</v>
      </c>
      <c r="H6201" s="27" t="s">
        <v>3466</v>
      </c>
      <c r="I6201" s="27" t="s">
        <v>9</v>
      </c>
    </row>
    <row r="6202" spans="1:9" x14ac:dyDescent="0.3">
      <c r="A6202" s="26">
        <v>45261</v>
      </c>
      <c r="B6202" s="27" t="s">
        <v>126</v>
      </c>
      <c r="C6202" s="27" t="s">
        <v>6</v>
      </c>
      <c r="D6202" s="27" t="s">
        <v>21</v>
      </c>
      <c r="E6202" s="28">
        <v>124100</v>
      </c>
      <c r="F6202" s="28">
        <v>106400</v>
      </c>
      <c r="G6202" s="27" t="s">
        <v>22</v>
      </c>
      <c r="H6202" s="27" t="s">
        <v>4308</v>
      </c>
      <c r="I6202" s="27" t="s">
        <v>9</v>
      </c>
    </row>
    <row r="6203" spans="1:9" x14ac:dyDescent="0.3">
      <c r="A6203" s="26">
        <v>45261</v>
      </c>
      <c r="B6203" s="27" t="s">
        <v>126</v>
      </c>
      <c r="C6203" s="27" t="s">
        <v>6</v>
      </c>
      <c r="D6203" s="27" t="s">
        <v>21</v>
      </c>
      <c r="E6203" s="28">
        <v>72900</v>
      </c>
      <c r="F6203" s="28">
        <v>83800</v>
      </c>
      <c r="G6203" s="27" t="s">
        <v>17</v>
      </c>
      <c r="H6203" s="27" t="s">
        <v>4325</v>
      </c>
      <c r="I6203" s="27" t="s">
        <v>9</v>
      </c>
    </row>
    <row r="6204" spans="1:9" x14ac:dyDescent="0.3">
      <c r="A6204" s="26">
        <v>45261</v>
      </c>
      <c r="B6204" s="27" t="s">
        <v>126</v>
      </c>
      <c r="C6204" s="27" t="s">
        <v>93</v>
      </c>
      <c r="D6204" s="27" t="s">
        <v>16</v>
      </c>
      <c r="E6204" s="28">
        <v>32600</v>
      </c>
      <c r="F6204" s="28">
        <v>33100</v>
      </c>
      <c r="G6204" s="27" t="s">
        <v>17</v>
      </c>
      <c r="H6204" s="27" t="s">
        <v>4481</v>
      </c>
      <c r="I6204" s="27" t="s">
        <v>9</v>
      </c>
    </row>
    <row r="6205" spans="1:9" x14ac:dyDescent="0.3">
      <c r="A6205" s="26">
        <v>45261</v>
      </c>
      <c r="B6205" s="27" t="s">
        <v>126</v>
      </c>
      <c r="C6205" s="27" t="s">
        <v>6</v>
      </c>
      <c r="D6205" s="27" t="s">
        <v>16</v>
      </c>
      <c r="E6205" s="28">
        <v>72900</v>
      </c>
      <c r="F6205" s="28">
        <v>59000</v>
      </c>
      <c r="G6205" s="27" t="s">
        <v>11</v>
      </c>
      <c r="H6205" s="27" t="s">
        <v>4560</v>
      </c>
      <c r="I6205" s="27" t="s">
        <v>9</v>
      </c>
    </row>
    <row r="6206" spans="1:9" x14ac:dyDescent="0.3">
      <c r="A6206" s="26">
        <v>45261</v>
      </c>
      <c r="B6206" s="27" t="s">
        <v>126</v>
      </c>
      <c r="C6206" s="27" t="s">
        <v>6</v>
      </c>
      <c r="D6206" s="27" t="s">
        <v>24</v>
      </c>
      <c r="E6206" s="28">
        <v>218500</v>
      </c>
      <c r="F6206" s="28">
        <v>204300</v>
      </c>
      <c r="G6206" s="27" t="s">
        <v>11</v>
      </c>
      <c r="H6206" s="27" t="s">
        <v>5691</v>
      </c>
      <c r="I6206" s="27" t="s">
        <v>9</v>
      </c>
    </row>
    <row r="6207" spans="1:9" x14ac:dyDescent="0.3">
      <c r="A6207" s="26">
        <v>45262</v>
      </c>
      <c r="B6207" s="27" t="s">
        <v>126</v>
      </c>
      <c r="C6207" s="27" t="s">
        <v>18</v>
      </c>
      <c r="D6207" s="27" t="s">
        <v>7</v>
      </c>
      <c r="E6207" s="28">
        <v>103724</v>
      </c>
      <c r="F6207" s="28">
        <v>83624</v>
      </c>
      <c r="G6207" s="27" t="s">
        <v>8</v>
      </c>
      <c r="H6207" s="27" t="s">
        <v>224</v>
      </c>
      <c r="I6207" s="27" t="s">
        <v>13</v>
      </c>
    </row>
    <row r="6208" spans="1:9" x14ac:dyDescent="0.3">
      <c r="A6208" s="26">
        <v>45262</v>
      </c>
      <c r="B6208" s="27" t="s">
        <v>126</v>
      </c>
      <c r="C6208" s="27" t="s">
        <v>15</v>
      </c>
      <c r="D6208" s="27" t="s">
        <v>7</v>
      </c>
      <c r="E6208" s="28">
        <v>77325</v>
      </c>
      <c r="F6208" s="28">
        <v>43775</v>
      </c>
      <c r="G6208" s="27" t="s">
        <v>17</v>
      </c>
      <c r="H6208" s="27" t="s">
        <v>342</v>
      </c>
      <c r="I6208" s="27" t="s">
        <v>13</v>
      </c>
    </row>
    <row r="6209" spans="1:9" x14ac:dyDescent="0.3">
      <c r="A6209" s="26">
        <v>45262</v>
      </c>
      <c r="B6209" s="27" t="s">
        <v>126</v>
      </c>
      <c r="C6209" s="27" t="s">
        <v>18</v>
      </c>
      <c r="D6209" s="27" t="s">
        <v>21</v>
      </c>
      <c r="E6209" s="28">
        <v>130646</v>
      </c>
      <c r="F6209" s="28">
        <v>33310</v>
      </c>
      <c r="G6209" s="27" t="s">
        <v>17</v>
      </c>
      <c r="H6209" s="27" t="s">
        <v>1401</v>
      </c>
      <c r="I6209" s="27" t="s">
        <v>13</v>
      </c>
    </row>
    <row r="6210" spans="1:9" x14ac:dyDescent="0.3">
      <c r="A6210" s="26">
        <v>45262</v>
      </c>
      <c r="B6210" s="27" t="s">
        <v>126</v>
      </c>
      <c r="C6210" s="27" t="s">
        <v>18</v>
      </c>
      <c r="D6210" s="27" t="s">
        <v>16</v>
      </c>
      <c r="E6210" s="28">
        <v>83379</v>
      </c>
      <c r="F6210" s="28">
        <v>131739</v>
      </c>
      <c r="G6210" s="27" t="s">
        <v>22</v>
      </c>
      <c r="H6210" s="27" t="s">
        <v>1593</v>
      </c>
      <c r="I6210" s="27" t="s">
        <v>13</v>
      </c>
    </row>
    <row r="6211" spans="1:9" x14ac:dyDescent="0.3">
      <c r="A6211" s="26">
        <v>45262</v>
      </c>
      <c r="B6211" s="27" t="s">
        <v>126</v>
      </c>
      <c r="C6211" s="27" t="s">
        <v>20</v>
      </c>
      <c r="D6211" s="27" t="s">
        <v>16</v>
      </c>
      <c r="E6211" s="28">
        <v>35910</v>
      </c>
      <c r="F6211" s="28">
        <v>80702</v>
      </c>
      <c r="G6211" s="27" t="s">
        <v>8</v>
      </c>
      <c r="H6211" s="27" t="s">
        <v>1683</v>
      </c>
      <c r="I6211" s="27" t="s">
        <v>13</v>
      </c>
    </row>
    <row r="6212" spans="1:9" x14ac:dyDescent="0.3">
      <c r="A6212" s="26">
        <v>45262</v>
      </c>
      <c r="B6212" s="27" t="s">
        <v>126</v>
      </c>
      <c r="C6212" s="27" t="s">
        <v>20</v>
      </c>
      <c r="D6212" s="27" t="s">
        <v>19</v>
      </c>
      <c r="E6212" s="28">
        <v>11432</v>
      </c>
      <c r="F6212" s="28">
        <v>51543</v>
      </c>
      <c r="G6212" s="27" t="s">
        <v>22</v>
      </c>
      <c r="H6212" s="27" t="s">
        <v>1891</v>
      </c>
      <c r="I6212" s="27" t="s">
        <v>13</v>
      </c>
    </row>
    <row r="6213" spans="1:9" x14ac:dyDescent="0.3">
      <c r="A6213" s="26">
        <v>45262</v>
      </c>
      <c r="B6213" s="27" t="s">
        <v>126</v>
      </c>
      <c r="C6213" s="27" t="s">
        <v>20</v>
      </c>
      <c r="D6213" s="27" t="s">
        <v>21</v>
      </c>
      <c r="E6213" s="28">
        <v>113522</v>
      </c>
      <c r="F6213" s="28">
        <v>159932</v>
      </c>
      <c r="G6213" s="27" t="s">
        <v>8</v>
      </c>
      <c r="H6213" s="27" t="s">
        <v>1924</v>
      </c>
      <c r="I6213" s="27" t="s">
        <v>13</v>
      </c>
    </row>
    <row r="6214" spans="1:9" x14ac:dyDescent="0.3">
      <c r="A6214" s="26">
        <v>45262</v>
      </c>
      <c r="B6214" s="27" t="s">
        <v>126</v>
      </c>
      <c r="C6214" s="27" t="s">
        <v>10</v>
      </c>
      <c r="D6214" s="27" t="s">
        <v>21</v>
      </c>
      <c r="E6214" s="28">
        <v>116364</v>
      </c>
      <c r="F6214" s="28">
        <v>73763</v>
      </c>
      <c r="G6214" s="27" t="s">
        <v>22</v>
      </c>
      <c r="H6214" s="27" t="s">
        <v>2077</v>
      </c>
      <c r="I6214" s="27" t="s">
        <v>13</v>
      </c>
    </row>
    <row r="6215" spans="1:9" x14ac:dyDescent="0.3">
      <c r="A6215" s="26">
        <v>45262</v>
      </c>
      <c r="B6215" s="27" t="s">
        <v>126</v>
      </c>
      <c r="C6215" s="27" t="s">
        <v>32</v>
      </c>
      <c r="D6215" s="27" t="s">
        <v>21</v>
      </c>
      <c r="E6215" s="28">
        <v>37708</v>
      </c>
      <c r="F6215" s="28">
        <v>114840</v>
      </c>
      <c r="G6215" s="27" t="s">
        <v>22</v>
      </c>
      <c r="H6215" s="27" t="s">
        <v>2292</v>
      </c>
      <c r="I6215" s="27" t="s">
        <v>13</v>
      </c>
    </row>
    <row r="6216" spans="1:9" x14ac:dyDescent="0.3">
      <c r="A6216" s="26">
        <v>45262</v>
      </c>
      <c r="B6216" s="27" t="s">
        <v>126</v>
      </c>
      <c r="C6216" s="27" t="s">
        <v>10</v>
      </c>
      <c r="D6216" s="27" t="s">
        <v>7</v>
      </c>
      <c r="E6216" s="28">
        <v>111297</v>
      </c>
      <c r="F6216" s="28">
        <v>47946</v>
      </c>
      <c r="G6216" s="27" t="s">
        <v>17</v>
      </c>
      <c r="H6216" s="27" t="s">
        <v>2481</v>
      </c>
      <c r="I6216" s="27" t="s">
        <v>13</v>
      </c>
    </row>
    <row r="6217" spans="1:9" x14ac:dyDescent="0.3">
      <c r="A6217" s="26">
        <v>45262</v>
      </c>
      <c r="B6217" s="27" t="s">
        <v>126</v>
      </c>
      <c r="C6217" s="27" t="s">
        <v>20</v>
      </c>
      <c r="D6217" s="27" t="s">
        <v>24</v>
      </c>
      <c r="E6217" s="28">
        <v>68472</v>
      </c>
      <c r="F6217" s="28">
        <v>99913</v>
      </c>
      <c r="G6217" s="27" t="s">
        <v>17</v>
      </c>
      <c r="H6217" s="27" t="s">
        <v>2758</v>
      </c>
      <c r="I6217" s="27" t="s">
        <v>13</v>
      </c>
    </row>
    <row r="6218" spans="1:9" x14ac:dyDescent="0.3">
      <c r="A6218" s="26">
        <v>45262</v>
      </c>
      <c r="B6218" s="27" t="s">
        <v>126</v>
      </c>
      <c r="C6218" s="27" t="s">
        <v>32</v>
      </c>
      <c r="D6218" s="27" t="s">
        <v>7</v>
      </c>
      <c r="E6218" s="28">
        <v>71353</v>
      </c>
      <c r="F6218" s="28">
        <v>9497</v>
      </c>
      <c r="G6218" s="27" t="s">
        <v>17</v>
      </c>
      <c r="H6218" s="27" t="s">
        <v>3293</v>
      </c>
      <c r="I6218" s="27" t="s">
        <v>13</v>
      </c>
    </row>
    <row r="6219" spans="1:9" x14ac:dyDescent="0.3">
      <c r="A6219" s="26">
        <v>45262</v>
      </c>
      <c r="B6219" s="27" t="s">
        <v>126</v>
      </c>
      <c r="C6219" s="27" t="s">
        <v>18</v>
      </c>
      <c r="D6219" s="27" t="s">
        <v>19</v>
      </c>
      <c r="E6219" s="28">
        <v>113064</v>
      </c>
      <c r="F6219" s="28">
        <v>81128</v>
      </c>
      <c r="G6219" s="27" t="s">
        <v>22</v>
      </c>
      <c r="H6219" s="27" t="s">
        <v>3351</v>
      </c>
      <c r="I6219" s="27" t="s">
        <v>13</v>
      </c>
    </row>
    <row r="6220" spans="1:9" x14ac:dyDescent="0.3">
      <c r="A6220" s="26">
        <v>45262</v>
      </c>
      <c r="B6220" s="27" t="s">
        <v>126</v>
      </c>
      <c r="C6220" s="27" t="s">
        <v>93</v>
      </c>
      <c r="D6220" s="27" t="s">
        <v>7</v>
      </c>
      <c r="E6220" s="28">
        <v>70400</v>
      </c>
      <c r="F6220" s="28">
        <v>72300</v>
      </c>
      <c r="G6220" s="27" t="s">
        <v>17</v>
      </c>
      <c r="H6220" s="27" t="s">
        <v>3605</v>
      </c>
      <c r="I6220" s="27" t="s">
        <v>9</v>
      </c>
    </row>
    <row r="6221" spans="1:9" x14ac:dyDescent="0.3">
      <c r="A6221" s="26">
        <v>45262</v>
      </c>
      <c r="B6221" s="27" t="s">
        <v>126</v>
      </c>
      <c r="C6221" s="27" t="s">
        <v>6</v>
      </c>
      <c r="D6221" s="27" t="s">
        <v>7</v>
      </c>
      <c r="E6221" s="28">
        <v>64400</v>
      </c>
      <c r="F6221" s="28">
        <v>63100</v>
      </c>
      <c r="G6221" s="27" t="s">
        <v>11</v>
      </c>
      <c r="H6221" s="27" t="s">
        <v>3723</v>
      </c>
      <c r="I6221" s="27" t="s">
        <v>9</v>
      </c>
    </row>
    <row r="6222" spans="1:9" x14ac:dyDescent="0.3">
      <c r="A6222" s="26">
        <v>45262</v>
      </c>
      <c r="B6222" s="27" t="s">
        <v>126</v>
      </c>
      <c r="C6222" s="27" t="s">
        <v>93</v>
      </c>
      <c r="D6222" s="27" t="s">
        <v>21</v>
      </c>
      <c r="E6222" s="28">
        <v>131400</v>
      </c>
      <c r="F6222" s="28">
        <v>135400</v>
      </c>
      <c r="G6222" s="27" t="s">
        <v>11</v>
      </c>
      <c r="H6222" s="27" t="s">
        <v>4784</v>
      </c>
      <c r="I6222" s="27" t="s">
        <v>9</v>
      </c>
    </row>
    <row r="6223" spans="1:9" x14ac:dyDescent="0.3">
      <c r="A6223" s="26">
        <v>45262</v>
      </c>
      <c r="B6223" s="27" t="s">
        <v>126</v>
      </c>
      <c r="C6223" s="27" t="s">
        <v>93</v>
      </c>
      <c r="D6223" s="27" t="s">
        <v>16</v>
      </c>
      <c r="E6223" s="28">
        <v>109300</v>
      </c>
      <c r="F6223" s="28">
        <v>123300</v>
      </c>
      <c r="G6223" s="27" t="s">
        <v>17</v>
      </c>
      <c r="H6223" s="27" t="s">
        <v>4976</v>
      </c>
      <c r="I6223" s="27" t="s">
        <v>9</v>
      </c>
    </row>
    <row r="6224" spans="1:9" x14ac:dyDescent="0.3">
      <c r="A6224" s="26">
        <v>45262</v>
      </c>
      <c r="B6224" s="27" t="s">
        <v>126</v>
      </c>
      <c r="C6224" s="27" t="s">
        <v>6</v>
      </c>
      <c r="D6224" s="27" t="s">
        <v>16</v>
      </c>
      <c r="E6224" s="28">
        <v>101500</v>
      </c>
      <c r="F6224" s="28">
        <v>125200</v>
      </c>
      <c r="G6224" s="27" t="s">
        <v>11</v>
      </c>
      <c r="H6224" s="27" t="s">
        <v>5066</v>
      </c>
      <c r="I6224" s="27" t="s">
        <v>9</v>
      </c>
    </row>
    <row r="6225" spans="1:9" x14ac:dyDescent="0.3">
      <c r="A6225" s="26">
        <v>45262</v>
      </c>
      <c r="B6225" s="27" t="s">
        <v>126</v>
      </c>
      <c r="C6225" s="27" t="s">
        <v>6</v>
      </c>
      <c r="D6225" s="27" t="s">
        <v>19</v>
      </c>
      <c r="E6225" s="28">
        <v>154900</v>
      </c>
      <c r="F6225" s="28">
        <v>177600</v>
      </c>
      <c r="G6225" s="27" t="s">
        <v>11</v>
      </c>
      <c r="H6225" s="27" t="s">
        <v>5275</v>
      </c>
      <c r="I6225" s="27" t="s">
        <v>9</v>
      </c>
    </row>
    <row r="6226" spans="1:9" x14ac:dyDescent="0.3">
      <c r="A6226" s="26">
        <v>45262</v>
      </c>
      <c r="B6226" s="27" t="s">
        <v>126</v>
      </c>
      <c r="C6226" s="27" t="s">
        <v>93</v>
      </c>
      <c r="D6226" s="27" t="s">
        <v>21</v>
      </c>
      <c r="E6226" s="28">
        <v>271300</v>
      </c>
      <c r="F6226" s="28">
        <v>272000</v>
      </c>
      <c r="G6226" s="27" t="s">
        <v>17</v>
      </c>
      <c r="H6226" s="27" t="s">
        <v>5308</v>
      </c>
      <c r="I6226" s="27" t="s">
        <v>9</v>
      </c>
    </row>
    <row r="6227" spans="1:9" x14ac:dyDescent="0.3">
      <c r="A6227" s="26">
        <v>45262</v>
      </c>
      <c r="B6227" s="27" t="s">
        <v>126</v>
      </c>
      <c r="C6227" s="27" t="s">
        <v>6</v>
      </c>
      <c r="D6227" s="27" t="s">
        <v>21</v>
      </c>
      <c r="E6227" s="28">
        <v>124100</v>
      </c>
      <c r="F6227" s="28">
        <v>127400</v>
      </c>
      <c r="G6227" s="27" t="s">
        <v>17</v>
      </c>
      <c r="H6227" s="27" t="s">
        <v>5461</v>
      </c>
      <c r="I6227" s="27" t="s">
        <v>9</v>
      </c>
    </row>
    <row r="6228" spans="1:9" x14ac:dyDescent="0.3">
      <c r="A6228" s="26">
        <v>45262</v>
      </c>
      <c r="B6228" s="27" t="s">
        <v>126</v>
      </c>
      <c r="C6228" s="27" t="s">
        <v>6</v>
      </c>
      <c r="D6228" s="27" t="s">
        <v>21</v>
      </c>
      <c r="E6228" s="28">
        <v>107800</v>
      </c>
      <c r="F6228" s="28">
        <v>102600</v>
      </c>
      <c r="G6228" s="27" t="s">
        <v>11</v>
      </c>
      <c r="H6228" s="27" t="s">
        <v>5677</v>
      </c>
      <c r="I6228" s="27" t="s">
        <v>9</v>
      </c>
    </row>
    <row r="6229" spans="1:9" x14ac:dyDescent="0.3">
      <c r="A6229" s="26">
        <v>45262</v>
      </c>
      <c r="B6229" s="27" t="s">
        <v>126</v>
      </c>
      <c r="C6229" s="27" t="s">
        <v>93</v>
      </c>
      <c r="D6229" s="27" t="s">
        <v>7</v>
      </c>
      <c r="E6229" s="28">
        <v>241200</v>
      </c>
      <c r="F6229" s="28">
        <v>224000</v>
      </c>
      <c r="G6229" s="27" t="s">
        <v>11</v>
      </c>
      <c r="H6229" s="27" t="s">
        <v>5866</v>
      </c>
      <c r="I6229" s="27" t="s">
        <v>9</v>
      </c>
    </row>
    <row r="6230" spans="1:9" x14ac:dyDescent="0.3">
      <c r="A6230" s="26">
        <v>45262</v>
      </c>
      <c r="B6230" s="27" t="s">
        <v>126</v>
      </c>
      <c r="C6230" s="27" t="s">
        <v>93</v>
      </c>
      <c r="D6230" s="27" t="s">
        <v>24</v>
      </c>
      <c r="E6230" s="28">
        <v>74900</v>
      </c>
      <c r="F6230" s="28">
        <v>89800</v>
      </c>
      <c r="G6230" s="27" t="s">
        <v>22</v>
      </c>
      <c r="H6230" s="27" t="s">
        <v>6143</v>
      </c>
      <c r="I6230" s="27" t="s">
        <v>9</v>
      </c>
    </row>
    <row r="6231" spans="1:9" x14ac:dyDescent="0.3">
      <c r="A6231" s="26">
        <v>45262</v>
      </c>
      <c r="B6231" s="27" t="s">
        <v>126</v>
      </c>
      <c r="C6231" s="27" t="s">
        <v>6</v>
      </c>
      <c r="D6231" s="27" t="s">
        <v>7</v>
      </c>
      <c r="E6231" s="28">
        <v>106300</v>
      </c>
      <c r="F6231" s="28">
        <v>96600</v>
      </c>
      <c r="G6231" s="27" t="s">
        <v>17</v>
      </c>
      <c r="H6231" s="27" t="s">
        <v>6678</v>
      </c>
      <c r="I6231" s="27" t="s">
        <v>9</v>
      </c>
    </row>
    <row r="6232" spans="1:9" x14ac:dyDescent="0.3">
      <c r="A6232" s="26">
        <v>45262</v>
      </c>
      <c r="B6232" s="27" t="s">
        <v>126</v>
      </c>
      <c r="C6232" s="27" t="s">
        <v>6</v>
      </c>
      <c r="D6232" s="27" t="s">
        <v>19</v>
      </c>
      <c r="E6232" s="28">
        <v>62600</v>
      </c>
      <c r="F6232" s="28">
        <v>75600</v>
      </c>
      <c r="G6232" s="27" t="s">
        <v>11</v>
      </c>
      <c r="H6232" s="27" t="s">
        <v>6736</v>
      </c>
      <c r="I6232" s="27" t="s">
        <v>9</v>
      </c>
    </row>
    <row r="6233" spans="1:9" x14ac:dyDescent="0.3">
      <c r="A6233" s="26">
        <v>45263</v>
      </c>
      <c r="B6233" s="27" t="s">
        <v>126</v>
      </c>
      <c r="C6233" s="27" t="s">
        <v>10</v>
      </c>
      <c r="D6233" s="27" t="s">
        <v>24</v>
      </c>
      <c r="E6233" s="28">
        <v>117148</v>
      </c>
      <c r="F6233" s="28">
        <v>163759</v>
      </c>
      <c r="G6233" s="27" t="s">
        <v>11</v>
      </c>
      <c r="H6233" s="27" t="s">
        <v>200</v>
      </c>
      <c r="I6233" s="27" t="s">
        <v>13</v>
      </c>
    </row>
    <row r="6234" spans="1:9" x14ac:dyDescent="0.3">
      <c r="A6234" s="26">
        <v>45263</v>
      </c>
      <c r="B6234" s="27" t="s">
        <v>126</v>
      </c>
      <c r="C6234" s="27" t="s">
        <v>18</v>
      </c>
      <c r="D6234" s="27" t="s">
        <v>21</v>
      </c>
      <c r="E6234" s="28">
        <v>106341</v>
      </c>
      <c r="F6234" s="28">
        <v>38589</v>
      </c>
      <c r="G6234" s="27" t="s">
        <v>22</v>
      </c>
      <c r="H6234" s="27" t="s">
        <v>1314</v>
      </c>
      <c r="I6234" s="27" t="s">
        <v>13</v>
      </c>
    </row>
    <row r="6235" spans="1:9" x14ac:dyDescent="0.3">
      <c r="A6235" s="26">
        <v>45263</v>
      </c>
      <c r="B6235" s="27" t="s">
        <v>126</v>
      </c>
      <c r="C6235" s="27" t="s">
        <v>15</v>
      </c>
      <c r="D6235" s="27" t="s">
        <v>7</v>
      </c>
      <c r="E6235" s="28">
        <v>73634</v>
      </c>
      <c r="F6235" s="28">
        <v>96362</v>
      </c>
      <c r="G6235" s="27" t="s">
        <v>8</v>
      </c>
      <c r="H6235" s="27" t="s">
        <v>1586</v>
      </c>
      <c r="I6235" s="27" t="s">
        <v>13</v>
      </c>
    </row>
    <row r="6236" spans="1:9" x14ac:dyDescent="0.3">
      <c r="A6236" s="26">
        <v>45263</v>
      </c>
      <c r="B6236" s="27" t="s">
        <v>126</v>
      </c>
      <c r="C6236" s="27" t="s">
        <v>32</v>
      </c>
      <c r="D6236" s="27" t="s">
        <v>16</v>
      </c>
      <c r="E6236" s="28">
        <v>56536</v>
      </c>
      <c r="F6236" s="28">
        <v>17077</v>
      </c>
      <c r="G6236" s="27" t="s">
        <v>11</v>
      </c>
      <c r="H6236" s="27" t="s">
        <v>1797</v>
      </c>
      <c r="I6236" s="27" t="s">
        <v>13</v>
      </c>
    </row>
    <row r="6237" spans="1:9" x14ac:dyDescent="0.3">
      <c r="A6237" s="26">
        <v>45263</v>
      </c>
      <c r="B6237" s="27" t="s">
        <v>126</v>
      </c>
      <c r="C6237" s="27" t="s">
        <v>32</v>
      </c>
      <c r="D6237" s="27" t="s">
        <v>16</v>
      </c>
      <c r="E6237" s="28">
        <v>48291</v>
      </c>
      <c r="F6237" s="28">
        <v>124967</v>
      </c>
      <c r="G6237" s="27" t="s">
        <v>11</v>
      </c>
      <c r="H6237" s="27" t="s">
        <v>2051</v>
      </c>
      <c r="I6237" s="27" t="s">
        <v>13</v>
      </c>
    </row>
    <row r="6238" spans="1:9" x14ac:dyDescent="0.3">
      <c r="A6238" s="26">
        <v>45263</v>
      </c>
      <c r="B6238" s="27" t="s">
        <v>126</v>
      </c>
      <c r="C6238" s="27" t="s">
        <v>32</v>
      </c>
      <c r="D6238" s="27" t="s">
        <v>19</v>
      </c>
      <c r="E6238" s="28">
        <v>92755</v>
      </c>
      <c r="F6238" s="28">
        <v>35033</v>
      </c>
      <c r="G6238" s="27" t="s">
        <v>17</v>
      </c>
      <c r="H6238" s="27" t="s">
        <v>2451</v>
      </c>
      <c r="I6238" s="27" t="s">
        <v>13</v>
      </c>
    </row>
    <row r="6239" spans="1:9" x14ac:dyDescent="0.3">
      <c r="A6239" s="26">
        <v>45263</v>
      </c>
      <c r="B6239" s="27" t="s">
        <v>126</v>
      </c>
      <c r="C6239" s="27" t="s">
        <v>18</v>
      </c>
      <c r="D6239" s="27" t="s">
        <v>7</v>
      </c>
      <c r="E6239" s="28">
        <v>84259</v>
      </c>
      <c r="F6239" s="28">
        <v>119646</v>
      </c>
      <c r="G6239" s="27" t="s">
        <v>17</v>
      </c>
      <c r="H6239" s="27" t="s">
        <v>3133</v>
      </c>
      <c r="I6239" s="27" t="s">
        <v>13</v>
      </c>
    </row>
    <row r="6240" spans="1:9" x14ac:dyDescent="0.3">
      <c r="A6240" s="26">
        <v>45263</v>
      </c>
      <c r="B6240" s="27" t="s">
        <v>126</v>
      </c>
      <c r="C6240" s="27" t="s">
        <v>18</v>
      </c>
      <c r="D6240" s="27" t="s">
        <v>24</v>
      </c>
      <c r="E6240" s="28">
        <v>86685</v>
      </c>
      <c r="F6240" s="28">
        <v>91238</v>
      </c>
      <c r="G6240" s="27" t="s">
        <v>17</v>
      </c>
      <c r="H6240" s="27" t="s">
        <v>3432</v>
      </c>
      <c r="I6240" s="27" t="s">
        <v>13</v>
      </c>
    </row>
    <row r="6241" spans="1:9" x14ac:dyDescent="0.3">
      <c r="A6241" s="26">
        <v>45263</v>
      </c>
      <c r="B6241" s="27" t="s">
        <v>126</v>
      </c>
      <c r="C6241" s="27" t="s">
        <v>93</v>
      </c>
      <c r="D6241" s="27" t="s">
        <v>24</v>
      </c>
      <c r="E6241" s="28">
        <v>154000</v>
      </c>
      <c r="F6241" s="28">
        <v>162300</v>
      </c>
      <c r="G6241" s="27" t="s">
        <v>11</v>
      </c>
      <c r="H6241" s="27" t="s">
        <v>3581</v>
      </c>
      <c r="I6241" s="27" t="s">
        <v>9</v>
      </c>
    </row>
    <row r="6242" spans="1:9" x14ac:dyDescent="0.3">
      <c r="A6242" s="26">
        <v>45263</v>
      </c>
      <c r="B6242" s="27" t="s">
        <v>126</v>
      </c>
      <c r="C6242" s="27" t="s">
        <v>6</v>
      </c>
      <c r="D6242" s="27" t="s">
        <v>21</v>
      </c>
      <c r="E6242" s="28">
        <v>107300</v>
      </c>
      <c r="F6242" s="28">
        <v>116700</v>
      </c>
      <c r="G6242" s="27" t="s">
        <v>22</v>
      </c>
      <c r="H6242" s="27" t="s">
        <v>4697</v>
      </c>
      <c r="I6242" s="27" t="s">
        <v>9</v>
      </c>
    </row>
    <row r="6243" spans="1:9" x14ac:dyDescent="0.3">
      <c r="A6243" s="26">
        <v>45263</v>
      </c>
      <c r="B6243" s="27" t="s">
        <v>126</v>
      </c>
      <c r="C6243" s="27" t="s">
        <v>6</v>
      </c>
      <c r="D6243" s="27" t="s">
        <v>7</v>
      </c>
      <c r="E6243" s="28">
        <v>139200</v>
      </c>
      <c r="F6243" s="28">
        <v>172100</v>
      </c>
      <c r="G6243" s="27" t="s">
        <v>22</v>
      </c>
      <c r="H6243" s="27" t="s">
        <v>4969</v>
      </c>
      <c r="I6243" s="27" t="s">
        <v>9</v>
      </c>
    </row>
    <row r="6244" spans="1:9" x14ac:dyDescent="0.3">
      <c r="A6244" s="26">
        <v>45263</v>
      </c>
      <c r="B6244" s="27" t="s">
        <v>126</v>
      </c>
      <c r="C6244" s="27" t="s">
        <v>6</v>
      </c>
      <c r="D6244" s="27" t="s">
        <v>16</v>
      </c>
      <c r="E6244" s="28">
        <v>63200</v>
      </c>
      <c r="F6244" s="28">
        <v>76400</v>
      </c>
      <c r="G6244" s="27" t="s">
        <v>17</v>
      </c>
      <c r="H6244" s="27" t="s">
        <v>5180</v>
      </c>
      <c r="I6244" s="27" t="s">
        <v>9</v>
      </c>
    </row>
    <row r="6245" spans="1:9" x14ac:dyDescent="0.3">
      <c r="A6245" s="26">
        <v>45263</v>
      </c>
      <c r="B6245" s="27" t="s">
        <v>126</v>
      </c>
      <c r="C6245" s="27" t="s">
        <v>6</v>
      </c>
      <c r="D6245" s="27" t="s">
        <v>16</v>
      </c>
      <c r="E6245" s="28">
        <v>187300</v>
      </c>
      <c r="F6245" s="28">
        <v>217500</v>
      </c>
      <c r="G6245" s="27" t="s">
        <v>22</v>
      </c>
      <c r="H6245" s="27" t="s">
        <v>5435</v>
      </c>
      <c r="I6245" s="27" t="s">
        <v>9</v>
      </c>
    </row>
    <row r="6246" spans="1:9" x14ac:dyDescent="0.3">
      <c r="A6246" s="26">
        <v>45263</v>
      </c>
      <c r="B6246" s="27" t="s">
        <v>126</v>
      </c>
      <c r="C6246" s="27" t="s">
        <v>6</v>
      </c>
      <c r="D6246" s="27" t="s">
        <v>19</v>
      </c>
      <c r="E6246" s="28">
        <v>361600</v>
      </c>
      <c r="F6246" s="28">
        <v>358400</v>
      </c>
      <c r="G6246" s="27" t="s">
        <v>22</v>
      </c>
      <c r="H6246" s="27" t="s">
        <v>5836</v>
      </c>
      <c r="I6246" s="27" t="s">
        <v>9</v>
      </c>
    </row>
    <row r="6247" spans="1:9" x14ac:dyDescent="0.3">
      <c r="A6247" s="26">
        <v>45263</v>
      </c>
      <c r="B6247" s="27" t="s">
        <v>126</v>
      </c>
      <c r="C6247" s="27" t="s">
        <v>6</v>
      </c>
      <c r="D6247" s="27" t="s">
        <v>7</v>
      </c>
      <c r="E6247" s="28">
        <v>48700</v>
      </c>
      <c r="F6247" s="28">
        <v>61300</v>
      </c>
      <c r="G6247" s="27" t="s">
        <v>11</v>
      </c>
      <c r="H6247" s="27" t="s">
        <v>6518</v>
      </c>
      <c r="I6247" s="27" t="s">
        <v>9</v>
      </c>
    </row>
    <row r="6248" spans="1:9" x14ac:dyDescent="0.3">
      <c r="A6248" s="26">
        <v>45263</v>
      </c>
      <c r="B6248" s="27" t="s">
        <v>126</v>
      </c>
      <c r="C6248" s="27" t="s">
        <v>6</v>
      </c>
      <c r="D6248" s="27" t="s">
        <v>24</v>
      </c>
      <c r="E6248" s="28">
        <v>160600</v>
      </c>
      <c r="F6248" s="28">
        <v>197900</v>
      </c>
      <c r="G6248" s="27" t="s">
        <v>11</v>
      </c>
      <c r="H6248" s="27" t="s">
        <v>6817</v>
      </c>
      <c r="I6248" s="27" t="s">
        <v>9</v>
      </c>
    </row>
    <row r="6249" spans="1:9" x14ac:dyDescent="0.3">
      <c r="A6249" s="26">
        <v>45264</v>
      </c>
      <c r="B6249" s="27" t="s">
        <v>126</v>
      </c>
      <c r="C6249" s="27" t="s">
        <v>15</v>
      </c>
      <c r="D6249" s="27" t="s">
        <v>7</v>
      </c>
      <c r="E6249" s="28">
        <v>109242</v>
      </c>
      <c r="F6249" s="28">
        <v>146523</v>
      </c>
      <c r="G6249" s="27" t="s">
        <v>8</v>
      </c>
      <c r="H6249" s="27" t="s">
        <v>447</v>
      </c>
      <c r="I6249" s="27" t="s">
        <v>13</v>
      </c>
    </row>
    <row r="6250" spans="1:9" x14ac:dyDescent="0.3">
      <c r="A6250" s="26">
        <v>45264</v>
      </c>
      <c r="B6250" s="27" t="s">
        <v>126</v>
      </c>
      <c r="C6250" s="27" t="s">
        <v>20</v>
      </c>
      <c r="D6250" s="27" t="s">
        <v>7</v>
      </c>
      <c r="E6250" s="28">
        <v>73134</v>
      </c>
      <c r="F6250" s="28">
        <v>97957</v>
      </c>
      <c r="G6250" s="27" t="s">
        <v>22</v>
      </c>
      <c r="H6250" s="27" t="s">
        <v>770</v>
      </c>
      <c r="I6250" s="27" t="s">
        <v>13</v>
      </c>
    </row>
    <row r="6251" spans="1:9" x14ac:dyDescent="0.3">
      <c r="A6251" s="26">
        <v>45264</v>
      </c>
      <c r="B6251" s="27" t="s">
        <v>126</v>
      </c>
      <c r="C6251" s="27" t="s">
        <v>18</v>
      </c>
      <c r="D6251" s="27" t="s">
        <v>16</v>
      </c>
      <c r="E6251" s="28">
        <v>36576</v>
      </c>
      <c r="F6251" s="28">
        <v>27519</v>
      </c>
      <c r="G6251" s="27" t="s">
        <v>11</v>
      </c>
      <c r="H6251" s="27" t="s">
        <v>846</v>
      </c>
      <c r="I6251" s="27" t="s">
        <v>13</v>
      </c>
    </row>
    <row r="6252" spans="1:9" x14ac:dyDescent="0.3">
      <c r="A6252" s="26">
        <v>45264</v>
      </c>
      <c r="B6252" s="27" t="s">
        <v>126</v>
      </c>
      <c r="C6252" s="27" t="s">
        <v>14</v>
      </c>
      <c r="D6252" s="27" t="s">
        <v>16</v>
      </c>
      <c r="E6252" s="28">
        <v>145143</v>
      </c>
      <c r="F6252" s="28">
        <v>20353</v>
      </c>
      <c r="G6252" s="27" t="s">
        <v>11</v>
      </c>
      <c r="H6252" s="27" t="s">
        <v>1053</v>
      </c>
      <c r="I6252" s="27" t="s">
        <v>13</v>
      </c>
    </row>
    <row r="6253" spans="1:9" x14ac:dyDescent="0.3">
      <c r="A6253" s="26">
        <v>45264</v>
      </c>
      <c r="B6253" s="27" t="s">
        <v>126</v>
      </c>
      <c r="C6253" s="27" t="s">
        <v>20</v>
      </c>
      <c r="D6253" s="27" t="s">
        <v>21</v>
      </c>
      <c r="E6253" s="28">
        <v>55653</v>
      </c>
      <c r="F6253" s="28">
        <v>11384</v>
      </c>
      <c r="G6253" s="27" t="s">
        <v>8</v>
      </c>
      <c r="H6253" s="27" t="s">
        <v>1088</v>
      </c>
      <c r="I6253" s="27" t="s">
        <v>13</v>
      </c>
    </row>
    <row r="6254" spans="1:9" x14ac:dyDescent="0.3">
      <c r="A6254" s="26">
        <v>45264</v>
      </c>
      <c r="B6254" s="27" t="s">
        <v>126</v>
      </c>
      <c r="C6254" s="27" t="s">
        <v>32</v>
      </c>
      <c r="D6254" s="27" t="s">
        <v>16</v>
      </c>
      <c r="E6254" s="28">
        <v>121140</v>
      </c>
      <c r="F6254" s="28">
        <v>86320</v>
      </c>
      <c r="G6254" s="27" t="s">
        <v>8</v>
      </c>
      <c r="H6254" s="27" t="s">
        <v>1395</v>
      </c>
      <c r="I6254" s="27" t="s">
        <v>13</v>
      </c>
    </row>
    <row r="6255" spans="1:9" x14ac:dyDescent="0.3">
      <c r="A6255" s="26">
        <v>45264</v>
      </c>
      <c r="B6255" s="27" t="s">
        <v>126</v>
      </c>
      <c r="C6255" s="27" t="s">
        <v>15</v>
      </c>
      <c r="D6255" s="27" t="s">
        <v>7</v>
      </c>
      <c r="E6255" s="28">
        <v>23097</v>
      </c>
      <c r="F6255" s="28">
        <v>128690</v>
      </c>
      <c r="G6255" s="27" t="s">
        <v>17</v>
      </c>
      <c r="H6255" s="27" t="s">
        <v>1619</v>
      </c>
      <c r="I6255" s="27" t="s">
        <v>13</v>
      </c>
    </row>
    <row r="6256" spans="1:9" x14ac:dyDescent="0.3">
      <c r="A6256" s="26">
        <v>45264</v>
      </c>
      <c r="B6256" s="27" t="s">
        <v>126</v>
      </c>
      <c r="C6256" s="27" t="s">
        <v>20</v>
      </c>
      <c r="D6256" s="27" t="s">
        <v>19</v>
      </c>
      <c r="E6256" s="28">
        <v>87507</v>
      </c>
      <c r="F6256" s="28">
        <v>164614</v>
      </c>
      <c r="G6256" s="27" t="s">
        <v>8</v>
      </c>
      <c r="H6256" s="27" t="s">
        <v>1791</v>
      </c>
      <c r="I6256" s="27" t="s">
        <v>13</v>
      </c>
    </row>
    <row r="6257" spans="1:9" x14ac:dyDescent="0.3">
      <c r="A6257" s="26">
        <v>45264</v>
      </c>
      <c r="B6257" s="27" t="s">
        <v>126</v>
      </c>
      <c r="C6257" s="27" t="s">
        <v>32</v>
      </c>
      <c r="D6257" s="27" t="s">
        <v>21</v>
      </c>
      <c r="E6257" s="28">
        <v>124897</v>
      </c>
      <c r="F6257" s="28">
        <v>143847</v>
      </c>
      <c r="G6257" s="27" t="s">
        <v>11</v>
      </c>
      <c r="H6257" s="27" t="s">
        <v>1958</v>
      </c>
      <c r="I6257" s="27" t="s">
        <v>13</v>
      </c>
    </row>
    <row r="6258" spans="1:9" x14ac:dyDescent="0.3">
      <c r="A6258" s="26">
        <v>45264</v>
      </c>
      <c r="B6258" s="27" t="s">
        <v>126</v>
      </c>
      <c r="C6258" s="27" t="s">
        <v>18</v>
      </c>
      <c r="D6258" s="27" t="s">
        <v>19</v>
      </c>
      <c r="E6258" s="28">
        <v>55749</v>
      </c>
      <c r="F6258" s="28">
        <v>59754</v>
      </c>
      <c r="G6258" s="27" t="s">
        <v>22</v>
      </c>
      <c r="H6258" s="27" t="s">
        <v>2385</v>
      </c>
      <c r="I6258" s="27" t="s">
        <v>13</v>
      </c>
    </row>
    <row r="6259" spans="1:9" x14ac:dyDescent="0.3">
      <c r="A6259" s="26">
        <v>45264</v>
      </c>
      <c r="B6259" s="27" t="s">
        <v>126</v>
      </c>
      <c r="C6259" s="27" t="s">
        <v>32</v>
      </c>
      <c r="D6259" s="27" t="s">
        <v>19</v>
      </c>
      <c r="E6259" s="28">
        <v>130784</v>
      </c>
      <c r="F6259" s="28">
        <v>91092</v>
      </c>
      <c r="G6259" s="27" t="s">
        <v>11</v>
      </c>
      <c r="H6259" s="27" t="s">
        <v>2637</v>
      </c>
      <c r="I6259" s="27" t="s">
        <v>13</v>
      </c>
    </row>
    <row r="6260" spans="1:9" x14ac:dyDescent="0.3">
      <c r="A6260" s="26">
        <v>45264</v>
      </c>
      <c r="B6260" s="27" t="s">
        <v>126</v>
      </c>
      <c r="C6260" s="27" t="s">
        <v>18</v>
      </c>
      <c r="D6260" s="27" t="s">
        <v>19</v>
      </c>
      <c r="E6260" s="28">
        <v>134108</v>
      </c>
      <c r="F6260" s="28">
        <v>114420</v>
      </c>
      <c r="G6260" s="27" t="s">
        <v>11</v>
      </c>
      <c r="H6260" s="27" t="s">
        <v>3088</v>
      </c>
      <c r="I6260" s="27" t="s">
        <v>13</v>
      </c>
    </row>
    <row r="6261" spans="1:9" x14ac:dyDescent="0.3">
      <c r="A6261" s="26">
        <v>45264</v>
      </c>
      <c r="B6261" s="27" t="s">
        <v>126</v>
      </c>
      <c r="C6261" s="27" t="s">
        <v>32</v>
      </c>
      <c r="D6261" s="27" t="s">
        <v>7</v>
      </c>
      <c r="E6261" s="28">
        <v>116557</v>
      </c>
      <c r="F6261" s="28">
        <v>17472</v>
      </c>
      <c r="G6261" s="27" t="s">
        <v>11</v>
      </c>
      <c r="H6261" s="27" t="s">
        <v>3157</v>
      </c>
      <c r="I6261" s="27" t="s">
        <v>13</v>
      </c>
    </row>
    <row r="6262" spans="1:9" x14ac:dyDescent="0.3">
      <c r="A6262" s="26">
        <v>45264</v>
      </c>
      <c r="B6262" s="27" t="s">
        <v>126</v>
      </c>
      <c r="C6262" s="27" t="s">
        <v>93</v>
      </c>
      <c r="D6262" s="27" t="s">
        <v>7</v>
      </c>
      <c r="E6262" s="28">
        <v>74200</v>
      </c>
      <c r="F6262" s="28">
        <v>68800</v>
      </c>
      <c r="G6262" s="27" t="s">
        <v>22</v>
      </c>
      <c r="H6262" s="27" t="s">
        <v>3828</v>
      </c>
      <c r="I6262" s="27" t="s">
        <v>9</v>
      </c>
    </row>
    <row r="6263" spans="1:9" x14ac:dyDescent="0.3">
      <c r="A6263" s="26">
        <v>45264</v>
      </c>
      <c r="B6263" s="27" t="s">
        <v>126</v>
      </c>
      <c r="C6263" s="27" t="s">
        <v>93</v>
      </c>
      <c r="D6263" s="27" t="s">
        <v>7</v>
      </c>
      <c r="E6263" s="28">
        <v>39200</v>
      </c>
      <c r="F6263" s="28">
        <v>44000</v>
      </c>
      <c r="G6263" s="27" t="s">
        <v>11</v>
      </c>
      <c r="H6263" s="27" t="s">
        <v>4151</v>
      </c>
      <c r="I6263" s="27" t="s">
        <v>9</v>
      </c>
    </row>
    <row r="6264" spans="1:9" x14ac:dyDescent="0.3">
      <c r="A6264" s="26">
        <v>45264</v>
      </c>
      <c r="B6264" s="27" t="s">
        <v>126</v>
      </c>
      <c r="C6264" s="27" t="s">
        <v>93</v>
      </c>
      <c r="D6264" s="27" t="s">
        <v>16</v>
      </c>
      <c r="E6264" s="28">
        <v>146300</v>
      </c>
      <c r="F6264" s="28">
        <v>175400</v>
      </c>
      <c r="G6264" s="27" t="s">
        <v>22</v>
      </c>
      <c r="H6264" s="27" t="s">
        <v>4227</v>
      </c>
      <c r="I6264" s="27" t="s">
        <v>9</v>
      </c>
    </row>
    <row r="6265" spans="1:9" x14ac:dyDescent="0.3">
      <c r="A6265" s="26">
        <v>45264</v>
      </c>
      <c r="B6265" s="27" t="s">
        <v>126</v>
      </c>
      <c r="C6265" s="27" t="s">
        <v>93</v>
      </c>
      <c r="D6265" s="27" t="s">
        <v>16</v>
      </c>
      <c r="E6265" s="28">
        <v>91600</v>
      </c>
      <c r="F6265" s="28">
        <v>72400</v>
      </c>
      <c r="G6265" s="27" t="s">
        <v>11</v>
      </c>
      <c r="H6265" s="27" t="s">
        <v>4435</v>
      </c>
      <c r="I6265" s="27" t="s">
        <v>9</v>
      </c>
    </row>
    <row r="6266" spans="1:9" x14ac:dyDescent="0.3">
      <c r="A6266" s="26">
        <v>45264</v>
      </c>
      <c r="B6266" s="27" t="s">
        <v>126</v>
      </c>
      <c r="C6266" s="27" t="s">
        <v>93</v>
      </c>
      <c r="D6266" s="27" t="s">
        <v>21</v>
      </c>
      <c r="E6266" s="28">
        <v>127200</v>
      </c>
      <c r="F6266" s="28">
        <v>120800</v>
      </c>
      <c r="G6266" s="27" t="s">
        <v>11</v>
      </c>
      <c r="H6266" s="27" t="s">
        <v>4470</v>
      </c>
      <c r="I6266" s="27" t="s">
        <v>9</v>
      </c>
    </row>
    <row r="6267" spans="1:9" x14ac:dyDescent="0.3">
      <c r="A6267" s="26">
        <v>45264</v>
      </c>
      <c r="B6267" s="27" t="s">
        <v>126</v>
      </c>
      <c r="C6267" s="27" t="s">
        <v>6</v>
      </c>
      <c r="D6267" s="27" t="s">
        <v>16</v>
      </c>
      <c r="E6267" s="28">
        <v>117100</v>
      </c>
      <c r="F6267" s="28">
        <v>90400</v>
      </c>
      <c r="G6267" s="27" t="s">
        <v>11</v>
      </c>
      <c r="H6267" s="27" t="s">
        <v>4778</v>
      </c>
      <c r="I6267" s="27" t="s">
        <v>9</v>
      </c>
    </row>
    <row r="6268" spans="1:9" x14ac:dyDescent="0.3">
      <c r="A6268" s="26">
        <v>45264</v>
      </c>
      <c r="B6268" s="27" t="s">
        <v>126</v>
      </c>
      <c r="C6268" s="27" t="s">
        <v>93</v>
      </c>
      <c r="D6268" s="27" t="s">
        <v>7</v>
      </c>
      <c r="E6268" s="28">
        <v>85000</v>
      </c>
      <c r="F6268" s="28">
        <v>79700</v>
      </c>
      <c r="G6268" s="27" t="s">
        <v>11</v>
      </c>
      <c r="H6268" s="27" t="s">
        <v>5002</v>
      </c>
      <c r="I6268" s="27" t="s">
        <v>9</v>
      </c>
    </row>
    <row r="6269" spans="1:9" x14ac:dyDescent="0.3">
      <c r="A6269" s="26">
        <v>45264</v>
      </c>
      <c r="B6269" s="27" t="s">
        <v>126</v>
      </c>
      <c r="C6269" s="27" t="s">
        <v>93</v>
      </c>
      <c r="D6269" s="27" t="s">
        <v>19</v>
      </c>
      <c r="E6269" s="28">
        <v>89900</v>
      </c>
      <c r="F6269" s="28">
        <v>89600</v>
      </c>
      <c r="G6269" s="27" t="s">
        <v>22</v>
      </c>
      <c r="H6269" s="27" t="s">
        <v>5174</v>
      </c>
      <c r="I6269" s="27" t="s">
        <v>9</v>
      </c>
    </row>
    <row r="6270" spans="1:9" x14ac:dyDescent="0.3">
      <c r="A6270" s="26">
        <v>45264</v>
      </c>
      <c r="B6270" s="27" t="s">
        <v>126</v>
      </c>
      <c r="C6270" s="27" t="s">
        <v>6</v>
      </c>
      <c r="D6270" s="27" t="s">
        <v>21</v>
      </c>
      <c r="E6270" s="28">
        <v>98400</v>
      </c>
      <c r="F6270" s="28">
        <v>89200</v>
      </c>
      <c r="G6270" s="27" t="s">
        <v>11</v>
      </c>
      <c r="H6270" s="27" t="s">
        <v>5342</v>
      </c>
      <c r="I6270" s="27" t="s">
        <v>9</v>
      </c>
    </row>
    <row r="6271" spans="1:9" x14ac:dyDescent="0.3">
      <c r="A6271" s="26">
        <v>45264</v>
      </c>
      <c r="B6271" s="27" t="s">
        <v>126</v>
      </c>
      <c r="C6271" s="27" t="s">
        <v>6</v>
      </c>
      <c r="D6271" s="27" t="s">
        <v>19</v>
      </c>
      <c r="E6271" s="28">
        <v>70200</v>
      </c>
      <c r="F6271" s="28">
        <v>94300</v>
      </c>
      <c r="G6271" s="27" t="s">
        <v>11</v>
      </c>
      <c r="H6271" s="27" t="s">
        <v>5770</v>
      </c>
      <c r="I6271" s="27" t="s">
        <v>9</v>
      </c>
    </row>
    <row r="6272" spans="1:9" x14ac:dyDescent="0.3">
      <c r="A6272" s="26">
        <v>45264</v>
      </c>
      <c r="B6272" s="27" t="s">
        <v>126</v>
      </c>
      <c r="C6272" s="27" t="s">
        <v>6</v>
      </c>
      <c r="D6272" s="27" t="s">
        <v>19</v>
      </c>
      <c r="E6272" s="28">
        <v>50400</v>
      </c>
      <c r="F6272" s="28">
        <v>59200</v>
      </c>
      <c r="G6272" s="27" t="s">
        <v>11</v>
      </c>
      <c r="H6272" s="27" t="s">
        <v>6022</v>
      </c>
      <c r="I6272" s="27" t="s">
        <v>9</v>
      </c>
    </row>
    <row r="6273" spans="1:9" x14ac:dyDescent="0.3">
      <c r="A6273" s="26">
        <v>45264</v>
      </c>
      <c r="B6273" s="27" t="s">
        <v>126</v>
      </c>
      <c r="C6273" s="27" t="s">
        <v>93</v>
      </c>
      <c r="D6273" s="27" t="s">
        <v>19</v>
      </c>
      <c r="E6273" s="28">
        <v>90600</v>
      </c>
      <c r="F6273" s="28">
        <v>106100</v>
      </c>
      <c r="G6273" s="27" t="s">
        <v>22</v>
      </c>
      <c r="H6273" s="27" t="s">
        <v>6473</v>
      </c>
      <c r="I6273" s="27" t="s">
        <v>9</v>
      </c>
    </row>
    <row r="6274" spans="1:9" x14ac:dyDescent="0.3">
      <c r="A6274" s="26">
        <v>45264</v>
      </c>
      <c r="B6274" s="27" t="s">
        <v>126</v>
      </c>
      <c r="C6274" s="27" t="s">
        <v>93</v>
      </c>
      <c r="D6274" s="27" t="s">
        <v>7</v>
      </c>
      <c r="E6274" s="28">
        <v>163800</v>
      </c>
      <c r="F6274" s="28">
        <v>168500</v>
      </c>
      <c r="G6274" s="27" t="s">
        <v>17</v>
      </c>
      <c r="H6274" s="27" t="s">
        <v>6542</v>
      </c>
      <c r="I6274" s="27" t="s">
        <v>9</v>
      </c>
    </row>
    <row r="6275" spans="1:9" x14ac:dyDescent="0.3">
      <c r="A6275" s="26">
        <v>45265</v>
      </c>
      <c r="B6275" s="27" t="s">
        <v>126</v>
      </c>
      <c r="C6275" s="27" t="s">
        <v>10</v>
      </c>
      <c r="D6275" s="27" t="s">
        <v>24</v>
      </c>
      <c r="E6275" s="28">
        <v>145891</v>
      </c>
      <c r="F6275" s="28">
        <v>98539</v>
      </c>
      <c r="G6275" s="27" t="s">
        <v>11</v>
      </c>
      <c r="H6275" s="27" t="s">
        <v>1064</v>
      </c>
      <c r="I6275" s="27" t="s">
        <v>13</v>
      </c>
    </row>
    <row r="6276" spans="1:9" x14ac:dyDescent="0.3">
      <c r="A6276" s="26">
        <v>45265</v>
      </c>
      <c r="B6276" s="27" t="s">
        <v>126</v>
      </c>
      <c r="C6276" s="27" t="s">
        <v>14</v>
      </c>
      <c r="D6276" s="27" t="s">
        <v>21</v>
      </c>
      <c r="E6276" s="28">
        <v>136853</v>
      </c>
      <c r="F6276" s="28">
        <v>168591</v>
      </c>
      <c r="G6276" s="27" t="s">
        <v>8</v>
      </c>
      <c r="H6276" s="27" t="s">
        <v>1219</v>
      </c>
      <c r="I6276" s="27" t="s">
        <v>13</v>
      </c>
    </row>
    <row r="6277" spans="1:9" x14ac:dyDescent="0.3">
      <c r="A6277" s="26">
        <v>45265</v>
      </c>
      <c r="B6277" s="27" t="s">
        <v>126</v>
      </c>
      <c r="C6277" s="27" t="s">
        <v>18</v>
      </c>
      <c r="D6277" s="27" t="s">
        <v>16</v>
      </c>
      <c r="E6277" s="28">
        <v>64785</v>
      </c>
      <c r="F6277" s="28">
        <v>66486</v>
      </c>
      <c r="G6277" s="27" t="s">
        <v>17</v>
      </c>
      <c r="H6277" s="27" t="s">
        <v>1328</v>
      </c>
      <c r="I6277" s="27" t="s">
        <v>13</v>
      </c>
    </row>
    <row r="6278" spans="1:9" x14ac:dyDescent="0.3">
      <c r="A6278" s="26">
        <v>45265</v>
      </c>
      <c r="B6278" s="27" t="s">
        <v>126</v>
      </c>
      <c r="C6278" s="27" t="s">
        <v>32</v>
      </c>
      <c r="D6278" s="27" t="s">
        <v>7</v>
      </c>
      <c r="E6278" s="28">
        <v>59158</v>
      </c>
      <c r="F6278" s="28">
        <v>34758</v>
      </c>
      <c r="G6278" s="27" t="s">
        <v>11</v>
      </c>
      <c r="H6278" s="27" t="s">
        <v>3063</v>
      </c>
      <c r="I6278" s="27" t="s">
        <v>13</v>
      </c>
    </row>
    <row r="6279" spans="1:9" x14ac:dyDescent="0.3">
      <c r="A6279" s="26">
        <v>45265</v>
      </c>
      <c r="B6279" s="27" t="s">
        <v>126</v>
      </c>
      <c r="C6279" s="27" t="s">
        <v>18</v>
      </c>
      <c r="D6279" s="27" t="s">
        <v>16</v>
      </c>
      <c r="E6279" s="28">
        <v>70037</v>
      </c>
      <c r="F6279" s="28">
        <v>115006</v>
      </c>
      <c r="G6279" s="27" t="s">
        <v>11</v>
      </c>
      <c r="H6279" s="27" t="s">
        <v>3140</v>
      </c>
      <c r="I6279" s="27" t="s">
        <v>13</v>
      </c>
    </row>
    <row r="6280" spans="1:9" x14ac:dyDescent="0.3">
      <c r="A6280" s="26">
        <v>45265</v>
      </c>
      <c r="B6280" s="27" t="s">
        <v>126</v>
      </c>
      <c r="C6280" s="27" t="s">
        <v>6</v>
      </c>
      <c r="D6280" s="27" t="s">
        <v>24</v>
      </c>
      <c r="E6280" s="28">
        <v>86500</v>
      </c>
      <c r="F6280" s="28">
        <v>98800</v>
      </c>
      <c r="G6280" s="27" t="s">
        <v>22</v>
      </c>
      <c r="H6280" s="27" t="s">
        <v>4446</v>
      </c>
      <c r="I6280" s="27" t="s">
        <v>9</v>
      </c>
    </row>
    <row r="6281" spans="1:9" x14ac:dyDescent="0.3">
      <c r="A6281" s="26">
        <v>45265</v>
      </c>
      <c r="B6281" s="27" t="s">
        <v>126</v>
      </c>
      <c r="C6281" s="27" t="s">
        <v>6</v>
      </c>
      <c r="D6281" s="27" t="s">
        <v>21</v>
      </c>
      <c r="E6281" s="28">
        <v>91600</v>
      </c>
      <c r="F6281" s="28">
        <v>108500</v>
      </c>
      <c r="G6281" s="27" t="s">
        <v>22</v>
      </c>
      <c r="H6281" s="27" t="s">
        <v>4602</v>
      </c>
      <c r="I6281" s="27" t="s">
        <v>9</v>
      </c>
    </row>
    <row r="6282" spans="1:9" x14ac:dyDescent="0.3">
      <c r="A6282" s="26">
        <v>45265</v>
      </c>
      <c r="B6282" s="27" t="s">
        <v>126</v>
      </c>
      <c r="C6282" s="27" t="s">
        <v>6</v>
      </c>
      <c r="D6282" s="27" t="s">
        <v>16</v>
      </c>
      <c r="E6282" s="28">
        <v>90100</v>
      </c>
      <c r="F6282" s="28">
        <v>60300</v>
      </c>
      <c r="G6282" s="27" t="s">
        <v>22</v>
      </c>
      <c r="H6282" s="27" t="s">
        <v>4711</v>
      </c>
      <c r="I6282" s="27" t="s">
        <v>9</v>
      </c>
    </row>
    <row r="6283" spans="1:9" x14ac:dyDescent="0.3">
      <c r="A6283" s="26">
        <v>45265</v>
      </c>
      <c r="B6283" s="27" t="s">
        <v>126</v>
      </c>
      <c r="C6283" s="27" t="s">
        <v>93</v>
      </c>
      <c r="D6283" s="27" t="s">
        <v>7</v>
      </c>
      <c r="E6283" s="28">
        <v>126600</v>
      </c>
      <c r="F6283" s="28">
        <v>151600</v>
      </c>
      <c r="G6283" s="27" t="s">
        <v>11</v>
      </c>
      <c r="H6283" s="27" t="s">
        <v>6448</v>
      </c>
      <c r="I6283" s="27" t="s">
        <v>9</v>
      </c>
    </row>
    <row r="6284" spans="1:9" x14ac:dyDescent="0.3">
      <c r="A6284" s="26">
        <v>45265</v>
      </c>
      <c r="B6284" s="27" t="s">
        <v>126</v>
      </c>
      <c r="C6284" s="27" t="s">
        <v>6</v>
      </c>
      <c r="D6284" s="27" t="s">
        <v>16</v>
      </c>
      <c r="E6284" s="28">
        <v>89800</v>
      </c>
      <c r="F6284" s="28">
        <v>96600</v>
      </c>
      <c r="G6284" s="27" t="s">
        <v>22</v>
      </c>
      <c r="H6284" s="27" t="s">
        <v>6525</v>
      </c>
      <c r="I6284" s="27" t="s">
        <v>9</v>
      </c>
    </row>
    <row r="6285" spans="1:9" x14ac:dyDescent="0.3">
      <c r="A6285" s="26">
        <v>45266</v>
      </c>
      <c r="B6285" s="27" t="s">
        <v>126</v>
      </c>
      <c r="C6285" s="27" t="s">
        <v>20</v>
      </c>
      <c r="D6285" s="27" t="s">
        <v>19</v>
      </c>
      <c r="E6285" s="28">
        <v>139244</v>
      </c>
      <c r="F6285" s="28">
        <v>131951</v>
      </c>
      <c r="G6285" s="27" t="s">
        <v>8</v>
      </c>
      <c r="H6285" s="27" t="s">
        <v>145</v>
      </c>
      <c r="I6285" s="27" t="s">
        <v>13</v>
      </c>
    </row>
    <row r="6286" spans="1:9" x14ac:dyDescent="0.3">
      <c r="A6286" s="26">
        <v>45266</v>
      </c>
      <c r="B6286" s="27" t="s">
        <v>126</v>
      </c>
      <c r="C6286" s="27" t="s">
        <v>32</v>
      </c>
      <c r="D6286" s="27" t="s">
        <v>21</v>
      </c>
      <c r="E6286" s="28">
        <v>42811</v>
      </c>
      <c r="F6286" s="28">
        <v>109627</v>
      </c>
      <c r="G6286" s="27" t="s">
        <v>11</v>
      </c>
      <c r="H6286" s="27" t="s">
        <v>303</v>
      </c>
      <c r="I6286" s="27" t="s">
        <v>13</v>
      </c>
    </row>
    <row r="6287" spans="1:9" x14ac:dyDescent="0.3">
      <c r="A6287" s="26">
        <v>45266</v>
      </c>
      <c r="B6287" s="27" t="s">
        <v>126</v>
      </c>
      <c r="C6287" s="27" t="s">
        <v>14</v>
      </c>
      <c r="D6287" s="27" t="s">
        <v>19</v>
      </c>
      <c r="E6287" s="28">
        <v>83829</v>
      </c>
      <c r="F6287" s="28">
        <v>168057</v>
      </c>
      <c r="G6287" s="27" t="s">
        <v>22</v>
      </c>
      <c r="H6287" s="27" t="s">
        <v>510</v>
      </c>
      <c r="I6287" s="27" t="s">
        <v>13</v>
      </c>
    </row>
    <row r="6288" spans="1:9" x14ac:dyDescent="0.3">
      <c r="A6288" s="26">
        <v>45266</v>
      </c>
      <c r="B6288" s="27" t="s">
        <v>126</v>
      </c>
      <c r="C6288" s="27" t="s">
        <v>14</v>
      </c>
      <c r="D6288" s="27" t="s">
        <v>16</v>
      </c>
      <c r="E6288" s="28">
        <v>97834</v>
      </c>
      <c r="F6288" s="28">
        <v>103306</v>
      </c>
      <c r="G6288" s="27" t="s">
        <v>11</v>
      </c>
      <c r="H6288" s="27" t="s">
        <v>556</v>
      </c>
      <c r="I6288" s="27" t="s">
        <v>13</v>
      </c>
    </row>
    <row r="6289" spans="1:9" x14ac:dyDescent="0.3">
      <c r="A6289" s="26">
        <v>45266</v>
      </c>
      <c r="B6289" s="27" t="s">
        <v>126</v>
      </c>
      <c r="C6289" s="27" t="s">
        <v>20</v>
      </c>
      <c r="D6289" s="27" t="s">
        <v>24</v>
      </c>
      <c r="E6289" s="28">
        <v>132647</v>
      </c>
      <c r="F6289" s="28">
        <v>96665</v>
      </c>
      <c r="G6289" s="27" t="s">
        <v>8</v>
      </c>
      <c r="H6289" s="27" t="s">
        <v>1823</v>
      </c>
      <c r="I6289" s="27" t="s">
        <v>13</v>
      </c>
    </row>
    <row r="6290" spans="1:9" x14ac:dyDescent="0.3">
      <c r="A6290" s="26">
        <v>45266</v>
      </c>
      <c r="B6290" s="27" t="s">
        <v>126</v>
      </c>
      <c r="C6290" s="27" t="s">
        <v>32</v>
      </c>
      <c r="D6290" s="27" t="s">
        <v>7</v>
      </c>
      <c r="E6290" s="28">
        <v>104814</v>
      </c>
      <c r="F6290" s="28">
        <v>51955</v>
      </c>
      <c r="G6290" s="27" t="s">
        <v>11</v>
      </c>
      <c r="H6290" s="27" t="s">
        <v>2049</v>
      </c>
      <c r="I6290" s="27" t="s">
        <v>13</v>
      </c>
    </row>
    <row r="6291" spans="1:9" x14ac:dyDescent="0.3">
      <c r="A6291" s="26">
        <v>45266</v>
      </c>
      <c r="B6291" s="27" t="s">
        <v>126</v>
      </c>
      <c r="C6291" s="27" t="s">
        <v>10</v>
      </c>
      <c r="D6291" s="27" t="s">
        <v>21</v>
      </c>
      <c r="E6291" s="28">
        <v>71952</v>
      </c>
      <c r="F6291" s="28">
        <v>9095</v>
      </c>
      <c r="G6291" s="27" t="s">
        <v>22</v>
      </c>
      <c r="H6291" s="27" t="s">
        <v>2376</v>
      </c>
      <c r="I6291" s="27" t="s">
        <v>13</v>
      </c>
    </row>
    <row r="6292" spans="1:9" x14ac:dyDescent="0.3">
      <c r="A6292" s="26">
        <v>45266</v>
      </c>
      <c r="B6292" s="27" t="s">
        <v>126</v>
      </c>
      <c r="C6292" s="27" t="s">
        <v>15</v>
      </c>
      <c r="D6292" s="27" t="s">
        <v>19</v>
      </c>
      <c r="E6292" s="28">
        <v>14529</v>
      </c>
      <c r="F6292" s="28">
        <v>74141</v>
      </c>
      <c r="G6292" s="27" t="s">
        <v>17</v>
      </c>
      <c r="H6292" s="27" t="s">
        <v>2424</v>
      </c>
      <c r="I6292" s="27" t="s">
        <v>13</v>
      </c>
    </row>
    <row r="6293" spans="1:9" x14ac:dyDescent="0.3">
      <c r="A6293" s="26">
        <v>45266</v>
      </c>
      <c r="B6293" s="27" t="s">
        <v>126</v>
      </c>
      <c r="C6293" s="27" t="s">
        <v>14</v>
      </c>
      <c r="D6293" s="27" t="s">
        <v>16</v>
      </c>
      <c r="E6293" s="28">
        <v>125197</v>
      </c>
      <c r="F6293" s="28">
        <v>29494</v>
      </c>
      <c r="G6293" s="27" t="s">
        <v>8</v>
      </c>
      <c r="H6293" s="27" t="s">
        <v>2657</v>
      </c>
      <c r="I6293" s="27" t="s">
        <v>13</v>
      </c>
    </row>
    <row r="6294" spans="1:9" x14ac:dyDescent="0.3">
      <c r="A6294" s="26">
        <v>45266</v>
      </c>
      <c r="B6294" s="27" t="s">
        <v>126</v>
      </c>
      <c r="C6294" s="27" t="s">
        <v>32</v>
      </c>
      <c r="D6294" s="27" t="s">
        <v>19</v>
      </c>
      <c r="E6294" s="28">
        <v>91836</v>
      </c>
      <c r="F6294" s="28">
        <v>36606</v>
      </c>
      <c r="G6294" s="27" t="s">
        <v>11</v>
      </c>
      <c r="H6294" s="27" t="s">
        <v>3242</v>
      </c>
      <c r="I6294" s="27" t="s">
        <v>13</v>
      </c>
    </row>
    <row r="6295" spans="1:9" x14ac:dyDescent="0.3">
      <c r="A6295" s="26">
        <v>45266</v>
      </c>
      <c r="B6295" s="27" t="s">
        <v>126</v>
      </c>
      <c r="C6295" s="27" t="s">
        <v>18</v>
      </c>
      <c r="D6295" s="27" t="s">
        <v>19</v>
      </c>
      <c r="E6295" s="28">
        <v>71155</v>
      </c>
      <c r="F6295" s="28">
        <v>130374</v>
      </c>
      <c r="G6295" s="27" t="s">
        <v>22</v>
      </c>
      <c r="H6295" s="27" t="s">
        <v>3311</v>
      </c>
      <c r="I6295" s="27" t="s">
        <v>13</v>
      </c>
    </row>
    <row r="6296" spans="1:9" x14ac:dyDescent="0.3">
      <c r="A6296" s="26">
        <v>45266</v>
      </c>
      <c r="B6296" s="27" t="s">
        <v>126</v>
      </c>
      <c r="C6296" s="27" t="s">
        <v>6</v>
      </c>
      <c r="D6296" s="27" t="s">
        <v>19</v>
      </c>
      <c r="E6296" s="28">
        <v>72800</v>
      </c>
      <c r="F6296" s="28">
        <v>76900</v>
      </c>
      <c r="G6296" s="27" t="s">
        <v>11</v>
      </c>
      <c r="H6296" s="27" t="s">
        <v>3526</v>
      </c>
      <c r="I6296" s="27" t="s">
        <v>9</v>
      </c>
    </row>
    <row r="6297" spans="1:9" x14ac:dyDescent="0.3">
      <c r="A6297" s="26">
        <v>45266</v>
      </c>
      <c r="B6297" s="27" t="s">
        <v>126</v>
      </c>
      <c r="C6297" s="27" t="s">
        <v>93</v>
      </c>
      <c r="D6297" s="27" t="s">
        <v>21</v>
      </c>
      <c r="E6297" s="28">
        <v>66800</v>
      </c>
      <c r="F6297" s="28">
        <v>67000</v>
      </c>
      <c r="G6297" s="27" t="s">
        <v>17</v>
      </c>
      <c r="H6297" s="27" t="s">
        <v>3684</v>
      </c>
      <c r="I6297" s="27" t="s">
        <v>9</v>
      </c>
    </row>
    <row r="6298" spans="1:9" x14ac:dyDescent="0.3">
      <c r="A6298" s="26">
        <v>45266</v>
      </c>
      <c r="B6298" s="27" t="s">
        <v>126</v>
      </c>
      <c r="C6298" s="27" t="s">
        <v>93</v>
      </c>
      <c r="D6298" s="27" t="s">
        <v>19</v>
      </c>
      <c r="E6298" s="28">
        <v>179600</v>
      </c>
      <c r="F6298" s="28">
        <v>206500</v>
      </c>
      <c r="G6298" s="27" t="s">
        <v>17</v>
      </c>
      <c r="H6298" s="27" t="s">
        <v>3891</v>
      </c>
      <c r="I6298" s="27" t="s">
        <v>9</v>
      </c>
    </row>
    <row r="6299" spans="1:9" x14ac:dyDescent="0.3">
      <c r="A6299" s="26">
        <v>45266</v>
      </c>
      <c r="B6299" s="27" t="s">
        <v>126</v>
      </c>
      <c r="C6299" s="27" t="s">
        <v>6</v>
      </c>
      <c r="D6299" s="27" t="s">
        <v>16</v>
      </c>
      <c r="E6299" s="28">
        <v>137100</v>
      </c>
      <c r="F6299" s="28">
        <v>154800</v>
      </c>
      <c r="G6299" s="27" t="s">
        <v>11</v>
      </c>
      <c r="H6299" s="27" t="s">
        <v>3937</v>
      </c>
      <c r="I6299" s="27" t="s">
        <v>9</v>
      </c>
    </row>
    <row r="6300" spans="1:9" x14ac:dyDescent="0.3">
      <c r="A6300" s="26">
        <v>45266</v>
      </c>
      <c r="B6300" s="27" t="s">
        <v>126</v>
      </c>
      <c r="C6300" s="27" t="s">
        <v>6</v>
      </c>
      <c r="D6300" s="27" t="s">
        <v>24</v>
      </c>
      <c r="E6300" s="28">
        <v>169200</v>
      </c>
      <c r="F6300" s="28">
        <v>148400</v>
      </c>
      <c r="G6300" s="27" t="s">
        <v>11</v>
      </c>
      <c r="H6300" s="27" t="s">
        <v>5206</v>
      </c>
      <c r="I6300" s="27" t="s">
        <v>9</v>
      </c>
    </row>
    <row r="6301" spans="1:9" x14ac:dyDescent="0.3">
      <c r="A6301" s="26">
        <v>45266</v>
      </c>
      <c r="B6301" s="27" t="s">
        <v>126</v>
      </c>
      <c r="C6301" s="27" t="s">
        <v>6</v>
      </c>
      <c r="D6301" s="27" t="s">
        <v>7</v>
      </c>
      <c r="E6301" s="28">
        <v>91000</v>
      </c>
      <c r="F6301" s="28">
        <v>92100</v>
      </c>
      <c r="G6301" s="27" t="s">
        <v>17</v>
      </c>
      <c r="H6301" s="27" t="s">
        <v>5433</v>
      </c>
      <c r="I6301" s="27" t="s">
        <v>9</v>
      </c>
    </row>
    <row r="6302" spans="1:9" x14ac:dyDescent="0.3">
      <c r="A6302" s="26">
        <v>45266</v>
      </c>
      <c r="B6302" s="27" t="s">
        <v>126</v>
      </c>
      <c r="C6302" s="27" t="s">
        <v>6</v>
      </c>
      <c r="D6302" s="27" t="s">
        <v>21</v>
      </c>
      <c r="E6302" s="28">
        <v>167000</v>
      </c>
      <c r="F6302" s="28">
        <v>147200</v>
      </c>
      <c r="G6302" s="27" t="s">
        <v>11</v>
      </c>
      <c r="H6302" s="27" t="s">
        <v>5761</v>
      </c>
      <c r="I6302" s="27" t="s">
        <v>9</v>
      </c>
    </row>
    <row r="6303" spans="1:9" x14ac:dyDescent="0.3">
      <c r="A6303" s="26">
        <v>45266</v>
      </c>
      <c r="B6303" s="27" t="s">
        <v>126</v>
      </c>
      <c r="C6303" s="27" t="s">
        <v>6</v>
      </c>
      <c r="D6303" s="27" t="s">
        <v>19</v>
      </c>
      <c r="E6303" s="28">
        <v>49400</v>
      </c>
      <c r="F6303" s="28">
        <v>41000</v>
      </c>
      <c r="G6303" s="27" t="s">
        <v>11</v>
      </c>
      <c r="H6303" s="27" t="s">
        <v>5809</v>
      </c>
      <c r="I6303" s="27" t="s">
        <v>9</v>
      </c>
    </row>
    <row r="6304" spans="1:9" x14ac:dyDescent="0.3">
      <c r="A6304" s="26">
        <v>45266</v>
      </c>
      <c r="B6304" s="27" t="s">
        <v>126</v>
      </c>
      <c r="C6304" s="27" t="s">
        <v>93</v>
      </c>
      <c r="D6304" s="27" t="s">
        <v>16</v>
      </c>
      <c r="E6304" s="28">
        <v>87100</v>
      </c>
      <c r="F6304" s="28">
        <v>130900</v>
      </c>
      <c r="G6304" s="27" t="s">
        <v>22</v>
      </c>
      <c r="H6304" s="27" t="s">
        <v>6042</v>
      </c>
      <c r="I6304" s="27" t="s">
        <v>9</v>
      </c>
    </row>
    <row r="6305" spans="1:9" x14ac:dyDescent="0.3">
      <c r="A6305" s="26">
        <v>45266</v>
      </c>
      <c r="B6305" s="27" t="s">
        <v>126</v>
      </c>
      <c r="C6305" s="27" t="s">
        <v>6</v>
      </c>
      <c r="D6305" s="27" t="s">
        <v>19</v>
      </c>
      <c r="E6305" s="28">
        <v>146700</v>
      </c>
      <c r="F6305" s="28">
        <v>151600</v>
      </c>
      <c r="G6305" s="27" t="s">
        <v>22</v>
      </c>
      <c r="H6305" s="27" t="s">
        <v>6627</v>
      </c>
      <c r="I6305" s="27" t="s">
        <v>9</v>
      </c>
    </row>
    <row r="6306" spans="1:9" x14ac:dyDescent="0.3">
      <c r="A6306" s="26">
        <v>45266</v>
      </c>
      <c r="B6306" s="27" t="s">
        <v>126</v>
      </c>
      <c r="C6306" s="27" t="s">
        <v>6</v>
      </c>
      <c r="D6306" s="27" t="s">
        <v>19</v>
      </c>
      <c r="E6306" s="28">
        <v>120800</v>
      </c>
      <c r="F6306" s="28">
        <v>134200</v>
      </c>
      <c r="G6306" s="27" t="s">
        <v>22</v>
      </c>
      <c r="H6306" s="27" t="s">
        <v>6696</v>
      </c>
      <c r="I6306" s="27" t="s">
        <v>9</v>
      </c>
    </row>
    <row r="6307" spans="1:9" x14ac:dyDescent="0.3">
      <c r="A6307" s="26">
        <v>45267</v>
      </c>
      <c r="B6307" s="27" t="s">
        <v>126</v>
      </c>
      <c r="C6307" s="27" t="s">
        <v>18</v>
      </c>
      <c r="D6307" s="27" t="s">
        <v>24</v>
      </c>
      <c r="E6307" s="28">
        <v>24464</v>
      </c>
      <c r="F6307" s="28">
        <v>99354</v>
      </c>
      <c r="G6307" s="27" t="s">
        <v>17</v>
      </c>
      <c r="H6307" s="27" t="s">
        <v>186</v>
      </c>
      <c r="I6307" s="27" t="s">
        <v>13</v>
      </c>
    </row>
    <row r="6308" spans="1:9" x14ac:dyDescent="0.3">
      <c r="A6308" s="26">
        <v>45267</v>
      </c>
      <c r="B6308" s="27" t="s">
        <v>126</v>
      </c>
      <c r="C6308" s="27" t="s">
        <v>15</v>
      </c>
      <c r="D6308" s="27" t="s">
        <v>24</v>
      </c>
      <c r="E6308" s="28">
        <v>53413</v>
      </c>
      <c r="F6308" s="28">
        <v>42424</v>
      </c>
      <c r="G6308" s="27" t="s">
        <v>8</v>
      </c>
      <c r="H6308" s="27" t="s">
        <v>487</v>
      </c>
      <c r="I6308" s="27" t="s">
        <v>13</v>
      </c>
    </row>
    <row r="6309" spans="1:9" x14ac:dyDescent="0.3">
      <c r="A6309" s="26">
        <v>45267</v>
      </c>
      <c r="B6309" s="27" t="s">
        <v>126</v>
      </c>
      <c r="C6309" s="27" t="s">
        <v>32</v>
      </c>
      <c r="D6309" s="27" t="s">
        <v>24</v>
      </c>
      <c r="E6309" s="28">
        <v>19604</v>
      </c>
      <c r="F6309" s="28">
        <v>159416</v>
      </c>
      <c r="G6309" s="27" t="s">
        <v>17</v>
      </c>
      <c r="H6309" s="27" t="s">
        <v>805</v>
      </c>
      <c r="I6309" s="27" t="s">
        <v>13</v>
      </c>
    </row>
    <row r="6310" spans="1:9" x14ac:dyDescent="0.3">
      <c r="A6310" s="26">
        <v>45267</v>
      </c>
      <c r="B6310" s="27" t="s">
        <v>126</v>
      </c>
      <c r="C6310" s="27" t="s">
        <v>18</v>
      </c>
      <c r="D6310" s="27" t="s">
        <v>7</v>
      </c>
      <c r="E6310" s="28">
        <v>60209</v>
      </c>
      <c r="F6310" s="28">
        <v>128672</v>
      </c>
      <c r="G6310" s="27" t="s">
        <v>8</v>
      </c>
      <c r="H6310" s="27" t="s">
        <v>880</v>
      </c>
      <c r="I6310" s="27" t="s">
        <v>13</v>
      </c>
    </row>
    <row r="6311" spans="1:9" x14ac:dyDescent="0.3">
      <c r="A6311" s="26">
        <v>45267</v>
      </c>
      <c r="B6311" s="27" t="s">
        <v>126</v>
      </c>
      <c r="C6311" s="27" t="s">
        <v>18</v>
      </c>
      <c r="D6311" s="27" t="s">
        <v>21</v>
      </c>
      <c r="E6311" s="28">
        <v>80760</v>
      </c>
      <c r="F6311" s="28">
        <v>32623</v>
      </c>
      <c r="G6311" s="27" t="s">
        <v>17</v>
      </c>
      <c r="H6311" s="27" t="s">
        <v>1117</v>
      </c>
      <c r="I6311" s="27" t="s">
        <v>13</v>
      </c>
    </row>
    <row r="6312" spans="1:9" x14ac:dyDescent="0.3">
      <c r="A6312" s="26">
        <v>45267</v>
      </c>
      <c r="B6312" s="27" t="s">
        <v>126</v>
      </c>
      <c r="C6312" s="27" t="s">
        <v>32</v>
      </c>
      <c r="D6312" s="27" t="s">
        <v>7</v>
      </c>
      <c r="E6312" s="28">
        <v>23241</v>
      </c>
      <c r="F6312" s="28">
        <v>120623</v>
      </c>
      <c r="G6312" s="27" t="s">
        <v>17</v>
      </c>
      <c r="H6312" s="27" t="s">
        <v>1179</v>
      </c>
      <c r="I6312" s="27" t="s">
        <v>13</v>
      </c>
    </row>
    <row r="6313" spans="1:9" x14ac:dyDescent="0.3">
      <c r="A6313" s="26">
        <v>45267</v>
      </c>
      <c r="B6313" s="27" t="s">
        <v>126</v>
      </c>
      <c r="C6313" s="27" t="s">
        <v>18</v>
      </c>
      <c r="D6313" s="27" t="s">
        <v>24</v>
      </c>
      <c r="E6313" s="28">
        <v>96008</v>
      </c>
      <c r="F6313" s="28">
        <v>80428</v>
      </c>
      <c r="G6313" s="27" t="s">
        <v>17</v>
      </c>
      <c r="H6313" s="27" t="s">
        <v>1502</v>
      </c>
      <c r="I6313" s="27" t="s">
        <v>13</v>
      </c>
    </row>
    <row r="6314" spans="1:9" x14ac:dyDescent="0.3">
      <c r="A6314" s="26">
        <v>45267</v>
      </c>
      <c r="B6314" s="27" t="s">
        <v>126</v>
      </c>
      <c r="C6314" s="27" t="s">
        <v>14</v>
      </c>
      <c r="D6314" s="27" t="s">
        <v>19</v>
      </c>
      <c r="E6314" s="28">
        <v>138410</v>
      </c>
      <c r="F6314" s="28">
        <v>44866</v>
      </c>
      <c r="G6314" s="27" t="s">
        <v>17</v>
      </c>
      <c r="H6314" s="27" t="s">
        <v>1992</v>
      </c>
      <c r="I6314" s="27" t="s">
        <v>13</v>
      </c>
    </row>
    <row r="6315" spans="1:9" x14ac:dyDescent="0.3">
      <c r="A6315" s="26">
        <v>45267</v>
      </c>
      <c r="B6315" s="27" t="s">
        <v>126</v>
      </c>
      <c r="C6315" s="27" t="s">
        <v>32</v>
      </c>
      <c r="D6315" s="27" t="s">
        <v>16</v>
      </c>
      <c r="E6315" s="28">
        <v>84599</v>
      </c>
      <c r="F6315" s="28">
        <v>8683</v>
      </c>
      <c r="G6315" s="27" t="s">
        <v>11</v>
      </c>
      <c r="H6315" s="27" t="s">
        <v>2285</v>
      </c>
      <c r="I6315" s="27" t="s">
        <v>13</v>
      </c>
    </row>
    <row r="6316" spans="1:9" x14ac:dyDescent="0.3">
      <c r="A6316" s="26">
        <v>45267</v>
      </c>
      <c r="B6316" s="27" t="s">
        <v>126</v>
      </c>
      <c r="C6316" s="27" t="s">
        <v>14</v>
      </c>
      <c r="D6316" s="27" t="s">
        <v>24</v>
      </c>
      <c r="E6316" s="28">
        <v>99254</v>
      </c>
      <c r="F6316" s="28">
        <v>93211</v>
      </c>
      <c r="G6316" s="27" t="s">
        <v>17</v>
      </c>
      <c r="H6316" s="27" t="s">
        <v>2524</v>
      </c>
      <c r="I6316" s="27" t="s">
        <v>13</v>
      </c>
    </row>
    <row r="6317" spans="1:9" x14ac:dyDescent="0.3">
      <c r="A6317" s="26">
        <v>45267</v>
      </c>
      <c r="B6317" s="27" t="s">
        <v>126</v>
      </c>
      <c r="C6317" s="27" t="s">
        <v>20</v>
      </c>
      <c r="D6317" s="27" t="s">
        <v>16</v>
      </c>
      <c r="E6317" s="28">
        <v>74412</v>
      </c>
      <c r="F6317" s="28">
        <v>11857</v>
      </c>
      <c r="G6317" s="27" t="s">
        <v>11</v>
      </c>
      <c r="H6317" s="27" t="s">
        <v>2540</v>
      </c>
      <c r="I6317" s="27" t="s">
        <v>13</v>
      </c>
    </row>
    <row r="6318" spans="1:9" x14ac:dyDescent="0.3">
      <c r="A6318" s="26">
        <v>45267</v>
      </c>
      <c r="B6318" s="27" t="s">
        <v>126</v>
      </c>
      <c r="C6318" s="27" t="s">
        <v>15</v>
      </c>
      <c r="D6318" s="27" t="s">
        <v>21</v>
      </c>
      <c r="E6318" s="28">
        <v>30679</v>
      </c>
      <c r="F6318" s="28">
        <v>51824</v>
      </c>
      <c r="G6318" s="27" t="s">
        <v>8</v>
      </c>
      <c r="H6318" s="27" t="s">
        <v>2653</v>
      </c>
      <c r="I6318" s="27" t="s">
        <v>13</v>
      </c>
    </row>
    <row r="6319" spans="1:9" x14ac:dyDescent="0.3">
      <c r="A6319" s="26">
        <v>45267</v>
      </c>
      <c r="B6319" s="27" t="s">
        <v>126</v>
      </c>
      <c r="C6319" s="27" t="s">
        <v>10</v>
      </c>
      <c r="D6319" s="27" t="s">
        <v>21</v>
      </c>
      <c r="E6319" s="28">
        <v>14025</v>
      </c>
      <c r="F6319" s="28">
        <v>127117</v>
      </c>
      <c r="G6319" s="27" t="s">
        <v>11</v>
      </c>
      <c r="H6319" s="27" t="s">
        <v>3145</v>
      </c>
      <c r="I6319" s="27" t="s">
        <v>13</v>
      </c>
    </row>
    <row r="6320" spans="1:9" x14ac:dyDescent="0.3">
      <c r="A6320" s="26">
        <v>45267</v>
      </c>
      <c r="B6320" s="27" t="s">
        <v>126</v>
      </c>
      <c r="C6320" s="27" t="s">
        <v>10</v>
      </c>
      <c r="D6320" s="27" t="s">
        <v>16</v>
      </c>
      <c r="E6320" s="28">
        <v>146258</v>
      </c>
      <c r="F6320" s="28">
        <v>127562</v>
      </c>
      <c r="G6320" s="27" t="s">
        <v>17</v>
      </c>
      <c r="H6320" s="27" t="s">
        <v>3207</v>
      </c>
      <c r="I6320" s="27" t="s">
        <v>13</v>
      </c>
    </row>
    <row r="6321" spans="1:9" x14ac:dyDescent="0.3">
      <c r="A6321" s="26">
        <v>45267</v>
      </c>
      <c r="B6321" s="27" t="s">
        <v>126</v>
      </c>
      <c r="C6321" s="27" t="s">
        <v>6</v>
      </c>
      <c r="D6321" s="27" t="s">
        <v>24</v>
      </c>
      <c r="E6321" s="28">
        <v>243400</v>
      </c>
      <c r="F6321" s="28">
        <v>188100</v>
      </c>
      <c r="G6321" s="27" t="s">
        <v>22</v>
      </c>
      <c r="H6321" s="27" t="s">
        <v>3567</v>
      </c>
      <c r="I6321" s="27" t="s">
        <v>9</v>
      </c>
    </row>
    <row r="6322" spans="1:9" x14ac:dyDescent="0.3">
      <c r="A6322" s="26">
        <v>45267</v>
      </c>
      <c r="B6322" s="27" t="s">
        <v>126</v>
      </c>
      <c r="C6322" s="27" t="s">
        <v>93</v>
      </c>
      <c r="D6322" s="27" t="s">
        <v>24</v>
      </c>
      <c r="E6322" s="28">
        <v>81500</v>
      </c>
      <c r="F6322" s="28">
        <v>71100</v>
      </c>
      <c r="G6322" s="27" t="s">
        <v>22</v>
      </c>
      <c r="H6322" s="27" t="s">
        <v>3868</v>
      </c>
      <c r="I6322" s="27" t="s">
        <v>9</v>
      </c>
    </row>
    <row r="6323" spans="1:9" x14ac:dyDescent="0.3">
      <c r="A6323" s="26">
        <v>45267</v>
      </c>
      <c r="B6323" s="27" t="s">
        <v>126</v>
      </c>
      <c r="C6323" s="27" t="s">
        <v>6</v>
      </c>
      <c r="D6323" s="27" t="s">
        <v>24</v>
      </c>
      <c r="E6323" s="28">
        <v>74500</v>
      </c>
      <c r="F6323" s="28">
        <v>85000</v>
      </c>
      <c r="G6323" s="27" t="s">
        <v>22</v>
      </c>
      <c r="H6323" s="27" t="s">
        <v>4186</v>
      </c>
      <c r="I6323" s="27" t="s">
        <v>9</v>
      </c>
    </row>
    <row r="6324" spans="1:9" x14ac:dyDescent="0.3">
      <c r="A6324" s="26">
        <v>45267</v>
      </c>
      <c r="B6324" s="27" t="s">
        <v>126</v>
      </c>
      <c r="C6324" s="27" t="s">
        <v>6</v>
      </c>
      <c r="D6324" s="27" t="s">
        <v>7</v>
      </c>
      <c r="E6324" s="28">
        <v>85000</v>
      </c>
      <c r="F6324" s="28">
        <v>102400</v>
      </c>
      <c r="G6324" s="27" t="s">
        <v>11</v>
      </c>
      <c r="H6324" s="27" t="s">
        <v>4261</v>
      </c>
      <c r="I6324" s="27" t="s">
        <v>9</v>
      </c>
    </row>
    <row r="6325" spans="1:9" x14ac:dyDescent="0.3">
      <c r="A6325" s="26">
        <v>45267</v>
      </c>
      <c r="B6325" s="27" t="s">
        <v>126</v>
      </c>
      <c r="C6325" s="27" t="s">
        <v>93</v>
      </c>
      <c r="D6325" s="27" t="s">
        <v>21</v>
      </c>
      <c r="E6325" s="28">
        <v>282800</v>
      </c>
      <c r="F6325" s="28">
        <v>327200</v>
      </c>
      <c r="G6325" s="27" t="s">
        <v>11</v>
      </c>
      <c r="H6325" s="27" t="s">
        <v>4500</v>
      </c>
      <c r="I6325" s="27" t="s">
        <v>9</v>
      </c>
    </row>
    <row r="6326" spans="1:9" x14ac:dyDescent="0.3">
      <c r="A6326" s="26">
        <v>45267</v>
      </c>
      <c r="B6326" s="27" t="s">
        <v>126</v>
      </c>
      <c r="C6326" s="27" t="s">
        <v>6</v>
      </c>
      <c r="D6326" s="27" t="s">
        <v>7</v>
      </c>
      <c r="E6326" s="28">
        <v>108900</v>
      </c>
      <c r="F6326" s="28">
        <v>117000</v>
      </c>
      <c r="G6326" s="27" t="s">
        <v>11</v>
      </c>
      <c r="H6326" s="27" t="s">
        <v>4562</v>
      </c>
      <c r="I6326" s="27" t="s">
        <v>9</v>
      </c>
    </row>
    <row r="6327" spans="1:9" x14ac:dyDescent="0.3">
      <c r="A6327" s="26">
        <v>45267</v>
      </c>
      <c r="B6327" s="27" t="s">
        <v>126</v>
      </c>
      <c r="C6327" s="27" t="s">
        <v>93</v>
      </c>
      <c r="D6327" s="27" t="s">
        <v>24</v>
      </c>
      <c r="E6327" s="28">
        <v>100700</v>
      </c>
      <c r="F6327" s="28">
        <v>88400</v>
      </c>
      <c r="G6327" s="27" t="s">
        <v>11</v>
      </c>
      <c r="H6327" s="27" t="s">
        <v>4885</v>
      </c>
      <c r="I6327" s="27" t="s">
        <v>9</v>
      </c>
    </row>
    <row r="6328" spans="1:9" x14ac:dyDescent="0.3">
      <c r="A6328" s="26">
        <v>45267</v>
      </c>
      <c r="B6328" s="27" t="s">
        <v>126</v>
      </c>
      <c r="C6328" s="27" t="s">
        <v>93</v>
      </c>
      <c r="D6328" s="27" t="s">
        <v>19</v>
      </c>
      <c r="E6328" s="28">
        <v>83200</v>
      </c>
      <c r="F6328" s="28">
        <v>78900</v>
      </c>
      <c r="G6328" s="27" t="s">
        <v>22</v>
      </c>
      <c r="H6328" s="27" t="s">
        <v>5376</v>
      </c>
      <c r="I6328" s="27" t="s">
        <v>9</v>
      </c>
    </row>
    <row r="6329" spans="1:9" x14ac:dyDescent="0.3">
      <c r="A6329" s="26">
        <v>45267</v>
      </c>
      <c r="B6329" s="27" t="s">
        <v>126</v>
      </c>
      <c r="C6329" s="27" t="s">
        <v>93</v>
      </c>
      <c r="D6329" s="27" t="s">
        <v>16</v>
      </c>
      <c r="E6329" s="28">
        <v>143400</v>
      </c>
      <c r="F6329" s="28">
        <v>139200</v>
      </c>
      <c r="G6329" s="27" t="s">
        <v>22</v>
      </c>
      <c r="H6329" s="27" t="s">
        <v>5670</v>
      </c>
      <c r="I6329" s="27" t="s">
        <v>9</v>
      </c>
    </row>
    <row r="6330" spans="1:9" x14ac:dyDescent="0.3">
      <c r="A6330" s="26">
        <v>45267</v>
      </c>
      <c r="B6330" s="27" t="s">
        <v>126</v>
      </c>
      <c r="C6330" s="27" t="s">
        <v>6</v>
      </c>
      <c r="D6330" s="27" t="s">
        <v>24</v>
      </c>
      <c r="E6330" s="28">
        <v>93500</v>
      </c>
      <c r="F6330" s="28">
        <v>86800</v>
      </c>
      <c r="G6330" s="27" t="s">
        <v>22</v>
      </c>
      <c r="H6330" s="27" t="s">
        <v>5909</v>
      </c>
      <c r="I6330" s="27" t="s">
        <v>9</v>
      </c>
    </row>
    <row r="6331" spans="1:9" x14ac:dyDescent="0.3">
      <c r="A6331" s="26">
        <v>45267</v>
      </c>
      <c r="B6331" s="27" t="s">
        <v>126</v>
      </c>
      <c r="C6331" s="27" t="s">
        <v>93</v>
      </c>
      <c r="D6331" s="27" t="s">
        <v>16</v>
      </c>
      <c r="E6331" s="28">
        <v>91300</v>
      </c>
      <c r="F6331" s="28">
        <v>105900</v>
      </c>
      <c r="G6331" s="27" t="s">
        <v>22</v>
      </c>
      <c r="H6331" s="27" t="s">
        <v>5925</v>
      </c>
      <c r="I6331" s="27" t="s">
        <v>9</v>
      </c>
    </row>
    <row r="6332" spans="1:9" x14ac:dyDescent="0.3">
      <c r="A6332" s="26">
        <v>45267</v>
      </c>
      <c r="B6332" s="27" t="s">
        <v>126</v>
      </c>
      <c r="C6332" s="27" t="s">
        <v>93</v>
      </c>
      <c r="D6332" s="27" t="s">
        <v>21</v>
      </c>
      <c r="E6332" s="28">
        <v>186100</v>
      </c>
      <c r="F6332" s="28">
        <v>128900</v>
      </c>
      <c r="G6332" s="27" t="s">
        <v>11</v>
      </c>
      <c r="H6332" s="27" t="s">
        <v>6038</v>
      </c>
      <c r="I6332" s="27" t="s">
        <v>9</v>
      </c>
    </row>
    <row r="6333" spans="1:9" x14ac:dyDescent="0.3">
      <c r="A6333" s="26">
        <v>45267</v>
      </c>
      <c r="B6333" s="27" t="s">
        <v>126</v>
      </c>
      <c r="C6333" s="27" t="s">
        <v>93</v>
      </c>
      <c r="D6333" s="27" t="s">
        <v>21</v>
      </c>
      <c r="E6333" s="28">
        <v>236700</v>
      </c>
      <c r="F6333" s="28">
        <v>275800</v>
      </c>
      <c r="G6333" s="27" t="s">
        <v>11</v>
      </c>
      <c r="H6333" s="27" t="s">
        <v>6530</v>
      </c>
      <c r="I6333" s="27" t="s">
        <v>9</v>
      </c>
    </row>
    <row r="6334" spans="1:9" x14ac:dyDescent="0.3">
      <c r="A6334" s="26">
        <v>45267</v>
      </c>
      <c r="B6334" s="27" t="s">
        <v>126</v>
      </c>
      <c r="C6334" s="27" t="s">
        <v>6</v>
      </c>
      <c r="D6334" s="27" t="s">
        <v>16</v>
      </c>
      <c r="E6334" s="28">
        <v>31500</v>
      </c>
      <c r="F6334" s="28">
        <v>41300</v>
      </c>
      <c r="G6334" s="27" t="s">
        <v>22</v>
      </c>
      <c r="H6334" s="27" t="s">
        <v>6592</v>
      </c>
      <c r="I6334" s="27" t="s">
        <v>9</v>
      </c>
    </row>
    <row r="6335" spans="1:9" x14ac:dyDescent="0.3">
      <c r="A6335" s="26">
        <v>45268</v>
      </c>
      <c r="B6335" s="27" t="s">
        <v>126</v>
      </c>
      <c r="C6335" s="27" t="s">
        <v>10</v>
      </c>
      <c r="D6335" s="27" t="s">
        <v>21</v>
      </c>
      <c r="E6335" s="28">
        <v>24110</v>
      </c>
      <c r="F6335" s="28">
        <v>50890</v>
      </c>
      <c r="G6335" s="27" t="s">
        <v>8</v>
      </c>
      <c r="H6335" s="27" t="s">
        <v>74</v>
      </c>
      <c r="I6335" s="27" t="s">
        <v>13</v>
      </c>
    </row>
    <row r="6336" spans="1:9" x14ac:dyDescent="0.3">
      <c r="A6336" s="26">
        <v>45268</v>
      </c>
      <c r="B6336" s="27" t="s">
        <v>126</v>
      </c>
      <c r="C6336" s="27" t="s">
        <v>10</v>
      </c>
      <c r="D6336" s="27" t="s">
        <v>24</v>
      </c>
      <c r="E6336" s="28">
        <v>141015</v>
      </c>
      <c r="F6336" s="28">
        <v>131113</v>
      </c>
      <c r="G6336" s="27" t="s">
        <v>22</v>
      </c>
      <c r="H6336" s="27" t="s">
        <v>987</v>
      </c>
      <c r="I6336" s="27" t="s">
        <v>13</v>
      </c>
    </row>
    <row r="6337" spans="1:9" x14ac:dyDescent="0.3">
      <c r="A6337" s="26">
        <v>45268</v>
      </c>
      <c r="B6337" s="27" t="s">
        <v>126</v>
      </c>
      <c r="C6337" s="27" t="s">
        <v>15</v>
      </c>
      <c r="D6337" s="27" t="s">
        <v>16</v>
      </c>
      <c r="E6337" s="28">
        <v>15773</v>
      </c>
      <c r="F6337" s="28">
        <v>163091</v>
      </c>
      <c r="G6337" s="27" t="s">
        <v>17</v>
      </c>
      <c r="H6337" s="27" t="s">
        <v>1254</v>
      </c>
      <c r="I6337" s="27" t="s">
        <v>13</v>
      </c>
    </row>
    <row r="6338" spans="1:9" x14ac:dyDescent="0.3">
      <c r="A6338" s="26">
        <v>45268</v>
      </c>
      <c r="B6338" s="27" t="s">
        <v>126</v>
      </c>
      <c r="C6338" s="27" t="s">
        <v>18</v>
      </c>
      <c r="D6338" s="27" t="s">
        <v>24</v>
      </c>
      <c r="E6338" s="28">
        <v>80195</v>
      </c>
      <c r="F6338" s="28">
        <v>158153</v>
      </c>
      <c r="G6338" s="27" t="s">
        <v>8</v>
      </c>
      <c r="H6338" s="27" t="s">
        <v>1297</v>
      </c>
      <c r="I6338" s="27" t="s">
        <v>13</v>
      </c>
    </row>
    <row r="6339" spans="1:9" x14ac:dyDescent="0.3">
      <c r="A6339" s="26">
        <v>45268</v>
      </c>
      <c r="B6339" s="27" t="s">
        <v>126</v>
      </c>
      <c r="C6339" s="27" t="s">
        <v>32</v>
      </c>
      <c r="D6339" s="27" t="s">
        <v>16</v>
      </c>
      <c r="E6339" s="28">
        <v>49848</v>
      </c>
      <c r="F6339" s="28">
        <v>122654</v>
      </c>
      <c r="G6339" s="27" t="s">
        <v>22</v>
      </c>
      <c r="H6339" s="27" t="s">
        <v>2471</v>
      </c>
      <c r="I6339" s="27" t="s">
        <v>13</v>
      </c>
    </row>
    <row r="6340" spans="1:9" x14ac:dyDescent="0.3">
      <c r="A6340" s="26">
        <v>45268</v>
      </c>
      <c r="B6340" s="27" t="s">
        <v>126</v>
      </c>
      <c r="C6340" s="27" t="s">
        <v>15</v>
      </c>
      <c r="D6340" s="27" t="s">
        <v>7</v>
      </c>
      <c r="E6340" s="28">
        <v>28774</v>
      </c>
      <c r="F6340" s="28">
        <v>157353</v>
      </c>
      <c r="G6340" s="27" t="s">
        <v>11</v>
      </c>
      <c r="H6340" s="27" t="s">
        <v>2683</v>
      </c>
      <c r="I6340" s="27" t="s">
        <v>13</v>
      </c>
    </row>
    <row r="6341" spans="1:9" x14ac:dyDescent="0.3">
      <c r="A6341" s="26">
        <v>45268</v>
      </c>
      <c r="B6341" s="27" t="s">
        <v>126</v>
      </c>
      <c r="C6341" s="27" t="s">
        <v>18</v>
      </c>
      <c r="D6341" s="27" t="s">
        <v>16</v>
      </c>
      <c r="E6341" s="28">
        <v>24416</v>
      </c>
      <c r="F6341" s="28">
        <v>84328</v>
      </c>
      <c r="G6341" s="27" t="s">
        <v>22</v>
      </c>
      <c r="H6341" s="27" t="s">
        <v>2833</v>
      </c>
      <c r="I6341" s="27" t="s">
        <v>13</v>
      </c>
    </row>
    <row r="6342" spans="1:9" x14ac:dyDescent="0.3">
      <c r="A6342" s="26">
        <v>45268</v>
      </c>
      <c r="B6342" s="27" t="s">
        <v>126</v>
      </c>
      <c r="C6342" s="27" t="s">
        <v>18</v>
      </c>
      <c r="D6342" s="27" t="s">
        <v>24</v>
      </c>
      <c r="E6342" s="28">
        <v>67390</v>
      </c>
      <c r="F6342" s="28">
        <v>65554</v>
      </c>
      <c r="G6342" s="27" t="s">
        <v>8</v>
      </c>
      <c r="H6342" s="27" t="s">
        <v>3395</v>
      </c>
      <c r="I6342" s="27" t="s">
        <v>13</v>
      </c>
    </row>
    <row r="6343" spans="1:9" x14ac:dyDescent="0.3">
      <c r="A6343" s="26">
        <v>45268</v>
      </c>
      <c r="B6343" s="27" t="s">
        <v>126</v>
      </c>
      <c r="C6343" s="27" t="s">
        <v>6</v>
      </c>
      <c r="D6343" s="27" t="s">
        <v>21</v>
      </c>
      <c r="E6343" s="28">
        <v>90600</v>
      </c>
      <c r="F6343" s="28">
        <v>98400</v>
      </c>
      <c r="G6343" s="27" t="s">
        <v>22</v>
      </c>
      <c r="H6343" s="27" t="s">
        <v>3473</v>
      </c>
      <c r="I6343" s="27" t="s">
        <v>9</v>
      </c>
    </row>
    <row r="6344" spans="1:9" x14ac:dyDescent="0.3">
      <c r="A6344" s="26">
        <v>45268</v>
      </c>
      <c r="B6344" s="27" t="s">
        <v>126</v>
      </c>
      <c r="C6344" s="27" t="s">
        <v>93</v>
      </c>
      <c r="D6344" s="27" t="s">
        <v>24</v>
      </c>
      <c r="E6344" s="28">
        <v>131800</v>
      </c>
      <c r="F6344" s="28">
        <v>149700</v>
      </c>
      <c r="G6344" s="27" t="s">
        <v>22</v>
      </c>
      <c r="H6344" s="27" t="s">
        <v>4368</v>
      </c>
      <c r="I6344" s="27" t="s">
        <v>9</v>
      </c>
    </row>
    <row r="6345" spans="1:9" x14ac:dyDescent="0.3">
      <c r="A6345" s="26">
        <v>45268</v>
      </c>
      <c r="B6345" s="27" t="s">
        <v>126</v>
      </c>
      <c r="C6345" s="27" t="s">
        <v>6</v>
      </c>
      <c r="D6345" s="27" t="s">
        <v>16</v>
      </c>
      <c r="E6345" s="28">
        <v>67700</v>
      </c>
      <c r="F6345" s="28">
        <v>65300</v>
      </c>
      <c r="G6345" s="27" t="s">
        <v>22</v>
      </c>
      <c r="H6345" s="27" t="s">
        <v>4637</v>
      </c>
      <c r="I6345" s="27" t="s">
        <v>9</v>
      </c>
    </row>
    <row r="6346" spans="1:9" x14ac:dyDescent="0.3">
      <c r="A6346" s="26">
        <v>45268</v>
      </c>
      <c r="B6346" s="27" t="s">
        <v>126</v>
      </c>
      <c r="C6346" s="27" t="s">
        <v>6</v>
      </c>
      <c r="D6346" s="27" t="s">
        <v>24</v>
      </c>
      <c r="E6346" s="28">
        <v>147400</v>
      </c>
      <c r="F6346" s="28">
        <v>129100</v>
      </c>
      <c r="G6346" s="27" t="s">
        <v>22</v>
      </c>
      <c r="H6346" s="27" t="s">
        <v>4680</v>
      </c>
      <c r="I6346" s="27" t="s">
        <v>9</v>
      </c>
    </row>
    <row r="6347" spans="1:9" x14ac:dyDescent="0.3">
      <c r="A6347" s="26">
        <v>45268</v>
      </c>
      <c r="B6347" s="27" t="s">
        <v>126</v>
      </c>
      <c r="C6347" s="27" t="s">
        <v>6</v>
      </c>
      <c r="D6347" s="27" t="s">
        <v>16</v>
      </c>
      <c r="E6347" s="28">
        <v>73300</v>
      </c>
      <c r="F6347" s="28">
        <v>75100</v>
      </c>
      <c r="G6347" s="27" t="s">
        <v>22</v>
      </c>
      <c r="H6347" s="27" t="s">
        <v>5856</v>
      </c>
      <c r="I6347" s="27" t="s">
        <v>9</v>
      </c>
    </row>
    <row r="6348" spans="1:9" x14ac:dyDescent="0.3">
      <c r="A6348" s="26">
        <v>45268</v>
      </c>
      <c r="B6348" s="27" t="s">
        <v>126</v>
      </c>
      <c r="C6348" s="27" t="s">
        <v>6</v>
      </c>
      <c r="D6348" s="27" t="s">
        <v>7</v>
      </c>
      <c r="E6348" s="28">
        <v>155400</v>
      </c>
      <c r="F6348" s="28">
        <v>163100</v>
      </c>
      <c r="G6348" s="27" t="s">
        <v>11</v>
      </c>
      <c r="H6348" s="27" t="s">
        <v>6068</v>
      </c>
      <c r="I6348" s="27" t="s">
        <v>9</v>
      </c>
    </row>
    <row r="6349" spans="1:9" x14ac:dyDescent="0.3">
      <c r="A6349" s="26">
        <v>45268</v>
      </c>
      <c r="B6349" s="27" t="s">
        <v>126</v>
      </c>
      <c r="C6349" s="27" t="s">
        <v>6</v>
      </c>
      <c r="D6349" s="27" t="s">
        <v>16</v>
      </c>
      <c r="E6349" s="28">
        <v>85900</v>
      </c>
      <c r="F6349" s="28">
        <v>98800</v>
      </c>
      <c r="G6349" s="27" t="s">
        <v>22</v>
      </c>
      <c r="H6349" s="27" t="s">
        <v>6218</v>
      </c>
      <c r="I6349" s="27" t="s">
        <v>9</v>
      </c>
    </row>
    <row r="6350" spans="1:9" x14ac:dyDescent="0.3">
      <c r="A6350" s="26">
        <v>45268</v>
      </c>
      <c r="B6350" s="27" t="s">
        <v>126</v>
      </c>
      <c r="C6350" s="27" t="s">
        <v>93</v>
      </c>
      <c r="D6350" s="27" t="s">
        <v>24</v>
      </c>
      <c r="E6350" s="28">
        <v>95100</v>
      </c>
      <c r="F6350" s="28">
        <v>70900</v>
      </c>
      <c r="G6350" s="27" t="s">
        <v>11</v>
      </c>
      <c r="H6350" s="27" t="s">
        <v>6780</v>
      </c>
      <c r="I6350" s="27" t="s">
        <v>9</v>
      </c>
    </row>
    <row r="6351" spans="1:9" x14ac:dyDescent="0.3">
      <c r="A6351" s="26">
        <v>45269</v>
      </c>
      <c r="B6351" s="27" t="s">
        <v>126</v>
      </c>
      <c r="C6351" s="27" t="s">
        <v>32</v>
      </c>
      <c r="D6351" s="27" t="s">
        <v>16</v>
      </c>
      <c r="E6351" s="28">
        <v>13155</v>
      </c>
      <c r="F6351" s="28">
        <v>34496</v>
      </c>
      <c r="G6351" s="27" t="s">
        <v>17</v>
      </c>
      <c r="H6351" s="27" t="s">
        <v>144</v>
      </c>
      <c r="I6351" s="27" t="s">
        <v>13</v>
      </c>
    </row>
    <row r="6352" spans="1:9" x14ac:dyDescent="0.3">
      <c r="A6352" s="26">
        <v>45269</v>
      </c>
      <c r="B6352" s="27" t="s">
        <v>126</v>
      </c>
      <c r="C6352" s="27" t="s">
        <v>10</v>
      </c>
      <c r="D6352" s="27" t="s">
        <v>16</v>
      </c>
      <c r="E6352" s="28">
        <v>19422</v>
      </c>
      <c r="F6352" s="28">
        <v>121202</v>
      </c>
      <c r="G6352" s="27" t="s">
        <v>17</v>
      </c>
      <c r="H6352" s="27" t="s">
        <v>386</v>
      </c>
      <c r="I6352" s="27" t="s">
        <v>13</v>
      </c>
    </row>
    <row r="6353" spans="1:9" x14ac:dyDescent="0.3">
      <c r="A6353" s="26">
        <v>45269</v>
      </c>
      <c r="B6353" s="27" t="s">
        <v>126</v>
      </c>
      <c r="C6353" s="27" t="s">
        <v>10</v>
      </c>
      <c r="D6353" s="27" t="s">
        <v>16</v>
      </c>
      <c r="E6353" s="28">
        <v>39529</v>
      </c>
      <c r="F6353" s="28">
        <v>116863</v>
      </c>
      <c r="G6353" s="27" t="s">
        <v>22</v>
      </c>
      <c r="H6353" s="27" t="s">
        <v>665</v>
      </c>
      <c r="I6353" s="27" t="s">
        <v>13</v>
      </c>
    </row>
    <row r="6354" spans="1:9" x14ac:dyDescent="0.3">
      <c r="A6354" s="26">
        <v>45269</v>
      </c>
      <c r="B6354" s="27" t="s">
        <v>126</v>
      </c>
      <c r="C6354" s="27" t="s">
        <v>14</v>
      </c>
      <c r="D6354" s="27" t="s">
        <v>7</v>
      </c>
      <c r="E6354" s="28">
        <v>96427</v>
      </c>
      <c r="F6354" s="28">
        <v>100664</v>
      </c>
      <c r="G6354" s="27" t="s">
        <v>11</v>
      </c>
      <c r="H6354" s="27" t="s">
        <v>1071</v>
      </c>
      <c r="I6354" s="27" t="s">
        <v>13</v>
      </c>
    </row>
    <row r="6355" spans="1:9" x14ac:dyDescent="0.3">
      <c r="A6355" s="26">
        <v>45269</v>
      </c>
      <c r="B6355" s="27" t="s">
        <v>126</v>
      </c>
      <c r="C6355" s="27" t="s">
        <v>18</v>
      </c>
      <c r="D6355" s="27" t="s">
        <v>19</v>
      </c>
      <c r="E6355" s="28">
        <v>121497</v>
      </c>
      <c r="F6355" s="28">
        <v>136702</v>
      </c>
      <c r="G6355" s="27" t="s">
        <v>11</v>
      </c>
      <c r="H6355" s="27" t="s">
        <v>1247</v>
      </c>
      <c r="I6355" s="27" t="s">
        <v>13</v>
      </c>
    </row>
    <row r="6356" spans="1:9" x14ac:dyDescent="0.3">
      <c r="A6356" s="26">
        <v>45269</v>
      </c>
      <c r="B6356" s="27" t="s">
        <v>126</v>
      </c>
      <c r="C6356" s="27" t="s">
        <v>15</v>
      </c>
      <c r="D6356" s="27" t="s">
        <v>21</v>
      </c>
      <c r="E6356" s="28">
        <v>40646</v>
      </c>
      <c r="F6356" s="28">
        <v>14687</v>
      </c>
      <c r="G6356" s="27" t="s">
        <v>17</v>
      </c>
      <c r="H6356" s="27" t="s">
        <v>1347</v>
      </c>
      <c r="I6356" s="27" t="s">
        <v>13</v>
      </c>
    </row>
    <row r="6357" spans="1:9" x14ac:dyDescent="0.3">
      <c r="A6357" s="26">
        <v>45269</v>
      </c>
      <c r="B6357" s="27" t="s">
        <v>126</v>
      </c>
      <c r="C6357" s="27" t="s">
        <v>18</v>
      </c>
      <c r="D6357" s="27" t="s">
        <v>19</v>
      </c>
      <c r="E6357" s="28">
        <v>70487</v>
      </c>
      <c r="F6357" s="28">
        <v>140423</v>
      </c>
      <c r="G6357" s="27" t="s">
        <v>22</v>
      </c>
      <c r="H6357" s="27" t="s">
        <v>1821</v>
      </c>
      <c r="I6357" s="27" t="s">
        <v>13</v>
      </c>
    </row>
    <row r="6358" spans="1:9" x14ac:dyDescent="0.3">
      <c r="A6358" s="26">
        <v>45269</v>
      </c>
      <c r="B6358" s="27" t="s">
        <v>126</v>
      </c>
      <c r="C6358" s="27" t="s">
        <v>93</v>
      </c>
      <c r="D6358" s="27" t="s">
        <v>16</v>
      </c>
      <c r="E6358" s="28">
        <v>93300</v>
      </c>
      <c r="F6358" s="28">
        <v>123300</v>
      </c>
      <c r="G6358" s="27" t="s">
        <v>22</v>
      </c>
      <c r="H6358" s="27" t="s">
        <v>3525</v>
      </c>
      <c r="I6358" s="27" t="s">
        <v>9</v>
      </c>
    </row>
    <row r="6359" spans="1:9" x14ac:dyDescent="0.3">
      <c r="A6359" s="26">
        <v>45269</v>
      </c>
      <c r="B6359" s="27" t="s">
        <v>126</v>
      </c>
      <c r="C6359" s="27" t="s">
        <v>93</v>
      </c>
      <c r="D6359" s="27" t="s">
        <v>16</v>
      </c>
      <c r="E6359" s="28">
        <v>84800</v>
      </c>
      <c r="F6359" s="28">
        <v>102500</v>
      </c>
      <c r="G6359" s="27" t="s">
        <v>22</v>
      </c>
      <c r="H6359" s="27" t="s">
        <v>3767</v>
      </c>
      <c r="I6359" s="27" t="s">
        <v>9</v>
      </c>
    </row>
    <row r="6360" spans="1:9" x14ac:dyDescent="0.3">
      <c r="A6360" s="26">
        <v>45269</v>
      </c>
      <c r="B6360" s="27" t="s">
        <v>126</v>
      </c>
      <c r="C6360" s="27" t="s">
        <v>6</v>
      </c>
      <c r="D6360" s="27" t="s">
        <v>16</v>
      </c>
      <c r="E6360" s="28">
        <v>61800</v>
      </c>
      <c r="F6360" s="28">
        <v>60400</v>
      </c>
      <c r="G6360" s="27" t="s">
        <v>17</v>
      </c>
      <c r="H6360" s="27" t="s">
        <v>4046</v>
      </c>
      <c r="I6360" s="27" t="s">
        <v>9</v>
      </c>
    </row>
    <row r="6361" spans="1:9" x14ac:dyDescent="0.3">
      <c r="A6361" s="26">
        <v>45269</v>
      </c>
      <c r="B6361" s="27" t="s">
        <v>126</v>
      </c>
      <c r="C6361" s="27" t="s">
        <v>6</v>
      </c>
      <c r="D6361" s="27" t="s">
        <v>7</v>
      </c>
      <c r="E6361" s="28">
        <v>107300</v>
      </c>
      <c r="F6361" s="28">
        <v>118200</v>
      </c>
      <c r="G6361" s="27" t="s">
        <v>11</v>
      </c>
      <c r="H6361" s="27" t="s">
        <v>4453</v>
      </c>
      <c r="I6361" s="27" t="s">
        <v>9</v>
      </c>
    </row>
    <row r="6362" spans="1:9" x14ac:dyDescent="0.3">
      <c r="A6362" s="26">
        <v>45269</v>
      </c>
      <c r="B6362" s="27" t="s">
        <v>126</v>
      </c>
      <c r="C6362" s="27" t="s">
        <v>6</v>
      </c>
      <c r="D6362" s="27" t="s">
        <v>19</v>
      </c>
      <c r="E6362" s="28">
        <v>79800</v>
      </c>
      <c r="F6362" s="28">
        <v>75400</v>
      </c>
      <c r="G6362" s="27" t="s">
        <v>11</v>
      </c>
      <c r="H6362" s="27" t="s">
        <v>4630</v>
      </c>
      <c r="I6362" s="27" t="s">
        <v>9</v>
      </c>
    </row>
    <row r="6363" spans="1:9" x14ac:dyDescent="0.3">
      <c r="A6363" s="26">
        <v>45269</v>
      </c>
      <c r="B6363" s="27" t="s">
        <v>126</v>
      </c>
      <c r="C6363" s="27" t="s">
        <v>93</v>
      </c>
      <c r="D6363" s="27" t="s">
        <v>21</v>
      </c>
      <c r="E6363" s="28">
        <v>270800</v>
      </c>
      <c r="F6363" s="28">
        <v>303800</v>
      </c>
      <c r="G6363" s="27" t="s">
        <v>11</v>
      </c>
      <c r="H6363" s="27" t="s">
        <v>4730</v>
      </c>
      <c r="I6363" s="27" t="s">
        <v>9</v>
      </c>
    </row>
    <row r="6364" spans="1:9" x14ac:dyDescent="0.3">
      <c r="A6364" s="26">
        <v>45269</v>
      </c>
      <c r="B6364" s="27" t="s">
        <v>126</v>
      </c>
      <c r="C6364" s="27" t="s">
        <v>6</v>
      </c>
      <c r="D6364" s="27" t="s">
        <v>19</v>
      </c>
      <c r="E6364" s="28">
        <v>205700</v>
      </c>
      <c r="F6364" s="28">
        <v>186700</v>
      </c>
      <c r="G6364" s="27" t="s">
        <v>22</v>
      </c>
      <c r="H6364" s="27" t="s">
        <v>5204</v>
      </c>
      <c r="I6364" s="27" t="s">
        <v>9</v>
      </c>
    </row>
    <row r="6365" spans="1:9" x14ac:dyDescent="0.3">
      <c r="A6365" s="26">
        <v>45270</v>
      </c>
      <c r="B6365" s="27" t="s">
        <v>126</v>
      </c>
      <c r="C6365" s="27" t="s">
        <v>20</v>
      </c>
      <c r="D6365" s="27" t="s">
        <v>21</v>
      </c>
      <c r="E6365" s="28">
        <v>131253</v>
      </c>
      <c r="F6365" s="28">
        <v>63471</v>
      </c>
      <c r="G6365" s="27" t="s">
        <v>17</v>
      </c>
      <c r="H6365" s="27" t="s">
        <v>1468</v>
      </c>
      <c r="I6365" s="27" t="s">
        <v>13</v>
      </c>
    </row>
    <row r="6366" spans="1:9" x14ac:dyDescent="0.3">
      <c r="A6366" s="26">
        <v>45270</v>
      </c>
      <c r="B6366" s="27" t="s">
        <v>126</v>
      </c>
      <c r="C6366" s="27" t="s">
        <v>20</v>
      </c>
      <c r="D6366" s="27" t="s">
        <v>19</v>
      </c>
      <c r="E6366" s="28">
        <v>34836</v>
      </c>
      <c r="F6366" s="28">
        <v>138795</v>
      </c>
      <c r="G6366" s="27" t="s">
        <v>11</v>
      </c>
      <c r="H6366" s="27" t="s">
        <v>1543</v>
      </c>
      <c r="I6366" s="27" t="s">
        <v>13</v>
      </c>
    </row>
    <row r="6367" spans="1:9" x14ac:dyDescent="0.3">
      <c r="A6367" s="26">
        <v>45270</v>
      </c>
      <c r="B6367" s="27" t="s">
        <v>126</v>
      </c>
      <c r="C6367" s="27" t="s">
        <v>32</v>
      </c>
      <c r="D6367" s="27" t="s">
        <v>24</v>
      </c>
      <c r="E6367" s="28">
        <v>135812</v>
      </c>
      <c r="F6367" s="28">
        <v>70422</v>
      </c>
      <c r="G6367" s="27" t="s">
        <v>11</v>
      </c>
      <c r="H6367" s="27" t="s">
        <v>1673</v>
      </c>
      <c r="I6367" s="27" t="s">
        <v>13</v>
      </c>
    </row>
    <row r="6368" spans="1:9" x14ac:dyDescent="0.3">
      <c r="A6368" s="26">
        <v>45270</v>
      </c>
      <c r="B6368" s="27" t="s">
        <v>126</v>
      </c>
      <c r="C6368" s="27" t="s">
        <v>10</v>
      </c>
      <c r="D6368" s="27" t="s">
        <v>19</v>
      </c>
      <c r="E6368" s="28">
        <v>81949</v>
      </c>
      <c r="F6368" s="28">
        <v>21873</v>
      </c>
      <c r="G6368" s="27" t="s">
        <v>11</v>
      </c>
      <c r="H6368" s="27" t="s">
        <v>1731</v>
      </c>
      <c r="I6368" s="27" t="s">
        <v>13</v>
      </c>
    </row>
    <row r="6369" spans="1:9" x14ac:dyDescent="0.3">
      <c r="A6369" s="26">
        <v>45270</v>
      </c>
      <c r="B6369" s="27" t="s">
        <v>126</v>
      </c>
      <c r="C6369" s="27" t="s">
        <v>32</v>
      </c>
      <c r="D6369" s="27" t="s">
        <v>16</v>
      </c>
      <c r="E6369" s="28">
        <v>33854</v>
      </c>
      <c r="F6369" s="28">
        <v>117263</v>
      </c>
      <c r="G6369" s="27" t="s">
        <v>8</v>
      </c>
      <c r="H6369" s="27" t="s">
        <v>3392</v>
      </c>
      <c r="I6369" s="27" t="s">
        <v>13</v>
      </c>
    </row>
    <row r="6370" spans="1:9" x14ac:dyDescent="0.3">
      <c r="A6370" s="26">
        <v>45270</v>
      </c>
      <c r="B6370" s="27" t="s">
        <v>126</v>
      </c>
      <c r="C6370" s="27" t="s">
        <v>93</v>
      </c>
      <c r="D6370" s="27" t="s">
        <v>21</v>
      </c>
      <c r="E6370" s="28">
        <v>215800</v>
      </c>
      <c r="F6370" s="28">
        <v>259900</v>
      </c>
      <c r="G6370" s="27" t="s">
        <v>11</v>
      </c>
      <c r="H6370" s="27" t="s">
        <v>4851</v>
      </c>
      <c r="I6370" s="27" t="s">
        <v>9</v>
      </c>
    </row>
    <row r="6371" spans="1:9" x14ac:dyDescent="0.3">
      <c r="A6371" s="26">
        <v>45270</v>
      </c>
      <c r="B6371" s="27" t="s">
        <v>126</v>
      </c>
      <c r="C6371" s="27" t="s">
        <v>6</v>
      </c>
      <c r="D6371" s="27" t="s">
        <v>19</v>
      </c>
      <c r="E6371" s="28">
        <v>88000</v>
      </c>
      <c r="F6371" s="28">
        <v>79900</v>
      </c>
      <c r="G6371" s="27" t="s">
        <v>22</v>
      </c>
      <c r="H6371" s="27" t="s">
        <v>4926</v>
      </c>
      <c r="I6371" s="27" t="s">
        <v>9</v>
      </c>
    </row>
    <row r="6372" spans="1:9" x14ac:dyDescent="0.3">
      <c r="A6372" s="26">
        <v>45270</v>
      </c>
      <c r="B6372" s="27" t="s">
        <v>126</v>
      </c>
      <c r="C6372" s="27" t="s">
        <v>6</v>
      </c>
      <c r="D6372" s="27" t="s">
        <v>24</v>
      </c>
      <c r="E6372" s="28">
        <v>96400</v>
      </c>
      <c r="F6372" s="28">
        <v>84600</v>
      </c>
      <c r="G6372" s="27" t="s">
        <v>17</v>
      </c>
      <c r="H6372" s="27" t="s">
        <v>5056</v>
      </c>
      <c r="I6372" s="27" t="s">
        <v>9</v>
      </c>
    </row>
    <row r="6373" spans="1:9" x14ac:dyDescent="0.3">
      <c r="A6373" s="26">
        <v>45270</v>
      </c>
      <c r="B6373" s="27" t="s">
        <v>126</v>
      </c>
      <c r="C6373" s="27" t="s">
        <v>93</v>
      </c>
      <c r="D6373" s="27" t="s">
        <v>19</v>
      </c>
      <c r="E6373" s="28">
        <v>106600</v>
      </c>
      <c r="F6373" s="28">
        <v>124200</v>
      </c>
      <c r="G6373" s="27" t="s">
        <v>17</v>
      </c>
      <c r="H6373" s="27" t="s">
        <v>5114</v>
      </c>
      <c r="I6373" s="27" t="s">
        <v>9</v>
      </c>
    </row>
    <row r="6374" spans="1:9" x14ac:dyDescent="0.3">
      <c r="A6374" s="26">
        <v>45270</v>
      </c>
      <c r="B6374" s="27" t="s">
        <v>126</v>
      </c>
      <c r="C6374" s="27" t="s">
        <v>6</v>
      </c>
      <c r="D6374" s="27" t="s">
        <v>16</v>
      </c>
      <c r="E6374" s="28">
        <v>47000</v>
      </c>
      <c r="F6374" s="28">
        <v>61600</v>
      </c>
      <c r="G6374" s="27" t="s">
        <v>17</v>
      </c>
      <c r="H6374" s="27" t="s">
        <v>6777</v>
      </c>
      <c r="I6374" s="27" t="s">
        <v>9</v>
      </c>
    </row>
    <row r="6375" spans="1:9" x14ac:dyDescent="0.3">
      <c r="A6375" s="26">
        <v>45271</v>
      </c>
      <c r="B6375" s="27" t="s">
        <v>126</v>
      </c>
      <c r="C6375" s="27" t="s">
        <v>10</v>
      </c>
      <c r="D6375" s="27" t="s">
        <v>21</v>
      </c>
      <c r="E6375" s="28">
        <v>88424</v>
      </c>
      <c r="F6375" s="28">
        <v>128919</v>
      </c>
      <c r="G6375" s="27" t="s">
        <v>8</v>
      </c>
      <c r="H6375" s="27" t="s">
        <v>300</v>
      </c>
      <c r="I6375" s="27" t="s">
        <v>13</v>
      </c>
    </row>
    <row r="6376" spans="1:9" x14ac:dyDescent="0.3">
      <c r="A6376" s="26">
        <v>45271</v>
      </c>
      <c r="B6376" s="27" t="s">
        <v>126</v>
      </c>
      <c r="C6376" s="27" t="s">
        <v>14</v>
      </c>
      <c r="D6376" s="27" t="s">
        <v>7</v>
      </c>
      <c r="E6376" s="28">
        <v>53422</v>
      </c>
      <c r="F6376" s="28">
        <v>141286</v>
      </c>
      <c r="G6376" s="27" t="s">
        <v>22</v>
      </c>
      <c r="H6376" s="27" t="s">
        <v>406</v>
      </c>
      <c r="I6376" s="27" t="s">
        <v>13</v>
      </c>
    </row>
    <row r="6377" spans="1:9" x14ac:dyDescent="0.3">
      <c r="A6377" s="26">
        <v>45271</v>
      </c>
      <c r="B6377" s="27" t="s">
        <v>126</v>
      </c>
      <c r="C6377" s="27" t="s">
        <v>14</v>
      </c>
      <c r="D6377" s="27" t="s">
        <v>24</v>
      </c>
      <c r="E6377" s="28">
        <v>71282</v>
      </c>
      <c r="F6377" s="28">
        <v>47744</v>
      </c>
      <c r="G6377" s="27" t="s">
        <v>22</v>
      </c>
      <c r="H6377" s="27" t="s">
        <v>1841</v>
      </c>
      <c r="I6377" s="27" t="s">
        <v>13</v>
      </c>
    </row>
    <row r="6378" spans="1:9" x14ac:dyDescent="0.3">
      <c r="A6378" s="26">
        <v>45271</v>
      </c>
      <c r="B6378" s="27" t="s">
        <v>126</v>
      </c>
      <c r="C6378" s="27" t="s">
        <v>10</v>
      </c>
      <c r="D6378" s="27" t="s">
        <v>19</v>
      </c>
      <c r="E6378" s="28">
        <v>75853</v>
      </c>
      <c r="F6378" s="28">
        <v>52637</v>
      </c>
      <c r="G6378" s="27" t="s">
        <v>17</v>
      </c>
      <c r="H6378" s="27" t="s">
        <v>1875</v>
      </c>
      <c r="I6378" s="27" t="s">
        <v>13</v>
      </c>
    </row>
    <row r="6379" spans="1:9" x14ac:dyDescent="0.3">
      <c r="A6379" s="26">
        <v>45271</v>
      </c>
      <c r="B6379" s="27" t="s">
        <v>126</v>
      </c>
      <c r="C6379" s="27" t="s">
        <v>15</v>
      </c>
      <c r="D6379" s="27" t="s">
        <v>16</v>
      </c>
      <c r="E6379" s="28">
        <v>62760</v>
      </c>
      <c r="F6379" s="28">
        <v>57890</v>
      </c>
      <c r="G6379" s="27" t="s">
        <v>17</v>
      </c>
      <c r="H6379" s="27" t="s">
        <v>1949</v>
      </c>
      <c r="I6379" s="27" t="s">
        <v>13</v>
      </c>
    </row>
    <row r="6380" spans="1:9" x14ac:dyDescent="0.3">
      <c r="A6380" s="26">
        <v>45271</v>
      </c>
      <c r="B6380" s="27" t="s">
        <v>126</v>
      </c>
      <c r="C6380" s="27" t="s">
        <v>15</v>
      </c>
      <c r="D6380" s="27" t="s">
        <v>24</v>
      </c>
      <c r="E6380" s="28">
        <v>63726</v>
      </c>
      <c r="F6380" s="28">
        <v>135182</v>
      </c>
      <c r="G6380" s="27" t="s">
        <v>17</v>
      </c>
      <c r="H6380" s="27" t="s">
        <v>2052</v>
      </c>
      <c r="I6380" s="27" t="s">
        <v>13</v>
      </c>
    </row>
    <row r="6381" spans="1:9" x14ac:dyDescent="0.3">
      <c r="A6381" s="26">
        <v>45271</v>
      </c>
      <c r="B6381" s="27" t="s">
        <v>126</v>
      </c>
      <c r="C6381" s="27" t="s">
        <v>14</v>
      </c>
      <c r="D6381" s="27" t="s">
        <v>19</v>
      </c>
      <c r="E6381" s="28">
        <v>97943</v>
      </c>
      <c r="F6381" s="28">
        <v>127062</v>
      </c>
      <c r="G6381" s="27" t="s">
        <v>11</v>
      </c>
      <c r="H6381" s="27" t="s">
        <v>2165</v>
      </c>
      <c r="I6381" s="27" t="s">
        <v>13</v>
      </c>
    </row>
    <row r="6382" spans="1:9" x14ac:dyDescent="0.3">
      <c r="A6382" s="26">
        <v>45271</v>
      </c>
      <c r="B6382" s="27" t="s">
        <v>126</v>
      </c>
      <c r="C6382" s="27" t="s">
        <v>20</v>
      </c>
      <c r="D6382" s="27" t="s">
        <v>19</v>
      </c>
      <c r="E6382" s="28">
        <v>132084</v>
      </c>
      <c r="F6382" s="28">
        <v>67129</v>
      </c>
      <c r="G6382" s="27" t="s">
        <v>22</v>
      </c>
      <c r="H6382" s="27" t="s">
        <v>2582</v>
      </c>
      <c r="I6382" s="27" t="s">
        <v>13</v>
      </c>
    </row>
    <row r="6383" spans="1:9" x14ac:dyDescent="0.3">
      <c r="A6383" s="26">
        <v>45271</v>
      </c>
      <c r="B6383" s="27" t="s">
        <v>126</v>
      </c>
      <c r="C6383" s="27" t="s">
        <v>15</v>
      </c>
      <c r="D6383" s="27" t="s">
        <v>7</v>
      </c>
      <c r="E6383" s="28">
        <v>68899</v>
      </c>
      <c r="F6383" s="28">
        <v>18568</v>
      </c>
      <c r="G6383" s="27" t="s">
        <v>22</v>
      </c>
      <c r="H6383" s="27" t="s">
        <v>2634</v>
      </c>
      <c r="I6383" s="27" t="s">
        <v>13</v>
      </c>
    </row>
    <row r="6384" spans="1:9" x14ac:dyDescent="0.3">
      <c r="A6384" s="26">
        <v>45271</v>
      </c>
      <c r="B6384" s="27" t="s">
        <v>126</v>
      </c>
      <c r="C6384" s="27" t="s">
        <v>15</v>
      </c>
      <c r="D6384" s="27" t="s">
        <v>16</v>
      </c>
      <c r="E6384" s="28">
        <v>49128</v>
      </c>
      <c r="F6384" s="28">
        <v>110263</v>
      </c>
      <c r="G6384" s="27" t="s">
        <v>17</v>
      </c>
      <c r="H6384" s="27" t="s">
        <v>2727</v>
      </c>
      <c r="I6384" s="27" t="s">
        <v>13</v>
      </c>
    </row>
    <row r="6385" spans="1:9" x14ac:dyDescent="0.3">
      <c r="A6385" s="26">
        <v>45271</v>
      </c>
      <c r="B6385" s="27" t="s">
        <v>126</v>
      </c>
      <c r="C6385" s="27" t="s">
        <v>10</v>
      </c>
      <c r="D6385" s="27" t="s">
        <v>21</v>
      </c>
      <c r="E6385" s="28">
        <v>24775</v>
      </c>
      <c r="F6385" s="28">
        <v>126627</v>
      </c>
      <c r="G6385" s="27" t="s">
        <v>17</v>
      </c>
      <c r="H6385" s="27" t="s">
        <v>2904</v>
      </c>
      <c r="I6385" s="27" t="s">
        <v>13</v>
      </c>
    </row>
    <row r="6386" spans="1:9" x14ac:dyDescent="0.3">
      <c r="A6386" s="26">
        <v>45271</v>
      </c>
      <c r="B6386" s="27" t="s">
        <v>126</v>
      </c>
      <c r="C6386" s="27" t="s">
        <v>18</v>
      </c>
      <c r="D6386" s="27" t="s">
        <v>7</v>
      </c>
      <c r="E6386" s="28">
        <v>126255</v>
      </c>
      <c r="F6386" s="28">
        <v>26688</v>
      </c>
      <c r="G6386" s="27" t="s">
        <v>8</v>
      </c>
      <c r="H6386" s="27" t="s">
        <v>3083</v>
      </c>
      <c r="I6386" s="27" t="s">
        <v>13</v>
      </c>
    </row>
    <row r="6387" spans="1:9" x14ac:dyDescent="0.3">
      <c r="A6387" s="26">
        <v>45271</v>
      </c>
      <c r="B6387" s="27" t="s">
        <v>126</v>
      </c>
      <c r="C6387" s="27" t="s">
        <v>20</v>
      </c>
      <c r="D6387" s="27" t="s">
        <v>21</v>
      </c>
      <c r="E6387" s="28">
        <v>73447</v>
      </c>
      <c r="F6387" s="28">
        <v>12409</v>
      </c>
      <c r="G6387" s="27" t="s">
        <v>11</v>
      </c>
      <c r="H6387" s="27" t="s">
        <v>3417</v>
      </c>
      <c r="I6387" s="27" t="s">
        <v>13</v>
      </c>
    </row>
    <row r="6388" spans="1:9" x14ac:dyDescent="0.3">
      <c r="A6388" s="26">
        <v>45271</v>
      </c>
      <c r="B6388" s="27" t="s">
        <v>126</v>
      </c>
      <c r="C6388" s="27" t="s">
        <v>6</v>
      </c>
      <c r="D6388" s="27" t="s">
        <v>21</v>
      </c>
      <c r="E6388" s="28">
        <v>192800</v>
      </c>
      <c r="F6388" s="28">
        <v>215900</v>
      </c>
      <c r="G6388" s="27" t="s">
        <v>11</v>
      </c>
      <c r="H6388" s="27" t="s">
        <v>3681</v>
      </c>
      <c r="I6388" s="27" t="s">
        <v>9</v>
      </c>
    </row>
    <row r="6389" spans="1:9" x14ac:dyDescent="0.3">
      <c r="A6389" s="26">
        <v>45271</v>
      </c>
      <c r="B6389" s="27" t="s">
        <v>126</v>
      </c>
      <c r="C6389" s="27" t="s">
        <v>6</v>
      </c>
      <c r="D6389" s="27" t="s">
        <v>7</v>
      </c>
      <c r="E6389" s="28">
        <v>99800</v>
      </c>
      <c r="F6389" s="28">
        <v>100400</v>
      </c>
      <c r="G6389" s="27" t="s">
        <v>11</v>
      </c>
      <c r="H6389" s="27" t="s">
        <v>3787</v>
      </c>
      <c r="I6389" s="27" t="s">
        <v>9</v>
      </c>
    </row>
    <row r="6390" spans="1:9" x14ac:dyDescent="0.3">
      <c r="A6390" s="26">
        <v>45271</v>
      </c>
      <c r="B6390" s="27" t="s">
        <v>126</v>
      </c>
      <c r="C6390" s="27" t="s">
        <v>93</v>
      </c>
      <c r="D6390" s="27" t="s">
        <v>24</v>
      </c>
      <c r="E6390" s="28">
        <v>70700</v>
      </c>
      <c r="F6390" s="28">
        <v>54600</v>
      </c>
      <c r="G6390" s="27" t="s">
        <v>17</v>
      </c>
      <c r="H6390" s="27" t="s">
        <v>5224</v>
      </c>
      <c r="I6390" s="27" t="s">
        <v>9</v>
      </c>
    </row>
    <row r="6391" spans="1:9" x14ac:dyDescent="0.3">
      <c r="A6391" s="26">
        <v>45271</v>
      </c>
      <c r="B6391" s="27" t="s">
        <v>126</v>
      </c>
      <c r="C6391" s="27" t="s">
        <v>93</v>
      </c>
      <c r="D6391" s="27" t="s">
        <v>19</v>
      </c>
      <c r="E6391" s="28">
        <v>237200</v>
      </c>
      <c r="F6391" s="28">
        <v>208000</v>
      </c>
      <c r="G6391" s="27" t="s">
        <v>22</v>
      </c>
      <c r="H6391" s="27" t="s">
        <v>5259</v>
      </c>
      <c r="I6391" s="27" t="s">
        <v>9</v>
      </c>
    </row>
    <row r="6392" spans="1:9" x14ac:dyDescent="0.3">
      <c r="A6392" s="26">
        <v>45271</v>
      </c>
      <c r="B6392" s="27" t="s">
        <v>126</v>
      </c>
      <c r="C6392" s="27" t="s">
        <v>6</v>
      </c>
      <c r="D6392" s="27" t="s">
        <v>16</v>
      </c>
      <c r="E6392" s="28">
        <v>83800</v>
      </c>
      <c r="F6392" s="28">
        <v>82000</v>
      </c>
      <c r="G6392" s="27" t="s">
        <v>11</v>
      </c>
      <c r="H6392" s="27" t="s">
        <v>5333</v>
      </c>
      <c r="I6392" s="27" t="s">
        <v>9</v>
      </c>
    </row>
    <row r="6393" spans="1:9" x14ac:dyDescent="0.3">
      <c r="A6393" s="26">
        <v>45271</v>
      </c>
      <c r="B6393" s="27" t="s">
        <v>126</v>
      </c>
      <c r="C6393" s="27" t="s">
        <v>6</v>
      </c>
      <c r="D6393" s="27" t="s">
        <v>24</v>
      </c>
      <c r="E6393" s="28">
        <v>72400</v>
      </c>
      <c r="F6393" s="28">
        <v>70100</v>
      </c>
      <c r="G6393" s="27" t="s">
        <v>22</v>
      </c>
      <c r="H6393" s="27" t="s">
        <v>5436</v>
      </c>
      <c r="I6393" s="27" t="s">
        <v>9</v>
      </c>
    </row>
    <row r="6394" spans="1:9" x14ac:dyDescent="0.3">
      <c r="A6394" s="26">
        <v>45271</v>
      </c>
      <c r="B6394" s="27" t="s">
        <v>126</v>
      </c>
      <c r="C6394" s="27" t="s">
        <v>6</v>
      </c>
      <c r="D6394" s="27" t="s">
        <v>19</v>
      </c>
      <c r="E6394" s="28">
        <v>117700</v>
      </c>
      <c r="F6394" s="28">
        <v>122000</v>
      </c>
      <c r="G6394" s="27" t="s">
        <v>11</v>
      </c>
      <c r="H6394" s="27" t="s">
        <v>5550</v>
      </c>
      <c r="I6394" s="27" t="s">
        <v>9</v>
      </c>
    </row>
    <row r="6395" spans="1:9" x14ac:dyDescent="0.3">
      <c r="A6395" s="26">
        <v>45271</v>
      </c>
      <c r="B6395" s="27" t="s">
        <v>126</v>
      </c>
      <c r="C6395" s="27" t="s">
        <v>93</v>
      </c>
      <c r="D6395" s="27" t="s">
        <v>19</v>
      </c>
      <c r="E6395" s="28">
        <v>97800</v>
      </c>
      <c r="F6395" s="28">
        <v>97000</v>
      </c>
      <c r="G6395" s="27" t="s">
        <v>11</v>
      </c>
      <c r="H6395" s="27" t="s">
        <v>5967</v>
      </c>
      <c r="I6395" s="27" t="s">
        <v>9</v>
      </c>
    </row>
    <row r="6396" spans="1:9" x14ac:dyDescent="0.3">
      <c r="A6396" s="26">
        <v>45271</v>
      </c>
      <c r="B6396" s="27" t="s">
        <v>126</v>
      </c>
      <c r="C6396" s="27" t="s">
        <v>6</v>
      </c>
      <c r="D6396" s="27" t="s">
        <v>7</v>
      </c>
      <c r="E6396" s="28">
        <v>102700</v>
      </c>
      <c r="F6396" s="28">
        <v>132200</v>
      </c>
      <c r="G6396" s="27" t="s">
        <v>11</v>
      </c>
      <c r="H6396" s="27" t="s">
        <v>6019</v>
      </c>
      <c r="I6396" s="27" t="s">
        <v>9</v>
      </c>
    </row>
    <row r="6397" spans="1:9" x14ac:dyDescent="0.3">
      <c r="A6397" s="26">
        <v>45271</v>
      </c>
      <c r="B6397" s="27" t="s">
        <v>126</v>
      </c>
      <c r="C6397" s="27" t="s">
        <v>6</v>
      </c>
      <c r="D6397" s="27" t="s">
        <v>16</v>
      </c>
      <c r="E6397" s="28">
        <v>65200</v>
      </c>
      <c r="F6397" s="28">
        <v>64900</v>
      </c>
      <c r="G6397" s="27" t="s">
        <v>17</v>
      </c>
      <c r="H6397" s="27" t="s">
        <v>6112</v>
      </c>
      <c r="I6397" s="27" t="s">
        <v>9</v>
      </c>
    </row>
    <row r="6398" spans="1:9" x14ac:dyDescent="0.3">
      <c r="A6398" s="26">
        <v>45271</v>
      </c>
      <c r="B6398" s="27" t="s">
        <v>126</v>
      </c>
      <c r="C6398" s="27" t="s">
        <v>6</v>
      </c>
      <c r="D6398" s="27" t="s">
        <v>21</v>
      </c>
      <c r="E6398" s="28">
        <v>99300</v>
      </c>
      <c r="F6398" s="28">
        <v>105300</v>
      </c>
      <c r="G6398" s="27" t="s">
        <v>11</v>
      </c>
      <c r="H6398" s="27" t="s">
        <v>6289</v>
      </c>
      <c r="I6398" s="27" t="s">
        <v>9</v>
      </c>
    </row>
    <row r="6399" spans="1:9" x14ac:dyDescent="0.3">
      <c r="A6399" s="26">
        <v>45271</v>
      </c>
      <c r="B6399" s="27" t="s">
        <v>126</v>
      </c>
      <c r="C6399" s="27" t="s">
        <v>6</v>
      </c>
      <c r="D6399" s="27" t="s">
        <v>7</v>
      </c>
      <c r="E6399" s="28">
        <v>92600</v>
      </c>
      <c r="F6399" s="28">
        <v>78500</v>
      </c>
      <c r="G6399" s="27" t="s">
        <v>22</v>
      </c>
      <c r="H6399" s="27" t="s">
        <v>6468</v>
      </c>
      <c r="I6399" s="27" t="s">
        <v>9</v>
      </c>
    </row>
    <row r="6400" spans="1:9" x14ac:dyDescent="0.3">
      <c r="A6400" s="26">
        <v>45271</v>
      </c>
      <c r="B6400" s="27" t="s">
        <v>126</v>
      </c>
      <c r="C6400" s="27" t="s">
        <v>6</v>
      </c>
      <c r="D6400" s="27" t="s">
        <v>21</v>
      </c>
      <c r="E6400" s="28">
        <v>181300</v>
      </c>
      <c r="F6400" s="28">
        <v>180500</v>
      </c>
      <c r="G6400" s="27" t="s">
        <v>17</v>
      </c>
      <c r="H6400" s="27" t="s">
        <v>6802</v>
      </c>
      <c r="I6400" s="27" t="s">
        <v>9</v>
      </c>
    </row>
    <row r="6401" spans="1:9" x14ac:dyDescent="0.3">
      <c r="A6401" s="26">
        <v>45272</v>
      </c>
      <c r="B6401" s="27" t="s">
        <v>126</v>
      </c>
      <c r="C6401" s="27" t="s">
        <v>10</v>
      </c>
      <c r="D6401" s="27" t="s">
        <v>7</v>
      </c>
      <c r="E6401" s="28">
        <v>147868</v>
      </c>
      <c r="F6401" s="28">
        <v>150475</v>
      </c>
      <c r="G6401" s="27" t="s">
        <v>22</v>
      </c>
      <c r="H6401" s="27" t="s">
        <v>2010</v>
      </c>
      <c r="I6401" s="27" t="s">
        <v>13</v>
      </c>
    </row>
    <row r="6402" spans="1:9" x14ac:dyDescent="0.3">
      <c r="A6402" s="26">
        <v>45272</v>
      </c>
      <c r="B6402" s="27" t="s">
        <v>126</v>
      </c>
      <c r="C6402" s="27" t="s">
        <v>18</v>
      </c>
      <c r="D6402" s="27" t="s">
        <v>16</v>
      </c>
      <c r="E6402" s="28">
        <v>49238</v>
      </c>
      <c r="F6402" s="28">
        <v>52006</v>
      </c>
      <c r="G6402" s="27" t="s">
        <v>22</v>
      </c>
      <c r="H6402" s="27" t="s">
        <v>2032</v>
      </c>
      <c r="I6402" s="27" t="s">
        <v>13</v>
      </c>
    </row>
    <row r="6403" spans="1:9" x14ac:dyDescent="0.3">
      <c r="A6403" s="26">
        <v>45272</v>
      </c>
      <c r="B6403" s="27" t="s">
        <v>126</v>
      </c>
      <c r="C6403" s="27" t="s">
        <v>32</v>
      </c>
      <c r="D6403" s="27" t="s">
        <v>7</v>
      </c>
      <c r="E6403" s="28">
        <v>128002</v>
      </c>
      <c r="F6403" s="28">
        <v>143004</v>
      </c>
      <c r="G6403" s="27" t="s">
        <v>11</v>
      </c>
      <c r="H6403" s="27" t="s">
        <v>2125</v>
      </c>
      <c r="I6403" s="27" t="s">
        <v>13</v>
      </c>
    </row>
    <row r="6404" spans="1:9" x14ac:dyDescent="0.3">
      <c r="A6404" s="26">
        <v>45272</v>
      </c>
      <c r="B6404" s="27" t="s">
        <v>126</v>
      </c>
      <c r="C6404" s="27" t="s">
        <v>15</v>
      </c>
      <c r="D6404" s="27" t="s">
        <v>24</v>
      </c>
      <c r="E6404" s="28">
        <v>126552</v>
      </c>
      <c r="F6404" s="28">
        <v>118481</v>
      </c>
      <c r="G6404" s="27" t="s">
        <v>8</v>
      </c>
      <c r="H6404" s="27" t="s">
        <v>2161</v>
      </c>
      <c r="I6404" s="27" t="s">
        <v>13</v>
      </c>
    </row>
    <row r="6405" spans="1:9" x14ac:dyDescent="0.3">
      <c r="A6405" s="26">
        <v>45272</v>
      </c>
      <c r="B6405" s="27" t="s">
        <v>126</v>
      </c>
      <c r="C6405" s="27" t="s">
        <v>18</v>
      </c>
      <c r="D6405" s="27" t="s">
        <v>7</v>
      </c>
      <c r="E6405" s="28">
        <v>85737</v>
      </c>
      <c r="F6405" s="28">
        <v>150268</v>
      </c>
      <c r="G6405" s="27" t="s">
        <v>22</v>
      </c>
      <c r="H6405" s="27" t="s">
        <v>2364</v>
      </c>
      <c r="I6405" s="27" t="s">
        <v>13</v>
      </c>
    </row>
    <row r="6406" spans="1:9" x14ac:dyDescent="0.3">
      <c r="A6406" s="26">
        <v>45272</v>
      </c>
      <c r="B6406" s="27" t="s">
        <v>126</v>
      </c>
      <c r="C6406" s="27" t="s">
        <v>14</v>
      </c>
      <c r="D6406" s="27" t="s">
        <v>21</v>
      </c>
      <c r="E6406" s="28">
        <v>33199</v>
      </c>
      <c r="F6406" s="28">
        <v>149006</v>
      </c>
      <c r="G6406" s="27" t="s">
        <v>8</v>
      </c>
      <c r="H6406" s="27" t="s">
        <v>2415</v>
      </c>
      <c r="I6406" s="27" t="s">
        <v>13</v>
      </c>
    </row>
    <row r="6407" spans="1:9" x14ac:dyDescent="0.3">
      <c r="A6407" s="26">
        <v>45272</v>
      </c>
      <c r="B6407" s="27" t="s">
        <v>126</v>
      </c>
      <c r="C6407" s="27" t="s">
        <v>10</v>
      </c>
      <c r="D6407" s="27" t="s">
        <v>21</v>
      </c>
      <c r="E6407" s="28">
        <v>100225</v>
      </c>
      <c r="F6407" s="28">
        <v>138109</v>
      </c>
      <c r="G6407" s="27" t="s">
        <v>8</v>
      </c>
      <c r="H6407" s="27" t="s">
        <v>2581</v>
      </c>
      <c r="I6407" s="27" t="s">
        <v>13</v>
      </c>
    </row>
    <row r="6408" spans="1:9" x14ac:dyDescent="0.3">
      <c r="A6408" s="26">
        <v>45272</v>
      </c>
      <c r="B6408" s="27" t="s">
        <v>126</v>
      </c>
      <c r="C6408" s="27" t="s">
        <v>10</v>
      </c>
      <c r="D6408" s="27" t="s">
        <v>21</v>
      </c>
      <c r="E6408" s="28">
        <v>28688</v>
      </c>
      <c r="F6408" s="28">
        <v>114946</v>
      </c>
      <c r="G6408" s="27" t="s">
        <v>8</v>
      </c>
      <c r="H6408" s="27" t="s">
        <v>2598</v>
      </c>
      <c r="I6408" s="27" t="s">
        <v>13</v>
      </c>
    </row>
    <row r="6409" spans="1:9" x14ac:dyDescent="0.3">
      <c r="A6409" s="26">
        <v>45272</v>
      </c>
      <c r="B6409" s="27" t="s">
        <v>126</v>
      </c>
      <c r="C6409" s="27" t="s">
        <v>15</v>
      </c>
      <c r="D6409" s="27" t="s">
        <v>21</v>
      </c>
      <c r="E6409" s="28">
        <v>120265</v>
      </c>
      <c r="F6409" s="28">
        <v>57206</v>
      </c>
      <c r="G6409" s="27" t="s">
        <v>8</v>
      </c>
      <c r="H6409" s="27" t="s">
        <v>3127</v>
      </c>
      <c r="I6409" s="27" t="s">
        <v>13</v>
      </c>
    </row>
    <row r="6410" spans="1:9" x14ac:dyDescent="0.3">
      <c r="A6410" s="26">
        <v>45272</v>
      </c>
      <c r="B6410" s="27" t="s">
        <v>126</v>
      </c>
      <c r="C6410" s="27" t="s">
        <v>93</v>
      </c>
      <c r="D6410" s="27" t="s">
        <v>7</v>
      </c>
      <c r="E6410" s="28">
        <v>125700</v>
      </c>
      <c r="F6410" s="28">
        <v>140800</v>
      </c>
      <c r="G6410" s="27" t="s">
        <v>17</v>
      </c>
      <c r="H6410" s="27" t="s">
        <v>5394</v>
      </c>
      <c r="I6410" s="27" t="s">
        <v>9</v>
      </c>
    </row>
    <row r="6411" spans="1:9" x14ac:dyDescent="0.3">
      <c r="A6411" s="26">
        <v>45272</v>
      </c>
      <c r="B6411" s="27" t="s">
        <v>126</v>
      </c>
      <c r="C6411" s="27" t="s">
        <v>93</v>
      </c>
      <c r="D6411" s="27" t="s">
        <v>16</v>
      </c>
      <c r="E6411" s="28">
        <v>192600</v>
      </c>
      <c r="F6411" s="28">
        <v>233100</v>
      </c>
      <c r="G6411" s="27" t="s">
        <v>11</v>
      </c>
      <c r="H6411" s="27" t="s">
        <v>5416</v>
      </c>
      <c r="I6411" s="27" t="s">
        <v>9</v>
      </c>
    </row>
    <row r="6412" spans="1:9" x14ac:dyDescent="0.3">
      <c r="A6412" s="26">
        <v>45272</v>
      </c>
      <c r="B6412" s="27" t="s">
        <v>126</v>
      </c>
      <c r="C6412" s="27" t="s">
        <v>93</v>
      </c>
      <c r="D6412" s="27" t="s">
        <v>7</v>
      </c>
      <c r="E6412" s="28">
        <v>65100</v>
      </c>
      <c r="F6412" s="28">
        <v>51300</v>
      </c>
      <c r="G6412" s="27" t="s">
        <v>17</v>
      </c>
      <c r="H6412" s="27" t="s">
        <v>5509</v>
      </c>
      <c r="I6412" s="27" t="s">
        <v>9</v>
      </c>
    </row>
    <row r="6413" spans="1:9" x14ac:dyDescent="0.3">
      <c r="A6413" s="26">
        <v>45272</v>
      </c>
      <c r="B6413" s="27" t="s">
        <v>126</v>
      </c>
      <c r="C6413" s="27" t="s">
        <v>93</v>
      </c>
      <c r="D6413" s="27" t="s">
        <v>24</v>
      </c>
      <c r="E6413" s="28">
        <v>193300</v>
      </c>
      <c r="F6413" s="28">
        <v>205300</v>
      </c>
      <c r="G6413" s="27" t="s">
        <v>11</v>
      </c>
      <c r="H6413" s="27" t="s">
        <v>5546</v>
      </c>
      <c r="I6413" s="27" t="s">
        <v>9</v>
      </c>
    </row>
    <row r="6414" spans="1:9" x14ac:dyDescent="0.3">
      <c r="A6414" s="26">
        <v>45272</v>
      </c>
      <c r="B6414" s="27" t="s">
        <v>126</v>
      </c>
      <c r="C6414" s="27" t="s">
        <v>93</v>
      </c>
      <c r="D6414" s="27" t="s">
        <v>7</v>
      </c>
      <c r="E6414" s="28">
        <v>105100</v>
      </c>
      <c r="F6414" s="28">
        <v>88200</v>
      </c>
      <c r="G6414" s="27" t="s">
        <v>22</v>
      </c>
      <c r="H6414" s="27" t="s">
        <v>5749</v>
      </c>
      <c r="I6414" s="27" t="s">
        <v>9</v>
      </c>
    </row>
    <row r="6415" spans="1:9" x14ac:dyDescent="0.3">
      <c r="A6415" s="26">
        <v>45272</v>
      </c>
      <c r="B6415" s="27" t="s">
        <v>126</v>
      </c>
      <c r="C6415" s="27" t="s">
        <v>6</v>
      </c>
      <c r="D6415" s="27" t="s">
        <v>21</v>
      </c>
      <c r="E6415" s="28">
        <v>71600</v>
      </c>
      <c r="F6415" s="28">
        <v>78500</v>
      </c>
      <c r="G6415" s="27" t="s">
        <v>11</v>
      </c>
      <c r="H6415" s="27" t="s">
        <v>5800</v>
      </c>
      <c r="I6415" s="27" t="s">
        <v>9</v>
      </c>
    </row>
    <row r="6416" spans="1:9" x14ac:dyDescent="0.3">
      <c r="A6416" s="26">
        <v>45272</v>
      </c>
      <c r="B6416" s="27" t="s">
        <v>126</v>
      </c>
      <c r="C6416" s="27" t="s">
        <v>93</v>
      </c>
      <c r="D6416" s="27" t="s">
        <v>21</v>
      </c>
      <c r="E6416" s="28">
        <v>106700</v>
      </c>
      <c r="F6416" s="28">
        <v>124000</v>
      </c>
      <c r="G6416" s="27" t="s">
        <v>17</v>
      </c>
      <c r="H6416" s="27" t="s">
        <v>5966</v>
      </c>
      <c r="I6416" s="27" t="s">
        <v>9</v>
      </c>
    </row>
    <row r="6417" spans="1:9" x14ac:dyDescent="0.3">
      <c r="A6417" s="26">
        <v>45272</v>
      </c>
      <c r="B6417" s="27" t="s">
        <v>126</v>
      </c>
      <c r="C6417" s="27" t="s">
        <v>6</v>
      </c>
      <c r="D6417" s="27" t="s">
        <v>21</v>
      </c>
      <c r="E6417" s="28">
        <v>73000</v>
      </c>
      <c r="F6417" s="28">
        <v>80400</v>
      </c>
      <c r="G6417" s="27" t="s">
        <v>22</v>
      </c>
      <c r="H6417" s="27" t="s">
        <v>5983</v>
      </c>
      <c r="I6417" s="27" t="s">
        <v>9</v>
      </c>
    </row>
    <row r="6418" spans="1:9" x14ac:dyDescent="0.3">
      <c r="A6418" s="26">
        <v>45272</v>
      </c>
      <c r="B6418" s="27" t="s">
        <v>126</v>
      </c>
      <c r="C6418" s="27" t="s">
        <v>93</v>
      </c>
      <c r="D6418" s="27" t="s">
        <v>21</v>
      </c>
      <c r="E6418" s="28">
        <v>110700</v>
      </c>
      <c r="F6418" s="28">
        <v>130800</v>
      </c>
      <c r="G6418" s="27" t="s">
        <v>22</v>
      </c>
      <c r="H6418" s="27" t="s">
        <v>6512</v>
      </c>
      <c r="I6418" s="27" t="s">
        <v>9</v>
      </c>
    </row>
    <row r="6419" spans="1:9" x14ac:dyDescent="0.3">
      <c r="A6419" s="26">
        <v>45273</v>
      </c>
      <c r="B6419" s="27" t="s">
        <v>126</v>
      </c>
      <c r="C6419" s="27" t="s">
        <v>14</v>
      </c>
      <c r="D6419" s="27" t="s">
        <v>19</v>
      </c>
      <c r="E6419" s="28">
        <v>102584</v>
      </c>
      <c r="F6419" s="28">
        <v>67228</v>
      </c>
      <c r="G6419" s="27" t="s">
        <v>22</v>
      </c>
      <c r="H6419" s="27" t="s">
        <v>76</v>
      </c>
      <c r="I6419" s="27" t="s">
        <v>13</v>
      </c>
    </row>
    <row r="6420" spans="1:9" x14ac:dyDescent="0.3">
      <c r="A6420" s="26">
        <v>45273</v>
      </c>
      <c r="B6420" s="27" t="s">
        <v>126</v>
      </c>
      <c r="C6420" s="27" t="s">
        <v>18</v>
      </c>
      <c r="D6420" s="27" t="s">
        <v>24</v>
      </c>
      <c r="E6420" s="28">
        <v>63368</v>
      </c>
      <c r="F6420" s="28">
        <v>53076</v>
      </c>
      <c r="G6420" s="27" t="s">
        <v>11</v>
      </c>
      <c r="H6420" s="27" t="s">
        <v>75</v>
      </c>
      <c r="I6420" s="27" t="s">
        <v>13</v>
      </c>
    </row>
    <row r="6421" spans="1:9" x14ac:dyDescent="0.3">
      <c r="A6421" s="26">
        <v>45273</v>
      </c>
      <c r="B6421" s="27" t="s">
        <v>126</v>
      </c>
      <c r="C6421" s="27" t="s">
        <v>18</v>
      </c>
      <c r="D6421" s="27" t="s">
        <v>7</v>
      </c>
      <c r="E6421" s="28">
        <v>67766</v>
      </c>
      <c r="F6421" s="28">
        <v>35333</v>
      </c>
      <c r="G6421" s="27" t="s">
        <v>17</v>
      </c>
      <c r="H6421" s="27" t="s">
        <v>165</v>
      </c>
      <c r="I6421" s="27" t="s">
        <v>13</v>
      </c>
    </row>
    <row r="6422" spans="1:9" x14ac:dyDescent="0.3">
      <c r="A6422" s="26">
        <v>45273</v>
      </c>
      <c r="B6422" s="27" t="s">
        <v>126</v>
      </c>
      <c r="C6422" s="27" t="s">
        <v>32</v>
      </c>
      <c r="D6422" s="27" t="s">
        <v>24</v>
      </c>
      <c r="E6422" s="28">
        <v>126292</v>
      </c>
      <c r="F6422" s="28">
        <v>96238</v>
      </c>
      <c r="G6422" s="27" t="s">
        <v>22</v>
      </c>
      <c r="H6422" s="27" t="s">
        <v>421</v>
      </c>
      <c r="I6422" s="27" t="s">
        <v>13</v>
      </c>
    </row>
    <row r="6423" spans="1:9" x14ac:dyDescent="0.3">
      <c r="A6423" s="26">
        <v>45273</v>
      </c>
      <c r="B6423" s="27" t="s">
        <v>126</v>
      </c>
      <c r="C6423" s="27" t="s">
        <v>32</v>
      </c>
      <c r="D6423" s="27" t="s">
        <v>16</v>
      </c>
      <c r="E6423" s="28">
        <v>115067</v>
      </c>
      <c r="F6423" s="28">
        <v>135074</v>
      </c>
      <c r="G6423" s="27" t="s">
        <v>17</v>
      </c>
      <c r="H6423" s="27" t="s">
        <v>625</v>
      </c>
      <c r="I6423" s="27" t="s">
        <v>13</v>
      </c>
    </row>
    <row r="6424" spans="1:9" x14ac:dyDescent="0.3">
      <c r="A6424" s="26">
        <v>45273</v>
      </c>
      <c r="B6424" s="27" t="s">
        <v>126</v>
      </c>
      <c r="C6424" s="27" t="s">
        <v>15</v>
      </c>
      <c r="D6424" s="27" t="s">
        <v>19</v>
      </c>
      <c r="E6424" s="28">
        <v>22115</v>
      </c>
      <c r="F6424" s="28">
        <v>41123</v>
      </c>
      <c r="G6424" s="27" t="s">
        <v>11</v>
      </c>
      <c r="H6424" s="27" t="s">
        <v>1011</v>
      </c>
      <c r="I6424" s="27" t="s">
        <v>13</v>
      </c>
    </row>
    <row r="6425" spans="1:9" x14ac:dyDescent="0.3">
      <c r="A6425" s="26">
        <v>45273</v>
      </c>
      <c r="B6425" s="27" t="s">
        <v>126</v>
      </c>
      <c r="C6425" s="27" t="s">
        <v>32</v>
      </c>
      <c r="D6425" s="27" t="s">
        <v>7</v>
      </c>
      <c r="E6425" s="28">
        <v>94357</v>
      </c>
      <c r="F6425" s="28">
        <v>144768</v>
      </c>
      <c r="G6425" s="27" t="s">
        <v>17</v>
      </c>
      <c r="H6425" s="27" t="s">
        <v>1629</v>
      </c>
      <c r="I6425" s="27" t="s">
        <v>13</v>
      </c>
    </row>
    <row r="6426" spans="1:9" x14ac:dyDescent="0.3">
      <c r="A6426" s="26">
        <v>45273</v>
      </c>
      <c r="B6426" s="27" t="s">
        <v>126</v>
      </c>
      <c r="C6426" s="27" t="s">
        <v>10</v>
      </c>
      <c r="D6426" s="27" t="s">
        <v>7</v>
      </c>
      <c r="E6426" s="28">
        <v>10368</v>
      </c>
      <c r="F6426" s="28">
        <v>17501</v>
      </c>
      <c r="G6426" s="27" t="s">
        <v>22</v>
      </c>
      <c r="H6426" s="27" t="s">
        <v>2536</v>
      </c>
      <c r="I6426" s="27" t="s">
        <v>13</v>
      </c>
    </row>
    <row r="6427" spans="1:9" x14ac:dyDescent="0.3">
      <c r="A6427" s="26">
        <v>45273</v>
      </c>
      <c r="B6427" s="27" t="s">
        <v>126</v>
      </c>
      <c r="C6427" s="27" t="s">
        <v>10</v>
      </c>
      <c r="D6427" s="27" t="s">
        <v>21</v>
      </c>
      <c r="E6427" s="28">
        <v>137806</v>
      </c>
      <c r="F6427" s="28">
        <v>60266</v>
      </c>
      <c r="G6427" s="27" t="s">
        <v>11</v>
      </c>
      <c r="H6427" s="27" t="s">
        <v>2603</v>
      </c>
      <c r="I6427" s="27" t="s">
        <v>13</v>
      </c>
    </row>
    <row r="6428" spans="1:9" x14ac:dyDescent="0.3">
      <c r="A6428" s="26">
        <v>45273</v>
      </c>
      <c r="B6428" s="27" t="s">
        <v>126</v>
      </c>
      <c r="C6428" s="27" t="s">
        <v>10</v>
      </c>
      <c r="D6428" s="27" t="s">
        <v>24</v>
      </c>
      <c r="E6428" s="28">
        <v>45833</v>
      </c>
      <c r="F6428" s="28">
        <v>135337</v>
      </c>
      <c r="G6428" s="27" t="s">
        <v>11</v>
      </c>
      <c r="H6428" s="27" t="s">
        <v>2827</v>
      </c>
      <c r="I6428" s="27" t="s">
        <v>13</v>
      </c>
    </row>
    <row r="6429" spans="1:9" x14ac:dyDescent="0.3">
      <c r="A6429" s="26">
        <v>45273</v>
      </c>
      <c r="B6429" s="27" t="s">
        <v>126</v>
      </c>
      <c r="C6429" s="27" t="s">
        <v>20</v>
      </c>
      <c r="D6429" s="27" t="s">
        <v>24</v>
      </c>
      <c r="E6429" s="28">
        <v>48227</v>
      </c>
      <c r="F6429" s="28">
        <v>67766</v>
      </c>
      <c r="G6429" s="27" t="s">
        <v>11</v>
      </c>
      <c r="H6429" s="27" t="s">
        <v>3313</v>
      </c>
      <c r="I6429" s="27" t="s">
        <v>13</v>
      </c>
    </row>
    <row r="6430" spans="1:9" x14ac:dyDescent="0.3">
      <c r="A6430" s="26">
        <v>45273</v>
      </c>
      <c r="B6430" s="27" t="s">
        <v>126</v>
      </c>
      <c r="C6430" s="27" t="s">
        <v>93</v>
      </c>
      <c r="D6430" s="27" t="s">
        <v>19</v>
      </c>
      <c r="E6430" s="28">
        <v>95000</v>
      </c>
      <c r="F6430" s="28">
        <v>94600</v>
      </c>
      <c r="G6430" s="27" t="s">
        <v>11</v>
      </c>
      <c r="H6430" s="27" t="s">
        <v>3463</v>
      </c>
      <c r="I6430" s="27" t="s">
        <v>9</v>
      </c>
    </row>
    <row r="6431" spans="1:9" x14ac:dyDescent="0.3">
      <c r="A6431" s="26">
        <v>45273</v>
      </c>
      <c r="B6431" s="27" t="s">
        <v>126</v>
      </c>
      <c r="C6431" s="27" t="s">
        <v>93</v>
      </c>
      <c r="D6431" s="27" t="s">
        <v>24</v>
      </c>
      <c r="E6431" s="28">
        <v>36900</v>
      </c>
      <c r="F6431" s="28">
        <v>37600</v>
      </c>
      <c r="G6431" s="27" t="s">
        <v>11</v>
      </c>
      <c r="H6431" s="27" t="s">
        <v>3493</v>
      </c>
      <c r="I6431" s="27" t="s">
        <v>9</v>
      </c>
    </row>
    <row r="6432" spans="1:9" x14ac:dyDescent="0.3">
      <c r="A6432" s="26">
        <v>45273</v>
      </c>
      <c r="B6432" s="27" t="s">
        <v>126</v>
      </c>
      <c r="C6432" s="27" t="s">
        <v>6</v>
      </c>
      <c r="D6432" s="27" t="s">
        <v>7</v>
      </c>
      <c r="E6432" s="28">
        <v>71100</v>
      </c>
      <c r="F6432" s="28">
        <v>54000</v>
      </c>
      <c r="G6432" s="27" t="s">
        <v>11</v>
      </c>
      <c r="H6432" s="27" t="s">
        <v>3546</v>
      </c>
      <c r="I6432" s="27" t="s">
        <v>9</v>
      </c>
    </row>
    <row r="6433" spans="1:9" x14ac:dyDescent="0.3">
      <c r="A6433" s="26">
        <v>45273</v>
      </c>
      <c r="B6433" s="27" t="s">
        <v>126</v>
      </c>
      <c r="C6433" s="27" t="s">
        <v>6</v>
      </c>
      <c r="D6433" s="27" t="s">
        <v>24</v>
      </c>
      <c r="E6433" s="28">
        <v>209200</v>
      </c>
      <c r="F6433" s="28">
        <v>270800</v>
      </c>
      <c r="G6433" s="27" t="s">
        <v>22</v>
      </c>
      <c r="H6433" s="27" t="s">
        <v>3802</v>
      </c>
      <c r="I6433" s="27" t="s">
        <v>9</v>
      </c>
    </row>
    <row r="6434" spans="1:9" x14ac:dyDescent="0.3">
      <c r="A6434" s="26">
        <v>45273</v>
      </c>
      <c r="B6434" s="27" t="s">
        <v>126</v>
      </c>
      <c r="C6434" s="27" t="s">
        <v>6</v>
      </c>
      <c r="D6434" s="27" t="s">
        <v>16</v>
      </c>
      <c r="E6434" s="28">
        <v>205800</v>
      </c>
      <c r="F6434" s="28">
        <v>239800</v>
      </c>
      <c r="G6434" s="27" t="s">
        <v>11</v>
      </c>
      <c r="H6434" s="27" t="s">
        <v>4006</v>
      </c>
      <c r="I6434" s="27" t="s">
        <v>9</v>
      </c>
    </row>
    <row r="6435" spans="1:9" x14ac:dyDescent="0.3">
      <c r="A6435" s="26">
        <v>45273</v>
      </c>
      <c r="B6435" s="27" t="s">
        <v>126</v>
      </c>
      <c r="C6435" s="27" t="s">
        <v>6</v>
      </c>
      <c r="D6435" s="27" t="s">
        <v>19</v>
      </c>
      <c r="E6435" s="28">
        <v>89000</v>
      </c>
      <c r="F6435" s="28">
        <v>93200</v>
      </c>
      <c r="G6435" s="27" t="s">
        <v>22</v>
      </c>
      <c r="H6435" s="27" t="s">
        <v>4392</v>
      </c>
      <c r="I6435" s="27" t="s">
        <v>9</v>
      </c>
    </row>
    <row r="6436" spans="1:9" x14ac:dyDescent="0.3">
      <c r="A6436" s="26">
        <v>45273</v>
      </c>
      <c r="B6436" s="27" t="s">
        <v>126</v>
      </c>
      <c r="C6436" s="27" t="s">
        <v>93</v>
      </c>
      <c r="D6436" s="27" t="s">
        <v>7</v>
      </c>
      <c r="E6436" s="28">
        <v>58400</v>
      </c>
      <c r="F6436" s="28">
        <v>67500</v>
      </c>
      <c r="G6436" s="27" t="s">
        <v>22</v>
      </c>
      <c r="H6436" s="27" t="s">
        <v>5012</v>
      </c>
      <c r="I6436" s="27" t="s">
        <v>9</v>
      </c>
    </row>
    <row r="6437" spans="1:9" x14ac:dyDescent="0.3">
      <c r="A6437" s="26">
        <v>45273</v>
      </c>
      <c r="B6437" s="27" t="s">
        <v>126</v>
      </c>
      <c r="C6437" s="27" t="s">
        <v>6</v>
      </c>
      <c r="D6437" s="27" t="s">
        <v>7</v>
      </c>
      <c r="E6437" s="28">
        <v>69300</v>
      </c>
      <c r="F6437" s="28">
        <v>81100</v>
      </c>
      <c r="G6437" s="27" t="s">
        <v>11</v>
      </c>
      <c r="H6437" s="27" t="s">
        <v>5921</v>
      </c>
      <c r="I6437" s="27" t="s">
        <v>9</v>
      </c>
    </row>
    <row r="6438" spans="1:9" x14ac:dyDescent="0.3">
      <c r="A6438" s="26">
        <v>45273</v>
      </c>
      <c r="B6438" s="27" t="s">
        <v>126</v>
      </c>
      <c r="C6438" s="27" t="s">
        <v>6</v>
      </c>
      <c r="D6438" s="27" t="s">
        <v>21</v>
      </c>
      <c r="E6438" s="28">
        <v>232800</v>
      </c>
      <c r="F6438" s="28">
        <v>229900</v>
      </c>
      <c r="G6438" s="27" t="s">
        <v>22</v>
      </c>
      <c r="H6438" s="27" t="s">
        <v>5988</v>
      </c>
      <c r="I6438" s="27" t="s">
        <v>9</v>
      </c>
    </row>
    <row r="6439" spans="1:9" x14ac:dyDescent="0.3">
      <c r="A6439" s="26">
        <v>45273</v>
      </c>
      <c r="B6439" s="27" t="s">
        <v>126</v>
      </c>
      <c r="C6439" s="27" t="s">
        <v>6</v>
      </c>
      <c r="D6439" s="27" t="s">
        <v>24</v>
      </c>
      <c r="E6439" s="28">
        <v>144300</v>
      </c>
      <c r="F6439" s="28">
        <v>105200</v>
      </c>
      <c r="G6439" s="27" t="s">
        <v>22</v>
      </c>
      <c r="H6439" s="27" t="s">
        <v>6212</v>
      </c>
      <c r="I6439" s="27" t="s">
        <v>9</v>
      </c>
    </row>
    <row r="6440" spans="1:9" x14ac:dyDescent="0.3">
      <c r="A6440" s="26">
        <v>45273</v>
      </c>
      <c r="B6440" s="27" t="s">
        <v>126</v>
      </c>
      <c r="C6440" s="27" t="s">
        <v>6</v>
      </c>
      <c r="D6440" s="27" t="s">
        <v>24</v>
      </c>
      <c r="E6440" s="28">
        <v>196600</v>
      </c>
      <c r="F6440" s="28">
        <v>170400</v>
      </c>
      <c r="G6440" s="27" t="s">
        <v>11</v>
      </c>
      <c r="H6440" s="27" t="s">
        <v>6698</v>
      </c>
      <c r="I6440" s="27" t="s">
        <v>9</v>
      </c>
    </row>
    <row r="6441" spans="1:9" x14ac:dyDescent="0.3">
      <c r="A6441" s="26">
        <v>45274</v>
      </c>
      <c r="B6441" s="27" t="s">
        <v>126</v>
      </c>
      <c r="C6441" s="27" t="s">
        <v>10</v>
      </c>
      <c r="D6441" s="27" t="s">
        <v>24</v>
      </c>
      <c r="E6441" s="28">
        <v>114693</v>
      </c>
      <c r="F6441" s="28">
        <v>130779</v>
      </c>
      <c r="G6441" s="27" t="s">
        <v>8</v>
      </c>
      <c r="H6441" s="27" t="s">
        <v>162</v>
      </c>
      <c r="I6441" s="27" t="s">
        <v>13</v>
      </c>
    </row>
    <row r="6442" spans="1:9" x14ac:dyDescent="0.3">
      <c r="A6442" s="26">
        <v>45274</v>
      </c>
      <c r="B6442" s="27" t="s">
        <v>126</v>
      </c>
      <c r="C6442" s="27" t="s">
        <v>32</v>
      </c>
      <c r="D6442" s="27" t="s">
        <v>19</v>
      </c>
      <c r="E6442" s="28">
        <v>57271</v>
      </c>
      <c r="F6442" s="28">
        <v>163348</v>
      </c>
      <c r="G6442" s="27" t="s">
        <v>22</v>
      </c>
      <c r="H6442" s="27" t="s">
        <v>278</v>
      </c>
      <c r="I6442" s="27" t="s">
        <v>13</v>
      </c>
    </row>
    <row r="6443" spans="1:9" x14ac:dyDescent="0.3">
      <c r="A6443" s="26">
        <v>45274</v>
      </c>
      <c r="B6443" s="27" t="s">
        <v>126</v>
      </c>
      <c r="C6443" s="27" t="s">
        <v>14</v>
      </c>
      <c r="D6443" s="27" t="s">
        <v>7</v>
      </c>
      <c r="E6443" s="28">
        <v>56026</v>
      </c>
      <c r="F6443" s="28">
        <v>94946</v>
      </c>
      <c r="G6443" s="27" t="s">
        <v>11</v>
      </c>
      <c r="H6443" s="27" t="s">
        <v>404</v>
      </c>
      <c r="I6443" s="27" t="s">
        <v>13</v>
      </c>
    </row>
    <row r="6444" spans="1:9" x14ac:dyDescent="0.3">
      <c r="A6444" s="26">
        <v>45274</v>
      </c>
      <c r="B6444" s="27" t="s">
        <v>126</v>
      </c>
      <c r="C6444" s="27" t="s">
        <v>10</v>
      </c>
      <c r="D6444" s="27" t="s">
        <v>24</v>
      </c>
      <c r="E6444" s="28">
        <v>62406</v>
      </c>
      <c r="F6444" s="28">
        <v>49204</v>
      </c>
      <c r="G6444" s="27" t="s">
        <v>17</v>
      </c>
      <c r="H6444" s="27" t="s">
        <v>1601</v>
      </c>
      <c r="I6444" s="27" t="s">
        <v>13</v>
      </c>
    </row>
    <row r="6445" spans="1:9" x14ac:dyDescent="0.3">
      <c r="A6445" s="26">
        <v>45274</v>
      </c>
      <c r="B6445" s="27" t="s">
        <v>126</v>
      </c>
      <c r="C6445" s="27" t="s">
        <v>15</v>
      </c>
      <c r="D6445" s="27" t="s">
        <v>24</v>
      </c>
      <c r="E6445" s="28">
        <v>73580</v>
      </c>
      <c r="F6445" s="28">
        <v>60091</v>
      </c>
      <c r="G6445" s="27" t="s">
        <v>22</v>
      </c>
      <c r="H6445" s="27" t="s">
        <v>1779</v>
      </c>
      <c r="I6445" s="27" t="s">
        <v>13</v>
      </c>
    </row>
    <row r="6446" spans="1:9" x14ac:dyDescent="0.3">
      <c r="A6446" s="26">
        <v>45274</v>
      </c>
      <c r="B6446" s="27" t="s">
        <v>126</v>
      </c>
      <c r="C6446" s="27" t="s">
        <v>10</v>
      </c>
      <c r="D6446" s="27" t="s">
        <v>7</v>
      </c>
      <c r="E6446" s="28">
        <v>22190</v>
      </c>
      <c r="F6446" s="28">
        <v>83093</v>
      </c>
      <c r="G6446" s="27" t="s">
        <v>17</v>
      </c>
      <c r="H6446" s="27" t="s">
        <v>2378</v>
      </c>
      <c r="I6446" s="27" t="s">
        <v>13</v>
      </c>
    </row>
    <row r="6447" spans="1:9" x14ac:dyDescent="0.3">
      <c r="A6447" s="26">
        <v>45274</v>
      </c>
      <c r="B6447" s="27" t="s">
        <v>126</v>
      </c>
      <c r="C6447" s="27" t="s">
        <v>10</v>
      </c>
      <c r="D6447" s="27" t="s">
        <v>7</v>
      </c>
      <c r="E6447" s="28">
        <v>32846</v>
      </c>
      <c r="F6447" s="28">
        <v>84693</v>
      </c>
      <c r="G6447" s="27" t="s">
        <v>8</v>
      </c>
      <c r="H6447" s="27" t="s">
        <v>2509</v>
      </c>
      <c r="I6447" s="27" t="s">
        <v>13</v>
      </c>
    </row>
    <row r="6448" spans="1:9" x14ac:dyDescent="0.3">
      <c r="A6448" s="26">
        <v>45274</v>
      </c>
      <c r="B6448" s="27" t="s">
        <v>126</v>
      </c>
      <c r="C6448" s="27" t="s">
        <v>10</v>
      </c>
      <c r="D6448" s="27" t="s">
        <v>19</v>
      </c>
      <c r="E6448" s="28">
        <v>74770</v>
      </c>
      <c r="F6448" s="28">
        <v>69905</v>
      </c>
      <c r="G6448" s="27" t="s">
        <v>11</v>
      </c>
      <c r="H6448" s="27" t="s">
        <v>2606</v>
      </c>
      <c r="I6448" s="27" t="s">
        <v>13</v>
      </c>
    </row>
    <row r="6449" spans="1:9" x14ac:dyDescent="0.3">
      <c r="A6449" s="26">
        <v>45274</v>
      </c>
      <c r="B6449" s="27" t="s">
        <v>126</v>
      </c>
      <c r="C6449" s="27" t="s">
        <v>18</v>
      </c>
      <c r="D6449" s="27" t="s">
        <v>16</v>
      </c>
      <c r="E6449" s="28">
        <v>112697</v>
      </c>
      <c r="F6449" s="28">
        <v>83316</v>
      </c>
      <c r="G6449" s="27" t="s">
        <v>17</v>
      </c>
      <c r="H6449" s="27" t="s">
        <v>3202</v>
      </c>
      <c r="I6449" s="27" t="s">
        <v>13</v>
      </c>
    </row>
    <row r="6450" spans="1:9" x14ac:dyDescent="0.3">
      <c r="A6450" s="26">
        <v>45274</v>
      </c>
      <c r="B6450" s="27" t="s">
        <v>126</v>
      </c>
      <c r="C6450" s="27" t="s">
        <v>18</v>
      </c>
      <c r="D6450" s="27" t="s">
        <v>19</v>
      </c>
      <c r="E6450" s="28">
        <v>93262</v>
      </c>
      <c r="F6450" s="28">
        <v>69909</v>
      </c>
      <c r="G6450" s="27" t="s">
        <v>17</v>
      </c>
      <c r="H6450" s="27" t="s">
        <v>3225</v>
      </c>
      <c r="I6450" s="27" t="s">
        <v>13</v>
      </c>
    </row>
    <row r="6451" spans="1:9" x14ac:dyDescent="0.3">
      <c r="A6451" s="26">
        <v>45274</v>
      </c>
      <c r="B6451" s="27" t="s">
        <v>126</v>
      </c>
      <c r="C6451" s="27" t="s">
        <v>93</v>
      </c>
      <c r="D6451" s="27" t="s">
        <v>24</v>
      </c>
      <c r="E6451" s="28">
        <v>124300</v>
      </c>
      <c r="F6451" s="28">
        <v>110700</v>
      </c>
      <c r="G6451" s="27" t="s">
        <v>22</v>
      </c>
      <c r="H6451" s="27" t="s">
        <v>3543</v>
      </c>
      <c r="I6451" s="27" t="s">
        <v>9</v>
      </c>
    </row>
    <row r="6452" spans="1:9" x14ac:dyDescent="0.3">
      <c r="A6452" s="26">
        <v>45274</v>
      </c>
      <c r="B6452" s="27" t="s">
        <v>126</v>
      </c>
      <c r="C6452" s="27" t="s">
        <v>6</v>
      </c>
      <c r="D6452" s="27" t="s">
        <v>19</v>
      </c>
      <c r="E6452" s="28">
        <v>97200</v>
      </c>
      <c r="F6452" s="28">
        <v>100900</v>
      </c>
      <c r="G6452" s="27" t="s">
        <v>11</v>
      </c>
      <c r="H6452" s="27" t="s">
        <v>3659</v>
      </c>
      <c r="I6452" s="27" t="s">
        <v>9</v>
      </c>
    </row>
    <row r="6453" spans="1:9" x14ac:dyDescent="0.3">
      <c r="A6453" s="26">
        <v>45274</v>
      </c>
      <c r="B6453" s="27" t="s">
        <v>126</v>
      </c>
      <c r="C6453" s="27" t="s">
        <v>93</v>
      </c>
      <c r="D6453" s="27" t="s">
        <v>7</v>
      </c>
      <c r="E6453" s="28">
        <v>105500</v>
      </c>
      <c r="F6453" s="28">
        <v>136100</v>
      </c>
      <c r="G6453" s="27" t="s">
        <v>22</v>
      </c>
      <c r="H6453" s="27" t="s">
        <v>3785</v>
      </c>
      <c r="I6453" s="27" t="s">
        <v>9</v>
      </c>
    </row>
    <row r="6454" spans="1:9" x14ac:dyDescent="0.3">
      <c r="A6454" s="26">
        <v>45274</v>
      </c>
      <c r="B6454" s="27" t="s">
        <v>126</v>
      </c>
      <c r="C6454" s="27" t="s">
        <v>6</v>
      </c>
      <c r="D6454" s="27" t="s">
        <v>24</v>
      </c>
      <c r="E6454" s="28">
        <v>182300</v>
      </c>
      <c r="F6454" s="28">
        <v>218100</v>
      </c>
      <c r="G6454" s="27" t="s">
        <v>17</v>
      </c>
      <c r="H6454" s="27" t="s">
        <v>4984</v>
      </c>
      <c r="I6454" s="27" t="s">
        <v>9</v>
      </c>
    </row>
    <row r="6455" spans="1:9" x14ac:dyDescent="0.3">
      <c r="A6455" s="26">
        <v>45274</v>
      </c>
      <c r="B6455" s="27" t="s">
        <v>126</v>
      </c>
      <c r="C6455" s="27" t="s">
        <v>6</v>
      </c>
      <c r="D6455" s="27" t="s">
        <v>24</v>
      </c>
      <c r="E6455" s="28">
        <v>295300</v>
      </c>
      <c r="F6455" s="28">
        <v>318800</v>
      </c>
      <c r="G6455" s="27" t="s">
        <v>22</v>
      </c>
      <c r="H6455" s="27" t="s">
        <v>5162</v>
      </c>
      <c r="I6455" s="27" t="s">
        <v>9</v>
      </c>
    </row>
    <row r="6456" spans="1:9" x14ac:dyDescent="0.3">
      <c r="A6456" s="26">
        <v>45274</v>
      </c>
      <c r="B6456" s="27" t="s">
        <v>126</v>
      </c>
      <c r="C6456" s="27" t="s">
        <v>6</v>
      </c>
      <c r="D6456" s="27" t="s">
        <v>7</v>
      </c>
      <c r="E6456" s="28">
        <v>75800</v>
      </c>
      <c r="F6456" s="28">
        <v>74100</v>
      </c>
      <c r="G6456" s="27" t="s">
        <v>22</v>
      </c>
      <c r="H6456" s="27" t="s">
        <v>5763</v>
      </c>
      <c r="I6456" s="27" t="s">
        <v>9</v>
      </c>
    </row>
    <row r="6457" spans="1:9" x14ac:dyDescent="0.3">
      <c r="A6457" s="26">
        <v>45274</v>
      </c>
      <c r="B6457" s="27" t="s">
        <v>126</v>
      </c>
      <c r="C6457" s="27" t="s">
        <v>6</v>
      </c>
      <c r="D6457" s="27" t="s">
        <v>7</v>
      </c>
      <c r="E6457" s="28">
        <v>178800</v>
      </c>
      <c r="F6457" s="28">
        <v>161800</v>
      </c>
      <c r="G6457" s="27" t="s">
        <v>22</v>
      </c>
      <c r="H6457" s="27" t="s">
        <v>5894</v>
      </c>
      <c r="I6457" s="27" t="s">
        <v>9</v>
      </c>
    </row>
    <row r="6458" spans="1:9" x14ac:dyDescent="0.3">
      <c r="A6458" s="26">
        <v>45274</v>
      </c>
      <c r="B6458" s="27" t="s">
        <v>126</v>
      </c>
      <c r="C6458" s="27" t="s">
        <v>93</v>
      </c>
      <c r="D6458" s="27" t="s">
        <v>19</v>
      </c>
      <c r="E6458" s="28">
        <v>84500</v>
      </c>
      <c r="F6458" s="28">
        <v>82900</v>
      </c>
      <c r="G6458" s="27" t="s">
        <v>22</v>
      </c>
      <c r="H6458" s="27" t="s">
        <v>5991</v>
      </c>
      <c r="I6458" s="27" t="s">
        <v>9</v>
      </c>
    </row>
    <row r="6459" spans="1:9" x14ac:dyDescent="0.3">
      <c r="A6459" s="26">
        <v>45274</v>
      </c>
      <c r="B6459" s="27" t="s">
        <v>126</v>
      </c>
      <c r="C6459" s="27" t="s">
        <v>93</v>
      </c>
      <c r="D6459" s="27" t="s">
        <v>16</v>
      </c>
      <c r="E6459" s="28">
        <v>82100</v>
      </c>
      <c r="F6459" s="28">
        <v>72700</v>
      </c>
      <c r="G6459" s="27" t="s">
        <v>11</v>
      </c>
      <c r="H6459" s="27" t="s">
        <v>6587</v>
      </c>
      <c r="I6459" s="27" t="s">
        <v>9</v>
      </c>
    </row>
    <row r="6460" spans="1:9" x14ac:dyDescent="0.3">
      <c r="A6460" s="26">
        <v>45274</v>
      </c>
      <c r="B6460" s="27" t="s">
        <v>126</v>
      </c>
      <c r="C6460" s="27" t="s">
        <v>93</v>
      </c>
      <c r="D6460" s="27" t="s">
        <v>19</v>
      </c>
      <c r="E6460" s="28">
        <v>53300</v>
      </c>
      <c r="F6460" s="28">
        <v>56400</v>
      </c>
      <c r="G6460" s="27" t="s">
        <v>11</v>
      </c>
      <c r="H6460" s="27" t="s">
        <v>6610</v>
      </c>
      <c r="I6460" s="27" t="s">
        <v>9</v>
      </c>
    </row>
    <row r="6461" spans="1:9" x14ac:dyDescent="0.3">
      <c r="A6461" s="26">
        <v>45275</v>
      </c>
      <c r="B6461" s="27" t="s">
        <v>126</v>
      </c>
      <c r="C6461" s="27" t="s">
        <v>18</v>
      </c>
      <c r="D6461" s="27" t="s">
        <v>24</v>
      </c>
      <c r="E6461" s="28">
        <v>95305</v>
      </c>
      <c r="F6461" s="28">
        <v>41247</v>
      </c>
      <c r="G6461" s="27" t="s">
        <v>22</v>
      </c>
      <c r="H6461" s="27" t="s">
        <v>792</v>
      </c>
      <c r="I6461" s="27" t="s">
        <v>13</v>
      </c>
    </row>
    <row r="6462" spans="1:9" x14ac:dyDescent="0.3">
      <c r="A6462" s="26">
        <v>45275</v>
      </c>
      <c r="B6462" s="27" t="s">
        <v>126</v>
      </c>
      <c r="C6462" s="27" t="s">
        <v>18</v>
      </c>
      <c r="D6462" s="27" t="s">
        <v>21</v>
      </c>
      <c r="E6462" s="28">
        <v>36360</v>
      </c>
      <c r="F6462" s="28">
        <v>110244</v>
      </c>
      <c r="G6462" s="27" t="s">
        <v>8</v>
      </c>
      <c r="H6462" s="27" t="s">
        <v>2570</v>
      </c>
      <c r="I6462" s="27" t="s">
        <v>13</v>
      </c>
    </row>
    <row r="6463" spans="1:9" x14ac:dyDescent="0.3">
      <c r="A6463" s="26">
        <v>45275</v>
      </c>
      <c r="B6463" s="27" t="s">
        <v>126</v>
      </c>
      <c r="C6463" s="27" t="s">
        <v>6</v>
      </c>
      <c r="D6463" s="27" t="s">
        <v>24</v>
      </c>
      <c r="E6463" s="28">
        <v>105900</v>
      </c>
      <c r="F6463" s="28">
        <v>74000</v>
      </c>
      <c r="G6463" s="27" t="s">
        <v>22</v>
      </c>
      <c r="H6463" s="27" t="s">
        <v>4173</v>
      </c>
      <c r="I6463" s="27" t="s">
        <v>9</v>
      </c>
    </row>
    <row r="6464" spans="1:9" x14ac:dyDescent="0.3">
      <c r="A6464" s="26">
        <v>45275</v>
      </c>
      <c r="B6464" s="27" t="s">
        <v>126</v>
      </c>
      <c r="C6464" s="27" t="s">
        <v>6</v>
      </c>
      <c r="D6464" s="27" t="s">
        <v>21</v>
      </c>
      <c r="E6464" s="28">
        <v>74600</v>
      </c>
      <c r="F6464" s="28">
        <v>66900</v>
      </c>
      <c r="G6464" s="27" t="s">
        <v>22</v>
      </c>
      <c r="H6464" s="27" t="s">
        <v>5955</v>
      </c>
      <c r="I6464" s="27" t="s">
        <v>9</v>
      </c>
    </row>
    <row r="6465" spans="1:9" x14ac:dyDescent="0.3">
      <c r="A6465" s="26">
        <v>45276</v>
      </c>
      <c r="B6465" s="27" t="s">
        <v>126</v>
      </c>
      <c r="C6465" s="27" t="s">
        <v>14</v>
      </c>
      <c r="D6465" s="27" t="s">
        <v>24</v>
      </c>
      <c r="E6465" s="28">
        <v>149373</v>
      </c>
      <c r="F6465" s="28">
        <v>143191</v>
      </c>
      <c r="G6465" s="27" t="s">
        <v>11</v>
      </c>
      <c r="H6465" s="27" t="s">
        <v>305</v>
      </c>
      <c r="I6465" s="27" t="s">
        <v>13</v>
      </c>
    </row>
    <row r="6466" spans="1:9" x14ac:dyDescent="0.3">
      <c r="A6466" s="26">
        <v>45276</v>
      </c>
      <c r="B6466" s="27" t="s">
        <v>126</v>
      </c>
      <c r="C6466" s="27" t="s">
        <v>18</v>
      </c>
      <c r="D6466" s="27" t="s">
        <v>7</v>
      </c>
      <c r="E6466" s="28">
        <v>22185</v>
      </c>
      <c r="F6466" s="28">
        <v>152860</v>
      </c>
      <c r="G6466" s="27" t="s">
        <v>22</v>
      </c>
      <c r="H6466" s="27" t="s">
        <v>721</v>
      </c>
      <c r="I6466" s="27" t="s">
        <v>13</v>
      </c>
    </row>
    <row r="6467" spans="1:9" x14ac:dyDescent="0.3">
      <c r="A6467" s="26">
        <v>45276</v>
      </c>
      <c r="B6467" s="27" t="s">
        <v>126</v>
      </c>
      <c r="C6467" s="27" t="s">
        <v>14</v>
      </c>
      <c r="D6467" s="27" t="s">
        <v>21</v>
      </c>
      <c r="E6467" s="28">
        <v>23720</v>
      </c>
      <c r="F6467" s="28">
        <v>146352</v>
      </c>
      <c r="G6467" s="27" t="s">
        <v>11</v>
      </c>
      <c r="H6467" s="27" t="s">
        <v>1644</v>
      </c>
      <c r="I6467" s="27" t="s">
        <v>13</v>
      </c>
    </row>
    <row r="6468" spans="1:9" x14ac:dyDescent="0.3">
      <c r="A6468" s="26">
        <v>45276</v>
      </c>
      <c r="B6468" s="27" t="s">
        <v>126</v>
      </c>
      <c r="C6468" s="27" t="s">
        <v>32</v>
      </c>
      <c r="D6468" s="27" t="s">
        <v>7</v>
      </c>
      <c r="E6468" s="28">
        <v>123729</v>
      </c>
      <c r="F6468" s="28">
        <v>64603</v>
      </c>
      <c r="G6468" s="27" t="s">
        <v>22</v>
      </c>
      <c r="H6468" s="27" t="s">
        <v>1757</v>
      </c>
      <c r="I6468" s="27" t="s">
        <v>13</v>
      </c>
    </row>
    <row r="6469" spans="1:9" x14ac:dyDescent="0.3">
      <c r="A6469" s="26">
        <v>45276</v>
      </c>
      <c r="B6469" s="27" t="s">
        <v>126</v>
      </c>
      <c r="C6469" s="27" t="s">
        <v>32</v>
      </c>
      <c r="D6469" s="27" t="s">
        <v>16</v>
      </c>
      <c r="E6469" s="28">
        <v>17190</v>
      </c>
      <c r="F6469" s="28">
        <v>75059</v>
      </c>
      <c r="G6469" s="27" t="s">
        <v>22</v>
      </c>
      <c r="H6469" s="27" t="s">
        <v>2016</v>
      </c>
      <c r="I6469" s="27" t="s">
        <v>13</v>
      </c>
    </row>
    <row r="6470" spans="1:9" x14ac:dyDescent="0.3">
      <c r="A6470" s="26">
        <v>45276</v>
      </c>
      <c r="B6470" s="27" t="s">
        <v>126</v>
      </c>
      <c r="C6470" s="27" t="s">
        <v>20</v>
      </c>
      <c r="D6470" s="27" t="s">
        <v>16</v>
      </c>
      <c r="E6470" s="28">
        <v>81388</v>
      </c>
      <c r="F6470" s="28">
        <v>136125</v>
      </c>
      <c r="G6470" s="27" t="s">
        <v>22</v>
      </c>
      <c r="H6470" s="27" t="s">
        <v>2422</v>
      </c>
      <c r="I6470" s="27" t="s">
        <v>13</v>
      </c>
    </row>
    <row r="6471" spans="1:9" x14ac:dyDescent="0.3">
      <c r="A6471" s="26">
        <v>45276</v>
      </c>
      <c r="B6471" s="27" t="s">
        <v>126</v>
      </c>
      <c r="C6471" s="27" t="s">
        <v>20</v>
      </c>
      <c r="D6471" s="27" t="s">
        <v>19</v>
      </c>
      <c r="E6471" s="28">
        <v>133869</v>
      </c>
      <c r="F6471" s="28">
        <v>64097</v>
      </c>
      <c r="G6471" s="27" t="s">
        <v>8</v>
      </c>
      <c r="H6471" s="27" t="s">
        <v>2445</v>
      </c>
      <c r="I6471" s="27" t="s">
        <v>13</v>
      </c>
    </row>
    <row r="6472" spans="1:9" x14ac:dyDescent="0.3">
      <c r="A6472" s="26">
        <v>45276</v>
      </c>
      <c r="B6472" s="27" t="s">
        <v>126</v>
      </c>
      <c r="C6472" s="27" t="s">
        <v>20</v>
      </c>
      <c r="D6472" s="27" t="s">
        <v>19</v>
      </c>
      <c r="E6472" s="28">
        <v>60412</v>
      </c>
      <c r="F6472" s="28">
        <v>166009</v>
      </c>
      <c r="G6472" s="27" t="s">
        <v>17</v>
      </c>
      <c r="H6472" s="27" t="s">
        <v>2610</v>
      </c>
      <c r="I6472" s="27" t="s">
        <v>13</v>
      </c>
    </row>
    <row r="6473" spans="1:9" x14ac:dyDescent="0.3">
      <c r="A6473" s="26">
        <v>45276</v>
      </c>
      <c r="B6473" s="27" t="s">
        <v>126</v>
      </c>
      <c r="C6473" s="27" t="s">
        <v>15</v>
      </c>
      <c r="D6473" s="27" t="s">
        <v>21</v>
      </c>
      <c r="E6473" s="28">
        <v>70392</v>
      </c>
      <c r="F6473" s="28">
        <v>56644</v>
      </c>
      <c r="G6473" s="27" t="s">
        <v>11</v>
      </c>
      <c r="H6473" s="27" t="s">
        <v>2801</v>
      </c>
      <c r="I6473" s="27" t="s">
        <v>13</v>
      </c>
    </row>
    <row r="6474" spans="1:9" x14ac:dyDescent="0.3">
      <c r="A6474" s="26">
        <v>45276</v>
      </c>
      <c r="B6474" s="27" t="s">
        <v>126</v>
      </c>
      <c r="C6474" s="27" t="s">
        <v>15</v>
      </c>
      <c r="D6474" s="27" t="s">
        <v>19</v>
      </c>
      <c r="E6474" s="28">
        <v>55836</v>
      </c>
      <c r="F6474" s="28">
        <v>71655</v>
      </c>
      <c r="G6474" s="27" t="s">
        <v>22</v>
      </c>
      <c r="H6474" s="27" t="s">
        <v>2837</v>
      </c>
      <c r="I6474" s="27" t="s">
        <v>13</v>
      </c>
    </row>
    <row r="6475" spans="1:9" x14ac:dyDescent="0.3">
      <c r="A6475" s="26">
        <v>45276</v>
      </c>
      <c r="B6475" s="27" t="s">
        <v>126</v>
      </c>
      <c r="C6475" s="27" t="s">
        <v>14</v>
      </c>
      <c r="D6475" s="27" t="s">
        <v>24</v>
      </c>
      <c r="E6475" s="28">
        <v>109370</v>
      </c>
      <c r="F6475" s="28">
        <v>51228</v>
      </c>
      <c r="G6475" s="27" t="s">
        <v>22</v>
      </c>
      <c r="H6475" s="27" t="s">
        <v>3093</v>
      </c>
      <c r="I6475" s="27" t="s">
        <v>13</v>
      </c>
    </row>
    <row r="6476" spans="1:9" x14ac:dyDescent="0.3">
      <c r="A6476" s="26">
        <v>45276</v>
      </c>
      <c r="B6476" s="27" t="s">
        <v>126</v>
      </c>
      <c r="C6476" s="27" t="s">
        <v>6</v>
      </c>
      <c r="D6476" s="27" t="s">
        <v>24</v>
      </c>
      <c r="E6476" s="28">
        <v>115600</v>
      </c>
      <c r="F6476" s="28">
        <v>118700</v>
      </c>
      <c r="G6476" s="27" t="s">
        <v>17</v>
      </c>
      <c r="H6476" s="27" t="s">
        <v>3686</v>
      </c>
      <c r="I6476" s="27" t="s">
        <v>9</v>
      </c>
    </row>
    <row r="6477" spans="1:9" x14ac:dyDescent="0.3">
      <c r="A6477" s="26">
        <v>45276</v>
      </c>
      <c r="B6477" s="27" t="s">
        <v>126</v>
      </c>
      <c r="C6477" s="27" t="s">
        <v>6</v>
      </c>
      <c r="D6477" s="27" t="s">
        <v>7</v>
      </c>
      <c r="E6477" s="28">
        <v>152500</v>
      </c>
      <c r="F6477" s="28">
        <v>165200</v>
      </c>
      <c r="G6477" s="27" t="s">
        <v>22</v>
      </c>
      <c r="H6477" s="27" t="s">
        <v>4102</v>
      </c>
      <c r="I6477" s="27" t="s">
        <v>9</v>
      </c>
    </row>
    <row r="6478" spans="1:9" x14ac:dyDescent="0.3">
      <c r="A6478" s="26">
        <v>45276</v>
      </c>
      <c r="B6478" s="27" t="s">
        <v>126</v>
      </c>
      <c r="C6478" s="27" t="s">
        <v>6</v>
      </c>
      <c r="D6478" s="27" t="s">
        <v>21</v>
      </c>
      <c r="E6478" s="28">
        <v>123200</v>
      </c>
      <c r="F6478" s="28">
        <v>143100</v>
      </c>
      <c r="G6478" s="27" t="s">
        <v>11</v>
      </c>
      <c r="H6478" s="27" t="s">
        <v>5027</v>
      </c>
      <c r="I6478" s="27" t="s">
        <v>9</v>
      </c>
    </row>
    <row r="6479" spans="1:9" x14ac:dyDescent="0.3">
      <c r="A6479" s="26">
        <v>45276</v>
      </c>
      <c r="B6479" s="27" t="s">
        <v>126</v>
      </c>
      <c r="C6479" s="27" t="s">
        <v>93</v>
      </c>
      <c r="D6479" s="27" t="s">
        <v>7</v>
      </c>
      <c r="E6479" s="28">
        <v>115400</v>
      </c>
      <c r="F6479" s="28">
        <v>119400</v>
      </c>
      <c r="G6479" s="27" t="s">
        <v>11</v>
      </c>
      <c r="H6479" s="27" t="s">
        <v>5140</v>
      </c>
      <c r="I6479" s="27" t="s">
        <v>9</v>
      </c>
    </row>
    <row r="6480" spans="1:9" x14ac:dyDescent="0.3">
      <c r="A6480" s="26">
        <v>45276</v>
      </c>
      <c r="B6480" s="27" t="s">
        <v>126</v>
      </c>
      <c r="C6480" s="27" t="s">
        <v>6</v>
      </c>
      <c r="D6480" s="27" t="s">
        <v>16</v>
      </c>
      <c r="E6480" s="28">
        <v>85100</v>
      </c>
      <c r="F6480" s="28">
        <v>81800</v>
      </c>
      <c r="G6480" s="27" t="s">
        <v>11</v>
      </c>
      <c r="H6480" s="27" t="s">
        <v>5400</v>
      </c>
      <c r="I6480" s="27" t="s">
        <v>9</v>
      </c>
    </row>
    <row r="6481" spans="1:9" x14ac:dyDescent="0.3">
      <c r="A6481" s="26">
        <v>45276</v>
      </c>
      <c r="B6481" s="27" t="s">
        <v>126</v>
      </c>
      <c r="C6481" s="27" t="s">
        <v>6</v>
      </c>
      <c r="D6481" s="27" t="s">
        <v>16</v>
      </c>
      <c r="E6481" s="28">
        <v>117900</v>
      </c>
      <c r="F6481" s="28">
        <v>124900</v>
      </c>
      <c r="G6481" s="27" t="s">
        <v>11</v>
      </c>
      <c r="H6481" s="27" t="s">
        <v>5807</v>
      </c>
      <c r="I6481" s="27" t="s">
        <v>9</v>
      </c>
    </row>
    <row r="6482" spans="1:9" x14ac:dyDescent="0.3">
      <c r="A6482" s="26">
        <v>45276</v>
      </c>
      <c r="B6482" s="27" t="s">
        <v>126</v>
      </c>
      <c r="C6482" s="27" t="s">
        <v>93</v>
      </c>
      <c r="D6482" s="27" t="s">
        <v>19</v>
      </c>
      <c r="E6482" s="28">
        <v>120000</v>
      </c>
      <c r="F6482" s="28">
        <v>131800</v>
      </c>
      <c r="G6482" s="27" t="s">
        <v>11</v>
      </c>
      <c r="H6482" s="27" t="s">
        <v>5830</v>
      </c>
      <c r="I6482" s="27" t="s">
        <v>9</v>
      </c>
    </row>
    <row r="6483" spans="1:9" x14ac:dyDescent="0.3">
      <c r="A6483" s="26">
        <v>45276</v>
      </c>
      <c r="B6483" s="27" t="s">
        <v>126</v>
      </c>
      <c r="C6483" s="27" t="s">
        <v>6</v>
      </c>
      <c r="D6483" s="27" t="s">
        <v>19</v>
      </c>
      <c r="E6483" s="28">
        <v>231000</v>
      </c>
      <c r="F6483" s="28">
        <v>258700</v>
      </c>
      <c r="G6483" s="27" t="s">
        <v>11</v>
      </c>
      <c r="H6483" s="27" t="s">
        <v>5995</v>
      </c>
      <c r="I6483" s="27" t="s">
        <v>9</v>
      </c>
    </row>
    <row r="6484" spans="1:9" x14ac:dyDescent="0.3">
      <c r="A6484" s="26">
        <v>45276</v>
      </c>
      <c r="B6484" s="27" t="s">
        <v>126</v>
      </c>
      <c r="C6484" s="27" t="s">
        <v>6</v>
      </c>
      <c r="D6484" s="27" t="s">
        <v>21</v>
      </c>
      <c r="E6484" s="28">
        <v>95700</v>
      </c>
      <c r="F6484" s="28">
        <v>85200</v>
      </c>
      <c r="G6484" s="27" t="s">
        <v>11</v>
      </c>
      <c r="H6484" s="27" t="s">
        <v>6186</v>
      </c>
      <c r="I6484" s="27" t="s">
        <v>9</v>
      </c>
    </row>
    <row r="6485" spans="1:9" x14ac:dyDescent="0.3">
      <c r="A6485" s="26">
        <v>45276</v>
      </c>
      <c r="B6485" s="27" t="s">
        <v>126</v>
      </c>
      <c r="C6485" s="27" t="s">
        <v>6</v>
      </c>
      <c r="D6485" s="27" t="s">
        <v>19</v>
      </c>
      <c r="E6485" s="28">
        <v>354300</v>
      </c>
      <c r="F6485" s="28">
        <v>429800</v>
      </c>
      <c r="G6485" s="27" t="s">
        <v>11</v>
      </c>
      <c r="H6485" s="27" t="s">
        <v>6222</v>
      </c>
      <c r="I6485" s="27" t="s">
        <v>9</v>
      </c>
    </row>
    <row r="6486" spans="1:9" x14ac:dyDescent="0.3">
      <c r="A6486" s="26">
        <v>45276</v>
      </c>
      <c r="B6486" s="27" t="s">
        <v>126</v>
      </c>
      <c r="C6486" s="27" t="s">
        <v>93</v>
      </c>
      <c r="D6486" s="27" t="s">
        <v>24</v>
      </c>
      <c r="E6486" s="28">
        <v>171700</v>
      </c>
      <c r="F6486" s="28">
        <v>243500</v>
      </c>
      <c r="G6486" s="27" t="s">
        <v>11</v>
      </c>
      <c r="H6486" s="27" t="s">
        <v>6478</v>
      </c>
      <c r="I6486" s="27" t="s">
        <v>9</v>
      </c>
    </row>
    <row r="6487" spans="1:9" x14ac:dyDescent="0.3">
      <c r="A6487" s="26">
        <v>45277</v>
      </c>
      <c r="B6487" s="27" t="s">
        <v>126</v>
      </c>
      <c r="C6487" s="27" t="s">
        <v>10</v>
      </c>
      <c r="D6487" s="27" t="s">
        <v>24</v>
      </c>
      <c r="E6487" s="28">
        <v>73295</v>
      </c>
      <c r="F6487" s="28">
        <v>64092</v>
      </c>
      <c r="G6487" s="27" t="s">
        <v>8</v>
      </c>
      <c r="H6487" s="27" t="s">
        <v>789</v>
      </c>
      <c r="I6487" s="27" t="s">
        <v>13</v>
      </c>
    </row>
    <row r="6488" spans="1:9" x14ac:dyDescent="0.3">
      <c r="A6488" s="26">
        <v>45277</v>
      </c>
      <c r="B6488" s="27" t="s">
        <v>126</v>
      </c>
      <c r="C6488" s="27" t="s">
        <v>20</v>
      </c>
      <c r="D6488" s="27" t="s">
        <v>16</v>
      </c>
      <c r="E6488" s="28">
        <v>105350</v>
      </c>
      <c r="F6488" s="28">
        <v>8232</v>
      </c>
      <c r="G6488" s="27" t="s">
        <v>22</v>
      </c>
      <c r="H6488" s="27" t="s">
        <v>835</v>
      </c>
      <c r="I6488" s="27" t="s">
        <v>13</v>
      </c>
    </row>
    <row r="6489" spans="1:9" x14ac:dyDescent="0.3">
      <c r="A6489" s="26">
        <v>45277</v>
      </c>
      <c r="B6489" s="27" t="s">
        <v>126</v>
      </c>
      <c r="C6489" s="27" t="s">
        <v>10</v>
      </c>
      <c r="D6489" s="27" t="s">
        <v>21</v>
      </c>
      <c r="E6489" s="28">
        <v>106573</v>
      </c>
      <c r="F6489" s="28">
        <v>96314</v>
      </c>
      <c r="G6489" s="27" t="s">
        <v>17</v>
      </c>
      <c r="H6489" s="27" t="s">
        <v>1975</v>
      </c>
      <c r="I6489" s="27" t="s">
        <v>13</v>
      </c>
    </row>
    <row r="6490" spans="1:9" x14ac:dyDescent="0.3">
      <c r="A6490" s="26">
        <v>45277</v>
      </c>
      <c r="B6490" s="27" t="s">
        <v>126</v>
      </c>
      <c r="C6490" s="27" t="s">
        <v>14</v>
      </c>
      <c r="D6490" s="27" t="s">
        <v>21</v>
      </c>
      <c r="E6490" s="28">
        <v>100759</v>
      </c>
      <c r="F6490" s="28">
        <v>99885</v>
      </c>
      <c r="G6490" s="27" t="s">
        <v>22</v>
      </c>
      <c r="H6490" s="27" t="s">
        <v>1987</v>
      </c>
      <c r="I6490" s="27" t="s">
        <v>13</v>
      </c>
    </row>
    <row r="6491" spans="1:9" x14ac:dyDescent="0.3">
      <c r="A6491" s="26">
        <v>45277</v>
      </c>
      <c r="B6491" s="27" t="s">
        <v>126</v>
      </c>
      <c r="C6491" s="27" t="s">
        <v>18</v>
      </c>
      <c r="D6491" s="27" t="s">
        <v>21</v>
      </c>
      <c r="E6491" s="28">
        <v>97843</v>
      </c>
      <c r="F6491" s="28">
        <v>137145</v>
      </c>
      <c r="G6491" s="27" t="s">
        <v>17</v>
      </c>
      <c r="H6491" s="27" t="s">
        <v>2024</v>
      </c>
      <c r="I6491" s="27" t="s">
        <v>13</v>
      </c>
    </row>
    <row r="6492" spans="1:9" x14ac:dyDescent="0.3">
      <c r="A6492" s="26">
        <v>45277</v>
      </c>
      <c r="B6492" s="27" t="s">
        <v>126</v>
      </c>
      <c r="C6492" s="27" t="s">
        <v>18</v>
      </c>
      <c r="D6492" s="27" t="s">
        <v>7</v>
      </c>
      <c r="E6492" s="28">
        <v>121308</v>
      </c>
      <c r="F6492" s="28">
        <v>150060</v>
      </c>
      <c r="G6492" s="27" t="s">
        <v>8</v>
      </c>
      <c r="H6492" s="27" t="s">
        <v>2447</v>
      </c>
      <c r="I6492" s="27" t="s">
        <v>13</v>
      </c>
    </row>
    <row r="6493" spans="1:9" x14ac:dyDescent="0.3">
      <c r="A6493" s="26">
        <v>45277</v>
      </c>
      <c r="B6493" s="27" t="s">
        <v>126</v>
      </c>
      <c r="C6493" s="27" t="s">
        <v>10</v>
      </c>
      <c r="D6493" s="27" t="s">
        <v>16</v>
      </c>
      <c r="E6493" s="28">
        <v>37141</v>
      </c>
      <c r="F6493" s="28">
        <v>83883</v>
      </c>
      <c r="G6493" s="27" t="s">
        <v>22</v>
      </c>
      <c r="H6493" s="27" t="s">
        <v>3324</v>
      </c>
      <c r="I6493" s="27" t="s">
        <v>13</v>
      </c>
    </row>
    <row r="6494" spans="1:9" x14ac:dyDescent="0.3">
      <c r="A6494" s="26">
        <v>45277</v>
      </c>
      <c r="B6494" s="27" t="s">
        <v>126</v>
      </c>
      <c r="C6494" s="27" t="s">
        <v>6</v>
      </c>
      <c r="D6494" s="27" t="s">
        <v>24</v>
      </c>
      <c r="E6494" s="28">
        <v>74500</v>
      </c>
      <c r="F6494" s="28">
        <v>75700</v>
      </c>
      <c r="G6494" s="27" t="s">
        <v>11</v>
      </c>
      <c r="H6494" s="27" t="s">
        <v>4170</v>
      </c>
      <c r="I6494" s="27" t="s">
        <v>9</v>
      </c>
    </row>
    <row r="6495" spans="1:9" x14ac:dyDescent="0.3">
      <c r="A6495" s="26">
        <v>45277</v>
      </c>
      <c r="B6495" s="27" t="s">
        <v>126</v>
      </c>
      <c r="C6495" s="27" t="s">
        <v>6</v>
      </c>
      <c r="D6495" s="27" t="s">
        <v>16</v>
      </c>
      <c r="E6495" s="28">
        <v>107500</v>
      </c>
      <c r="F6495" s="28">
        <v>110700</v>
      </c>
      <c r="G6495" s="27" t="s">
        <v>11</v>
      </c>
      <c r="H6495" s="27" t="s">
        <v>4216</v>
      </c>
      <c r="I6495" s="27" t="s">
        <v>9</v>
      </c>
    </row>
    <row r="6496" spans="1:9" x14ac:dyDescent="0.3">
      <c r="A6496" s="26">
        <v>45277</v>
      </c>
      <c r="B6496" s="27" t="s">
        <v>126</v>
      </c>
      <c r="C6496" s="27" t="s">
        <v>6</v>
      </c>
      <c r="D6496" s="27" t="s">
        <v>21</v>
      </c>
      <c r="E6496" s="28">
        <v>106000</v>
      </c>
      <c r="F6496" s="28">
        <v>102700</v>
      </c>
      <c r="G6496" s="27" t="s">
        <v>22</v>
      </c>
      <c r="H6496" s="27" t="s">
        <v>5359</v>
      </c>
      <c r="I6496" s="27" t="s">
        <v>9</v>
      </c>
    </row>
    <row r="6497" spans="1:9" x14ac:dyDescent="0.3">
      <c r="A6497" s="26">
        <v>45277</v>
      </c>
      <c r="B6497" s="27" t="s">
        <v>126</v>
      </c>
      <c r="C6497" s="27" t="s">
        <v>93</v>
      </c>
      <c r="D6497" s="27" t="s">
        <v>21</v>
      </c>
      <c r="E6497" s="28">
        <v>164700</v>
      </c>
      <c r="F6497" s="28">
        <v>159300</v>
      </c>
      <c r="G6497" s="27" t="s">
        <v>11</v>
      </c>
      <c r="H6497" s="27" t="s">
        <v>5371</v>
      </c>
      <c r="I6497" s="27" t="s">
        <v>9</v>
      </c>
    </row>
    <row r="6498" spans="1:9" x14ac:dyDescent="0.3">
      <c r="A6498" s="26">
        <v>45277</v>
      </c>
      <c r="B6498" s="27" t="s">
        <v>126</v>
      </c>
      <c r="C6498" s="27" t="s">
        <v>6</v>
      </c>
      <c r="D6498" s="27" t="s">
        <v>21</v>
      </c>
      <c r="E6498" s="28">
        <v>116500</v>
      </c>
      <c r="F6498" s="28">
        <v>126800</v>
      </c>
      <c r="G6498" s="27" t="s">
        <v>22</v>
      </c>
      <c r="H6498" s="27" t="s">
        <v>5408</v>
      </c>
      <c r="I6498" s="27" t="s">
        <v>9</v>
      </c>
    </row>
    <row r="6499" spans="1:9" x14ac:dyDescent="0.3">
      <c r="A6499" s="26">
        <v>45277</v>
      </c>
      <c r="B6499" s="27" t="s">
        <v>126</v>
      </c>
      <c r="C6499" s="27" t="s">
        <v>6</v>
      </c>
      <c r="D6499" s="27" t="s">
        <v>7</v>
      </c>
      <c r="E6499" s="28">
        <v>71900</v>
      </c>
      <c r="F6499" s="28">
        <v>66300</v>
      </c>
      <c r="G6499" s="27" t="s">
        <v>22</v>
      </c>
      <c r="H6499" s="27" t="s">
        <v>5832</v>
      </c>
      <c r="I6499" s="27" t="s">
        <v>9</v>
      </c>
    </row>
    <row r="6500" spans="1:9" x14ac:dyDescent="0.3">
      <c r="A6500" s="26">
        <v>45277</v>
      </c>
      <c r="B6500" s="27" t="s">
        <v>126</v>
      </c>
      <c r="C6500" s="27" t="s">
        <v>93</v>
      </c>
      <c r="D6500" s="27" t="s">
        <v>16</v>
      </c>
      <c r="E6500" s="28">
        <v>78900</v>
      </c>
      <c r="F6500" s="28">
        <v>64100</v>
      </c>
      <c r="G6500" s="27" t="s">
        <v>22</v>
      </c>
      <c r="H6500" s="27" t="s">
        <v>6709</v>
      </c>
      <c r="I6500" s="27" t="s">
        <v>9</v>
      </c>
    </row>
    <row r="6501" spans="1:9" x14ac:dyDescent="0.3">
      <c r="A6501" s="26">
        <v>45278</v>
      </c>
      <c r="B6501" s="27" t="s">
        <v>126</v>
      </c>
      <c r="C6501" s="27" t="s">
        <v>20</v>
      </c>
      <c r="D6501" s="27" t="s">
        <v>19</v>
      </c>
      <c r="E6501" s="28">
        <v>58788</v>
      </c>
      <c r="F6501" s="28">
        <v>57512</v>
      </c>
      <c r="G6501" s="27" t="s">
        <v>17</v>
      </c>
      <c r="H6501" s="27" t="s">
        <v>175</v>
      </c>
      <c r="I6501" s="27" t="s">
        <v>13</v>
      </c>
    </row>
    <row r="6502" spans="1:9" x14ac:dyDescent="0.3">
      <c r="A6502" s="26">
        <v>45278</v>
      </c>
      <c r="B6502" s="27" t="s">
        <v>126</v>
      </c>
      <c r="C6502" s="27" t="s">
        <v>20</v>
      </c>
      <c r="D6502" s="27" t="s">
        <v>24</v>
      </c>
      <c r="E6502" s="28">
        <v>39899</v>
      </c>
      <c r="F6502" s="28">
        <v>39709</v>
      </c>
      <c r="G6502" s="27" t="s">
        <v>22</v>
      </c>
      <c r="H6502" s="27" t="s">
        <v>179</v>
      </c>
      <c r="I6502" s="27" t="s">
        <v>13</v>
      </c>
    </row>
    <row r="6503" spans="1:9" x14ac:dyDescent="0.3">
      <c r="A6503" s="26">
        <v>45278</v>
      </c>
      <c r="B6503" s="27" t="s">
        <v>126</v>
      </c>
      <c r="C6503" s="27" t="s">
        <v>10</v>
      </c>
      <c r="D6503" s="27" t="s">
        <v>24</v>
      </c>
      <c r="E6503" s="28">
        <v>138755</v>
      </c>
      <c r="F6503" s="28">
        <v>11219</v>
      </c>
      <c r="G6503" s="27" t="s">
        <v>11</v>
      </c>
      <c r="H6503" s="27" t="s">
        <v>236</v>
      </c>
      <c r="I6503" s="27" t="s">
        <v>13</v>
      </c>
    </row>
    <row r="6504" spans="1:9" x14ac:dyDescent="0.3">
      <c r="A6504" s="26">
        <v>45278</v>
      </c>
      <c r="B6504" s="27" t="s">
        <v>126</v>
      </c>
      <c r="C6504" s="27" t="s">
        <v>32</v>
      </c>
      <c r="D6504" s="27" t="s">
        <v>16</v>
      </c>
      <c r="E6504" s="28">
        <v>133816</v>
      </c>
      <c r="F6504" s="28">
        <v>95233</v>
      </c>
      <c r="G6504" s="27" t="s">
        <v>17</v>
      </c>
      <c r="H6504" s="27" t="s">
        <v>1098</v>
      </c>
      <c r="I6504" s="27" t="s">
        <v>13</v>
      </c>
    </row>
    <row r="6505" spans="1:9" x14ac:dyDescent="0.3">
      <c r="A6505" s="26">
        <v>45278</v>
      </c>
      <c r="B6505" s="27" t="s">
        <v>126</v>
      </c>
      <c r="C6505" s="27" t="s">
        <v>32</v>
      </c>
      <c r="D6505" s="27" t="s">
        <v>16</v>
      </c>
      <c r="E6505" s="28">
        <v>98620</v>
      </c>
      <c r="F6505" s="28">
        <v>135218</v>
      </c>
      <c r="G6505" s="27" t="s">
        <v>17</v>
      </c>
      <c r="H6505" s="27" t="s">
        <v>1383</v>
      </c>
      <c r="I6505" s="27" t="s">
        <v>13</v>
      </c>
    </row>
    <row r="6506" spans="1:9" x14ac:dyDescent="0.3">
      <c r="A6506" s="26">
        <v>45278</v>
      </c>
      <c r="B6506" s="27" t="s">
        <v>126</v>
      </c>
      <c r="C6506" s="27" t="s">
        <v>18</v>
      </c>
      <c r="D6506" s="27" t="s">
        <v>7</v>
      </c>
      <c r="E6506" s="28">
        <v>104580</v>
      </c>
      <c r="F6506" s="28">
        <v>13553</v>
      </c>
      <c r="G6506" s="27" t="s">
        <v>8</v>
      </c>
      <c r="H6506" s="27" t="s">
        <v>1789</v>
      </c>
      <c r="I6506" s="27" t="s">
        <v>13</v>
      </c>
    </row>
    <row r="6507" spans="1:9" x14ac:dyDescent="0.3">
      <c r="A6507" s="26">
        <v>45278</v>
      </c>
      <c r="B6507" s="27" t="s">
        <v>126</v>
      </c>
      <c r="C6507" s="27" t="s">
        <v>10</v>
      </c>
      <c r="D6507" s="27" t="s">
        <v>21</v>
      </c>
      <c r="E6507" s="28">
        <v>88740</v>
      </c>
      <c r="F6507" s="28">
        <v>85524</v>
      </c>
      <c r="G6507" s="27" t="s">
        <v>8</v>
      </c>
      <c r="H6507" s="27" t="s">
        <v>1968</v>
      </c>
      <c r="I6507" s="27" t="s">
        <v>13</v>
      </c>
    </row>
    <row r="6508" spans="1:9" x14ac:dyDescent="0.3">
      <c r="A6508" s="26">
        <v>45278</v>
      </c>
      <c r="B6508" s="27" t="s">
        <v>126</v>
      </c>
      <c r="C6508" s="27" t="s">
        <v>15</v>
      </c>
      <c r="D6508" s="27" t="s">
        <v>19</v>
      </c>
      <c r="E6508" s="28">
        <v>57540</v>
      </c>
      <c r="F6508" s="28">
        <v>61945</v>
      </c>
      <c r="G6508" s="27" t="s">
        <v>22</v>
      </c>
      <c r="H6508" s="27" t="s">
        <v>2071</v>
      </c>
      <c r="I6508" s="27" t="s">
        <v>13</v>
      </c>
    </row>
    <row r="6509" spans="1:9" x14ac:dyDescent="0.3">
      <c r="A6509" s="26">
        <v>45278</v>
      </c>
      <c r="B6509" s="27" t="s">
        <v>126</v>
      </c>
      <c r="C6509" s="27" t="s">
        <v>18</v>
      </c>
      <c r="D6509" s="27" t="s">
        <v>24</v>
      </c>
      <c r="E6509" s="28">
        <v>111525</v>
      </c>
      <c r="F6509" s="28">
        <v>150593</v>
      </c>
      <c r="G6509" s="27" t="s">
        <v>22</v>
      </c>
      <c r="H6509" s="27" t="s">
        <v>2079</v>
      </c>
      <c r="I6509" s="27" t="s">
        <v>13</v>
      </c>
    </row>
    <row r="6510" spans="1:9" x14ac:dyDescent="0.3">
      <c r="A6510" s="26">
        <v>45278</v>
      </c>
      <c r="B6510" s="27" t="s">
        <v>126</v>
      </c>
      <c r="C6510" s="27" t="s">
        <v>14</v>
      </c>
      <c r="D6510" s="27" t="s">
        <v>24</v>
      </c>
      <c r="E6510" s="28">
        <v>31274</v>
      </c>
      <c r="F6510" s="28">
        <v>39935</v>
      </c>
      <c r="G6510" s="27" t="s">
        <v>11</v>
      </c>
      <c r="H6510" s="27" t="s">
        <v>2199</v>
      </c>
      <c r="I6510" s="27" t="s">
        <v>13</v>
      </c>
    </row>
    <row r="6511" spans="1:9" x14ac:dyDescent="0.3">
      <c r="A6511" s="26">
        <v>45278</v>
      </c>
      <c r="B6511" s="27" t="s">
        <v>126</v>
      </c>
      <c r="C6511" s="27" t="s">
        <v>14</v>
      </c>
      <c r="D6511" s="27" t="s">
        <v>16</v>
      </c>
      <c r="E6511" s="28">
        <v>11740</v>
      </c>
      <c r="F6511" s="28">
        <v>153327</v>
      </c>
      <c r="G6511" s="27" t="s">
        <v>11</v>
      </c>
      <c r="H6511" s="27" t="s">
        <v>2608</v>
      </c>
      <c r="I6511" s="27" t="s">
        <v>13</v>
      </c>
    </row>
    <row r="6512" spans="1:9" x14ac:dyDescent="0.3">
      <c r="A6512" s="26">
        <v>45278</v>
      </c>
      <c r="B6512" s="27" t="s">
        <v>126</v>
      </c>
      <c r="C6512" s="27" t="s">
        <v>10</v>
      </c>
      <c r="D6512" s="27" t="s">
        <v>16</v>
      </c>
      <c r="E6512" s="28">
        <v>17791</v>
      </c>
      <c r="F6512" s="28">
        <v>147495</v>
      </c>
      <c r="G6512" s="27" t="s">
        <v>11</v>
      </c>
      <c r="H6512" s="27" t="s">
        <v>3285</v>
      </c>
      <c r="I6512" s="27" t="s">
        <v>13</v>
      </c>
    </row>
    <row r="6513" spans="1:9" x14ac:dyDescent="0.3">
      <c r="A6513" s="26">
        <v>45278</v>
      </c>
      <c r="B6513" s="27" t="s">
        <v>126</v>
      </c>
      <c r="C6513" s="27" t="s">
        <v>93</v>
      </c>
      <c r="D6513" s="27" t="s">
        <v>19</v>
      </c>
      <c r="E6513" s="28">
        <v>43500</v>
      </c>
      <c r="F6513" s="28">
        <v>40000</v>
      </c>
      <c r="G6513" s="27" t="s">
        <v>11</v>
      </c>
      <c r="H6513" s="27" t="s">
        <v>3556</v>
      </c>
      <c r="I6513" s="27" t="s">
        <v>9</v>
      </c>
    </row>
    <row r="6514" spans="1:9" x14ac:dyDescent="0.3">
      <c r="A6514" s="26">
        <v>45278</v>
      </c>
      <c r="B6514" s="27" t="s">
        <v>126</v>
      </c>
      <c r="C6514" s="27" t="s">
        <v>93</v>
      </c>
      <c r="D6514" s="27" t="s">
        <v>24</v>
      </c>
      <c r="E6514" s="28">
        <v>55700</v>
      </c>
      <c r="F6514" s="28">
        <v>53300</v>
      </c>
      <c r="G6514" s="27" t="s">
        <v>11</v>
      </c>
      <c r="H6514" s="27" t="s">
        <v>3560</v>
      </c>
      <c r="I6514" s="27" t="s">
        <v>9</v>
      </c>
    </row>
    <row r="6515" spans="1:9" x14ac:dyDescent="0.3">
      <c r="A6515" s="26">
        <v>45278</v>
      </c>
      <c r="B6515" s="27" t="s">
        <v>126</v>
      </c>
      <c r="C6515" s="27" t="s">
        <v>93</v>
      </c>
      <c r="D6515" s="27" t="s">
        <v>24</v>
      </c>
      <c r="E6515" s="28">
        <v>54900</v>
      </c>
      <c r="F6515" s="28">
        <v>66300</v>
      </c>
      <c r="G6515" s="27" t="s">
        <v>22</v>
      </c>
      <c r="H6515" s="27" t="s">
        <v>3617</v>
      </c>
      <c r="I6515" s="27" t="s">
        <v>9</v>
      </c>
    </row>
    <row r="6516" spans="1:9" x14ac:dyDescent="0.3">
      <c r="A6516" s="26">
        <v>45278</v>
      </c>
      <c r="B6516" s="27" t="s">
        <v>126</v>
      </c>
      <c r="C6516" s="27" t="s">
        <v>93</v>
      </c>
      <c r="D6516" s="27" t="s">
        <v>16</v>
      </c>
      <c r="E6516" s="28">
        <v>52100</v>
      </c>
      <c r="F6516" s="28">
        <v>43600</v>
      </c>
      <c r="G6516" s="27" t="s">
        <v>17</v>
      </c>
      <c r="H6516" s="27" t="s">
        <v>4480</v>
      </c>
      <c r="I6516" s="27" t="s">
        <v>9</v>
      </c>
    </row>
    <row r="6517" spans="1:9" x14ac:dyDescent="0.3">
      <c r="A6517" s="26">
        <v>45278</v>
      </c>
      <c r="B6517" s="27" t="s">
        <v>126</v>
      </c>
      <c r="C6517" s="27" t="s">
        <v>6</v>
      </c>
      <c r="D6517" s="27" t="s">
        <v>16</v>
      </c>
      <c r="E6517" s="28">
        <v>84500</v>
      </c>
      <c r="F6517" s="28">
        <v>111400</v>
      </c>
      <c r="G6517" s="27" t="s">
        <v>22</v>
      </c>
      <c r="H6517" s="27" t="s">
        <v>4766</v>
      </c>
      <c r="I6517" s="27" t="s">
        <v>9</v>
      </c>
    </row>
    <row r="6518" spans="1:9" x14ac:dyDescent="0.3">
      <c r="A6518" s="26">
        <v>45278</v>
      </c>
      <c r="B6518" s="27" t="s">
        <v>126</v>
      </c>
      <c r="C6518" s="27" t="s">
        <v>6</v>
      </c>
      <c r="D6518" s="27" t="s">
        <v>7</v>
      </c>
      <c r="E6518" s="28">
        <v>113500</v>
      </c>
      <c r="F6518" s="28">
        <v>145000</v>
      </c>
      <c r="G6518" s="27" t="s">
        <v>11</v>
      </c>
      <c r="H6518" s="27" t="s">
        <v>5172</v>
      </c>
      <c r="I6518" s="27" t="s">
        <v>9</v>
      </c>
    </row>
    <row r="6519" spans="1:9" x14ac:dyDescent="0.3">
      <c r="A6519" s="26">
        <v>45278</v>
      </c>
      <c r="B6519" s="27" t="s">
        <v>126</v>
      </c>
      <c r="C6519" s="27" t="s">
        <v>6</v>
      </c>
      <c r="D6519" s="27" t="s">
        <v>21</v>
      </c>
      <c r="E6519" s="28">
        <v>78200</v>
      </c>
      <c r="F6519" s="28">
        <v>77700</v>
      </c>
      <c r="G6519" s="27" t="s">
        <v>17</v>
      </c>
      <c r="H6519" s="27" t="s">
        <v>5352</v>
      </c>
      <c r="I6519" s="27" t="s">
        <v>9</v>
      </c>
    </row>
    <row r="6520" spans="1:9" x14ac:dyDescent="0.3">
      <c r="A6520" s="26">
        <v>45278</v>
      </c>
      <c r="B6520" s="27" t="s">
        <v>126</v>
      </c>
      <c r="C6520" s="27" t="s">
        <v>6</v>
      </c>
      <c r="D6520" s="27" t="s">
        <v>19</v>
      </c>
      <c r="E6520" s="28">
        <v>72400</v>
      </c>
      <c r="F6520" s="28">
        <v>72500</v>
      </c>
      <c r="G6520" s="27" t="s">
        <v>22</v>
      </c>
      <c r="H6520" s="27" t="s">
        <v>5455</v>
      </c>
      <c r="I6520" s="27" t="s">
        <v>9</v>
      </c>
    </row>
    <row r="6521" spans="1:9" x14ac:dyDescent="0.3">
      <c r="A6521" s="26">
        <v>45278</v>
      </c>
      <c r="B6521" s="27" t="s">
        <v>126</v>
      </c>
      <c r="C6521" s="27" t="s">
        <v>6</v>
      </c>
      <c r="D6521" s="27" t="s">
        <v>24</v>
      </c>
      <c r="E6521" s="28">
        <v>84000</v>
      </c>
      <c r="F6521" s="28">
        <v>90100</v>
      </c>
      <c r="G6521" s="27" t="s">
        <v>11</v>
      </c>
      <c r="H6521" s="27" t="s">
        <v>5463</v>
      </c>
      <c r="I6521" s="27" t="s">
        <v>9</v>
      </c>
    </row>
    <row r="6522" spans="1:9" x14ac:dyDescent="0.3">
      <c r="A6522" s="26">
        <v>45278</v>
      </c>
      <c r="B6522" s="27" t="s">
        <v>126</v>
      </c>
      <c r="C6522" s="27" t="s">
        <v>93</v>
      </c>
      <c r="D6522" s="27" t="s">
        <v>24</v>
      </c>
      <c r="E6522" s="28">
        <v>85800</v>
      </c>
      <c r="F6522" s="28">
        <v>90500</v>
      </c>
      <c r="G6522" s="27" t="s">
        <v>22</v>
      </c>
      <c r="H6522" s="27" t="s">
        <v>5584</v>
      </c>
      <c r="I6522" s="27" t="s">
        <v>9</v>
      </c>
    </row>
    <row r="6523" spans="1:9" x14ac:dyDescent="0.3">
      <c r="A6523" s="26">
        <v>45278</v>
      </c>
      <c r="B6523" s="27" t="s">
        <v>126</v>
      </c>
      <c r="C6523" s="27" t="s">
        <v>6</v>
      </c>
      <c r="D6523" s="27" t="s">
        <v>16</v>
      </c>
      <c r="E6523" s="28">
        <v>193000</v>
      </c>
      <c r="F6523" s="28">
        <v>177000</v>
      </c>
      <c r="G6523" s="27" t="s">
        <v>17</v>
      </c>
      <c r="H6523" s="27" t="s">
        <v>5993</v>
      </c>
      <c r="I6523" s="27" t="s">
        <v>9</v>
      </c>
    </row>
    <row r="6524" spans="1:9" x14ac:dyDescent="0.3">
      <c r="A6524" s="26">
        <v>45278</v>
      </c>
      <c r="B6524" s="27" t="s">
        <v>126</v>
      </c>
      <c r="C6524" s="27" t="s">
        <v>6</v>
      </c>
      <c r="D6524" s="27" t="s">
        <v>16</v>
      </c>
      <c r="E6524" s="28">
        <v>145400</v>
      </c>
      <c r="F6524" s="28">
        <v>173900</v>
      </c>
      <c r="G6524" s="27" t="s">
        <v>17</v>
      </c>
      <c r="H6524" s="27" t="s">
        <v>6670</v>
      </c>
      <c r="I6524" s="27" t="s">
        <v>9</v>
      </c>
    </row>
    <row r="6525" spans="1:9" x14ac:dyDescent="0.3">
      <c r="A6525" s="26">
        <v>45279</v>
      </c>
      <c r="B6525" s="27" t="s">
        <v>126</v>
      </c>
      <c r="C6525" s="27" t="s">
        <v>15</v>
      </c>
      <c r="D6525" s="27" t="s">
        <v>24</v>
      </c>
      <c r="E6525" s="28">
        <v>49080</v>
      </c>
      <c r="F6525" s="28">
        <v>167039</v>
      </c>
      <c r="G6525" s="27" t="s">
        <v>22</v>
      </c>
      <c r="H6525" s="27" t="s">
        <v>77</v>
      </c>
      <c r="I6525" s="27" t="s">
        <v>13</v>
      </c>
    </row>
    <row r="6526" spans="1:9" x14ac:dyDescent="0.3">
      <c r="A6526" s="26">
        <v>45279</v>
      </c>
      <c r="B6526" s="27" t="s">
        <v>126</v>
      </c>
      <c r="C6526" s="27" t="s">
        <v>32</v>
      </c>
      <c r="D6526" s="27" t="s">
        <v>19</v>
      </c>
      <c r="E6526" s="28">
        <v>81097</v>
      </c>
      <c r="F6526" s="28">
        <v>141207</v>
      </c>
      <c r="G6526" s="27" t="s">
        <v>22</v>
      </c>
      <c r="H6526" s="27" t="s">
        <v>576</v>
      </c>
      <c r="I6526" s="27" t="s">
        <v>13</v>
      </c>
    </row>
    <row r="6527" spans="1:9" x14ac:dyDescent="0.3">
      <c r="A6527" s="26">
        <v>45279</v>
      </c>
      <c r="B6527" s="27" t="s">
        <v>126</v>
      </c>
      <c r="C6527" s="27" t="s">
        <v>10</v>
      </c>
      <c r="D6527" s="27" t="s">
        <v>19</v>
      </c>
      <c r="E6527" s="28">
        <v>24538</v>
      </c>
      <c r="F6527" s="28">
        <v>95991</v>
      </c>
      <c r="G6527" s="27" t="s">
        <v>8</v>
      </c>
      <c r="H6527" s="27" t="s">
        <v>610</v>
      </c>
      <c r="I6527" s="27" t="s">
        <v>13</v>
      </c>
    </row>
    <row r="6528" spans="1:9" x14ac:dyDescent="0.3">
      <c r="A6528" s="26">
        <v>45279</v>
      </c>
      <c r="B6528" s="27" t="s">
        <v>126</v>
      </c>
      <c r="C6528" s="27" t="s">
        <v>18</v>
      </c>
      <c r="D6528" s="27" t="s">
        <v>7</v>
      </c>
      <c r="E6528" s="28">
        <v>123584</v>
      </c>
      <c r="F6528" s="28">
        <v>67716</v>
      </c>
      <c r="G6528" s="27" t="s">
        <v>8</v>
      </c>
      <c r="H6528" s="27" t="s">
        <v>1018</v>
      </c>
      <c r="I6528" s="27" t="s">
        <v>13</v>
      </c>
    </row>
    <row r="6529" spans="1:9" x14ac:dyDescent="0.3">
      <c r="A6529" s="26">
        <v>45279</v>
      </c>
      <c r="B6529" s="27" t="s">
        <v>126</v>
      </c>
      <c r="C6529" s="27" t="s">
        <v>18</v>
      </c>
      <c r="D6529" s="27" t="s">
        <v>24</v>
      </c>
      <c r="E6529" s="28">
        <v>83415</v>
      </c>
      <c r="F6529" s="28">
        <v>158544</v>
      </c>
      <c r="G6529" s="27" t="s">
        <v>11</v>
      </c>
      <c r="H6529" s="27" t="s">
        <v>1065</v>
      </c>
      <c r="I6529" s="27" t="s">
        <v>13</v>
      </c>
    </row>
    <row r="6530" spans="1:9" x14ac:dyDescent="0.3">
      <c r="A6530" s="26">
        <v>45279</v>
      </c>
      <c r="B6530" s="27" t="s">
        <v>126</v>
      </c>
      <c r="C6530" s="27" t="s">
        <v>10</v>
      </c>
      <c r="D6530" s="27" t="s">
        <v>19</v>
      </c>
      <c r="E6530" s="28">
        <v>103057</v>
      </c>
      <c r="F6530" s="28">
        <v>65076</v>
      </c>
      <c r="G6530" s="27" t="s">
        <v>22</v>
      </c>
      <c r="H6530" s="27" t="s">
        <v>1151</v>
      </c>
      <c r="I6530" s="27" t="s">
        <v>13</v>
      </c>
    </row>
    <row r="6531" spans="1:9" x14ac:dyDescent="0.3">
      <c r="A6531" s="26">
        <v>45279</v>
      </c>
      <c r="B6531" s="27" t="s">
        <v>126</v>
      </c>
      <c r="C6531" s="27" t="s">
        <v>20</v>
      </c>
      <c r="D6531" s="27" t="s">
        <v>19</v>
      </c>
      <c r="E6531" s="28">
        <v>82598</v>
      </c>
      <c r="F6531" s="28">
        <v>116762</v>
      </c>
      <c r="G6531" s="27" t="s">
        <v>11</v>
      </c>
      <c r="H6531" s="27" t="s">
        <v>1162</v>
      </c>
      <c r="I6531" s="27" t="s">
        <v>13</v>
      </c>
    </row>
    <row r="6532" spans="1:9" x14ac:dyDescent="0.3">
      <c r="A6532" s="26">
        <v>45279</v>
      </c>
      <c r="B6532" s="27" t="s">
        <v>126</v>
      </c>
      <c r="C6532" s="27" t="s">
        <v>14</v>
      </c>
      <c r="D6532" s="27" t="s">
        <v>19</v>
      </c>
      <c r="E6532" s="28">
        <v>70777</v>
      </c>
      <c r="F6532" s="28">
        <v>143637</v>
      </c>
      <c r="G6532" s="27" t="s">
        <v>11</v>
      </c>
      <c r="H6532" s="27" t="s">
        <v>1264</v>
      </c>
      <c r="I6532" s="27" t="s">
        <v>13</v>
      </c>
    </row>
    <row r="6533" spans="1:9" x14ac:dyDescent="0.3">
      <c r="A6533" s="26">
        <v>45279</v>
      </c>
      <c r="B6533" s="27" t="s">
        <v>126</v>
      </c>
      <c r="C6533" s="27" t="s">
        <v>14</v>
      </c>
      <c r="D6533" s="27" t="s">
        <v>24</v>
      </c>
      <c r="E6533" s="28">
        <v>23920</v>
      </c>
      <c r="F6533" s="28">
        <v>78972</v>
      </c>
      <c r="G6533" s="27" t="s">
        <v>8</v>
      </c>
      <c r="H6533" s="27" t="s">
        <v>1313</v>
      </c>
      <c r="I6533" s="27" t="s">
        <v>13</v>
      </c>
    </row>
    <row r="6534" spans="1:9" x14ac:dyDescent="0.3">
      <c r="A6534" s="26">
        <v>45279</v>
      </c>
      <c r="B6534" s="27" t="s">
        <v>126</v>
      </c>
      <c r="C6534" s="27" t="s">
        <v>15</v>
      </c>
      <c r="D6534" s="27" t="s">
        <v>7</v>
      </c>
      <c r="E6534" s="28">
        <v>67554</v>
      </c>
      <c r="F6534" s="28">
        <v>20805</v>
      </c>
      <c r="G6534" s="27" t="s">
        <v>22</v>
      </c>
      <c r="H6534" s="27" t="s">
        <v>1724</v>
      </c>
      <c r="I6534" s="27" t="s">
        <v>13</v>
      </c>
    </row>
    <row r="6535" spans="1:9" x14ac:dyDescent="0.3">
      <c r="A6535" s="26">
        <v>45279</v>
      </c>
      <c r="B6535" s="27" t="s">
        <v>126</v>
      </c>
      <c r="C6535" s="27" t="s">
        <v>15</v>
      </c>
      <c r="D6535" s="27" t="s">
        <v>16</v>
      </c>
      <c r="E6535" s="28">
        <v>39386</v>
      </c>
      <c r="F6535" s="28">
        <v>20304</v>
      </c>
      <c r="G6535" s="27" t="s">
        <v>8</v>
      </c>
      <c r="H6535" s="27" t="s">
        <v>2108</v>
      </c>
      <c r="I6535" s="27" t="s">
        <v>13</v>
      </c>
    </row>
    <row r="6536" spans="1:9" x14ac:dyDescent="0.3">
      <c r="A6536" s="26">
        <v>45279</v>
      </c>
      <c r="B6536" s="27" t="s">
        <v>126</v>
      </c>
      <c r="C6536" s="27" t="s">
        <v>18</v>
      </c>
      <c r="D6536" s="27" t="s">
        <v>19</v>
      </c>
      <c r="E6536" s="28">
        <v>13527</v>
      </c>
      <c r="F6536" s="28">
        <v>159203</v>
      </c>
      <c r="G6536" s="27" t="s">
        <v>11</v>
      </c>
      <c r="H6536" s="27" t="s">
        <v>2555</v>
      </c>
      <c r="I6536" s="27" t="s">
        <v>13</v>
      </c>
    </row>
    <row r="6537" spans="1:9" x14ac:dyDescent="0.3">
      <c r="A6537" s="26">
        <v>45279</v>
      </c>
      <c r="B6537" s="27" t="s">
        <v>126</v>
      </c>
      <c r="C6537" s="27" t="s">
        <v>15</v>
      </c>
      <c r="D6537" s="27" t="s">
        <v>24</v>
      </c>
      <c r="E6537" s="28">
        <v>92146</v>
      </c>
      <c r="F6537" s="28">
        <v>137740</v>
      </c>
      <c r="G6537" s="27" t="s">
        <v>17</v>
      </c>
      <c r="H6537" s="27" t="s">
        <v>2718</v>
      </c>
      <c r="I6537" s="27" t="s">
        <v>13</v>
      </c>
    </row>
    <row r="6538" spans="1:9" x14ac:dyDescent="0.3">
      <c r="A6538" s="26">
        <v>45279</v>
      </c>
      <c r="B6538" s="27" t="s">
        <v>126</v>
      </c>
      <c r="C6538" s="27" t="s">
        <v>15</v>
      </c>
      <c r="D6538" s="27" t="s">
        <v>21</v>
      </c>
      <c r="E6538" s="28">
        <v>100594</v>
      </c>
      <c r="F6538" s="28">
        <v>81143</v>
      </c>
      <c r="G6538" s="27" t="s">
        <v>17</v>
      </c>
      <c r="H6538" s="27" t="s">
        <v>2784</v>
      </c>
      <c r="I6538" s="27" t="s">
        <v>13</v>
      </c>
    </row>
    <row r="6539" spans="1:9" x14ac:dyDescent="0.3">
      <c r="A6539" s="26">
        <v>45279</v>
      </c>
      <c r="B6539" s="27" t="s">
        <v>126</v>
      </c>
      <c r="C6539" s="27" t="s">
        <v>20</v>
      </c>
      <c r="D6539" s="27" t="s">
        <v>21</v>
      </c>
      <c r="E6539" s="28">
        <v>91884</v>
      </c>
      <c r="F6539" s="28">
        <v>21460</v>
      </c>
      <c r="G6539" s="27" t="s">
        <v>22</v>
      </c>
      <c r="H6539" s="27" t="s">
        <v>2810</v>
      </c>
      <c r="I6539" s="27" t="s">
        <v>13</v>
      </c>
    </row>
    <row r="6540" spans="1:9" x14ac:dyDescent="0.3">
      <c r="A6540" s="26">
        <v>45279</v>
      </c>
      <c r="B6540" s="27" t="s">
        <v>126</v>
      </c>
      <c r="C6540" s="27" t="s">
        <v>18</v>
      </c>
      <c r="D6540" s="27" t="s">
        <v>16</v>
      </c>
      <c r="E6540" s="28">
        <v>77271</v>
      </c>
      <c r="F6540" s="28">
        <v>117550</v>
      </c>
      <c r="G6540" s="27" t="s">
        <v>8</v>
      </c>
      <c r="H6540" s="27" t="s">
        <v>2867</v>
      </c>
      <c r="I6540" s="27" t="s">
        <v>13</v>
      </c>
    </row>
    <row r="6541" spans="1:9" x14ac:dyDescent="0.3">
      <c r="A6541" s="26">
        <v>45279</v>
      </c>
      <c r="B6541" s="27" t="s">
        <v>126</v>
      </c>
      <c r="C6541" s="27" t="s">
        <v>14</v>
      </c>
      <c r="D6541" s="27" t="s">
        <v>19</v>
      </c>
      <c r="E6541" s="28">
        <v>104138</v>
      </c>
      <c r="F6541" s="28">
        <v>120985</v>
      </c>
      <c r="G6541" s="27" t="s">
        <v>17</v>
      </c>
      <c r="H6541" s="27" t="s">
        <v>2990</v>
      </c>
      <c r="I6541" s="27" t="s">
        <v>13</v>
      </c>
    </row>
    <row r="6542" spans="1:9" x14ac:dyDescent="0.3">
      <c r="A6542" s="26">
        <v>45279</v>
      </c>
      <c r="B6542" s="27" t="s">
        <v>126</v>
      </c>
      <c r="C6542" s="27" t="s">
        <v>6</v>
      </c>
      <c r="D6542" s="27" t="s">
        <v>24</v>
      </c>
      <c r="E6542" s="28">
        <v>119000</v>
      </c>
      <c r="F6542" s="28">
        <v>139000</v>
      </c>
      <c r="G6542" s="27" t="s">
        <v>11</v>
      </c>
      <c r="H6542" s="27" t="s">
        <v>3447</v>
      </c>
      <c r="I6542" s="27" t="s">
        <v>9</v>
      </c>
    </row>
    <row r="6543" spans="1:9" x14ac:dyDescent="0.3">
      <c r="A6543" s="26">
        <v>45279</v>
      </c>
      <c r="B6543" s="27" t="s">
        <v>126</v>
      </c>
      <c r="C6543" s="27" t="s">
        <v>6</v>
      </c>
      <c r="D6543" s="27" t="s">
        <v>19</v>
      </c>
      <c r="E6543" s="28">
        <v>97600</v>
      </c>
      <c r="F6543" s="28">
        <v>76500</v>
      </c>
      <c r="G6543" s="27" t="s">
        <v>17</v>
      </c>
      <c r="H6543" s="27" t="s">
        <v>3957</v>
      </c>
      <c r="I6543" s="27" t="s">
        <v>9</v>
      </c>
    </row>
    <row r="6544" spans="1:9" x14ac:dyDescent="0.3">
      <c r="A6544" s="26">
        <v>45279</v>
      </c>
      <c r="B6544" s="27" t="s">
        <v>126</v>
      </c>
      <c r="C6544" s="27" t="s">
        <v>6</v>
      </c>
      <c r="D6544" s="27" t="s">
        <v>19</v>
      </c>
      <c r="E6544" s="28">
        <v>110700</v>
      </c>
      <c r="F6544" s="28">
        <v>96100</v>
      </c>
      <c r="G6544" s="27" t="s">
        <v>22</v>
      </c>
      <c r="H6544" s="27" t="s">
        <v>3991</v>
      </c>
      <c r="I6544" s="27" t="s">
        <v>9</v>
      </c>
    </row>
    <row r="6545" spans="1:9" x14ac:dyDescent="0.3">
      <c r="A6545" s="26">
        <v>45279</v>
      </c>
      <c r="B6545" s="27" t="s">
        <v>126</v>
      </c>
      <c r="C6545" s="27" t="s">
        <v>6</v>
      </c>
      <c r="D6545" s="27" t="s">
        <v>7</v>
      </c>
      <c r="E6545" s="28">
        <v>145200</v>
      </c>
      <c r="F6545" s="28">
        <v>151400</v>
      </c>
      <c r="G6545" s="27" t="s">
        <v>11</v>
      </c>
      <c r="H6545" s="27" t="s">
        <v>4400</v>
      </c>
      <c r="I6545" s="27" t="s">
        <v>9</v>
      </c>
    </row>
    <row r="6546" spans="1:9" x14ac:dyDescent="0.3">
      <c r="A6546" s="26">
        <v>45279</v>
      </c>
      <c r="B6546" s="27" t="s">
        <v>126</v>
      </c>
      <c r="C6546" s="27" t="s">
        <v>93</v>
      </c>
      <c r="D6546" s="27" t="s">
        <v>24</v>
      </c>
      <c r="E6546" s="28">
        <v>200800</v>
      </c>
      <c r="F6546" s="28">
        <v>214800</v>
      </c>
      <c r="G6546" s="27" t="s">
        <v>11</v>
      </c>
      <c r="H6546" s="27" t="s">
        <v>4447</v>
      </c>
      <c r="I6546" s="27" t="s">
        <v>9</v>
      </c>
    </row>
    <row r="6547" spans="1:9" x14ac:dyDescent="0.3">
      <c r="A6547" s="26">
        <v>45279</v>
      </c>
      <c r="B6547" s="27" t="s">
        <v>126</v>
      </c>
      <c r="C6547" s="27" t="s">
        <v>6</v>
      </c>
      <c r="D6547" s="27" t="s">
        <v>19</v>
      </c>
      <c r="E6547" s="28">
        <v>101300</v>
      </c>
      <c r="F6547" s="28">
        <v>98800</v>
      </c>
      <c r="G6547" s="27" t="s">
        <v>11</v>
      </c>
      <c r="H6547" s="27" t="s">
        <v>4534</v>
      </c>
      <c r="I6547" s="27" t="s">
        <v>9</v>
      </c>
    </row>
    <row r="6548" spans="1:9" x14ac:dyDescent="0.3">
      <c r="A6548" s="26">
        <v>45279</v>
      </c>
      <c r="B6548" s="27" t="s">
        <v>126</v>
      </c>
      <c r="C6548" s="27" t="s">
        <v>6</v>
      </c>
      <c r="D6548" s="27" t="s">
        <v>19</v>
      </c>
      <c r="E6548" s="28">
        <v>84900</v>
      </c>
      <c r="F6548" s="28">
        <v>79400</v>
      </c>
      <c r="G6548" s="27" t="s">
        <v>11</v>
      </c>
      <c r="H6548" s="27" t="s">
        <v>4545</v>
      </c>
      <c r="I6548" s="27" t="s">
        <v>9</v>
      </c>
    </row>
    <row r="6549" spans="1:9" x14ac:dyDescent="0.3">
      <c r="A6549" s="26">
        <v>45279</v>
      </c>
      <c r="B6549" s="27" t="s">
        <v>126</v>
      </c>
      <c r="C6549" s="27" t="s">
        <v>6</v>
      </c>
      <c r="D6549" s="27" t="s">
        <v>19</v>
      </c>
      <c r="E6549" s="28">
        <v>151000</v>
      </c>
      <c r="F6549" s="28">
        <v>157700</v>
      </c>
      <c r="G6549" s="27" t="s">
        <v>11</v>
      </c>
      <c r="H6549" s="27" t="s">
        <v>4647</v>
      </c>
      <c r="I6549" s="27" t="s">
        <v>9</v>
      </c>
    </row>
    <row r="6550" spans="1:9" x14ac:dyDescent="0.3">
      <c r="A6550" s="26">
        <v>45279</v>
      </c>
      <c r="B6550" s="27" t="s">
        <v>126</v>
      </c>
      <c r="C6550" s="27" t="s">
        <v>93</v>
      </c>
      <c r="D6550" s="27" t="s">
        <v>24</v>
      </c>
      <c r="E6550" s="28">
        <v>112700</v>
      </c>
      <c r="F6550" s="28">
        <v>137000</v>
      </c>
      <c r="G6550" s="27" t="s">
        <v>11</v>
      </c>
      <c r="H6550" s="27" t="s">
        <v>4696</v>
      </c>
      <c r="I6550" s="27" t="s">
        <v>9</v>
      </c>
    </row>
    <row r="6551" spans="1:9" x14ac:dyDescent="0.3">
      <c r="A6551" s="26">
        <v>45279</v>
      </c>
      <c r="B6551" s="27" t="s">
        <v>126</v>
      </c>
      <c r="C6551" s="27" t="s">
        <v>6</v>
      </c>
      <c r="D6551" s="27" t="s">
        <v>7</v>
      </c>
      <c r="E6551" s="28">
        <v>75800</v>
      </c>
      <c r="F6551" s="28">
        <v>62100</v>
      </c>
      <c r="G6551" s="27" t="s">
        <v>11</v>
      </c>
      <c r="H6551" s="27" t="s">
        <v>5107</v>
      </c>
      <c r="I6551" s="27" t="s">
        <v>9</v>
      </c>
    </row>
    <row r="6552" spans="1:9" x14ac:dyDescent="0.3">
      <c r="A6552" s="26">
        <v>45279</v>
      </c>
      <c r="B6552" s="27" t="s">
        <v>126</v>
      </c>
      <c r="C6552" s="27" t="s">
        <v>93</v>
      </c>
      <c r="D6552" s="27" t="s">
        <v>16</v>
      </c>
      <c r="E6552" s="28">
        <v>130100</v>
      </c>
      <c r="F6552" s="28">
        <v>137800</v>
      </c>
      <c r="G6552" s="27" t="s">
        <v>11</v>
      </c>
      <c r="H6552" s="27" t="s">
        <v>5492</v>
      </c>
      <c r="I6552" s="27" t="s">
        <v>9</v>
      </c>
    </row>
    <row r="6553" spans="1:9" x14ac:dyDescent="0.3">
      <c r="A6553" s="26">
        <v>45279</v>
      </c>
      <c r="B6553" s="27" t="s">
        <v>126</v>
      </c>
      <c r="C6553" s="27" t="s">
        <v>93</v>
      </c>
      <c r="D6553" s="27" t="s">
        <v>19</v>
      </c>
      <c r="E6553" s="28">
        <v>109500</v>
      </c>
      <c r="F6553" s="28">
        <v>107100</v>
      </c>
      <c r="G6553" s="27" t="s">
        <v>22</v>
      </c>
      <c r="H6553" s="27" t="s">
        <v>5940</v>
      </c>
      <c r="I6553" s="27" t="s">
        <v>9</v>
      </c>
    </row>
    <row r="6554" spans="1:9" x14ac:dyDescent="0.3">
      <c r="A6554" s="26">
        <v>45279</v>
      </c>
      <c r="B6554" s="27" t="s">
        <v>126</v>
      </c>
      <c r="C6554" s="27" t="s">
        <v>6</v>
      </c>
      <c r="D6554" s="27" t="s">
        <v>24</v>
      </c>
      <c r="E6554" s="28">
        <v>80700</v>
      </c>
      <c r="F6554" s="28">
        <v>102900</v>
      </c>
      <c r="G6554" s="27" t="s">
        <v>22</v>
      </c>
      <c r="H6554" s="27" t="s">
        <v>6103</v>
      </c>
      <c r="I6554" s="27" t="s">
        <v>9</v>
      </c>
    </row>
    <row r="6555" spans="1:9" x14ac:dyDescent="0.3">
      <c r="A6555" s="26">
        <v>45279</v>
      </c>
      <c r="B6555" s="27" t="s">
        <v>126</v>
      </c>
      <c r="C6555" s="27" t="s">
        <v>6</v>
      </c>
      <c r="D6555" s="27" t="s">
        <v>21</v>
      </c>
      <c r="E6555" s="28">
        <v>96800</v>
      </c>
      <c r="F6555" s="28">
        <v>130500</v>
      </c>
      <c r="G6555" s="27" t="s">
        <v>17</v>
      </c>
      <c r="H6555" s="27" t="s">
        <v>6169</v>
      </c>
      <c r="I6555" s="27" t="s">
        <v>9</v>
      </c>
    </row>
    <row r="6556" spans="1:9" x14ac:dyDescent="0.3">
      <c r="A6556" s="26">
        <v>45279</v>
      </c>
      <c r="B6556" s="27" t="s">
        <v>126</v>
      </c>
      <c r="C6556" s="27" t="s">
        <v>93</v>
      </c>
      <c r="D6556" s="27" t="s">
        <v>21</v>
      </c>
      <c r="E6556" s="28">
        <v>48200</v>
      </c>
      <c r="F6556" s="28">
        <v>48300</v>
      </c>
      <c r="G6556" s="27" t="s">
        <v>11</v>
      </c>
      <c r="H6556" s="27" t="s">
        <v>6195</v>
      </c>
      <c r="I6556" s="27" t="s">
        <v>9</v>
      </c>
    </row>
    <row r="6557" spans="1:9" x14ac:dyDescent="0.3">
      <c r="A6557" s="26">
        <v>45279</v>
      </c>
      <c r="B6557" s="27" t="s">
        <v>126</v>
      </c>
      <c r="C6557" s="27" t="s">
        <v>6</v>
      </c>
      <c r="D6557" s="27" t="s">
        <v>16</v>
      </c>
      <c r="E6557" s="28">
        <v>100300</v>
      </c>
      <c r="F6557" s="28">
        <v>88200</v>
      </c>
      <c r="G6557" s="27" t="s">
        <v>17</v>
      </c>
      <c r="H6557" s="27" t="s">
        <v>6252</v>
      </c>
      <c r="I6557" s="27" t="s">
        <v>9</v>
      </c>
    </row>
    <row r="6558" spans="1:9" x14ac:dyDescent="0.3">
      <c r="A6558" s="26">
        <v>45279</v>
      </c>
      <c r="B6558" s="27" t="s">
        <v>126</v>
      </c>
      <c r="C6558" s="27" t="s">
        <v>6</v>
      </c>
      <c r="D6558" s="27" t="s">
        <v>19</v>
      </c>
      <c r="E6558" s="28">
        <v>91000</v>
      </c>
      <c r="F6558" s="28">
        <v>93800</v>
      </c>
      <c r="G6558" s="27" t="s">
        <v>22</v>
      </c>
      <c r="H6558" s="27" t="s">
        <v>6375</v>
      </c>
      <c r="I6558" s="27" t="s">
        <v>9</v>
      </c>
    </row>
    <row r="6559" spans="1:9" x14ac:dyDescent="0.3">
      <c r="A6559" s="26">
        <v>45280</v>
      </c>
      <c r="B6559" s="27" t="s">
        <v>126</v>
      </c>
      <c r="C6559" s="27" t="s">
        <v>14</v>
      </c>
      <c r="D6559" s="27" t="s">
        <v>24</v>
      </c>
      <c r="E6559" s="28">
        <v>122660</v>
      </c>
      <c r="F6559" s="28">
        <v>67155</v>
      </c>
      <c r="G6559" s="27" t="s">
        <v>11</v>
      </c>
      <c r="H6559" s="27" t="s">
        <v>542</v>
      </c>
      <c r="I6559" s="27" t="s">
        <v>13</v>
      </c>
    </row>
    <row r="6560" spans="1:9" x14ac:dyDescent="0.3">
      <c r="A6560" s="26">
        <v>45280</v>
      </c>
      <c r="B6560" s="27" t="s">
        <v>126</v>
      </c>
      <c r="C6560" s="27" t="s">
        <v>32</v>
      </c>
      <c r="D6560" s="27" t="s">
        <v>16</v>
      </c>
      <c r="E6560" s="28">
        <v>123044</v>
      </c>
      <c r="F6560" s="28">
        <v>56046</v>
      </c>
      <c r="G6560" s="27" t="s">
        <v>22</v>
      </c>
      <c r="H6560" s="27" t="s">
        <v>667</v>
      </c>
      <c r="I6560" s="27" t="s">
        <v>13</v>
      </c>
    </row>
    <row r="6561" spans="1:9" x14ac:dyDescent="0.3">
      <c r="A6561" s="26">
        <v>45280</v>
      </c>
      <c r="B6561" s="27" t="s">
        <v>126</v>
      </c>
      <c r="C6561" s="27" t="s">
        <v>10</v>
      </c>
      <c r="D6561" s="27" t="s">
        <v>16</v>
      </c>
      <c r="E6561" s="28">
        <v>22333</v>
      </c>
      <c r="F6561" s="28">
        <v>37563</v>
      </c>
      <c r="G6561" s="27" t="s">
        <v>11</v>
      </c>
      <c r="H6561" s="27" t="s">
        <v>718</v>
      </c>
      <c r="I6561" s="27" t="s">
        <v>13</v>
      </c>
    </row>
    <row r="6562" spans="1:9" x14ac:dyDescent="0.3">
      <c r="A6562" s="26">
        <v>45280</v>
      </c>
      <c r="B6562" s="27" t="s">
        <v>126</v>
      </c>
      <c r="C6562" s="27" t="s">
        <v>18</v>
      </c>
      <c r="D6562" s="27" t="s">
        <v>24</v>
      </c>
      <c r="E6562" s="28">
        <v>36631</v>
      </c>
      <c r="F6562" s="28">
        <v>51209</v>
      </c>
      <c r="G6562" s="27" t="s">
        <v>17</v>
      </c>
      <c r="H6562" s="27" t="s">
        <v>1346</v>
      </c>
      <c r="I6562" s="27" t="s">
        <v>13</v>
      </c>
    </row>
    <row r="6563" spans="1:9" x14ac:dyDescent="0.3">
      <c r="A6563" s="26">
        <v>45280</v>
      </c>
      <c r="B6563" s="27" t="s">
        <v>126</v>
      </c>
      <c r="C6563" s="27" t="s">
        <v>18</v>
      </c>
      <c r="D6563" s="27" t="s">
        <v>24</v>
      </c>
      <c r="E6563" s="28">
        <v>107360</v>
      </c>
      <c r="F6563" s="28">
        <v>142511</v>
      </c>
      <c r="G6563" s="27" t="s">
        <v>11</v>
      </c>
      <c r="H6563" s="27" t="s">
        <v>1458</v>
      </c>
      <c r="I6563" s="27" t="s">
        <v>13</v>
      </c>
    </row>
    <row r="6564" spans="1:9" x14ac:dyDescent="0.3">
      <c r="A6564" s="26">
        <v>45280</v>
      </c>
      <c r="B6564" s="27" t="s">
        <v>126</v>
      </c>
      <c r="C6564" s="27" t="s">
        <v>10</v>
      </c>
      <c r="D6564" s="27" t="s">
        <v>19</v>
      </c>
      <c r="E6564" s="28">
        <v>59165</v>
      </c>
      <c r="F6564" s="28">
        <v>107354</v>
      </c>
      <c r="G6564" s="27" t="s">
        <v>11</v>
      </c>
      <c r="H6564" s="27" t="s">
        <v>2877</v>
      </c>
      <c r="I6564" s="27" t="s">
        <v>13</v>
      </c>
    </row>
    <row r="6565" spans="1:9" x14ac:dyDescent="0.3">
      <c r="A6565" s="26">
        <v>45280</v>
      </c>
      <c r="B6565" s="27" t="s">
        <v>126</v>
      </c>
      <c r="C6565" s="27" t="s">
        <v>14</v>
      </c>
      <c r="D6565" s="27" t="s">
        <v>16</v>
      </c>
      <c r="E6565" s="28">
        <v>58948</v>
      </c>
      <c r="F6565" s="28">
        <v>22048</v>
      </c>
      <c r="G6565" s="27" t="s">
        <v>8</v>
      </c>
      <c r="H6565" s="27" t="s">
        <v>3337</v>
      </c>
      <c r="I6565" s="27" t="s">
        <v>13</v>
      </c>
    </row>
    <row r="6566" spans="1:9" x14ac:dyDescent="0.3">
      <c r="A6566" s="26">
        <v>45280</v>
      </c>
      <c r="B6566" s="27" t="s">
        <v>126</v>
      </c>
      <c r="C6566" s="27" t="s">
        <v>32</v>
      </c>
      <c r="D6566" s="27" t="s">
        <v>19</v>
      </c>
      <c r="E6566" s="28">
        <v>99233</v>
      </c>
      <c r="F6566" s="28">
        <v>122116</v>
      </c>
      <c r="G6566" s="27" t="s">
        <v>22</v>
      </c>
      <c r="H6566" s="27" t="s">
        <v>3428</v>
      </c>
      <c r="I6566" s="27" t="s">
        <v>13</v>
      </c>
    </row>
    <row r="6567" spans="1:9" x14ac:dyDescent="0.3">
      <c r="A6567" s="26">
        <v>45280</v>
      </c>
      <c r="B6567" s="27" t="s">
        <v>126</v>
      </c>
      <c r="C6567" s="27" t="s">
        <v>6</v>
      </c>
      <c r="D6567" s="27" t="s">
        <v>24</v>
      </c>
      <c r="E6567" s="28">
        <v>163100</v>
      </c>
      <c r="F6567" s="28">
        <v>176000</v>
      </c>
      <c r="G6567" s="27" t="s">
        <v>22</v>
      </c>
      <c r="H6567" s="27" t="s">
        <v>3923</v>
      </c>
      <c r="I6567" s="27" t="s">
        <v>9</v>
      </c>
    </row>
    <row r="6568" spans="1:9" x14ac:dyDescent="0.3">
      <c r="A6568" s="26">
        <v>45280</v>
      </c>
      <c r="B6568" s="27" t="s">
        <v>126</v>
      </c>
      <c r="C6568" s="27" t="s">
        <v>6</v>
      </c>
      <c r="D6568" s="27" t="s">
        <v>16</v>
      </c>
      <c r="E6568" s="28">
        <v>98400</v>
      </c>
      <c r="F6568" s="28">
        <v>115500</v>
      </c>
      <c r="G6568" s="27" t="s">
        <v>22</v>
      </c>
      <c r="H6568" s="27" t="s">
        <v>4048</v>
      </c>
      <c r="I6568" s="27" t="s">
        <v>9</v>
      </c>
    </row>
    <row r="6569" spans="1:9" x14ac:dyDescent="0.3">
      <c r="A6569" s="26">
        <v>45280</v>
      </c>
      <c r="B6569" s="27" t="s">
        <v>126</v>
      </c>
      <c r="C6569" s="27" t="s">
        <v>6</v>
      </c>
      <c r="D6569" s="27" t="s">
        <v>16</v>
      </c>
      <c r="E6569" s="28">
        <v>251400</v>
      </c>
      <c r="F6569" s="28">
        <v>281700</v>
      </c>
      <c r="G6569" s="27" t="s">
        <v>17</v>
      </c>
      <c r="H6569" s="27" t="s">
        <v>4099</v>
      </c>
      <c r="I6569" s="27" t="s">
        <v>9</v>
      </c>
    </row>
    <row r="6570" spans="1:9" x14ac:dyDescent="0.3">
      <c r="A6570" s="26">
        <v>45280</v>
      </c>
      <c r="B6570" s="27" t="s">
        <v>126</v>
      </c>
      <c r="C6570" s="27" t="s">
        <v>6</v>
      </c>
      <c r="D6570" s="27" t="s">
        <v>24</v>
      </c>
      <c r="E6570" s="28">
        <v>105000</v>
      </c>
      <c r="F6570" s="28">
        <v>125900</v>
      </c>
      <c r="G6570" s="27" t="s">
        <v>11</v>
      </c>
      <c r="H6570" s="27" t="s">
        <v>4729</v>
      </c>
      <c r="I6570" s="27" t="s">
        <v>9</v>
      </c>
    </row>
    <row r="6571" spans="1:9" x14ac:dyDescent="0.3">
      <c r="A6571" s="26">
        <v>45280</v>
      </c>
      <c r="B6571" s="27" t="s">
        <v>126</v>
      </c>
      <c r="C6571" s="27" t="s">
        <v>93</v>
      </c>
      <c r="D6571" s="27" t="s">
        <v>24</v>
      </c>
      <c r="E6571" s="28">
        <v>136300</v>
      </c>
      <c r="F6571" s="28">
        <v>120800</v>
      </c>
      <c r="G6571" s="27" t="s">
        <v>22</v>
      </c>
      <c r="H6571" s="27" t="s">
        <v>4841</v>
      </c>
      <c r="I6571" s="27" t="s">
        <v>9</v>
      </c>
    </row>
    <row r="6572" spans="1:9" x14ac:dyDescent="0.3">
      <c r="A6572" s="26">
        <v>45280</v>
      </c>
      <c r="B6572" s="27" t="s">
        <v>126</v>
      </c>
      <c r="C6572" s="27" t="s">
        <v>93</v>
      </c>
      <c r="D6572" s="27" t="s">
        <v>19</v>
      </c>
      <c r="E6572" s="28">
        <v>76500</v>
      </c>
      <c r="F6572" s="28">
        <v>65300</v>
      </c>
      <c r="G6572" s="27" t="s">
        <v>22</v>
      </c>
      <c r="H6572" s="27" t="s">
        <v>6262</v>
      </c>
      <c r="I6572" s="27" t="s">
        <v>9</v>
      </c>
    </row>
    <row r="6573" spans="1:9" x14ac:dyDescent="0.3">
      <c r="A6573" s="26">
        <v>45280</v>
      </c>
      <c r="B6573" s="27" t="s">
        <v>126</v>
      </c>
      <c r="C6573" s="27" t="s">
        <v>6</v>
      </c>
      <c r="D6573" s="27" t="s">
        <v>16</v>
      </c>
      <c r="E6573" s="28">
        <v>129500</v>
      </c>
      <c r="F6573" s="28">
        <v>150300</v>
      </c>
      <c r="G6573" s="27" t="s">
        <v>11</v>
      </c>
      <c r="H6573" s="27" t="s">
        <v>6722</v>
      </c>
      <c r="I6573" s="27" t="s">
        <v>9</v>
      </c>
    </row>
    <row r="6574" spans="1:9" x14ac:dyDescent="0.3">
      <c r="A6574" s="26">
        <v>45280</v>
      </c>
      <c r="B6574" s="27" t="s">
        <v>126</v>
      </c>
      <c r="C6574" s="27" t="s">
        <v>6</v>
      </c>
      <c r="D6574" s="27" t="s">
        <v>19</v>
      </c>
      <c r="E6574" s="28">
        <v>76500</v>
      </c>
      <c r="F6574" s="28">
        <v>68900</v>
      </c>
      <c r="G6574" s="27" t="s">
        <v>11</v>
      </c>
      <c r="H6574" s="27" t="s">
        <v>6813</v>
      </c>
      <c r="I6574" s="27" t="s">
        <v>9</v>
      </c>
    </row>
    <row r="6575" spans="1:9" x14ac:dyDescent="0.3">
      <c r="A6575" s="26">
        <v>45281</v>
      </c>
      <c r="B6575" s="27" t="s">
        <v>126</v>
      </c>
      <c r="C6575" s="27" t="s">
        <v>20</v>
      </c>
      <c r="D6575" s="27" t="s">
        <v>19</v>
      </c>
      <c r="E6575" s="28">
        <v>121529</v>
      </c>
      <c r="F6575" s="28">
        <v>15035</v>
      </c>
      <c r="G6575" s="27" t="s">
        <v>17</v>
      </c>
      <c r="H6575" s="27" t="s">
        <v>2735</v>
      </c>
      <c r="I6575" s="27" t="s">
        <v>13</v>
      </c>
    </row>
    <row r="6576" spans="1:9" x14ac:dyDescent="0.3">
      <c r="A6576" s="26">
        <v>45281</v>
      </c>
      <c r="B6576" s="27" t="s">
        <v>126</v>
      </c>
      <c r="C6576" s="27" t="s">
        <v>10</v>
      </c>
      <c r="D6576" s="27" t="s">
        <v>24</v>
      </c>
      <c r="E6576" s="28">
        <v>58394</v>
      </c>
      <c r="F6576" s="28">
        <v>149568</v>
      </c>
      <c r="G6576" s="27" t="s">
        <v>11</v>
      </c>
      <c r="H6576" s="27" t="s">
        <v>2980</v>
      </c>
      <c r="I6576" s="27" t="s">
        <v>13</v>
      </c>
    </row>
    <row r="6577" spans="1:9" x14ac:dyDescent="0.3">
      <c r="A6577" s="26">
        <v>45281</v>
      </c>
      <c r="B6577" s="27" t="s">
        <v>126</v>
      </c>
      <c r="C6577" s="27" t="s">
        <v>93</v>
      </c>
      <c r="D6577" s="27" t="s">
        <v>19</v>
      </c>
      <c r="E6577" s="28">
        <v>114900</v>
      </c>
      <c r="F6577" s="28">
        <v>88100</v>
      </c>
      <c r="G6577" s="27" t="s">
        <v>22</v>
      </c>
      <c r="H6577" s="27" t="s">
        <v>6120</v>
      </c>
      <c r="I6577" s="27" t="s">
        <v>9</v>
      </c>
    </row>
    <row r="6578" spans="1:9" x14ac:dyDescent="0.3">
      <c r="A6578" s="26">
        <v>45281</v>
      </c>
      <c r="B6578" s="27" t="s">
        <v>126</v>
      </c>
      <c r="C6578" s="27" t="s">
        <v>93</v>
      </c>
      <c r="D6578" s="27" t="s">
        <v>24</v>
      </c>
      <c r="E6578" s="28">
        <v>106800</v>
      </c>
      <c r="F6578" s="28">
        <v>93200</v>
      </c>
      <c r="G6578" s="27" t="s">
        <v>11</v>
      </c>
      <c r="H6578" s="27" t="s">
        <v>6365</v>
      </c>
      <c r="I6578" s="27" t="s">
        <v>9</v>
      </c>
    </row>
    <row r="6579" spans="1:9" x14ac:dyDescent="0.3">
      <c r="A6579" s="26">
        <v>45282</v>
      </c>
      <c r="B6579" s="27" t="s">
        <v>126</v>
      </c>
      <c r="C6579" s="27" t="s">
        <v>14</v>
      </c>
      <c r="D6579" s="27" t="s">
        <v>16</v>
      </c>
      <c r="E6579" s="28">
        <v>96422</v>
      </c>
      <c r="F6579" s="28">
        <v>57389</v>
      </c>
      <c r="G6579" s="27" t="s">
        <v>11</v>
      </c>
      <c r="H6579" s="27" t="s">
        <v>481</v>
      </c>
      <c r="I6579" s="27" t="s">
        <v>13</v>
      </c>
    </row>
    <row r="6580" spans="1:9" x14ac:dyDescent="0.3">
      <c r="A6580" s="26">
        <v>45282</v>
      </c>
      <c r="B6580" s="27" t="s">
        <v>126</v>
      </c>
      <c r="C6580" s="27" t="s">
        <v>14</v>
      </c>
      <c r="D6580" s="27" t="s">
        <v>7</v>
      </c>
      <c r="E6580" s="28">
        <v>117148</v>
      </c>
      <c r="F6580" s="28">
        <v>164454</v>
      </c>
      <c r="G6580" s="27" t="s">
        <v>8</v>
      </c>
      <c r="H6580" s="27" t="s">
        <v>903</v>
      </c>
      <c r="I6580" s="27" t="s">
        <v>13</v>
      </c>
    </row>
    <row r="6581" spans="1:9" x14ac:dyDescent="0.3">
      <c r="A6581" s="26">
        <v>45282</v>
      </c>
      <c r="B6581" s="27" t="s">
        <v>126</v>
      </c>
      <c r="C6581" s="27" t="s">
        <v>10</v>
      </c>
      <c r="D6581" s="27" t="s">
        <v>7</v>
      </c>
      <c r="E6581" s="28">
        <v>56652</v>
      </c>
      <c r="F6581" s="28">
        <v>113029</v>
      </c>
      <c r="G6581" s="27" t="s">
        <v>11</v>
      </c>
      <c r="H6581" s="27" t="s">
        <v>1252</v>
      </c>
      <c r="I6581" s="27" t="s">
        <v>13</v>
      </c>
    </row>
    <row r="6582" spans="1:9" x14ac:dyDescent="0.3">
      <c r="A6582" s="26">
        <v>45282</v>
      </c>
      <c r="B6582" s="27" t="s">
        <v>126</v>
      </c>
      <c r="C6582" s="27" t="s">
        <v>10</v>
      </c>
      <c r="D6582" s="27" t="s">
        <v>7</v>
      </c>
      <c r="E6582" s="28">
        <v>111778</v>
      </c>
      <c r="F6582" s="28">
        <v>136327</v>
      </c>
      <c r="G6582" s="27" t="s">
        <v>17</v>
      </c>
      <c r="H6582" s="27" t="s">
        <v>2489</v>
      </c>
      <c r="I6582" s="27" t="s">
        <v>13</v>
      </c>
    </row>
    <row r="6583" spans="1:9" x14ac:dyDescent="0.3">
      <c r="A6583" s="26">
        <v>45282</v>
      </c>
      <c r="B6583" s="27" t="s">
        <v>126</v>
      </c>
      <c r="C6583" s="27" t="s">
        <v>32</v>
      </c>
      <c r="D6583" s="27" t="s">
        <v>19</v>
      </c>
      <c r="E6583" s="28">
        <v>145182</v>
      </c>
      <c r="F6583" s="28">
        <v>159945</v>
      </c>
      <c r="G6583" s="27" t="s">
        <v>11</v>
      </c>
      <c r="H6583" s="27" t="s">
        <v>2756</v>
      </c>
      <c r="I6583" s="27" t="s">
        <v>13</v>
      </c>
    </row>
    <row r="6584" spans="1:9" x14ac:dyDescent="0.3">
      <c r="A6584" s="26">
        <v>45282</v>
      </c>
      <c r="B6584" s="27" t="s">
        <v>126</v>
      </c>
      <c r="C6584" s="27" t="s">
        <v>14</v>
      </c>
      <c r="D6584" s="27" t="s">
        <v>19</v>
      </c>
      <c r="E6584" s="28">
        <v>117752</v>
      </c>
      <c r="F6584" s="28">
        <v>12302</v>
      </c>
      <c r="G6584" s="27" t="s">
        <v>11</v>
      </c>
      <c r="H6584" s="27" t="s">
        <v>3296</v>
      </c>
      <c r="I6584" s="27" t="s">
        <v>13</v>
      </c>
    </row>
    <row r="6585" spans="1:9" x14ac:dyDescent="0.3">
      <c r="A6585" s="26">
        <v>45282</v>
      </c>
      <c r="B6585" s="27" t="s">
        <v>126</v>
      </c>
      <c r="C6585" s="27" t="s">
        <v>18</v>
      </c>
      <c r="D6585" s="27" t="s">
        <v>7</v>
      </c>
      <c r="E6585" s="28">
        <v>35790</v>
      </c>
      <c r="F6585" s="28">
        <v>121919</v>
      </c>
      <c r="G6585" s="27" t="s">
        <v>11</v>
      </c>
      <c r="H6585" s="27" t="s">
        <v>3354</v>
      </c>
      <c r="I6585" s="27" t="s">
        <v>13</v>
      </c>
    </row>
    <row r="6586" spans="1:9" x14ac:dyDescent="0.3">
      <c r="A6586" s="26">
        <v>45282</v>
      </c>
      <c r="B6586" s="27" t="s">
        <v>126</v>
      </c>
      <c r="C6586" s="27" t="s">
        <v>6</v>
      </c>
      <c r="D6586" s="27" t="s">
        <v>16</v>
      </c>
      <c r="E6586" s="28">
        <v>232900</v>
      </c>
      <c r="F6586" s="28">
        <v>307900</v>
      </c>
      <c r="G6586" s="27" t="s">
        <v>17</v>
      </c>
      <c r="H6586" s="27" t="s">
        <v>3862</v>
      </c>
      <c r="I6586" s="27" t="s">
        <v>9</v>
      </c>
    </row>
    <row r="6587" spans="1:9" x14ac:dyDescent="0.3">
      <c r="A6587" s="26">
        <v>45282</v>
      </c>
      <c r="B6587" s="27" t="s">
        <v>126</v>
      </c>
      <c r="C6587" s="27" t="s">
        <v>93</v>
      </c>
      <c r="D6587" s="27" t="s">
        <v>7</v>
      </c>
      <c r="E6587" s="28">
        <v>60000</v>
      </c>
      <c r="F6587" s="28">
        <v>59800</v>
      </c>
      <c r="G6587" s="27" t="s">
        <v>11</v>
      </c>
      <c r="H6587" s="27" t="s">
        <v>4284</v>
      </c>
      <c r="I6587" s="27" t="s">
        <v>9</v>
      </c>
    </row>
    <row r="6588" spans="1:9" x14ac:dyDescent="0.3">
      <c r="A6588" s="26">
        <v>45282</v>
      </c>
      <c r="B6588" s="27" t="s">
        <v>126</v>
      </c>
      <c r="C6588" s="27" t="s">
        <v>6</v>
      </c>
      <c r="D6588" s="27" t="s">
        <v>7</v>
      </c>
      <c r="E6588" s="28">
        <v>64800</v>
      </c>
      <c r="F6588" s="28">
        <v>55100</v>
      </c>
      <c r="G6588" s="27" t="s">
        <v>11</v>
      </c>
      <c r="H6588" s="27" t="s">
        <v>4635</v>
      </c>
      <c r="I6588" s="27" t="s">
        <v>9</v>
      </c>
    </row>
    <row r="6589" spans="1:9" x14ac:dyDescent="0.3">
      <c r="A6589" s="26">
        <v>45282</v>
      </c>
      <c r="B6589" s="27" t="s">
        <v>126</v>
      </c>
      <c r="C6589" s="27" t="s">
        <v>93</v>
      </c>
      <c r="D6589" s="27" t="s">
        <v>7</v>
      </c>
      <c r="E6589" s="28">
        <v>92700</v>
      </c>
      <c r="F6589" s="28">
        <v>93300</v>
      </c>
      <c r="G6589" s="27" t="s">
        <v>11</v>
      </c>
      <c r="H6589" s="27" t="s">
        <v>5874</v>
      </c>
      <c r="I6589" s="27" t="s">
        <v>9</v>
      </c>
    </row>
    <row r="6590" spans="1:9" x14ac:dyDescent="0.3">
      <c r="A6590" s="26">
        <v>45282</v>
      </c>
      <c r="B6590" s="27" t="s">
        <v>126</v>
      </c>
      <c r="C6590" s="27" t="s">
        <v>6</v>
      </c>
      <c r="D6590" s="27" t="s">
        <v>19</v>
      </c>
      <c r="E6590" s="28">
        <v>118700</v>
      </c>
      <c r="F6590" s="28">
        <v>87000</v>
      </c>
      <c r="G6590" s="27" t="s">
        <v>11</v>
      </c>
      <c r="H6590" s="27" t="s">
        <v>6141</v>
      </c>
      <c r="I6590" s="27" t="s">
        <v>9</v>
      </c>
    </row>
    <row r="6591" spans="1:9" x14ac:dyDescent="0.3">
      <c r="A6591" s="26">
        <v>45282</v>
      </c>
      <c r="B6591" s="27" t="s">
        <v>126</v>
      </c>
      <c r="C6591" s="27" t="s">
        <v>93</v>
      </c>
      <c r="D6591" s="27" t="s">
        <v>19</v>
      </c>
      <c r="E6591" s="28">
        <v>133100</v>
      </c>
      <c r="F6591" s="28">
        <v>171000</v>
      </c>
      <c r="G6591" s="27" t="s">
        <v>11</v>
      </c>
      <c r="H6591" s="27" t="s">
        <v>6681</v>
      </c>
      <c r="I6591" s="27" t="s">
        <v>9</v>
      </c>
    </row>
    <row r="6592" spans="1:9" x14ac:dyDescent="0.3">
      <c r="A6592" s="26">
        <v>45282</v>
      </c>
      <c r="B6592" s="27" t="s">
        <v>126</v>
      </c>
      <c r="C6592" s="27" t="s">
        <v>93</v>
      </c>
      <c r="D6592" s="27" t="s">
        <v>7</v>
      </c>
      <c r="E6592" s="28">
        <v>68500</v>
      </c>
      <c r="F6592" s="28">
        <v>64200</v>
      </c>
      <c r="G6592" s="27" t="s">
        <v>11</v>
      </c>
      <c r="H6592" s="27" t="s">
        <v>6739</v>
      </c>
      <c r="I6592" s="27" t="s">
        <v>9</v>
      </c>
    </row>
    <row r="6593" spans="1:9" x14ac:dyDescent="0.3">
      <c r="A6593" s="26">
        <v>45283</v>
      </c>
      <c r="B6593" s="27" t="s">
        <v>126</v>
      </c>
      <c r="C6593" s="27" t="s">
        <v>10</v>
      </c>
      <c r="D6593" s="27" t="s">
        <v>16</v>
      </c>
      <c r="E6593" s="28">
        <v>101956</v>
      </c>
      <c r="F6593" s="28">
        <v>68438</v>
      </c>
      <c r="G6593" s="27" t="s">
        <v>8</v>
      </c>
      <c r="H6593" s="27" t="s">
        <v>78</v>
      </c>
      <c r="I6593" s="27" t="s">
        <v>13</v>
      </c>
    </row>
    <row r="6594" spans="1:9" x14ac:dyDescent="0.3">
      <c r="A6594" s="26">
        <v>45283</v>
      </c>
      <c r="B6594" s="27" t="s">
        <v>126</v>
      </c>
      <c r="C6594" s="27" t="s">
        <v>15</v>
      </c>
      <c r="D6594" s="27" t="s">
        <v>16</v>
      </c>
      <c r="E6594" s="28">
        <v>110806</v>
      </c>
      <c r="F6594" s="28">
        <v>57157</v>
      </c>
      <c r="G6594" s="27" t="s">
        <v>11</v>
      </c>
      <c r="H6594" s="27" t="s">
        <v>389</v>
      </c>
      <c r="I6594" s="27" t="s">
        <v>13</v>
      </c>
    </row>
    <row r="6595" spans="1:9" x14ac:dyDescent="0.3">
      <c r="A6595" s="26">
        <v>45283</v>
      </c>
      <c r="B6595" s="27" t="s">
        <v>126</v>
      </c>
      <c r="C6595" s="27" t="s">
        <v>32</v>
      </c>
      <c r="D6595" s="27" t="s">
        <v>19</v>
      </c>
      <c r="E6595" s="28">
        <v>15062</v>
      </c>
      <c r="F6595" s="28">
        <v>33862</v>
      </c>
      <c r="G6595" s="27" t="s">
        <v>17</v>
      </c>
      <c r="H6595" s="27" t="s">
        <v>728</v>
      </c>
      <c r="I6595" s="27" t="s">
        <v>13</v>
      </c>
    </row>
    <row r="6596" spans="1:9" x14ac:dyDescent="0.3">
      <c r="A6596" s="26">
        <v>45283</v>
      </c>
      <c r="B6596" s="27" t="s">
        <v>126</v>
      </c>
      <c r="C6596" s="27" t="s">
        <v>20</v>
      </c>
      <c r="D6596" s="27" t="s">
        <v>7</v>
      </c>
      <c r="E6596" s="28">
        <v>111019</v>
      </c>
      <c r="F6596" s="28">
        <v>139101</v>
      </c>
      <c r="G6596" s="27" t="s">
        <v>11</v>
      </c>
      <c r="H6596" s="27" t="s">
        <v>891</v>
      </c>
      <c r="I6596" s="27" t="s">
        <v>13</v>
      </c>
    </row>
    <row r="6597" spans="1:9" x14ac:dyDescent="0.3">
      <c r="A6597" s="26">
        <v>45283</v>
      </c>
      <c r="B6597" s="27" t="s">
        <v>126</v>
      </c>
      <c r="C6597" s="27" t="s">
        <v>20</v>
      </c>
      <c r="D6597" s="27" t="s">
        <v>21</v>
      </c>
      <c r="E6597" s="28">
        <v>38279</v>
      </c>
      <c r="F6597" s="28">
        <v>126437</v>
      </c>
      <c r="G6597" s="27" t="s">
        <v>11</v>
      </c>
      <c r="H6597" s="27" t="s">
        <v>945</v>
      </c>
      <c r="I6597" s="27" t="s">
        <v>13</v>
      </c>
    </row>
    <row r="6598" spans="1:9" x14ac:dyDescent="0.3">
      <c r="A6598" s="26">
        <v>45283</v>
      </c>
      <c r="B6598" s="27" t="s">
        <v>126</v>
      </c>
      <c r="C6598" s="27" t="s">
        <v>20</v>
      </c>
      <c r="D6598" s="27" t="s">
        <v>7</v>
      </c>
      <c r="E6598" s="28">
        <v>124289</v>
      </c>
      <c r="F6598" s="28">
        <v>28062</v>
      </c>
      <c r="G6598" s="27" t="s">
        <v>8</v>
      </c>
      <c r="H6598" s="27" t="s">
        <v>1409</v>
      </c>
      <c r="I6598" s="27" t="s">
        <v>13</v>
      </c>
    </row>
    <row r="6599" spans="1:9" x14ac:dyDescent="0.3">
      <c r="A6599" s="26">
        <v>45283</v>
      </c>
      <c r="B6599" s="27" t="s">
        <v>126</v>
      </c>
      <c r="C6599" s="27" t="s">
        <v>32</v>
      </c>
      <c r="D6599" s="27" t="s">
        <v>7</v>
      </c>
      <c r="E6599" s="28">
        <v>70147</v>
      </c>
      <c r="F6599" s="28">
        <v>155287</v>
      </c>
      <c r="G6599" s="27" t="s">
        <v>22</v>
      </c>
      <c r="H6599" s="27" t="s">
        <v>1521</v>
      </c>
      <c r="I6599" s="27" t="s">
        <v>13</v>
      </c>
    </row>
    <row r="6600" spans="1:9" x14ac:dyDescent="0.3">
      <c r="A6600" s="26">
        <v>45283</v>
      </c>
      <c r="B6600" s="27" t="s">
        <v>126</v>
      </c>
      <c r="C6600" s="27" t="s">
        <v>15</v>
      </c>
      <c r="D6600" s="27" t="s">
        <v>7</v>
      </c>
      <c r="E6600" s="28">
        <v>137901</v>
      </c>
      <c r="F6600" s="28">
        <v>52767</v>
      </c>
      <c r="G6600" s="27" t="s">
        <v>22</v>
      </c>
      <c r="H6600" s="27" t="s">
        <v>1934</v>
      </c>
      <c r="I6600" s="27" t="s">
        <v>13</v>
      </c>
    </row>
    <row r="6601" spans="1:9" x14ac:dyDescent="0.3">
      <c r="A6601" s="26">
        <v>45283</v>
      </c>
      <c r="B6601" s="27" t="s">
        <v>126</v>
      </c>
      <c r="C6601" s="27" t="s">
        <v>6</v>
      </c>
      <c r="D6601" s="27" t="s">
        <v>16</v>
      </c>
      <c r="E6601" s="28">
        <v>100500</v>
      </c>
      <c r="F6601" s="28">
        <v>124100</v>
      </c>
      <c r="G6601" s="27" t="s">
        <v>22</v>
      </c>
      <c r="H6601" s="27" t="s">
        <v>3467</v>
      </c>
      <c r="I6601" s="27" t="s">
        <v>9</v>
      </c>
    </row>
    <row r="6602" spans="1:9" x14ac:dyDescent="0.3">
      <c r="A6602" s="26">
        <v>45283</v>
      </c>
      <c r="B6602" s="27" t="s">
        <v>126</v>
      </c>
      <c r="C6602" s="27" t="s">
        <v>6</v>
      </c>
      <c r="D6602" s="27" t="s">
        <v>16</v>
      </c>
      <c r="E6602" s="28">
        <v>110700</v>
      </c>
      <c r="F6602" s="28">
        <v>108200</v>
      </c>
      <c r="G6602" s="27" t="s">
        <v>22</v>
      </c>
      <c r="H6602" s="27" t="s">
        <v>3770</v>
      </c>
      <c r="I6602" s="27" t="s">
        <v>9</v>
      </c>
    </row>
    <row r="6603" spans="1:9" x14ac:dyDescent="0.3">
      <c r="A6603" s="26">
        <v>45283</v>
      </c>
      <c r="B6603" s="27" t="s">
        <v>126</v>
      </c>
      <c r="C6603" s="27" t="s">
        <v>6</v>
      </c>
      <c r="D6603" s="27" t="s">
        <v>19</v>
      </c>
      <c r="E6603" s="28">
        <v>84300</v>
      </c>
      <c r="F6603" s="28">
        <v>76600</v>
      </c>
      <c r="G6603" s="27" t="s">
        <v>22</v>
      </c>
      <c r="H6603" s="27" t="s">
        <v>4109</v>
      </c>
      <c r="I6603" s="27" t="s">
        <v>9</v>
      </c>
    </row>
    <row r="6604" spans="1:9" x14ac:dyDescent="0.3">
      <c r="A6604" s="26">
        <v>45283</v>
      </c>
      <c r="B6604" s="27" t="s">
        <v>126</v>
      </c>
      <c r="C6604" s="27" t="s">
        <v>93</v>
      </c>
      <c r="D6604" s="27" t="s">
        <v>7</v>
      </c>
      <c r="E6604" s="28">
        <v>96200</v>
      </c>
      <c r="F6604" s="28">
        <v>90500</v>
      </c>
      <c r="G6604" s="27" t="s">
        <v>22</v>
      </c>
      <c r="H6604" s="27" t="s">
        <v>4272</v>
      </c>
      <c r="I6604" s="27" t="s">
        <v>9</v>
      </c>
    </row>
    <row r="6605" spans="1:9" x14ac:dyDescent="0.3">
      <c r="A6605" s="26">
        <v>45283</v>
      </c>
      <c r="B6605" s="27" t="s">
        <v>126</v>
      </c>
      <c r="C6605" s="27" t="s">
        <v>6</v>
      </c>
      <c r="D6605" s="27" t="s">
        <v>21</v>
      </c>
      <c r="E6605" s="28">
        <v>216700</v>
      </c>
      <c r="F6605" s="28">
        <v>192400</v>
      </c>
      <c r="G6605" s="27" t="s">
        <v>11</v>
      </c>
      <c r="H6605" s="27" t="s">
        <v>4326</v>
      </c>
      <c r="I6605" s="27" t="s">
        <v>9</v>
      </c>
    </row>
    <row r="6606" spans="1:9" x14ac:dyDescent="0.3">
      <c r="A6606" s="26">
        <v>45283</v>
      </c>
      <c r="B6606" s="27" t="s">
        <v>126</v>
      </c>
      <c r="C6606" s="27" t="s">
        <v>6</v>
      </c>
      <c r="D6606" s="27" t="s">
        <v>7</v>
      </c>
      <c r="E6606" s="28">
        <v>60200</v>
      </c>
      <c r="F6606" s="28">
        <v>60300</v>
      </c>
      <c r="G6606" s="27" t="s">
        <v>11</v>
      </c>
      <c r="H6606" s="27" t="s">
        <v>4792</v>
      </c>
      <c r="I6606" s="27" t="s">
        <v>9</v>
      </c>
    </row>
    <row r="6607" spans="1:9" x14ac:dyDescent="0.3">
      <c r="A6607" s="26">
        <v>45283</v>
      </c>
      <c r="B6607" s="27" t="s">
        <v>126</v>
      </c>
      <c r="C6607" s="27" t="s">
        <v>93</v>
      </c>
      <c r="D6607" s="27" t="s">
        <v>7</v>
      </c>
      <c r="E6607" s="28">
        <v>124900</v>
      </c>
      <c r="F6607" s="28">
        <v>152400</v>
      </c>
      <c r="G6607" s="27" t="s">
        <v>11</v>
      </c>
      <c r="H6607" s="27" t="s">
        <v>4904</v>
      </c>
      <c r="I6607" s="27" t="s">
        <v>9</v>
      </c>
    </row>
    <row r="6608" spans="1:9" x14ac:dyDescent="0.3">
      <c r="A6608" s="26">
        <v>45283</v>
      </c>
      <c r="B6608" s="27" t="s">
        <v>126</v>
      </c>
      <c r="C6608" s="27" t="s">
        <v>6</v>
      </c>
      <c r="D6608" s="27" t="s">
        <v>7</v>
      </c>
      <c r="E6608" s="28">
        <v>99300</v>
      </c>
      <c r="F6608" s="28">
        <v>127300</v>
      </c>
      <c r="G6608" s="27" t="s">
        <v>11</v>
      </c>
      <c r="H6608" s="27" t="s">
        <v>5318</v>
      </c>
      <c r="I6608" s="27" t="s">
        <v>9</v>
      </c>
    </row>
    <row r="6609" spans="1:9" x14ac:dyDescent="0.3">
      <c r="A6609" s="26">
        <v>45284</v>
      </c>
      <c r="B6609" s="27" t="s">
        <v>126</v>
      </c>
      <c r="C6609" s="27" t="s">
        <v>15</v>
      </c>
      <c r="D6609" s="27" t="s">
        <v>24</v>
      </c>
      <c r="E6609" s="28">
        <v>126921</v>
      </c>
      <c r="F6609" s="28">
        <v>16124</v>
      </c>
      <c r="G6609" s="27" t="s">
        <v>17</v>
      </c>
      <c r="H6609" s="27" t="s">
        <v>552</v>
      </c>
      <c r="I6609" s="27" t="s">
        <v>13</v>
      </c>
    </row>
    <row r="6610" spans="1:9" x14ac:dyDescent="0.3">
      <c r="A6610" s="26">
        <v>45284</v>
      </c>
      <c r="B6610" s="27" t="s">
        <v>126</v>
      </c>
      <c r="C6610" s="27" t="s">
        <v>18</v>
      </c>
      <c r="D6610" s="27" t="s">
        <v>7</v>
      </c>
      <c r="E6610" s="28">
        <v>99412</v>
      </c>
      <c r="F6610" s="28">
        <v>59552</v>
      </c>
      <c r="G6610" s="27" t="s">
        <v>22</v>
      </c>
      <c r="H6610" s="27" t="s">
        <v>1310</v>
      </c>
      <c r="I6610" s="27" t="s">
        <v>13</v>
      </c>
    </row>
    <row r="6611" spans="1:9" x14ac:dyDescent="0.3">
      <c r="A6611" s="26">
        <v>45284</v>
      </c>
      <c r="B6611" s="27" t="s">
        <v>126</v>
      </c>
      <c r="C6611" s="27" t="s">
        <v>10</v>
      </c>
      <c r="D6611" s="27" t="s">
        <v>21</v>
      </c>
      <c r="E6611" s="28">
        <v>49876</v>
      </c>
      <c r="F6611" s="28">
        <v>114324</v>
      </c>
      <c r="G6611" s="27" t="s">
        <v>8</v>
      </c>
      <c r="H6611" s="27" t="s">
        <v>1336</v>
      </c>
      <c r="I6611" s="27" t="s">
        <v>13</v>
      </c>
    </row>
    <row r="6612" spans="1:9" x14ac:dyDescent="0.3">
      <c r="A6612" s="26">
        <v>45284</v>
      </c>
      <c r="B6612" s="27" t="s">
        <v>126</v>
      </c>
      <c r="C6612" s="27" t="s">
        <v>20</v>
      </c>
      <c r="D6612" s="27" t="s">
        <v>21</v>
      </c>
      <c r="E6612" s="28">
        <v>80174</v>
      </c>
      <c r="F6612" s="28">
        <v>132292</v>
      </c>
      <c r="G6612" s="27" t="s">
        <v>8</v>
      </c>
      <c r="H6612" s="27" t="s">
        <v>2677</v>
      </c>
      <c r="I6612" s="27" t="s">
        <v>13</v>
      </c>
    </row>
    <row r="6613" spans="1:9" x14ac:dyDescent="0.3">
      <c r="A6613" s="26">
        <v>45284</v>
      </c>
      <c r="B6613" s="27" t="s">
        <v>126</v>
      </c>
      <c r="C6613" s="27" t="s">
        <v>93</v>
      </c>
      <c r="D6613" s="27" t="s">
        <v>24</v>
      </c>
      <c r="E6613" s="28">
        <v>146100</v>
      </c>
      <c r="F6613" s="28">
        <v>161100</v>
      </c>
      <c r="G6613" s="27" t="s">
        <v>17</v>
      </c>
      <c r="H6613" s="27" t="s">
        <v>3933</v>
      </c>
      <c r="I6613" s="27" t="s">
        <v>9</v>
      </c>
    </row>
    <row r="6614" spans="1:9" x14ac:dyDescent="0.3">
      <c r="A6614" s="26">
        <v>45284</v>
      </c>
      <c r="B6614" s="27" t="s">
        <v>126</v>
      </c>
      <c r="C6614" s="27" t="s">
        <v>6</v>
      </c>
      <c r="D6614" s="27" t="s">
        <v>7</v>
      </c>
      <c r="E6614" s="28">
        <v>74800</v>
      </c>
      <c r="F6614" s="28">
        <v>72800</v>
      </c>
      <c r="G6614" s="27" t="s">
        <v>11</v>
      </c>
      <c r="H6614" s="27" t="s">
        <v>4693</v>
      </c>
      <c r="I6614" s="27" t="s">
        <v>9</v>
      </c>
    </row>
    <row r="6615" spans="1:9" x14ac:dyDescent="0.3">
      <c r="A6615" s="26">
        <v>45284</v>
      </c>
      <c r="B6615" s="27" t="s">
        <v>126</v>
      </c>
      <c r="C6615" s="27" t="s">
        <v>6</v>
      </c>
      <c r="D6615" s="27" t="s">
        <v>21</v>
      </c>
      <c r="E6615" s="28">
        <v>64300</v>
      </c>
      <c r="F6615" s="28">
        <v>84000</v>
      </c>
      <c r="G6615" s="27" t="s">
        <v>11</v>
      </c>
      <c r="H6615" s="27" t="s">
        <v>4719</v>
      </c>
      <c r="I6615" s="27" t="s">
        <v>9</v>
      </c>
    </row>
    <row r="6616" spans="1:9" x14ac:dyDescent="0.3">
      <c r="A6616" s="26">
        <v>45284</v>
      </c>
      <c r="B6616" s="27" t="s">
        <v>126</v>
      </c>
      <c r="C6616" s="27" t="s">
        <v>93</v>
      </c>
      <c r="D6616" s="27" t="s">
        <v>21</v>
      </c>
      <c r="E6616" s="28">
        <v>121000</v>
      </c>
      <c r="F6616" s="28">
        <v>118400</v>
      </c>
      <c r="G6616" s="27" t="s">
        <v>11</v>
      </c>
      <c r="H6616" s="27" t="s">
        <v>6062</v>
      </c>
      <c r="I6616" s="27" t="s">
        <v>9</v>
      </c>
    </row>
    <row r="6617" spans="1:9" x14ac:dyDescent="0.3">
      <c r="A6617" s="26">
        <v>45285</v>
      </c>
      <c r="B6617" s="27" t="s">
        <v>126</v>
      </c>
      <c r="C6617" s="27" t="s">
        <v>32</v>
      </c>
      <c r="D6617" s="27" t="s">
        <v>16</v>
      </c>
      <c r="E6617" s="28">
        <v>124176</v>
      </c>
      <c r="F6617" s="28">
        <v>16982</v>
      </c>
      <c r="G6617" s="27" t="s">
        <v>8</v>
      </c>
      <c r="H6617" s="27" t="s">
        <v>268</v>
      </c>
      <c r="I6617" s="27" t="s">
        <v>13</v>
      </c>
    </row>
    <row r="6618" spans="1:9" x14ac:dyDescent="0.3">
      <c r="A6618" s="26">
        <v>45285</v>
      </c>
      <c r="B6618" s="27" t="s">
        <v>126</v>
      </c>
      <c r="C6618" s="27" t="s">
        <v>32</v>
      </c>
      <c r="D6618" s="27" t="s">
        <v>24</v>
      </c>
      <c r="E6618" s="28">
        <v>36520</v>
      </c>
      <c r="F6618" s="28">
        <v>160374</v>
      </c>
      <c r="G6618" s="27" t="s">
        <v>17</v>
      </c>
      <c r="H6618" s="27" t="s">
        <v>633</v>
      </c>
      <c r="I6618" s="27" t="s">
        <v>13</v>
      </c>
    </row>
    <row r="6619" spans="1:9" x14ac:dyDescent="0.3">
      <c r="A6619" s="26">
        <v>45285</v>
      </c>
      <c r="B6619" s="27" t="s">
        <v>126</v>
      </c>
      <c r="C6619" s="27" t="s">
        <v>15</v>
      </c>
      <c r="D6619" s="27" t="s">
        <v>21</v>
      </c>
      <c r="E6619" s="28">
        <v>12488</v>
      </c>
      <c r="F6619" s="28">
        <v>15272</v>
      </c>
      <c r="G6619" s="27" t="s">
        <v>22</v>
      </c>
      <c r="H6619" s="27" t="s">
        <v>910</v>
      </c>
      <c r="I6619" s="27" t="s">
        <v>13</v>
      </c>
    </row>
    <row r="6620" spans="1:9" x14ac:dyDescent="0.3">
      <c r="A6620" s="26">
        <v>45285</v>
      </c>
      <c r="B6620" s="27" t="s">
        <v>126</v>
      </c>
      <c r="C6620" s="27" t="s">
        <v>14</v>
      </c>
      <c r="D6620" s="27" t="s">
        <v>16</v>
      </c>
      <c r="E6620" s="28">
        <v>32969</v>
      </c>
      <c r="F6620" s="28">
        <v>45254</v>
      </c>
      <c r="G6620" s="27" t="s">
        <v>11</v>
      </c>
      <c r="H6620" s="27" t="s">
        <v>997</v>
      </c>
      <c r="I6620" s="27" t="s">
        <v>13</v>
      </c>
    </row>
    <row r="6621" spans="1:9" x14ac:dyDescent="0.3">
      <c r="A6621" s="26">
        <v>45285</v>
      </c>
      <c r="B6621" s="27" t="s">
        <v>126</v>
      </c>
      <c r="C6621" s="27" t="s">
        <v>14</v>
      </c>
      <c r="D6621" s="27" t="s">
        <v>7</v>
      </c>
      <c r="E6621" s="28">
        <v>75567</v>
      </c>
      <c r="F6621" s="28">
        <v>93800</v>
      </c>
      <c r="G6621" s="27" t="s">
        <v>17</v>
      </c>
      <c r="H6621" s="27" t="s">
        <v>1052</v>
      </c>
      <c r="I6621" s="27" t="s">
        <v>13</v>
      </c>
    </row>
    <row r="6622" spans="1:9" x14ac:dyDescent="0.3">
      <c r="A6622" s="26">
        <v>45285</v>
      </c>
      <c r="B6622" s="27" t="s">
        <v>126</v>
      </c>
      <c r="C6622" s="27" t="s">
        <v>32</v>
      </c>
      <c r="D6622" s="27" t="s">
        <v>16</v>
      </c>
      <c r="E6622" s="28">
        <v>108814</v>
      </c>
      <c r="F6622" s="28">
        <v>165953</v>
      </c>
      <c r="G6622" s="27" t="s">
        <v>17</v>
      </c>
      <c r="H6622" s="27" t="s">
        <v>1163</v>
      </c>
      <c r="I6622" s="27" t="s">
        <v>13</v>
      </c>
    </row>
    <row r="6623" spans="1:9" x14ac:dyDescent="0.3">
      <c r="A6623" s="26">
        <v>45285</v>
      </c>
      <c r="B6623" s="27" t="s">
        <v>126</v>
      </c>
      <c r="C6623" s="27" t="s">
        <v>20</v>
      </c>
      <c r="D6623" s="27" t="s">
        <v>7</v>
      </c>
      <c r="E6623" s="28">
        <v>67247</v>
      </c>
      <c r="F6623" s="28">
        <v>158076</v>
      </c>
      <c r="G6623" s="27" t="s">
        <v>22</v>
      </c>
      <c r="H6623" s="27" t="s">
        <v>1350</v>
      </c>
      <c r="I6623" s="27" t="s">
        <v>13</v>
      </c>
    </row>
    <row r="6624" spans="1:9" x14ac:dyDescent="0.3">
      <c r="A6624" s="26">
        <v>45285</v>
      </c>
      <c r="B6624" s="27" t="s">
        <v>126</v>
      </c>
      <c r="C6624" s="27" t="s">
        <v>10</v>
      </c>
      <c r="D6624" s="27" t="s">
        <v>7</v>
      </c>
      <c r="E6624" s="28">
        <v>87437</v>
      </c>
      <c r="F6624" s="28">
        <v>53012</v>
      </c>
      <c r="G6624" s="27" t="s">
        <v>11</v>
      </c>
      <c r="H6624" s="27" t="s">
        <v>1469</v>
      </c>
      <c r="I6624" s="27" t="s">
        <v>13</v>
      </c>
    </row>
    <row r="6625" spans="1:9" x14ac:dyDescent="0.3">
      <c r="A6625" s="26">
        <v>45285</v>
      </c>
      <c r="B6625" s="27" t="s">
        <v>126</v>
      </c>
      <c r="C6625" s="27" t="s">
        <v>20</v>
      </c>
      <c r="D6625" s="27" t="s">
        <v>19</v>
      </c>
      <c r="E6625" s="28">
        <v>48304</v>
      </c>
      <c r="F6625" s="28">
        <v>27612</v>
      </c>
      <c r="G6625" s="27" t="s">
        <v>17</v>
      </c>
      <c r="H6625" s="27" t="s">
        <v>1769</v>
      </c>
      <c r="I6625" s="27" t="s">
        <v>13</v>
      </c>
    </row>
    <row r="6626" spans="1:9" x14ac:dyDescent="0.3">
      <c r="A6626" s="26">
        <v>45285</v>
      </c>
      <c r="B6626" s="27" t="s">
        <v>126</v>
      </c>
      <c r="C6626" s="27" t="s">
        <v>14</v>
      </c>
      <c r="D6626" s="27" t="s">
        <v>16</v>
      </c>
      <c r="E6626" s="28">
        <v>45074</v>
      </c>
      <c r="F6626" s="28">
        <v>68039</v>
      </c>
      <c r="G6626" s="27" t="s">
        <v>17</v>
      </c>
      <c r="H6626" s="27" t="s">
        <v>2454</v>
      </c>
      <c r="I6626" s="27" t="s">
        <v>13</v>
      </c>
    </row>
    <row r="6627" spans="1:9" x14ac:dyDescent="0.3">
      <c r="A6627" s="26">
        <v>45285</v>
      </c>
      <c r="B6627" s="27" t="s">
        <v>126</v>
      </c>
      <c r="C6627" s="27" t="s">
        <v>20</v>
      </c>
      <c r="D6627" s="27" t="s">
        <v>16</v>
      </c>
      <c r="E6627" s="28">
        <v>38444</v>
      </c>
      <c r="F6627" s="28">
        <v>156363</v>
      </c>
      <c r="G6627" s="27" t="s">
        <v>22</v>
      </c>
      <c r="H6627" s="27" t="s">
        <v>2497</v>
      </c>
      <c r="I6627" s="27" t="s">
        <v>13</v>
      </c>
    </row>
    <row r="6628" spans="1:9" x14ac:dyDescent="0.3">
      <c r="A6628" s="26">
        <v>45285</v>
      </c>
      <c r="B6628" s="27" t="s">
        <v>126</v>
      </c>
      <c r="C6628" s="27" t="s">
        <v>32</v>
      </c>
      <c r="D6628" s="27" t="s">
        <v>19</v>
      </c>
      <c r="E6628" s="28">
        <v>139513</v>
      </c>
      <c r="F6628" s="28">
        <v>147935</v>
      </c>
      <c r="G6628" s="27" t="s">
        <v>11</v>
      </c>
      <c r="H6628" s="27" t="s">
        <v>2500</v>
      </c>
      <c r="I6628" s="27" t="s">
        <v>13</v>
      </c>
    </row>
    <row r="6629" spans="1:9" x14ac:dyDescent="0.3">
      <c r="A6629" s="26">
        <v>45285</v>
      </c>
      <c r="B6629" s="27" t="s">
        <v>126</v>
      </c>
      <c r="C6629" s="27" t="s">
        <v>32</v>
      </c>
      <c r="D6629" s="27" t="s">
        <v>19</v>
      </c>
      <c r="E6629" s="28">
        <v>41363</v>
      </c>
      <c r="F6629" s="28">
        <v>121243</v>
      </c>
      <c r="G6629" s="27" t="s">
        <v>8</v>
      </c>
      <c r="H6629" s="27" t="s">
        <v>2669</v>
      </c>
      <c r="I6629" s="27" t="s">
        <v>13</v>
      </c>
    </row>
    <row r="6630" spans="1:9" x14ac:dyDescent="0.3">
      <c r="A6630" s="26">
        <v>45285</v>
      </c>
      <c r="B6630" s="27" t="s">
        <v>126</v>
      </c>
      <c r="C6630" s="27" t="s">
        <v>15</v>
      </c>
      <c r="D6630" s="27" t="s">
        <v>24</v>
      </c>
      <c r="E6630" s="28">
        <v>135489</v>
      </c>
      <c r="F6630" s="28">
        <v>149650</v>
      </c>
      <c r="G6630" s="27" t="s">
        <v>22</v>
      </c>
      <c r="H6630" s="27" t="s">
        <v>2695</v>
      </c>
      <c r="I6630" s="27" t="s">
        <v>13</v>
      </c>
    </row>
    <row r="6631" spans="1:9" x14ac:dyDescent="0.3">
      <c r="A6631" s="26">
        <v>45285</v>
      </c>
      <c r="B6631" s="27" t="s">
        <v>126</v>
      </c>
      <c r="C6631" s="27" t="s">
        <v>20</v>
      </c>
      <c r="D6631" s="27" t="s">
        <v>19</v>
      </c>
      <c r="E6631" s="28">
        <v>111837</v>
      </c>
      <c r="F6631" s="28">
        <v>79907</v>
      </c>
      <c r="G6631" s="27" t="s">
        <v>11</v>
      </c>
      <c r="H6631" s="27" t="s">
        <v>3142</v>
      </c>
      <c r="I6631" s="27" t="s">
        <v>13</v>
      </c>
    </row>
    <row r="6632" spans="1:9" x14ac:dyDescent="0.3">
      <c r="A6632" s="26">
        <v>45285</v>
      </c>
      <c r="B6632" s="27" t="s">
        <v>126</v>
      </c>
      <c r="C6632" s="27" t="s">
        <v>93</v>
      </c>
      <c r="D6632" s="27" t="s">
        <v>16</v>
      </c>
      <c r="E6632" s="28">
        <v>121700</v>
      </c>
      <c r="F6632" s="28">
        <v>121200</v>
      </c>
      <c r="G6632" s="27" t="s">
        <v>22</v>
      </c>
      <c r="H6632" s="27" t="s">
        <v>3649</v>
      </c>
      <c r="I6632" s="27" t="s">
        <v>9</v>
      </c>
    </row>
    <row r="6633" spans="1:9" x14ac:dyDescent="0.3">
      <c r="A6633" s="26">
        <v>45285</v>
      </c>
      <c r="B6633" s="27" t="s">
        <v>126</v>
      </c>
      <c r="C6633" s="27" t="s">
        <v>6</v>
      </c>
      <c r="D6633" s="27" t="s">
        <v>24</v>
      </c>
      <c r="E6633" s="28">
        <v>127900</v>
      </c>
      <c r="F6633" s="28">
        <v>117600</v>
      </c>
      <c r="G6633" s="27" t="s">
        <v>22</v>
      </c>
      <c r="H6633" s="27" t="s">
        <v>4014</v>
      </c>
      <c r="I6633" s="27" t="s">
        <v>9</v>
      </c>
    </row>
    <row r="6634" spans="1:9" x14ac:dyDescent="0.3">
      <c r="A6634" s="26">
        <v>45285</v>
      </c>
      <c r="B6634" s="27" t="s">
        <v>126</v>
      </c>
      <c r="C6634" s="27" t="s">
        <v>93</v>
      </c>
      <c r="D6634" s="27" t="s">
        <v>21</v>
      </c>
      <c r="E6634" s="28">
        <v>133300</v>
      </c>
      <c r="F6634" s="28">
        <v>142300</v>
      </c>
      <c r="G6634" s="27" t="s">
        <v>11</v>
      </c>
      <c r="H6634" s="27" t="s">
        <v>4291</v>
      </c>
      <c r="I6634" s="27" t="s">
        <v>9</v>
      </c>
    </row>
    <row r="6635" spans="1:9" x14ac:dyDescent="0.3">
      <c r="A6635" s="26">
        <v>45285</v>
      </c>
      <c r="B6635" s="27" t="s">
        <v>126</v>
      </c>
      <c r="C6635" s="27" t="s">
        <v>6</v>
      </c>
      <c r="D6635" s="27" t="s">
        <v>16</v>
      </c>
      <c r="E6635" s="28">
        <v>104600</v>
      </c>
      <c r="F6635" s="28">
        <v>79000</v>
      </c>
      <c r="G6635" s="27" t="s">
        <v>11</v>
      </c>
      <c r="H6635" s="27" t="s">
        <v>4378</v>
      </c>
      <c r="I6635" s="27" t="s">
        <v>9</v>
      </c>
    </row>
    <row r="6636" spans="1:9" x14ac:dyDescent="0.3">
      <c r="A6636" s="26">
        <v>45285</v>
      </c>
      <c r="B6636" s="27" t="s">
        <v>126</v>
      </c>
      <c r="C6636" s="27" t="s">
        <v>6</v>
      </c>
      <c r="D6636" s="27" t="s">
        <v>7</v>
      </c>
      <c r="E6636" s="28">
        <v>114700</v>
      </c>
      <c r="F6636" s="28">
        <v>151000</v>
      </c>
      <c r="G6636" s="27" t="s">
        <v>22</v>
      </c>
      <c r="H6636" s="27" t="s">
        <v>4434</v>
      </c>
      <c r="I6636" s="27" t="s">
        <v>9</v>
      </c>
    </row>
    <row r="6637" spans="1:9" x14ac:dyDescent="0.3">
      <c r="A6637" s="26">
        <v>45285</v>
      </c>
      <c r="B6637" s="27" t="s">
        <v>126</v>
      </c>
      <c r="C6637" s="27" t="s">
        <v>6</v>
      </c>
      <c r="D6637" s="27" t="s">
        <v>16</v>
      </c>
      <c r="E6637" s="28">
        <v>70700</v>
      </c>
      <c r="F6637" s="28">
        <v>73400</v>
      </c>
      <c r="G6637" s="27" t="s">
        <v>11</v>
      </c>
      <c r="H6637" s="27" t="s">
        <v>4546</v>
      </c>
      <c r="I6637" s="27" t="s">
        <v>9</v>
      </c>
    </row>
    <row r="6638" spans="1:9" x14ac:dyDescent="0.3">
      <c r="A6638" s="26">
        <v>45285</v>
      </c>
      <c r="B6638" s="27" t="s">
        <v>126</v>
      </c>
      <c r="C6638" s="27" t="s">
        <v>6</v>
      </c>
      <c r="D6638" s="27" t="s">
        <v>7</v>
      </c>
      <c r="E6638" s="28">
        <v>181200</v>
      </c>
      <c r="F6638" s="28">
        <v>242700</v>
      </c>
      <c r="G6638" s="27" t="s">
        <v>11</v>
      </c>
      <c r="H6638" s="27" t="s">
        <v>4733</v>
      </c>
      <c r="I6638" s="27" t="s">
        <v>9</v>
      </c>
    </row>
    <row r="6639" spans="1:9" x14ac:dyDescent="0.3">
      <c r="A6639" s="26">
        <v>45285</v>
      </c>
      <c r="B6639" s="27" t="s">
        <v>126</v>
      </c>
      <c r="C6639" s="27" t="s">
        <v>93</v>
      </c>
      <c r="D6639" s="27" t="s">
        <v>7</v>
      </c>
      <c r="E6639" s="28">
        <v>62100</v>
      </c>
      <c r="F6639" s="28">
        <v>65100</v>
      </c>
      <c r="G6639" s="27" t="s">
        <v>11</v>
      </c>
      <c r="H6639" s="27" t="s">
        <v>4852</v>
      </c>
      <c r="I6639" s="27" t="s">
        <v>9</v>
      </c>
    </row>
    <row r="6640" spans="1:9" x14ac:dyDescent="0.3">
      <c r="A6640" s="26">
        <v>45285</v>
      </c>
      <c r="B6640" s="27" t="s">
        <v>126</v>
      </c>
      <c r="C6640" s="27" t="s">
        <v>93</v>
      </c>
      <c r="D6640" s="27" t="s">
        <v>19</v>
      </c>
      <c r="E6640" s="28">
        <v>108300</v>
      </c>
      <c r="F6640" s="28">
        <v>105700</v>
      </c>
      <c r="G6640" s="27" t="s">
        <v>22</v>
      </c>
      <c r="H6640" s="27" t="s">
        <v>5152</v>
      </c>
      <c r="I6640" s="27" t="s">
        <v>9</v>
      </c>
    </row>
    <row r="6641" spans="1:9" x14ac:dyDescent="0.3">
      <c r="A6641" s="26">
        <v>45285</v>
      </c>
      <c r="B6641" s="27" t="s">
        <v>126</v>
      </c>
      <c r="C6641" s="27" t="s">
        <v>6</v>
      </c>
      <c r="D6641" s="27" t="s">
        <v>16</v>
      </c>
      <c r="E6641" s="28">
        <v>39700</v>
      </c>
      <c r="F6641" s="28">
        <v>31500</v>
      </c>
      <c r="G6641" s="27" t="s">
        <v>22</v>
      </c>
      <c r="H6641" s="27" t="s">
        <v>5839</v>
      </c>
      <c r="I6641" s="27" t="s">
        <v>9</v>
      </c>
    </row>
    <row r="6642" spans="1:9" x14ac:dyDescent="0.3">
      <c r="A6642" s="26">
        <v>45285</v>
      </c>
      <c r="B6642" s="27" t="s">
        <v>126</v>
      </c>
      <c r="C6642" s="27" t="s">
        <v>6</v>
      </c>
      <c r="D6642" s="27" t="s">
        <v>16</v>
      </c>
      <c r="E6642" s="28">
        <v>100300</v>
      </c>
      <c r="F6642" s="28">
        <v>128300</v>
      </c>
      <c r="G6642" s="27" t="s">
        <v>11</v>
      </c>
      <c r="H6642" s="27" t="s">
        <v>5882</v>
      </c>
      <c r="I6642" s="27" t="s">
        <v>9</v>
      </c>
    </row>
    <row r="6643" spans="1:9" x14ac:dyDescent="0.3">
      <c r="A6643" s="26">
        <v>45285</v>
      </c>
      <c r="B6643" s="27" t="s">
        <v>126</v>
      </c>
      <c r="C6643" s="27" t="s">
        <v>6</v>
      </c>
      <c r="D6643" s="27" t="s">
        <v>19</v>
      </c>
      <c r="E6643" s="28">
        <v>139000</v>
      </c>
      <c r="F6643" s="28">
        <v>182400</v>
      </c>
      <c r="G6643" s="27" t="s">
        <v>11</v>
      </c>
      <c r="H6643" s="27" t="s">
        <v>5885</v>
      </c>
      <c r="I6643" s="27" t="s">
        <v>9</v>
      </c>
    </row>
    <row r="6644" spans="1:9" x14ac:dyDescent="0.3">
      <c r="A6644" s="26">
        <v>45285</v>
      </c>
      <c r="B6644" s="27" t="s">
        <v>126</v>
      </c>
      <c r="C6644" s="27" t="s">
        <v>6</v>
      </c>
      <c r="D6644" s="27" t="s">
        <v>19</v>
      </c>
      <c r="E6644" s="28">
        <v>78100</v>
      </c>
      <c r="F6644" s="28">
        <v>72000</v>
      </c>
      <c r="G6644" s="27" t="s">
        <v>11</v>
      </c>
      <c r="H6644" s="27" t="s">
        <v>6054</v>
      </c>
      <c r="I6644" s="27" t="s">
        <v>9</v>
      </c>
    </row>
    <row r="6645" spans="1:9" x14ac:dyDescent="0.3">
      <c r="A6645" s="26">
        <v>45285</v>
      </c>
      <c r="B6645" s="27" t="s">
        <v>126</v>
      </c>
      <c r="C6645" s="27" t="s">
        <v>93</v>
      </c>
      <c r="D6645" s="27" t="s">
        <v>24</v>
      </c>
      <c r="E6645" s="28">
        <v>447200</v>
      </c>
      <c r="F6645" s="28">
        <v>446900</v>
      </c>
      <c r="G6645" s="27" t="s">
        <v>17</v>
      </c>
      <c r="H6645" s="27" t="s">
        <v>6080</v>
      </c>
      <c r="I6645" s="27" t="s">
        <v>9</v>
      </c>
    </row>
    <row r="6646" spans="1:9" x14ac:dyDescent="0.3">
      <c r="A6646" s="26">
        <v>45285</v>
      </c>
      <c r="B6646" s="27" t="s">
        <v>126</v>
      </c>
      <c r="C6646" s="27" t="s">
        <v>6</v>
      </c>
      <c r="D6646" s="27" t="s">
        <v>19</v>
      </c>
      <c r="E6646" s="28">
        <v>95700</v>
      </c>
      <c r="F6646" s="28">
        <v>75900</v>
      </c>
      <c r="G6646" s="27" t="s">
        <v>22</v>
      </c>
      <c r="H6646" s="27" t="s">
        <v>6527</v>
      </c>
      <c r="I6646" s="27" t="s">
        <v>9</v>
      </c>
    </row>
    <row r="6647" spans="1:9" x14ac:dyDescent="0.3">
      <c r="A6647" s="26">
        <v>45286</v>
      </c>
      <c r="B6647" s="27" t="s">
        <v>126</v>
      </c>
      <c r="C6647" s="27" t="s">
        <v>18</v>
      </c>
      <c r="D6647" s="27" t="s">
        <v>7</v>
      </c>
      <c r="E6647" s="28">
        <v>17721</v>
      </c>
      <c r="F6647" s="28">
        <v>169777</v>
      </c>
      <c r="G6647" s="27" t="s">
        <v>17</v>
      </c>
      <c r="H6647" s="27" t="s">
        <v>775</v>
      </c>
      <c r="I6647" s="27" t="s">
        <v>13</v>
      </c>
    </row>
    <row r="6648" spans="1:9" x14ac:dyDescent="0.3">
      <c r="A6648" s="26">
        <v>45286</v>
      </c>
      <c r="B6648" s="27" t="s">
        <v>126</v>
      </c>
      <c r="C6648" s="27" t="s">
        <v>32</v>
      </c>
      <c r="D6648" s="27" t="s">
        <v>16</v>
      </c>
      <c r="E6648" s="28">
        <v>138742</v>
      </c>
      <c r="F6648" s="28">
        <v>104866</v>
      </c>
      <c r="G6648" s="27" t="s">
        <v>22</v>
      </c>
      <c r="H6648" s="27" t="s">
        <v>836</v>
      </c>
      <c r="I6648" s="27" t="s">
        <v>13</v>
      </c>
    </row>
    <row r="6649" spans="1:9" x14ac:dyDescent="0.3">
      <c r="A6649" s="26">
        <v>45286</v>
      </c>
      <c r="B6649" s="27" t="s">
        <v>126</v>
      </c>
      <c r="C6649" s="27" t="s">
        <v>10</v>
      </c>
      <c r="D6649" s="27" t="s">
        <v>24</v>
      </c>
      <c r="E6649" s="28">
        <v>88349</v>
      </c>
      <c r="F6649" s="28">
        <v>80358</v>
      </c>
      <c r="G6649" s="27" t="s">
        <v>11</v>
      </c>
      <c r="H6649" s="27" t="s">
        <v>878</v>
      </c>
      <c r="I6649" s="27" t="s">
        <v>13</v>
      </c>
    </row>
    <row r="6650" spans="1:9" x14ac:dyDescent="0.3">
      <c r="A6650" s="26">
        <v>45286</v>
      </c>
      <c r="B6650" s="27" t="s">
        <v>126</v>
      </c>
      <c r="C6650" s="27" t="s">
        <v>18</v>
      </c>
      <c r="D6650" s="27" t="s">
        <v>16</v>
      </c>
      <c r="E6650" s="28">
        <v>57191</v>
      </c>
      <c r="F6650" s="28">
        <v>59931</v>
      </c>
      <c r="G6650" s="27" t="s">
        <v>22</v>
      </c>
      <c r="H6650" s="27" t="s">
        <v>1002</v>
      </c>
      <c r="I6650" s="27" t="s">
        <v>13</v>
      </c>
    </row>
    <row r="6651" spans="1:9" x14ac:dyDescent="0.3">
      <c r="A6651" s="26">
        <v>45286</v>
      </c>
      <c r="B6651" s="27" t="s">
        <v>126</v>
      </c>
      <c r="C6651" s="27" t="s">
        <v>10</v>
      </c>
      <c r="D6651" s="27" t="s">
        <v>24</v>
      </c>
      <c r="E6651" s="28">
        <v>69072</v>
      </c>
      <c r="F6651" s="28">
        <v>134009</v>
      </c>
      <c r="G6651" s="27" t="s">
        <v>8</v>
      </c>
      <c r="H6651" s="27" t="s">
        <v>1618</v>
      </c>
      <c r="I6651" s="27" t="s">
        <v>13</v>
      </c>
    </row>
    <row r="6652" spans="1:9" x14ac:dyDescent="0.3">
      <c r="A6652" s="26">
        <v>45286</v>
      </c>
      <c r="B6652" s="27" t="s">
        <v>126</v>
      </c>
      <c r="C6652" s="27" t="s">
        <v>14</v>
      </c>
      <c r="D6652" s="27" t="s">
        <v>21</v>
      </c>
      <c r="E6652" s="28">
        <v>53518</v>
      </c>
      <c r="F6652" s="28">
        <v>17765</v>
      </c>
      <c r="G6652" s="27" t="s">
        <v>11</v>
      </c>
      <c r="H6652" s="27" t="s">
        <v>1654</v>
      </c>
      <c r="I6652" s="27" t="s">
        <v>13</v>
      </c>
    </row>
    <row r="6653" spans="1:9" x14ac:dyDescent="0.3">
      <c r="A6653" s="26">
        <v>45286</v>
      </c>
      <c r="B6653" s="27" t="s">
        <v>126</v>
      </c>
      <c r="C6653" s="27" t="s">
        <v>18</v>
      </c>
      <c r="D6653" s="27" t="s">
        <v>21</v>
      </c>
      <c r="E6653" s="28">
        <v>119376</v>
      </c>
      <c r="F6653" s="28">
        <v>38214</v>
      </c>
      <c r="G6653" s="27" t="s">
        <v>22</v>
      </c>
      <c r="H6653" s="27" t="s">
        <v>2027</v>
      </c>
      <c r="I6653" s="27" t="s">
        <v>13</v>
      </c>
    </row>
    <row r="6654" spans="1:9" x14ac:dyDescent="0.3">
      <c r="A6654" s="26">
        <v>45286</v>
      </c>
      <c r="B6654" s="27" t="s">
        <v>126</v>
      </c>
      <c r="C6654" s="27" t="s">
        <v>18</v>
      </c>
      <c r="D6654" s="27" t="s">
        <v>16</v>
      </c>
      <c r="E6654" s="28">
        <v>34780</v>
      </c>
      <c r="F6654" s="28">
        <v>150285</v>
      </c>
      <c r="G6654" s="27" t="s">
        <v>8</v>
      </c>
      <c r="H6654" s="27" t="s">
        <v>2241</v>
      </c>
      <c r="I6654" s="27" t="s">
        <v>13</v>
      </c>
    </row>
    <row r="6655" spans="1:9" x14ac:dyDescent="0.3">
      <c r="A6655" s="26">
        <v>45286</v>
      </c>
      <c r="B6655" s="27" t="s">
        <v>126</v>
      </c>
      <c r="C6655" s="27" t="s">
        <v>20</v>
      </c>
      <c r="D6655" s="27" t="s">
        <v>16</v>
      </c>
      <c r="E6655" s="28">
        <v>18819</v>
      </c>
      <c r="F6655" s="28">
        <v>160836</v>
      </c>
      <c r="G6655" s="27" t="s">
        <v>17</v>
      </c>
      <c r="H6655" s="27" t="s">
        <v>2425</v>
      </c>
      <c r="I6655" s="27" t="s">
        <v>13</v>
      </c>
    </row>
    <row r="6656" spans="1:9" x14ac:dyDescent="0.3">
      <c r="A6656" s="26">
        <v>45286</v>
      </c>
      <c r="B6656" s="27" t="s">
        <v>126</v>
      </c>
      <c r="C6656" s="27" t="s">
        <v>14</v>
      </c>
      <c r="D6656" s="27" t="s">
        <v>21</v>
      </c>
      <c r="E6656" s="28">
        <v>44096</v>
      </c>
      <c r="F6656" s="28">
        <v>135404</v>
      </c>
      <c r="G6656" s="27" t="s">
        <v>22</v>
      </c>
      <c r="H6656" s="27" t="s">
        <v>2567</v>
      </c>
      <c r="I6656" s="27" t="s">
        <v>13</v>
      </c>
    </row>
    <row r="6657" spans="1:9" x14ac:dyDescent="0.3">
      <c r="A6657" s="26">
        <v>45286</v>
      </c>
      <c r="B6657" s="27" t="s">
        <v>126</v>
      </c>
      <c r="C6657" s="27" t="s">
        <v>32</v>
      </c>
      <c r="D6657" s="27" t="s">
        <v>21</v>
      </c>
      <c r="E6657" s="28">
        <v>62601</v>
      </c>
      <c r="F6657" s="28">
        <v>87028</v>
      </c>
      <c r="G6657" s="27" t="s">
        <v>22</v>
      </c>
      <c r="H6657" s="27" t="s">
        <v>3430</v>
      </c>
      <c r="I6657" s="27" t="s">
        <v>13</v>
      </c>
    </row>
    <row r="6658" spans="1:9" x14ac:dyDescent="0.3">
      <c r="A6658" s="26">
        <v>45286</v>
      </c>
      <c r="B6658" s="27" t="s">
        <v>126</v>
      </c>
      <c r="C6658" s="27" t="s">
        <v>6</v>
      </c>
      <c r="D6658" s="27" t="s">
        <v>7</v>
      </c>
      <c r="E6658" s="28">
        <v>206000</v>
      </c>
      <c r="F6658" s="28">
        <v>224500</v>
      </c>
      <c r="G6658" s="27" t="s">
        <v>11</v>
      </c>
      <c r="H6658" s="27" t="s">
        <v>4156</v>
      </c>
      <c r="I6658" s="27" t="s">
        <v>9</v>
      </c>
    </row>
    <row r="6659" spans="1:9" x14ac:dyDescent="0.3">
      <c r="A6659" s="26">
        <v>45286</v>
      </c>
      <c r="B6659" s="27" t="s">
        <v>126</v>
      </c>
      <c r="C6659" s="27" t="s">
        <v>93</v>
      </c>
      <c r="D6659" s="27" t="s">
        <v>16</v>
      </c>
      <c r="E6659" s="28">
        <v>154100</v>
      </c>
      <c r="F6659" s="28">
        <v>163500</v>
      </c>
      <c r="G6659" s="27" t="s">
        <v>22</v>
      </c>
      <c r="H6659" s="27" t="s">
        <v>4217</v>
      </c>
      <c r="I6659" s="27" t="s">
        <v>9</v>
      </c>
    </row>
    <row r="6660" spans="1:9" x14ac:dyDescent="0.3">
      <c r="A6660" s="26">
        <v>45286</v>
      </c>
      <c r="B6660" s="27" t="s">
        <v>126</v>
      </c>
      <c r="C6660" s="27" t="s">
        <v>6</v>
      </c>
      <c r="D6660" s="27" t="s">
        <v>24</v>
      </c>
      <c r="E6660" s="28">
        <v>107200</v>
      </c>
      <c r="F6660" s="28">
        <v>95300</v>
      </c>
      <c r="G6660" s="27" t="s">
        <v>17</v>
      </c>
      <c r="H6660" s="27" t="s">
        <v>4259</v>
      </c>
      <c r="I6660" s="27" t="s">
        <v>9</v>
      </c>
    </row>
    <row r="6661" spans="1:9" x14ac:dyDescent="0.3">
      <c r="A6661" s="26">
        <v>45286</v>
      </c>
      <c r="B6661" s="27" t="s">
        <v>126</v>
      </c>
      <c r="C6661" s="27" t="s">
        <v>6</v>
      </c>
      <c r="D6661" s="27" t="s">
        <v>16</v>
      </c>
      <c r="E6661" s="28">
        <v>121700</v>
      </c>
      <c r="F6661" s="28">
        <v>88100</v>
      </c>
      <c r="G6661" s="27" t="s">
        <v>11</v>
      </c>
      <c r="H6661" s="27" t="s">
        <v>4383</v>
      </c>
      <c r="I6661" s="27" t="s">
        <v>9</v>
      </c>
    </row>
    <row r="6662" spans="1:9" x14ac:dyDescent="0.3">
      <c r="A6662" s="26">
        <v>45286</v>
      </c>
      <c r="B6662" s="27" t="s">
        <v>126</v>
      </c>
      <c r="C6662" s="27" t="s">
        <v>93</v>
      </c>
      <c r="D6662" s="27" t="s">
        <v>24</v>
      </c>
      <c r="E6662" s="28">
        <v>86200</v>
      </c>
      <c r="F6662" s="28">
        <v>89500</v>
      </c>
      <c r="G6662" s="27" t="s">
        <v>11</v>
      </c>
      <c r="H6662" s="27" t="s">
        <v>5001</v>
      </c>
      <c r="I6662" s="27" t="s">
        <v>9</v>
      </c>
    </row>
    <row r="6663" spans="1:9" x14ac:dyDescent="0.3">
      <c r="A6663" s="26">
        <v>45286</v>
      </c>
      <c r="B6663" s="27" t="s">
        <v>126</v>
      </c>
      <c r="C6663" s="27" t="s">
        <v>93</v>
      </c>
      <c r="D6663" s="27" t="s">
        <v>21</v>
      </c>
      <c r="E6663" s="28">
        <v>71700</v>
      </c>
      <c r="F6663" s="28">
        <v>85600</v>
      </c>
      <c r="G6663" s="27" t="s">
        <v>22</v>
      </c>
      <c r="H6663" s="27" t="s">
        <v>5037</v>
      </c>
      <c r="I6663" s="27" t="s">
        <v>9</v>
      </c>
    </row>
    <row r="6664" spans="1:9" x14ac:dyDescent="0.3">
      <c r="A6664" s="26">
        <v>45286</v>
      </c>
      <c r="B6664" s="27" t="s">
        <v>126</v>
      </c>
      <c r="C6664" s="27" t="s">
        <v>93</v>
      </c>
      <c r="D6664" s="27" t="s">
        <v>21</v>
      </c>
      <c r="E6664" s="28">
        <v>53900</v>
      </c>
      <c r="F6664" s="28">
        <v>56000</v>
      </c>
      <c r="G6664" s="27" t="s">
        <v>22</v>
      </c>
      <c r="H6664" s="27" t="s">
        <v>5411</v>
      </c>
      <c r="I6664" s="27" t="s">
        <v>9</v>
      </c>
    </row>
    <row r="6665" spans="1:9" x14ac:dyDescent="0.3">
      <c r="A6665" s="26">
        <v>45286</v>
      </c>
      <c r="B6665" s="27" t="s">
        <v>126</v>
      </c>
      <c r="C6665" s="27" t="s">
        <v>6</v>
      </c>
      <c r="D6665" s="27" t="s">
        <v>16</v>
      </c>
      <c r="E6665" s="28">
        <v>205400</v>
      </c>
      <c r="F6665" s="28">
        <v>203200</v>
      </c>
      <c r="G6665" s="27" t="s">
        <v>22</v>
      </c>
      <c r="H6665" s="27" t="s">
        <v>5626</v>
      </c>
      <c r="I6665" s="27" t="s">
        <v>9</v>
      </c>
    </row>
    <row r="6666" spans="1:9" x14ac:dyDescent="0.3">
      <c r="A6666" s="26">
        <v>45286</v>
      </c>
      <c r="B6666" s="27" t="s">
        <v>126</v>
      </c>
      <c r="C6666" s="27" t="s">
        <v>6</v>
      </c>
      <c r="D6666" s="27" t="s">
        <v>16</v>
      </c>
      <c r="E6666" s="28">
        <v>89500</v>
      </c>
      <c r="F6666" s="28">
        <v>88100</v>
      </c>
      <c r="G6666" s="27" t="s">
        <v>11</v>
      </c>
      <c r="H6666" s="27" t="s">
        <v>5810</v>
      </c>
      <c r="I6666" s="27" t="s">
        <v>9</v>
      </c>
    </row>
    <row r="6667" spans="1:9" x14ac:dyDescent="0.3">
      <c r="A6667" s="26">
        <v>45286</v>
      </c>
      <c r="B6667" s="27" t="s">
        <v>126</v>
      </c>
      <c r="C6667" s="27" t="s">
        <v>6</v>
      </c>
      <c r="D6667" s="27" t="s">
        <v>21</v>
      </c>
      <c r="E6667" s="28">
        <v>50300</v>
      </c>
      <c r="F6667" s="28">
        <v>53200</v>
      </c>
      <c r="G6667" s="27" t="s">
        <v>11</v>
      </c>
      <c r="H6667" s="27" t="s">
        <v>5952</v>
      </c>
      <c r="I6667" s="27" t="s">
        <v>9</v>
      </c>
    </row>
    <row r="6668" spans="1:9" x14ac:dyDescent="0.3">
      <c r="A6668" s="26">
        <v>45286</v>
      </c>
      <c r="B6668" s="27" t="s">
        <v>126</v>
      </c>
      <c r="C6668" s="27" t="s">
        <v>6</v>
      </c>
      <c r="D6668" s="27" t="s">
        <v>21</v>
      </c>
      <c r="E6668" s="28">
        <v>171700</v>
      </c>
      <c r="F6668" s="28">
        <v>202800</v>
      </c>
      <c r="G6668" s="27" t="s">
        <v>17</v>
      </c>
      <c r="H6668" s="27" t="s">
        <v>6815</v>
      </c>
      <c r="I6668" s="27" t="s">
        <v>9</v>
      </c>
    </row>
    <row r="6669" spans="1:9" x14ac:dyDescent="0.3">
      <c r="A6669" s="26">
        <v>45287</v>
      </c>
      <c r="B6669" s="27" t="s">
        <v>126</v>
      </c>
      <c r="C6669" s="27" t="s">
        <v>14</v>
      </c>
      <c r="D6669" s="27" t="s">
        <v>21</v>
      </c>
      <c r="E6669" s="28">
        <v>20687</v>
      </c>
      <c r="F6669" s="28">
        <v>144265</v>
      </c>
      <c r="G6669" s="27" t="s">
        <v>11</v>
      </c>
      <c r="H6669" s="27" t="s">
        <v>700</v>
      </c>
      <c r="I6669" s="27" t="s">
        <v>13</v>
      </c>
    </row>
    <row r="6670" spans="1:9" x14ac:dyDescent="0.3">
      <c r="A6670" s="26">
        <v>45287</v>
      </c>
      <c r="B6670" s="27" t="s">
        <v>126</v>
      </c>
      <c r="C6670" s="27" t="s">
        <v>20</v>
      </c>
      <c r="D6670" s="27" t="s">
        <v>19</v>
      </c>
      <c r="E6670" s="28">
        <v>27013</v>
      </c>
      <c r="F6670" s="28">
        <v>109551</v>
      </c>
      <c r="G6670" s="27" t="s">
        <v>11</v>
      </c>
      <c r="H6670" s="27" t="s">
        <v>1634</v>
      </c>
      <c r="I6670" s="27" t="s">
        <v>13</v>
      </c>
    </row>
    <row r="6671" spans="1:9" x14ac:dyDescent="0.3">
      <c r="A6671" s="26">
        <v>45287</v>
      </c>
      <c r="B6671" s="27" t="s">
        <v>126</v>
      </c>
      <c r="C6671" s="27" t="s">
        <v>10</v>
      </c>
      <c r="D6671" s="27" t="s">
        <v>21</v>
      </c>
      <c r="E6671" s="28">
        <v>136399</v>
      </c>
      <c r="F6671" s="28">
        <v>162867</v>
      </c>
      <c r="G6671" s="27" t="s">
        <v>11</v>
      </c>
      <c r="H6671" s="27" t="s">
        <v>2609</v>
      </c>
      <c r="I6671" s="27" t="s">
        <v>13</v>
      </c>
    </row>
    <row r="6672" spans="1:9" x14ac:dyDescent="0.3">
      <c r="A6672" s="26">
        <v>45287</v>
      </c>
      <c r="B6672" s="27" t="s">
        <v>126</v>
      </c>
      <c r="C6672" s="27" t="s">
        <v>18</v>
      </c>
      <c r="D6672" s="27" t="s">
        <v>21</v>
      </c>
      <c r="E6672" s="28">
        <v>126066</v>
      </c>
      <c r="F6672" s="28">
        <v>75124</v>
      </c>
      <c r="G6672" s="27" t="s">
        <v>8</v>
      </c>
      <c r="H6672" s="27" t="s">
        <v>2722</v>
      </c>
      <c r="I6672" s="27" t="s">
        <v>13</v>
      </c>
    </row>
    <row r="6673" spans="1:9" x14ac:dyDescent="0.3">
      <c r="A6673" s="26">
        <v>45287</v>
      </c>
      <c r="B6673" s="27" t="s">
        <v>126</v>
      </c>
      <c r="C6673" s="27" t="s">
        <v>32</v>
      </c>
      <c r="D6673" s="27" t="s">
        <v>16</v>
      </c>
      <c r="E6673" s="28">
        <v>136702</v>
      </c>
      <c r="F6673" s="28">
        <v>31807</v>
      </c>
      <c r="G6673" s="27" t="s">
        <v>8</v>
      </c>
      <c r="H6673" s="27" t="s">
        <v>2731</v>
      </c>
      <c r="I6673" s="27" t="s">
        <v>13</v>
      </c>
    </row>
    <row r="6674" spans="1:9" x14ac:dyDescent="0.3">
      <c r="A6674" s="26">
        <v>45287</v>
      </c>
      <c r="B6674" s="27" t="s">
        <v>126</v>
      </c>
      <c r="C6674" s="27" t="s">
        <v>18</v>
      </c>
      <c r="D6674" s="27" t="s">
        <v>7</v>
      </c>
      <c r="E6674" s="28">
        <v>105995</v>
      </c>
      <c r="F6674" s="28">
        <v>169609</v>
      </c>
      <c r="G6674" s="27" t="s">
        <v>8</v>
      </c>
      <c r="H6674" s="27" t="s">
        <v>2905</v>
      </c>
      <c r="I6674" s="27" t="s">
        <v>13</v>
      </c>
    </row>
    <row r="6675" spans="1:9" x14ac:dyDescent="0.3">
      <c r="A6675" s="26">
        <v>45287</v>
      </c>
      <c r="B6675" s="27" t="s">
        <v>126</v>
      </c>
      <c r="C6675" s="27" t="s">
        <v>6</v>
      </c>
      <c r="D6675" s="27" t="s">
        <v>21</v>
      </c>
      <c r="E6675" s="28">
        <v>76600</v>
      </c>
      <c r="F6675" s="28">
        <v>89700</v>
      </c>
      <c r="G6675" s="27" t="s">
        <v>17</v>
      </c>
      <c r="H6675" s="27" t="s">
        <v>4081</v>
      </c>
      <c r="I6675" s="27" t="s">
        <v>9</v>
      </c>
    </row>
    <row r="6676" spans="1:9" x14ac:dyDescent="0.3">
      <c r="A6676" s="26">
        <v>45287</v>
      </c>
      <c r="B6676" s="27" t="s">
        <v>126</v>
      </c>
      <c r="C6676" s="27" t="s">
        <v>93</v>
      </c>
      <c r="D6676" s="27" t="s">
        <v>19</v>
      </c>
      <c r="E6676" s="28">
        <v>240600</v>
      </c>
      <c r="F6676" s="28">
        <v>238100</v>
      </c>
      <c r="G6676" s="27" t="s">
        <v>11</v>
      </c>
      <c r="H6676" s="27" t="s">
        <v>5017</v>
      </c>
      <c r="I6676" s="27" t="s">
        <v>9</v>
      </c>
    </row>
    <row r="6677" spans="1:9" x14ac:dyDescent="0.3">
      <c r="A6677" s="26">
        <v>45287</v>
      </c>
      <c r="B6677" s="27" t="s">
        <v>126</v>
      </c>
      <c r="C6677" s="27" t="s">
        <v>93</v>
      </c>
      <c r="D6677" s="27" t="s">
        <v>21</v>
      </c>
      <c r="E6677" s="28">
        <v>101700</v>
      </c>
      <c r="F6677" s="28">
        <v>94200</v>
      </c>
      <c r="G6677" s="27" t="s">
        <v>17</v>
      </c>
      <c r="H6677" s="27" t="s">
        <v>5994</v>
      </c>
      <c r="I6677" s="27" t="s">
        <v>9</v>
      </c>
    </row>
    <row r="6678" spans="1:9" x14ac:dyDescent="0.3">
      <c r="A6678" s="26">
        <v>45287</v>
      </c>
      <c r="B6678" s="27" t="s">
        <v>126</v>
      </c>
      <c r="C6678" s="27" t="s">
        <v>6</v>
      </c>
      <c r="D6678" s="27" t="s">
        <v>21</v>
      </c>
      <c r="E6678" s="28">
        <v>106600</v>
      </c>
      <c r="F6678" s="28">
        <v>105400</v>
      </c>
      <c r="G6678" s="27" t="s">
        <v>22</v>
      </c>
      <c r="H6678" s="27" t="s">
        <v>6107</v>
      </c>
      <c r="I6678" s="27" t="s">
        <v>9</v>
      </c>
    </row>
    <row r="6679" spans="1:9" x14ac:dyDescent="0.3">
      <c r="A6679" s="26">
        <v>45287</v>
      </c>
      <c r="B6679" s="27" t="s">
        <v>126</v>
      </c>
      <c r="C6679" s="27" t="s">
        <v>93</v>
      </c>
      <c r="D6679" s="27" t="s">
        <v>16</v>
      </c>
      <c r="E6679" s="28">
        <v>123000</v>
      </c>
      <c r="F6679" s="28">
        <v>136400</v>
      </c>
      <c r="G6679" s="27" t="s">
        <v>11</v>
      </c>
      <c r="H6679" s="27" t="s">
        <v>6116</v>
      </c>
      <c r="I6679" s="27" t="s">
        <v>9</v>
      </c>
    </row>
    <row r="6680" spans="1:9" x14ac:dyDescent="0.3">
      <c r="A6680" s="26">
        <v>45287</v>
      </c>
      <c r="B6680" s="27" t="s">
        <v>126</v>
      </c>
      <c r="C6680" s="27" t="s">
        <v>6</v>
      </c>
      <c r="D6680" s="27" t="s">
        <v>7</v>
      </c>
      <c r="E6680" s="28">
        <v>228100</v>
      </c>
      <c r="F6680" s="28">
        <v>264000</v>
      </c>
      <c r="G6680" s="27" t="s">
        <v>11</v>
      </c>
      <c r="H6680" s="27" t="s">
        <v>6290</v>
      </c>
      <c r="I6680" s="27" t="s">
        <v>9</v>
      </c>
    </row>
    <row r="6681" spans="1:9" x14ac:dyDescent="0.3">
      <c r="A6681" s="26">
        <v>45288</v>
      </c>
      <c r="B6681" s="27" t="s">
        <v>126</v>
      </c>
      <c r="C6681" s="27" t="s">
        <v>10</v>
      </c>
      <c r="D6681" s="27" t="s">
        <v>21</v>
      </c>
      <c r="E6681" s="28">
        <v>60817</v>
      </c>
      <c r="F6681" s="28">
        <v>57887</v>
      </c>
      <c r="G6681" s="27" t="s">
        <v>8</v>
      </c>
      <c r="H6681" s="27" t="s">
        <v>839</v>
      </c>
      <c r="I6681" s="27" t="s">
        <v>13</v>
      </c>
    </row>
    <row r="6682" spans="1:9" x14ac:dyDescent="0.3">
      <c r="A6682" s="26">
        <v>45288</v>
      </c>
      <c r="B6682" s="27" t="s">
        <v>126</v>
      </c>
      <c r="C6682" s="27" t="s">
        <v>10</v>
      </c>
      <c r="D6682" s="27" t="s">
        <v>7</v>
      </c>
      <c r="E6682" s="28">
        <v>63383</v>
      </c>
      <c r="F6682" s="28">
        <v>133059</v>
      </c>
      <c r="G6682" s="27" t="s">
        <v>11</v>
      </c>
      <c r="H6682" s="27" t="s">
        <v>1068</v>
      </c>
      <c r="I6682" s="27" t="s">
        <v>13</v>
      </c>
    </row>
    <row r="6683" spans="1:9" x14ac:dyDescent="0.3">
      <c r="A6683" s="26">
        <v>45288</v>
      </c>
      <c r="B6683" s="27" t="s">
        <v>126</v>
      </c>
      <c r="C6683" s="27" t="s">
        <v>32</v>
      </c>
      <c r="D6683" s="27" t="s">
        <v>19</v>
      </c>
      <c r="E6683" s="28">
        <v>88905</v>
      </c>
      <c r="F6683" s="28">
        <v>89794</v>
      </c>
      <c r="G6683" s="27" t="s">
        <v>8</v>
      </c>
      <c r="H6683" s="27" t="s">
        <v>1170</v>
      </c>
      <c r="I6683" s="27" t="s">
        <v>13</v>
      </c>
    </row>
    <row r="6684" spans="1:9" x14ac:dyDescent="0.3">
      <c r="A6684" s="26">
        <v>45288</v>
      </c>
      <c r="B6684" s="27" t="s">
        <v>126</v>
      </c>
      <c r="C6684" s="27" t="s">
        <v>14</v>
      </c>
      <c r="D6684" s="27" t="s">
        <v>7</v>
      </c>
      <c r="E6684" s="28">
        <v>32805</v>
      </c>
      <c r="F6684" s="28">
        <v>131777</v>
      </c>
      <c r="G6684" s="27" t="s">
        <v>17</v>
      </c>
      <c r="H6684" s="27" t="s">
        <v>1647</v>
      </c>
      <c r="I6684" s="27" t="s">
        <v>13</v>
      </c>
    </row>
    <row r="6685" spans="1:9" x14ac:dyDescent="0.3">
      <c r="A6685" s="26">
        <v>45288</v>
      </c>
      <c r="B6685" s="27" t="s">
        <v>126</v>
      </c>
      <c r="C6685" s="27" t="s">
        <v>15</v>
      </c>
      <c r="D6685" s="27" t="s">
        <v>21</v>
      </c>
      <c r="E6685" s="28">
        <v>62286</v>
      </c>
      <c r="F6685" s="28">
        <v>117073</v>
      </c>
      <c r="G6685" s="27" t="s">
        <v>8</v>
      </c>
      <c r="H6685" s="27" t="s">
        <v>1765</v>
      </c>
      <c r="I6685" s="27" t="s">
        <v>13</v>
      </c>
    </row>
    <row r="6686" spans="1:9" x14ac:dyDescent="0.3">
      <c r="A6686" s="26">
        <v>45288</v>
      </c>
      <c r="B6686" s="27" t="s">
        <v>126</v>
      </c>
      <c r="C6686" s="27" t="s">
        <v>20</v>
      </c>
      <c r="D6686" s="27" t="s">
        <v>7</v>
      </c>
      <c r="E6686" s="28">
        <v>12509</v>
      </c>
      <c r="F6686" s="28">
        <v>20232</v>
      </c>
      <c r="G6686" s="27" t="s">
        <v>8</v>
      </c>
      <c r="H6686" s="27" t="s">
        <v>2522</v>
      </c>
      <c r="I6686" s="27" t="s">
        <v>13</v>
      </c>
    </row>
    <row r="6687" spans="1:9" x14ac:dyDescent="0.3">
      <c r="A6687" s="26">
        <v>45288</v>
      </c>
      <c r="B6687" s="27" t="s">
        <v>126</v>
      </c>
      <c r="C6687" s="27" t="s">
        <v>10</v>
      </c>
      <c r="D6687" s="27" t="s">
        <v>16</v>
      </c>
      <c r="E6687" s="28">
        <v>145103</v>
      </c>
      <c r="F6687" s="28">
        <v>8409</v>
      </c>
      <c r="G6687" s="27" t="s">
        <v>8</v>
      </c>
      <c r="H6687" s="27" t="s">
        <v>2726</v>
      </c>
      <c r="I6687" s="27" t="s">
        <v>13</v>
      </c>
    </row>
    <row r="6688" spans="1:9" x14ac:dyDescent="0.3">
      <c r="A6688" s="26">
        <v>45288</v>
      </c>
      <c r="B6688" s="27" t="s">
        <v>126</v>
      </c>
      <c r="C6688" s="27" t="s">
        <v>20</v>
      </c>
      <c r="D6688" s="27" t="s">
        <v>16</v>
      </c>
      <c r="E6688" s="28">
        <v>119946</v>
      </c>
      <c r="F6688" s="28">
        <v>105428</v>
      </c>
      <c r="G6688" s="27" t="s">
        <v>8</v>
      </c>
      <c r="H6688" s="27" t="s">
        <v>2960</v>
      </c>
      <c r="I6688" s="27" t="s">
        <v>13</v>
      </c>
    </row>
    <row r="6689" spans="1:9" x14ac:dyDescent="0.3">
      <c r="A6689" s="26">
        <v>45288</v>
      </c>
      <c r="B6689" s="27" t="s">
        <v>126</v>
      </c>
      <c r="C6689" s="27" t="s">
        <v>18</v>
      </c>
      <c r="D6689" s="27" t="s">
        <v>21</v>
      </c>
      <c r="E6689" s="28">
        <v>113166</v>
      </c>
      <c r="F6689" s="28">
        <v>140617</v>
      </c>
      <c r="G6689" s="27" t="s">
        <v>17</v>
      </c>
      <c r="H6689" s="27" t="s">
        <v>3291</v>
      </c>
      <c r="I6689" s="27" t="s">
        <v>13</v>
      </c>
    </row>
    <row r="6690" spans="1:9" x14ac:dyDescent="0.3">
      <c r="A6690" s="26">
        <v>45288</v>
      </c>
      <c r="B6690" s="27" t="s">
        <v>126</v>
      </c>
      <c r="C6690" s="27" t="s">
        <v>18</v>
      </c>
      <c r="D6690" s="27" t="s">
        <v>21</v>
      </c>
      <c r="E6690" s="28">
        <v>95919</v>
      </c>
      <c r="F6690" s="28">
        <v>113425</v>
      </c>
      <c r="G6690" s="27" t="s">
        <v>17</v>
      </c>
      <c r="H6690" s="27" t="s">
        <v>3347</v>
      </c>
      <c r="I6690" s="27" t="s">
        <v>13</v>
      </c>
    </row>
    <row r="6691" spans="1:9" x14ac:dyDescent="0.3">
      <c r="A6691" s="26">
        <v>45288</v>
      </c>
      <c r="B6691" s="27" t="s">
        <v>126</v>
      </c>
      <c r="C6691" s="27" t="s">
        <v>93</v>
      </c>
      <c r="D6691" s="27" t="s">
        <v>21</v>
      </c>
      <c r="E6691" s="28">
        <v>110700</v>
      </c>
      <c r="F6691" s="28">
        <v>90900</v>
      </c>
      <c r="G6691" s="27" t="s">
        <v>11</v>
      </c>
      <c r="H6691" s="27" t="s">
        <v>4220</v>
      </c>
      <c r="I6691" s="27" t="s">
        <v>9</v>
      </c>
    </row>
    <row r="6692" spans="1:9" x14ac:dyDescent="0.3">
      <c r="A6692" s="26">
        <v>45288</v>
      </c>
      <c r="B6692" s="27" t="s">
        <v>126</v>
      </c>
      <c r="C6692" s="27" t="s">
        <v>6</v>
      </c>
      <c r="D6692" s="27" t="s">
        <v>7</v>
      </c>
      <c r="E6692" s="28">
        <v>204700</v>
      </c>
      <c r="F6692" s="28">
        <v>196900</v>
      </c>
      <c r="G6692" s="27" t="s">
        <v>11</v>
      </c>
      <c r="H6692" s="27" t="s">
        <v>4450</v>
      </c>
      <c r="I6692" s="27" t="s">
        <v>9</v>
      </c>
    </row>
    <row r="6693" spans="1:9" x14ac:dyDescent="0.3">
      <c r="A6693" s="26">
        <v>45288</v>
      </c>
      <c r="B6693" s="27" t="s">
        <v>126</v>
      </c>
      <c r="C6693" s="27" t="s">
        <v>93</v>
      </c>
      <c r="D6693" s="27" t="s">
        <v>19</v>
      </c>
      <c r="E6693" s="28">
        <v>144800</v>
      </c>
      <c r="F6693" s="28">
        <v>170300</v>
      </c>
      <c r="G6693" s="27" t="s">
        <v>22</v>
      </c>
      <c r="H6693" s="27" t="s">
        <v>4553</v>
      </c>
      <c r="I6693" s="27" t="s">
        <v>9</v>
      </c>
    </row>
    <row r="6694" spans="1:9" x14ac:dyDescent="0.3">
      <c r="A6694" s="26">
        <v>45288</v>
      </c>
      <c r="B6694" s="27" t="s">
        <v>126</v>
      </c>
      <c r="C6694" s="27" t="s">
        <v>6</v>
      </c>
      <c r="D6694" s="27" t="s">
        <v>7</v>
      </c>
      <c r="E6694" s="28">
        <v>117500</v>
      </c>
      <c r="F6694" s="28">
        <v>106700</v>
      </c>
      <c r="G6694" s="27" t="s">
        <v>11</v>
      </c>
      <c r="H6694" s="27" t="s">
        <v>5030</v>
      </c>
      <c r="I6694" s="27" t="s">
        <v>9</v>
      </c>
    </row>
    <row r="6695" spans="1:9" x14ac:dyDescent="0.3">
      <c r="A6695" s="26">
        <v>45288</v>
      </c>
      <c r="B6695" s="27" t="s">
        <v>126</v>
      </c>
      <c r="C6695" s="27" t="s">
        <v>6</v>
      </c>
      <c r="D6695" s="27" t="s">
        <v>21</v>
      </c>
      <c r="E6695" s="28">
        <v>41400</v>
      </c>
      <c r="F6695" s="28">
        <v>32400</v>
      </c>
      <c r="G6695" s="27" t="s">
        <v>11</v>
      </c>
      <c r="H6695" s="27" t="s">
        <v>5148</v>
      </c>
      <c r="I6695" s="27" t="s">
        <v>9</v>
      </c>
    </row>
    <row r="6696" spans="1:9" x14ac:dyDescent="0.3">
      <c r="A6696" s="26">
        <v>45288</v>
      </c>
      <c r="B6696" s="27" t="s">
        <v>126</v>
      </c>
      <c r="C6696" s="27" t="s">
        <v>6</v>
      </c>
      <c r="D6696" s="27" t="s">
        <v>7</v>
      </c>
      <c r="E6696" s="28">
        <v>73200</v>
      </c>
      <c r="F6696" s="28">
        <v>82200</v>
      </c>
      <c r="G6696" s="27" t="s">
        <v>22</v>
      </c>
      <c r="H6696" s="27" t="s">
        <v>5907</v>
      </c>
      <c r="I6696" s="27" t="s">
        <v>9</v>
      </c>
    </row>
    <row r="6697" spans="1:9" x14ac:dyDescent="0.3">
      <c r="A6697" s="26">
        <v>45288</v>
      </c>
      <c r="B6697" s="27" t="s">
        <v>126</v>
      </c>
      <c r="C6697" s="27" t="s">
        <v>6</v>
      </c>
      <c r="D6697" s="27" t="s">
        <v>16</v>
      </c>
      <c r="E6697" s="28">
        <v>67500</v>
      </c>
      <c r="F6697" s="28">
        <v>68100</v>
      </c>
      <c r="G6697" s="27" t="s">
        <v>11</v>
      </c>
      <c r="H6697" s="27" t="s">
        <v>6111</v>
      </c>
      <c r="I6697" s="27" t="s">
        <v>9</v>
      </c>
    </row>
    <row r="6698" spans="1:9" x14ac:dyDescent="0.3">
      <c r="A6698" s="26">
        <v>45288</v>
      </c>
      <c r="B6698" s="27" t="s">
        <v>126</v>
      </c>
      <c r="C6698" s="27" t="s">
        <v>93</v>
      </c>
      <c r="D6698" s="27" t="s">
        <v>16</v>
      </c>
      <c r="E6698" s="28">
        <v>95000</v>
      </c>
      <c r="F6698" s="28">
        <v>109900</v>
      </c>
      <c r="G6698" s="27" t="s">
        <v>22</v>
      </c>
      <c r="H6698" s="27" t="s">
        <v>6345</v>
      </c>
      <c r="I6698" s="27" t="s">
        <v>9</v>
      </c>
    </row>
    <row r="6699" spans="1:9" x14ac:dyDescent="0.3">
      <c r="A6699" s="26">
        <v>45288</v>
      </c>
      <c r="B6699" s="27" t="s">
        <v>126</v>
      </c>
      <c r="C6699" s="27" t="s">
        <v>6</v>
      </c>
      <c r="D6699" s="27" t="s">
        <v>21</v>
      </c>
      <c r="E6699" s="28">
        <v>157400</v>
      </c>
      <c r="F6699" s="28">
        <v>177500</v>
      </c>
      <c r="G6699" s="27" t="s">
        <v>17</v>
      </c>
      <c r="H6699" s="27" t="s">
        <v>6676</v>
      </c>
      <c r="I6699" s="27" t="s">
        <v>9</v>
      </c>
    </row>
    <row r="6700" spans="1:9" x14ac:dyDescent="0.3">
      <c r="A6700" s="26">
        <v>45288</v>
      </c>
      <c r="B6700" s="27" t="s">
        <v>126</v>
      </c>
      <c r="C6700" s="27" t="s">
        <v>6</v>
      </c>
      <c r="D6700" s="27" t="s">
        <v>21</v>
      </c>
      <c r="E6700" s="28">
        <v>127700</v>
      </c>
      <c r="F6700" s="28">
        <v>149100</v>
      </c>
      <c r="G6700" s="27" t="s">
        <v>22</v>
      </c>
      <c r="H6700" s="27" t="s">
        <v>6732</v>
      </c>
      <c r="I6700" s="27" t="s">
        <v>9</v>
      </c>
    </row>
    <row r="6701" spans="1:9" x14ac:dyDescent="0.3">
      <c r="A6701" s="26">
        <v>45289</v>
      </c>
      <c r="B6701" s="27" t="s">
        <v>126</v>
      </c>
      <c r="C6701" s="27" t="s">
        <v>14</v>
      </c>
      <c r="D6701" s="27" t="s">
        <v>24</v>
      </c>
      <c r="E6701" s="28">
        <v>115302</v>
      </c>
      <c r="F6701" s="28">
        <v>137925</v>
      </c>
      <c r="G6701" s="27" t="s">
        <v>8</v>
      </c>
      <c r="H6701" s="27" t="s">
        <v>185</v>
      </c>
      <c r="I6701" s="27" t="s">
        <v>13</v>
      </c>
    </row>
    <row r="6702" spans="1:9" x14ac:dyDescent="0.3">
      <c r="A6702" s="26">
        <v>45289</v>
      </c>
      <c r="B6702" s="27" t="s">
        <v>126</v>
      </c>
      <c r="C6702" s="27" t="s">
        <v>20</v>
      </c>
      <c r="D6702" s="27" t="s">
        <v>19</v>
      </c>
      <c r="E6702" s="28">
        <v>47982</v>
      </c>
      <c r="F6702" s="28">
        <v>18175</v>
      </c>
      <c r="G6702" s="27" t="s">
        <v>17</v>
      </c>
      <c r="H6702" s="27" t="s">
        <v>219</v>
      </c>
      <c r="I6702" s="27" t="s">
        <v>13</v>
      </c>
    </row>
    <row r="6703" spans="1:9" x14ac:dyDescent="0.3">
      <c r="A6703" s="26">
        <v>45289</v>
      </c>
      <c r="B6703" s="27" t="s">
        <v>126</v>
      </c>
      <c r="C6703" s="27" t="s">
        <v>32</v>
      </c>
      <c r="D6703" s="27" t="s">
        <v>7</v>
      </c>
      <c r="E6703" s="28">
        <v>147158</v>
      </c>
      <c r="F6703" s="28">
        <v>137266</v>
      </c>
      <c r="G6703" s="27" t="s">
        <v>8</v>
      </c>
      <c r="H6703" s="27" t="s">
        <v>626</v>
      </c>
      <c r="I6703" s="27" t="s">
        <v>13</v>
      </c>
    </row>
    <row r="6704" spans="1:9" x14ac:dyDescent="0.3">
      <c r="A6704" s="26">
        <v>45289</v>
      </c>
      <c r="B6704" s="27" t="s">
        <v>126</v>
      </c>
      <c r="C6704" s="27" t="s">
        <v>14</v>
      </c>
      <c r="D6704" s="27" t="s">
        <v>24</v>
      </c>
      <c r="E6704" s="28">
        <v>29259</v>
      </c>
      <c r="F6704" s="28">
        <v>39660</v>
      </c>
      <c r="G6704" s="27" t="s">
        <v>17</v>
      </c>
      <c r="H6704" s="27" t="s">
        <v>962</v>
      </c>
      <c r="I6704" s="27" t="s">
        <v>13</v>
      </c>
    </row>
    <row r="6705" spans="1:9" x14ac:dyDescent="0.3">
      <c r="A6705" s="26">
        <v>45289</v>
      </c>
      <c r="B6705" s="27" t="s">
        <v>126</v>
      </c>
      <c r="C6705" s="27" t="s">
        <v>32</v>
      </c>
      <c r="D6705" s="27" t="s">
        <v>21</v>
      </c>
      <c r="E6705" s="28">
        <v>30402</v>
      </c>
      <c r="F6705" s="28">
        <v>24833</v>
      </c>
      <c r="G6705" s="27" t="s">
        <v>22</v>
      </c>
      <c r="H6705" s="27" t="s">
        <v>1149</v>
      </c>
      <c r="I6705" s="27" t="s">
        <v>13</v>
      </c>
    </row>
    <row r="6706" spans="1:9" x14ac:dyDescent="0.3">
      <c r="A6706" s="26">
        <v>45289</v>
      </c>
      <c r="B6706" s="27" t="s">
        <v>126</v>
      </c>
      <c r="C6706" s="27" t="s">
        <v>32</v>
      </c>
      <c r="D6706" s="27" t="s">
        <v>16</v>
      </c>
      <c r="E6706" s="28">
        <v>97256</v>
      </c>
      <c r="F6706" s="28">
        <v>96615</v>
      </c>
      <c r="G6706" s="27" t="s">
        <v>8</v>
      </c>
      <c r="H6706" s="27" t="s">
        <v>1501</v>
      </c>
      <c r="I6706" s="27" t="s">
        <v>13</v>
      </c>
    </row>
    <row r="6707" spans="1:9" x14ac:dyDescent="0.3">
      <c r="A6707" s="26">
        <v>45289</v>
      </c>
      <c r="B6707" s="27" t="s">
        <v>126</v>
      </c>
      <c r="C6707" s="27" t="s">
        <v>32</v>
      </c>
      <c r="D6707" s="27" t="s">
        <v>19</v>
      </c>
      <c r="E6707" s="28">
        <v>25631</v>
      </c>
      <c r="F6707" s="28">
        <v>59005</v>
      </c>
      <c r="G6707" s="27" t="s">
        <v>22</v>
      </c>
      <c r="H6707" s="27" t="s">
        <v>1692</v>
      </c>
      <c r="I6707" s="27" t="s">
        <v>13</v>
      </c>
    </row>
    <row r="6708" spans="1:9" x14ac:dyDescent="0.3">
      <c r="A6708" s="26">
        <v>45289</v>
      </c>
      <c r="B6708" s="27" t="s">
        <v>126</v>
      </c>
      <c r="C6708" s="27" t="s">
        <v>20</v>
      </c>
      <c r="D6708" s="27" t="s">
        <v>21</v>
      </c>
      <c r="E6708" s="28">
        <v>91671</v>
      </c>
      <c r="F6708" s="28">
        <v>39573</v>
      </c>
      <c r="G6708" s="27" t="s">
        <v>8</v>
      </c>
      <c r="H6708" s="27" t="s">
        <v>1749</v>
      </c>
      <c r="I6708" s="27" t="s">
        <v>13</v>
      </c>
    </row>
    <row r="6709" spans="1:9" x14ac:dyDescent="0.3">
      <c r="A6709" s="26">
        <v>45289</v>
      </c>
      <c r="B6709" s="27" t="s">
        <v>126</v>
      </c>
      <c r="C6709" s="27" t="s">
        <v>32</v>
      </c>
      <c r="D6709" s="27" t="s">
        <v>7</v>
      </c>
      <c r="E6709" s="28">
        <v>29432</v>
      </c>
      <c r="F6709" s="28">
        <v>50691</v>
      </c>
      <c r="G6709" s="27" t="s">
        <v>17</v>
      </c>
      <c r="H6709" s="27" t="s">
        <v>1794</v>
      </c>
      <c r="I6709" s="27" t="s">
        <v>13</v>
      </c>
    </row>
    <row r="6710" spans="1:9" x14ac:dyDescent="0.3">
      <c r="A6710" s="26">
        <v>45289</v>
      </c>
      <c r="B6710" s="27" t="s">
        <v>126</v>
      </c>
      <c r="C6710" s="27" t="s">
        <v>32</v>
      </c>
      <c r="D6710" s="27" t="s">
        <v>7</v>
      </c>
      <c r="E6710" s="28">
        <v>121605</v>
      </c>
      <c r="F6710" s="28">
        <v>52800</v>
      </c>
      <c r="G6710" s="27" t="s">
        <v>8</v>
      </c>
      <c r="H6710" s="27" t="s">
        <v>1845</v>
      </c>
      <c r="I6710" s="27" t="s">
        <v>13</v>
      </c>
    </row>
    <row r="6711" spans="1:9" x14ac:dyDescent="0.3">
      <c r="A6711" s="26">
        <v>45289</v>
      </c>
      <c r="B6711" s="27" t="s">
        <v>126</v>
      </c>
      <c r="C6711" s="27" t="s">
        <v>18</v>
      </c>
      <c r="D6711" s="27" t="s">
        <v>7</v>
      </c>
      <c r="E6711" s="28">
        <v>14682</v>
      </c>
      <c r="F6711" s="28">
        <v>8223</v>
      </c>
      <c r="G6711" s="27" t="s">
        <v>11</v>
      </c>
      <c r="H6711" s="27" t="s">
        <v>1937</v>
      </c>
      <c r="I6711" s="27" t="s">
        <v>13</v>
      </c>
    </row>
    <row r="6712" spans="1:9" x14ac:dyDescent="0.3">
      <c r="A6712" s="26">
        <v>45289</v>
      </c>
      <c r="B6712" s="27" t="s">
        <v>126</v>
      </c>
      <c r="C6712" s="27" t="s">
        <v>32</v>
      </c>
      <c r="D6712" s="27" t="s">
        <v>7</v>
      </c>
      <c r="E6712" s="28">
        <v>110299</v>
      </c>
      <c r="F6712" s="28">
        <v>13819</v>
      </c>
      <c r="G6712" s="27" t="s">
        <v>11</v>
      </c>
      <c r="H6712" s="27" t="s">
        <v>2113</v>
      </c>
      <c r="I6712" s="27" t="s">
        <v>13</v>
      </c>
    </row>
    <row r="6713" spans="1:9" x14ac:dyDescent="0.3">
      <c r="A6713" s="26">
        <v>45289</v>
      </c>
      <c r="B6713" s="27" t="s">
        <v>126</v>
      </c>
      <c r="C6713" s="27" t="s">
        <v>32</v>
      </c>
      <c r="D6713" s="27" t="s">
        <v>16</v>
      </c>
      <c r="E6713" s="28">
        <v>49123</v>
      </c>
      <c r="F6713" s="28">
        <v>81967</v>
      </c>
      <c r="G6713" s="27" t="s">
        <v>17</v>
      </c>
      <c r="H6713" s="27" t="s">
        <v>2193</v>
      </c>
      <c r="I6713" s="27" t="s">
        <v>13</v>
      </c>
    </row>
    <row r="6714" spans="1:9" x14ac:dyDescent="0.3">
      <c r="A6714" s="26">
        <v>45289</v>
      </c>
      <c r="B6714" s="27" t="s">
        <v>126</v>
      </c>
      <c r="C6714" s="27" t="s">
        <v>18</v>
      </c>
      <c r="D6714" s="27" t="s">
        <v>24</v>
      </c>
      <c r="E6714" s="28">
        <v>17629</v>
      </c>
      <c r="F6714" s="28">
        <v>63330</v>
      </c>
      <c r="G6714" s="27" t="s">
        <v>11</v>
      </c>
      <c r="H6714" s="27" t="s">
        <v>2273</v>
      </c>
      <c r="I6714" s="27" t="s">
        <v>13</v>
      </c>
    </row>
    <row r="6715" spans="1:9" x14ac:dyDescent="0.3">
      <c r="A6715" s="26">
        <v>45289</v>
      </c>
      <c r="B6715" s="27" t="s">
        <v>126</v>
      </c>
      <c r="C6715" s="27" t="s">
        <v>14</v>
      </c>
      <c r="D6715" s="27" t="s">
        <v>7</v>
      </c>
      <c r="E6715" s="28">
        <v>130747</v>
      </c>
      <c r="F6715" s="28">
        <v>105101</v>
      </c>
      <c r="G6715" s="27" t="s">
        <v>22</v>
      </c>
      <c r="H6715" s="27" t="s">
        <v>3020</v>
      </c>
      <c r="I6715" s="27" t="s">
        <v>13</v>
      </c>
    </row>
    <row r="6716" spans="1:9" x14ac:dyDescent="0.3">
      <c r="A6716" s="26">
        <v>45289</v>
      </c>
      <c r="B6716" s="27" t="s">
        <v>126</v>
      </c>
      <c r="C6716" s="27" t="s">
        <v>15</v>
      </c>
      <c r="D6716" s="27" t="s">
        <v>24</v>
      </c>
      <c r="E6716" s="28">
        <v>127000</v>
      </c>
      <c r="F6716" s="28">
        <v>28392</v>
      </c>
      <c r="G6716" s="27" t="s">
        <v>17</v>
      </c>
      <c r="H6716" s="27" t="s">
        <v>3038</v>
      </c>
      <c r="I6716" s="27" t="s">
        <v>13</v>
      </c>
    </row>
    <row r="6717" spans="1:9" x14ac:dyDescent="0.3">
      <c r="A6717" s="26">
        <v>45289</v>
      </c>
      <c r="B6717" s="27" t="s">
        <v>126</v>
      </c>
      <c r="C6717" s="27" t="s">
        <v>18</v>
      </c>
      <c r="D6717" s="27" t="s">
        <v>21</v>
      </c>
      <c r="E6717" s="28">
        <v>122333</v>
      </c>
      <c r="F6717" s="28">
        <v>155372</v>
      </c>
      <c r="G6717" s="27" t="s">
        <v>11</v>
      </c>
      <c r="H6717" s="27" t="s">
        <v>3288</v>
      </c>
      <c r="I6717" s="27" t="s">
        <v>13</v>
      </c>
    </row>
    <row r="6718" spans="1:9" x14ac:dyDescent="0.3">
      <c r="A6718" s="26">
        <v>45289</v>
      </c>
      <c r="B6718" s="27" t="s">
        <v>126</v>
      </c>
      <c r="C6718" s="27" t="s">
        <v>6</v>
      </c>
      <c r="D6718" s="27" t="s">
        <v>24</v>
      </c>
      <c r="E6718" s="28">
        <v>152800</v>
      </c>
      <c r="F6718" s="28">
        <v>177700</v>
      </c>
      <c r="G6718" s="27" t="s">
        <v>22</v>
      </c>
      <c r="H6718" s="27" t="s">
        <v>3566</v>
      </c>
      <c r="I6718" s="27" t="s">
        <v>9</v>
      </c>
    </row>
    <row r="6719" spans="1:9" x14ac:dyDescent="0.3">
      <c r="A6719" s="26">
        <v>45289</v>
      </c>
      <c r="B6719" s="27" t="s">
        <v>126</v>
      </c>
      <c r="C6719" s="27" t="s">
        <v>93</v>
      </c>
      <c r="D6719" s="27" t="s">
        <v>19</v>
      </c>
      <c r="E6719" s="28">
        <v>63900</v>
      </c>
      <c r="F6719" s="28">
        <v>69000</v>
      </c>
      <c r="G6719" s="27" t="s">
        <v>11</v>
      </c>
      <c r="H6719" s="27" t="s">
        <v>3600</v>
      </c>
      <c r="I6719" s="27" t="s">
        <v>9</v>
      </c>
    </row>
    <row r="6720" spans="1:9" x14ac:dyDescent="0.3">
      <c r="A6720" s="26">
        <v>45289</v>
      </c>
      <c r="B6720" s="27" t="s">
        <v>126</v>
      </c>
      <c r="C6720" s="27" t="s">
        <v>6</v>
      </c>
      <c r="D6720" s="27" t="s">
        <v>7</v>
      </c>
      <c r="E6720" s="28">
        <v>138600</v>
      </c>
      <c r="F6720" s="28">
        <v>91800</v>
      </c>
      <c r="G6720" s="27" t="s">
        <v>22</v>
      </c>
      <c r="H6720" s="27" t="s">
        <v>4007</v>
      </c>
      <c r="I6720" s="27" t="s">
        <v>9</v>
      </c>
    </row>
    <row r="6721" spans="1:9" x14ac:dyDescent="0.3">
      <c r="A6721" s="26">
        <v>45289</v>
      </c>
      <c r="B6721" s="27" t="s">
        <v>126</v>
      </c>
      <c r="C6721" s="27" t="s">
        <v>93</v>
      </c>
      <c r="D6721" s="27" t="s">
        <v>24</v>
      </c>
      <c r="E6721" s="28">
        <v>130500</v>
      </c>
      <c r="F6721" s="28">
        <v>130800</v>
      </c>
      <c r="G6721" s="27" t="s">
        <v>11</v>
      </c>
      <c r="H6721" s="27" t="s">
        <v>4343</v>
      </c>
      <c r="I6721" s="27" t="s">
        <v>9</v>
      </c>
    </row>
    <row r="6722" spans="1:9" x14ac:dyDescent="0.3">
      <c r="A6722" s="26">
        <v>45289</v>
      </c>
      <c r="B6722" s="27" t="s">
        <v>126</v>
      </c>
      <c r="C6722" s="27" t="s">
        <v>6</v>
      </c>
      <c r="D6722" s="27" t="s">
        <v>21</v>
      </c>
      <c r="E6722" s="28">
        <v>104700</v>
      </c>
      <c r="F6722" s="28">
        <v>100700</v>
      </c>
      <c r="G6722" s="27" t="s">
        <v>11</v>
      </c>
      <c r="H6722" s="27" t="s">
        <v>4532</v>
      </c>
      <c r="I6722" s="27" t="s">
        <v>9</v>
      </c>
    </row>
    <row r="6723" spans="1:9" x14ac:dyDescent="0.3">
      <c r="A6723" s="26">
        <v>45289</v>
      </c>
      <c r="B6723" s="27" t="s">
        <v>126</v>
      </c>
      <c r="C6723" s="27" t="s">
        <v>6</v>
      </c>
      <c r="D6723" s="27" t="s">
        <v>16</v>
      </c>
      <c r="E6723" s="28">
        <v>145200</v>
      </c>
      <c r="F6723" s="28">
        <v>97000</v>
      </c>
      <c r="G6723" s="27" t="s">
        <v>22</v>
      </c>
      <c r="H6723" s="27" t="s">
        <v>4884</v>
      </c>
      <c r="I6723" s="27" t="s">
        <v>9</v>
      </c>
    </row>
    <row r="6724" spans="1:9" x14ac:dyDescent="0.3">
      <c r="A6724" s="26">
        <v>45289</v>
      </c>
      <c r="B6724" s="27" t="s">
        <v>126</v>
      </c>
      <c r="C6724" s="27" t="s">
        <v>6</v>
      </c>
      <c r="D6724" s="27" t="s">
        <v>19</v>
      </c>
      <c r="E6724" s="28">
        <v>122600</v>
      </c>
      <c r="F6724" s="28">
        <v>98600</v>
      </c>
      <c r="G6724" s="27" t="s">
        <v>11</v>
      </c>
      <c r="H6724" s="27" t="s">
        <v>5075</v>
      </c>
      <c r="I6724" s="27" t="s">
        <v>9</v>
      </c>
    </row>
    <row r="6725" spans="1:9" x14ac:dyDescent="0.3">
      <c r="A6725" s="26">
        <v>45289</v>
      </c>
      <c r="B6725" s="27" t="s">
        <v>126</v>
      </c>
      <c r="C6725" s="27" t="s">
        <v>93</v>
      </c>
      <c r="D6725" s="27" t="s">
        <v>21</v>
      </c>
      <c r="E6725" s="28">
        <v>89400</v>
      </c>
      <c r="F6725" s="28">
        <v>100700</v>
      </c>
      <c r="G6725" s="27" t="s">
        <v>11</v>
      </c>
      <c r="H6725" s="27" t="s">
        <v>5132</v>
      </c>
      <c r="I6725" s="27" t="s">
        <v>9</v>
      </c>
    </row>
    <row r="6726" spans="1:9" x14ac:dyDescent="0.3">
      <c r="A6726" s="26">
        <v>45289</v>
      </c>
      <c r="B6726" s="27" t="s">
        <v>126</v>
      </c>
      <c r="C6726" s="27" t="s">
        <v>6</v>
      </c>
      <c r="D6726" s="27" t="s">
        <v>7</v>
      </c>
      <c r="E6726" s="28">
        <v>58600</v>
      </c>
      <c r="F6726" s="28">
        <v>72900</v>
      </c>
      <c r="G6726" s="27" t="s">
        <v>11</v>
      </c>
      <c r="H6726" s="27" t="s">
        <v>5177</v>
      </c>
      <c r="I6726" s="27" t="s">
        <v>9</v>
      </c>
    </row>
    <row r="6727" spans="1:9" x14ac:dyDescent="0.3">
      <c r="A6727" s="26">
        <v>45289</v>
      </c>
      <c r="B6727" s="27" t="s">
        <v>126</v>
      </c>
      <c r="C6727" s="27" t="s">
        <v>6</v>
      </c>
      <c r="D6727" s="27" t="s">
        <v>7</v>
      </c>
      <c r="E6727" s="28">
        <v>141800</v>
      </c>
      <c r="F6727" s="28">
        <v>154200</v>
      </c>
      <c r="G6727" s="27" t="s">
        <v>22</v>
      </c>
      <c r="H6727" s="27" t="s">
        <v>5228</v>
      </c>
      <c r="I6727" s="27" t="s">
        <v>9</v>
      </c>
    </row>
    <row r="6728" spans="1:9" x14ac:dyDescent="0.3">
      <c r="A6728" s="26">
        <v>45289</v>
      </c>
      <c r="B6728" s="27" t="s">
        <v>126</v>
      </c>
      <c r="C6728" s="27" t="s">
        <v>6</v>
      </c>
      <c r="D6728" s="27" t="s">
        <v>7</v>
      </c>
      <c r="E6728" s="28">
        <v>129100</v>
      </c>
      <c r="F6728" s="28">
        <v>127000</v>
      </c>
      <c r="G6728" s="27" t="s">
        <v>22</v>
      </c>
      <c r="H6728" s="27" t="s">
        <v>5321</v>
      </c>
      <c r="I6728" s="27" t="s">
        <v>9</v>
      </c>
    </row>
    <row r="6729" spans="1:9" x14ac:dyDescent="0.3">
      <c r="A6729" s="26">
        <v>45289</v>
      </c>
      <c r="B6729" s="27" t="s">
        <v>126</v>
      </c>
      <c r="C6729" s="27" t="s">
        <v>6</v>
      </c>
      <c r="D6729" s="27" t="s">
        <v>7</v>
      </c>
      <c r="E6729" s="28">
        <v>104000</v>
      </c>
      <c r="F6729" s="28">
        <v>62400</v>
      </c>
      <c r="G6729" s="27" t="s">
        <v>11</v>
      </c>
      <c r="H6729" s="27" t="s">
        <v>5497</v>
      </c>
      <c r="I6729" s="27" t="s">
        <v>9</v>
      </c>
    </row>
    <row r="6730" spans="1:9" x14ac:dyDescent="0.3">
      <c r="A6730" s="26">
        <v>45289</v>
      </c>
      <c r="B6730" s="27" t="s">
        <v>126</v>
      </c>
      <c r="C6730" s="27" t="s">
        <v>93</v>
      </c>
      <c r="D6730" s="27" t="s">
        <v>16</v>
      </c>
      <c r="E6730" s="28">
        <v>134200</v>
      </c>
      <c r="F6730" s="28">
        <v>121900</v>
      </c>
      <c r="G6730" s="27" t="s">
        <v>11</v>
      </c>
      <c r="H6730" s="27" t="s">
        <v>5578</v>
      </c>
      <c r="I6730" s="27" t="s">
        <v>9</v>
      </c>
    </row>
    <row r="6731" spans="1:9" x14ac:dyDescent="0.3">
      <c r="A6731" s="26">
        <v>45289</v>
      </c>
      <c r="B6731" s="27" t="s">
        <v>126</v>
      </c>
      <c r="C6731" s="27" t="s">
        <v>6</v>
      </c>
      <c r="D6731" s="27" t="s">
        <v>24</v>
      </c>
      <c r="E6731" s="28">
        <v>154300</v>
      </c>
      <c r="F6731" s="28">
        <v>147900</v>
      </c>
      <c r="G6731" s="27" t="s">
        <v>22</v>
      </c>
      <c r="H6731" s="27" t="s">
        <v>5658</v>
      </c>
      <c r="I6731" s="27" t="s">
        <v>9</v>
      </c>
    </row>
    <row r="6732" spans="1:9" x14ac:dyDescent="0.3">
      <c r="A6732" s="26">
        <v>45289</v>
      </c>
      <c r="B6732" s="27" t="s">
        <v>126</v>
      </c>
      <c r="C6732" s="27" t="s">
        <v>6</v>
      </c>
      <c r="D6732" s="27" t="s">
        <v>7</v>
      </c>
      <c r="E6732" s="28">
        <v>171800</v>
      </c>
      <c r="F6732" s="28">
        <v>186200</v>
      </c>
      <c r="G6732" s="27" t="s">
        <v>11</v>
      </c>
      <c r="H6732" s="27" t="s">
        <v>6405</v>
      </c>
      <c r="I6732" s="27" t="s">
        <v>9</v>
      </c>
    </row>
    <row r="6733" spans="1:9" x14ac:dyDescent="0.3">
      <c r="A6733" s="26">
        <v>45289</v>
      </c>
      <c r="B6733" s="27" t="s">
        <v>126</v>
      </c>
      <c r="C6733" s="27" t="s">
        <v>6</v>
      </c>
      <c r="D6733" s="27" t="s">
        <v>24</v>
      </c>
      <c r="E6733" s="28">
        <v>140400</v>
      </c>
      <c r="F6733" s="28">
        <v>149800</v>
      </c>
      <c r="G6733" s="27" t="s">
        <v>22</v>
      </c>
      <c r="H6733" s="27" t="s">
        <v>6423</v>
      </c>
      <c r="I6733" s="27" t="s">
        <v>9</v>
      </c>
    </row>
    <row r="6734" spans="1:9" x14ac:dyDescent="0.3">
      <c r="A6734" s="26">
        <v>45289</v>
      </c>
      <c r="B6734" s="27" t="s">
        <v>126</v>
      </c>
      <c r="C6734" s="27" t="s">
        <v>6</v>
      </c>
      <c r="D6734" s="27" t="s">
        <v>21</v>
      </c>
      <c r="E6734" s="28">
        <v>55800</v>
      </c>
      <c r="F6734" s="28">
        <v>59600</v>
      </c>
      <c r="G6734" s="27" t="s">
        <v>22</v>
      </c>
      <c r="H6734" s="27" t="s">
        <v>6673</v>
      </c>
      <c r="I6734" s="27" t="s">
        <v>9</v>
      </c>
    </row>
    <row r="6735" spans="1:9" x14ac:dyDescent="0.3">
      <c r="A6735" s="26">
        <v>45290</v>
      </c>
      <c r="B6735" s="27" t="s">
        <v>126</v>
      </c>
      <c r="C6735" s="27" t="s">
        <v>32</v>
      </c>
      <c r="D6735" s="27" t="s">
        <v>16</v>
      </c>
      <c r="E6735" s="28">
        <v>90121</v>
      </c>
      <c r="F6735" s="28">
        <v>59078</v>
      </c>
      <c r="G6735" s="27" t="s">
        <v>8</v>
      </c>
      <c r="H6735" s="27" t="s">
        <v>233</v>
      </c>
      <c r="I6735" s="27" t="s">
        <v>13</v>
      </c>
    </row>
    <row r="6736" spans="1:9" x14ac:dyDescent="0.3">
      <c r="A6736" s="26">
        <v>45290</v>
      </c>
      <c r="B6736" s="27" t="s">
        <v>126</v>
      </c>
      <c r="C6736" s="27" t="s">
        <v>15</v>
      </c>
      <c r="D6736" s="27" t="s">
        <v>24</v>
      </c>
      <c r="E6736" s="28">
        <v>101730</v>
      </c>
      <c r="F6736" s="28">
        <v>50229</v>
      </c>
      <c r="G6736" s="27" t="s">
        <v>22</v>
      </c>
      <c r="H6736" s="27" t="s">
        <v>679</v>
      </c>
      <c r="I6736" s="27" t="s">
        <v>13</v>
      </c>
    </row>
    <row r="6737" spans="1:9" x14ac:dyDescent="0.3">
      <c r="A6737" s="26">
        <v>45290</v>
      </c>
      <c r="B6737" s="27" t="s">
        <v>126</v>
      </c>
      <c r="C6737" s="27" t="s">
        <v>18</v>
      </c>
      <c r="D6737" s="27" t="s">
        <v>7</v>
      </c>
      <c r="E6737" s="28">
        <v>78163</v>
      </c>
      <c r="F6737" s="28">
        <v>86840</v>
      </c>
      <c r="G6737" s="27" t="s">
        <v>8</v>
      </c>
      <c r="H6737" s="27" t="s">
        <v>783</v>
      </c>
      <c r="I6737" s="27" t="s">
        <v>13</v>
      </c>
    </row>
    <row r="6738" spans="1:9" x14ac:dyDescent="0.3">
      <c r="A6738" s="26">
        <v>45290</v>
      </c>
      <c r="B6738" s="27" t="s">
        <v>126</v>
      </c>
      <c r="C6738" s="27" t="s">
        <v>32</v>
      </c>
      <c r="D6738" s="27" t="s">
        <v>21</v>
      </c>
      <c r="E6738" s="28">
        <v>142730</v>
      </c>
      <c r="F6738" s="28">
        <v>40562</v>
      </c>
      <c r="G6738" s="27" t="s">
        <v>8</v>
      </c>
      <c r="H6738" s="27" t="s">
        <v>823</v>
      </c>
      <c r="I6738" s="27" t="s">
        <v>13</v>
      </c>
    </row>
    <row r="6739" spans="1:9" x14ac:dyDescent="0.3">
      <c r="A6739" s="26">
        <v>45290</v>
      </c>
      <c r="B6739" s="27" t="s">
        <v>126</v>
      </c>
      <c r="C6739" s="27" t="s">
        <v>32</v>
      </c>
      <c r="D6739" s="27" t="s">
        <v>24</v>
      </c>
      <c r="E6739" s="28">
        <v>10360</v>
      </c>
      <c r="F6739" s="28">
        <v>48353</v>
      </c>
      <c r="G6739" s="27" t="s">
        <v>8</v>
      </c>
      <c r="H6739" s="27" t="s">
        <v>1280</v>
      </c>
      <c r="I6739" s="27" t="s">
        <v>13</v>
      </c>
    </row>
    <row r="6740" spans="1:9" x14ac:dyDescent="0.3">
      <c r="A6740" s="26">
        <v>45290</v>
      </c>
      <c r="B6740" s="27" t="s">
        <v>126</v>
      </c>
      <c r="C6740" s="27" t="s">
        <v>32</v>
      </c>
      <c r="D6740" s="27" t="s">
        <v>7</v>
      </c>
      <c r="E6740" s="28">
        <v>100134</v>
      </c>
      <c r="F6740" s="28">
        <v>36532</v>
      </c>
      <c r="G6740" s="27" t="s">
        <v>11</v>
      </c>
      <c r="H6740" s="27" t="s">
        <v>1686</v>
      </c>
      <c r="I6740" s="27" t="s">
        <v>13</v>
      </c>
    </row>
    <row r="6741" spans="1:9" x14ac:dyDescent="0.3">
      <c r="A6741" s="26">
        <v>45290</v>
      </c>
      <c r="B6741" s="27" t="s">
        <v>126</v>
      </c>
      <c r="C6741" s="27" t="s">
        <v>15</v>
      </c>
      <c r="D6741" s="27" t="s">
        <v>7</v>
      </c>
      <c r="E6741" s="28">
        <v>21899</v>
      </c>
      <c r="F6741" s="28">
        <v>44452</v>
      </c>
      <c r="G6741" s="27" t="s">
        <v>8</v>
      </c>
      <c r="H6741" s="27" t="s">
        <v>2028</v>
      </c>
      <c r="I6741" s="27" t="s">
        <v>13</v>
      </c>
    </row>
    <row r="6742" spans="1:9" x14ac:dyDescent="0.3">
      <c r="A6742" s="26">
        <v>45290</v>
      </c>
      <c r="B6742" s="27" t="s">
        <v>126</v>
      </c>
      <c r="C6742" s="27" t="s">
        <v>32</v>
      </c>
      <c r="D6742" s="27" t="s">
        <v>24</v>
      </c>
      <c r="E6742" s="28">
        <v>39520</v>
      </c>
      <c r="F6742" s="28">
        <v>158874</v>
      </c>
      <c r="G6742" s="27" t="s">
        <v>22</v>
      </c>
      <c r="H6742" s="27" t="s">
        <v>2031</v>
      </c>
      <c r="I6742" s="27" t="s">
        <v>13</v>
      </c>
    </row>
    <row r="6743" spans="1:9" x14ac:dyDescent="0.3">
      <c r="A6743" s="26">
        <v>45290</v>
      </c>
      <c r="B6743" s="27" t="s">
        <v>126</v>
      </c>
      <c r="C6743" s="27" t="s">
        <v>20</v>
      </c>
      <c r="D6743" s="27" t="s">
        <v>19</v>
      </c>
      <c r="E6743" s="28">
        <v>61189</v>
      </c>
      <c r="F6743" s="28">
        <v>127981</v>
      </c>
      <c r="G6743" s="27" t="s">
        <v>22</v>
      </c>
      <c r="H6743" s="27" t="s">
        <v>2830</v>
      </c>
      <c r="I6743" s="27" t="s">
        <v>13</v>
      </c>
    </row>
    <row r="6744" spans="1:9" x14ac:dyDescent="0.3">
      <c r="A6744" s="26">
        <v>45290</v>
      </c>
      <c r="B6744" s="27" t="s">
        <v>126</v>
      </c>
      <c r="C6744" s="27" t="s">
        <v>20</v>
      </c>
      <c r="D6744" s="27" t="s">
        <v>24</v>
      </c>
      <c r="E6744" s="28">
        <v>61207</v>
      </c>
      <c r="F6744" s="28">
        <v>54174</v>
      </c>
      <c r="G6744" s="27" t="s">
        <v>22</v>
      </c>
      <c r="H6744" s="27" t="s">
        <v>2845</v>
      </c>
      <c r="I6744" s="27" t="s">
        <v>13</v>
      </c>
    </row>
    <row r="6745" spans="1:9" x14ac:dyDescent="0.3">
      <c r="A6745" s="26">
        <v>45290</v>
      </c>
      <c r="B6745" s="27" t="s">
        <v>126</v>
      </c>
      <c r="C6745" s="27" t="s">
        <v>10</v>
      </c>
      <c r="D6745" s="27" t="s">
        <v>24</v>
      </c>
      <c r="E6745" s="28">
        <v>59834</v>
      </c>
      <c r="F6745" s="28">
        <v>22763</v>
      </c>
      <c r="G6745" s="27" t="s">
        <v>22</v>
      </c>
      <c r="H6745" s="27" t="s">
        <v>3413</v>
      </c>
      <c r="I6745" s="27" t="s">
        <v>13</v>
      </c>
    </row>
    <row r="6746" spans="1:9" x14ac:dyDescent="0.3">
      <c r="A6746" s="26">
        <v>45290</v>
      </c>
      <c r="B6746" s="27" t="s">
        <v>126</v>
      </c>
      <c r="C6746" s="27" t="s">
        <v>15</v>
      </c>
      <c r="D6746" s="27" t="s">
        <v>24</v>
      </c>
      <c r="E6746" s="28">
        <v>86682</v>
      </c>
      <c r="F6746" s="28">
        <v>73527</v>
      </c>
      <c r="G6746" s="27" t="s">
        <v>22</v>
      </c>
      <c r="H6746" s="27" t="s">
        <v>3415</v>
      </c>
      <c r="I6746" s="27" t="s">
        <v>13</v>
      </c>
    </row>
    <row r="6747" spans="1:9" x14ac:dyDescent="0.3">
      <c r="A6747" s="26">
        <v>45290</v>
      </c>
      <c r="B6747" s="27" t="s">
        <v>126</v>
      </c>
      <c r="C6747" s="27" t="s">
        <v>6</v>
      </c>
      <c r="D6747" s="27" t="s">
        <v>16</v>
      </c>
      <c r="E6747" s="28">
        <v>219200</v>
      </c>
      <c r="F6747" s="28">
        <v>224800</v>
      </c>
      <c r="G6747" s="27" t="s">
        <v>11</v>
      </c>
      <c r="H6747" s="27" t="s">
        <v>3614</v>
      </c>
      <c r="I6747" s="27" t="s">
        <v>9</v>
      </c>
    </row>
    <row r="6748" spans="1:9" x14ac:dyDescent="0.3">
      <c r="A6748" s="26">
        <v>45290</v>
      </c>
      <c r="B6748" s="27" t="s">
        <v>126</v>
      </c>
      <c r="C6748" s="27" t="s">
        <v>6</v>
      </c>
      <c r="D6748" s="27" t="s">
        <v>24</v>
      </c>
      <c r="E6748" s="28">
        <v>169100</v>
      </c>
      <c r="F6748" s="28">
        <v>150000</v>
      </c>
      <c r="G6748" s="27" t="s">
        <v>17</v>
      </c>
      <c r="H6748" s="27" t="s">
        <v>4060</v>
      </c>
      <c r="I6748" s="27" t="s">
        <v>9</v>
      </c>
    </row>
    <row r="6749" spans="1:9" x14ac:dyDescent="0.3">
      <c r="A6749" s="26">
        <v>45290</v>
      </c>
      <c r="B6749" s="27" t="s">
        <v>126</v>
      </c>
      <c r="C6749" s="27" t="s">
        <v>6</v>
      </c>
      <c r="D6749" s="27" t="s">
        <v>7</v>
      </c>
      <c r="E6749" s="28">
        <v>263400</v>
      </c>
      <c r="F6749" s="28">
        <v>321300</v>
      </c>
      <c r="G6749" s="27" t="s">
        <v>22</v>
      </c>
      <c r="H6749" s="27" t="s">
        <v>4164</v>
      </c>
      <c r="I6749" s="27" t="s">
        <v>9</v>
      </c>
    </row>
    <row r="6750" spans="1:9" x14ac:dyDescent="0.3">
      <c r="A6750" s="26">
        <v>45290</v>
      </c>
      <c r="B6750" s="27" t="s">
        <v>126</v>
      </c>
      <c r="C6750" s="27" t="s">
        <v>6</v>
      </c>
      <c r="D6750" s="27" t="s">
        <v>21</v>
      </c>
      <c r="E6750" s="28">
        <v>79600</v>
      </c>
      <c r="F6750" s="28">
        <v>83900</v>
      </c>
      <c r="G6750" s="27" t="s">
        <v>11</v>
      </c>
      <c r="H6750" s="27" t="s">
        <v>4204</v>
      </c>
      <c r="I6750" s="27" t="s">
        <v>9</v>
      </c>
    </row>
    <row r="6751" spans="1:9" x14ac:dyDescent="0.3">
      <c r="A6751" s="26">
        <v>45290</v>
      </c>
      <c r="B6751" s="27" t="s">
        <v>126</v>
      </c>
      <c r="C6751" s="27" t="s">
        <v>6</v>
      </c>
      <c r="D6751" s="27" t="s">
        <v>24</v>
      </c>
      <c r="E6751" s="28">
        <v>129500</v>
      </c>
      <c r="F6751" s="28">
        <v>127300</v>
      </c>
      <c r="G6751" s="27" t="s">
        <v>11</v>
      </c>
      <c r="H6751" s="27" t="s">
        <v>4663</v>
      </c>
      <c r="I6751" s="27" t="s">
        <v>9</v>
      </c>
    </row>
    <row r="6752" spans="1:9" x14ac:dyDescent="0.3">
      <c r="A6752" s="26">
        <v>45290</v>
      </c>
      <c r="B6752" s="27" t="s">
        <v>126</v>
      </c>
      <c r="C6752" s="27" t="s">
        <v>6</v>
      </c>
      <c r="D6752" s="27" t="s">
        <v>7</v>
      </c>
      <c r="E6752" s="28">
        <v>136700</v>
      </c>
      <c r="F6752" s="28">
        <v>134900</v>
      </c>
      <c r="G6752" s="27" t="s">
        <v>11</v>
      </c>
      <c r="H6752" s="27" t="s">
        <v>5069</v>
      </c>
      <c r="I6752" s="27" t="s">
        <v>9</v>
      </c>
    </row>
    <row r="6753" spans="1:9" x14ac:dyDescent="0.3">
      <c r="A6753" s="26">
        <v>45290</v>
      </c>
      <c r="B6753" s="27" t="s">
        <v>126</v>
      </c>
      <c r="C6753" s="27" t="s">
        <v>6</v>
      </c>
      <c r="D6753" s="27" t="s">
        <v>7</v>
      </c>
      <c r="E6753" s="28">
        <v>130400</v>
      </c>
      <c r="F6753" s="28">
        <v>138300</v>
      </c>
      <c r="G6753" s="27" t="s">
        <v>22</v>
      </c>
      <c r="H6753" s="27" t="s">
        <v>5412</v>
      </c>
      <c r="I6753" s="27" t="s">
        <v>9</v>
      </c>
    </row>
    <row r="6754" spans="1:9" x14ac:dyDescent="0.3">
      <c r="A6754" s="26">
        <v>45290</v>
      </c>
      <c r="B6754" s="27" t="s">
        <v>126</v>
      </c>
      <c r="C6754" s="27" t="s">
        <v>6</v>
      </c>
      <c r="D6754" s="27" t="s">
        <v>24</v>
      </c>
      <c r="E6754" s="28">
        <v>109600</v>
      </c>
      <c r="F6754" s="28">
        <v>120900</v>
      </c>
      <c r="G6754" s="27" t="s">
        <v>22</v>
      </c>
      <c r="H6754" s="27" t="s">
        <v>5415</v>
      </c>
      <c r="I6754" s="27" t="s">
        <v>9</v>
      </c>
    </row>
    <row r="6755" spans="1:9" x14ac:dyDescent="0.3">
      <c r="A6755" s="26">
        <v>45290</v>
      </c>
      <c r="B6755" s="27" t="s">
        <v>126</v>
      </c>
      <c r="C6755" s="27" t="s">
        <v>93</v>
      </c>
      <c r="D6755" s="27" t="s">
        <v>19</v>
      </c>
      <c r="E6755" s="28">
        <v>167600</v>
      </c>
      <c r="F6755" s="28">
        <v>227400</v>
      </c>
      <c r="G6755" s="27" t="s">
        <v>11</v>
      </c>
      <c r="H6755" s="27" t="s">
        <v>6215</v>
      </c>
      <c r="I6755" s="27" t="s">
        <v>9</v>
      </c>
    </row>
    <row r="6756" spans="1:9" x14ac:dyDescent="0.3">
      <c r="A6756" s="26">
        <v>45290</v>
      </c>
      <c r="B6756" s="27" t="s">
        <v>126</v>
      </c>
      <c r="C6756" s="27" t="s">
        <v>6</v>
      </c>
      <c r="D6756" s="27" t="s">
        <v>24</v>
      </c>
      <c r="E6756" s="28">
        <v>114200</v>
      </c>
      <c r="F6756" s="28">
        <v>116800</v>
      </c>
      <c r="G6756" s="27" t="s">
        <v>17</v>
      </c>
      <c r="H6756" s="27" t="s">
        <v>6230</v>
      </c>
      <c r="I6756" s="27" t="s">
        <v>9</v>
      </c>
    </row>
    <row r="6757" spans="1:9" x14ac:dyDescent="0.3">
      <c r="A6757" s="26">
        <v>45290</v>
      </c>
      <c r="B6757" s="27" t="s">
        <v>126</v>
      </c>
      <c r="C6757" s="27" t="s">
        <v>93</v>
      </c>
      <c r="D6757" s="27" t="s">
        <v>24</v>
      </c>
      <c r="E6757" s="28">
        <v>103300</v>
      </c>
      <c r="F6757" s="28">
        <v>91000</v>
      </c>
      <c r="G6757" s="27" t="s">
        <v>11</v>
      </c>
      <c r="H6757" s="27" t="s">
        <v>6798</v>
      </c>
      <c r="I6757" s="27" t="s">
        <v>9</v>
      </c>
    </row>
    <row r="6758" spans="1:9" x14ac:dyDescent="0.3">
      <c r="A6758" s="26">
        <v>45290</v>
      </c>
      <c r="B6758" s="27" t="s">
        <v>126</v>
      </c>
      <c r="C6758" s="27" t="s">
        <v>6</v>
      </c>
      <c r="D6758" s="27" t="s">
        <v>24</v>
      </c>
      <c r="E6758" s="28">
        <v>177800</v>
      </c>
      <c r="F6758" s="28">
        <v>149600</v>
      </c>
      <c r="G6758" s="27" t="s">
        <v>11</v>
      </c>
      <c r="H6758" s="27" t="s">
        <v>6800</v>
      </c>
      <c r="I6758" s="27" t="s">
        <v>9</v>
      </c>
    </row>
    <row r="6759" spans="1:9" x14ac:dyDescent="0.3">
      <c r="A6759" s="26">
        <v>45291</v>
      </c>
      <c r="B6759" s="27" t="s">
        <v>126</v>
      </c>
      <c r="C6759" s="27" t="s">
        <v>15</v>
      </c>
      <c r="D6759" s="27" t="s">
        <v>7</v>
      </c>
      <c r="E6759" s="28">
        <v>108314</v>
      </c>
      <c r="F6759" s="28">
        <v>138704</v>
      </c>
      <c r="G6759" s="27" t="s">
        <v>8</v>
      </c>
      <c r="H6759" s="27" t="s">
        <v>1339</v>
      </c>
      <c r="I6759" s="27" t="s">
        <v>13</v>
      </c>
    </row>
    <row r="6760" spans="1:9" x14ac:dyDescent="0.3">
      <c r="A6760" s="26">
        <v>45291</v>
      </c>
      <c r="B6760" s="27" t="s">
        <v>126</v>
      </c>
      <c r="C6760" s="27" t="s">
        <v>18</v>
      </c>
      <c r="D6760" s="27" t="s">
        <v>21</v>
      </c>
      <c r="E6760" s="28">
        <v>92078</v>
      </c>
      <c r="F6760" s="28">
        <v>63926</v>
      </c>
      <c r="G6760" s="27" t="s">
        <v>11</v>
      </c>
      <c r="H6760" s="27" t="s">
        <v>1527</v>
      </c>
      <c r="I6760" s="27" t="s">
        <v>13</v>
      </c>
    </row>
    <row r="6761" spans="1:9" x14ac:dyDescent="0.3">
      <c r="A6761" s="26">
        <v>45291</v>
      </c>
      <c r="B6761" s="27" t="s">
        <v>126</v>
      </c>
      <c r="C6761" s="27" t="s">
        <v>15</v>
      </c>
      <c r="D6761" s="27" t="s">
        <v>16</v>
      </c>
      <c r="E6761" s="28">
        <v>56750</v>
      </c>
      <c r="F6761" s="28">
        <v>154450</v>
      </c>
      <c r="G6761" s="27" t="s">
        <v>8</v>
      </c>
      <c r="H6761" s="27" t="s">
        <v>1828</v>
      </c>
      <c r="I6761" s="27" t="s">
        <v>13</v>
      </c>
    </row>
    <row r="6762" spans="1:9" x14ac:dyDescent="0.3">
      <c r="A6762" s="26">
        <v>45291</v>
      </c>
      <c r="B6762" s="27" t="s">
        <v>126</v>
      </c>
      <c r="C6762" s="27" t="s">
        <v>32</v>
      </c>
      <c r="D6762" s="27" t="s">
        <v>16</v>
      </c>
      <c r="E6762" s="28">
        <v>137191</v>
      </c>
      <c r="F6762" s="28">
        <v>28276</v>
      </c>
      <c r="G6762" s="27" t="s">
        <v>11</v>
      </c>
      <c r="H6762" s="27" t="s">
        <v>1842</v>
      </c>
      <c r="I6762" s="27" t="s">
        <v>13</v>
      </c>
    </row>
    <row r="6763" spans="1:9" x14ac:dyDescent="0.3">
      <c r="A6763" s="26">
        <v>45291</v>
      </c>
      <c r="B6763" s="27" t="s">
        <v>126</v>
      </c>
      <c r="C6763" s="27" t="s">
        <v>14</v>
      </c>
      <c r="D6763" s="27" t="s">
        <v>16</v>
      </c>
      <c r="E6763" s="28">
        <v>115401</v>
      </c>
      <c r="F6763" s="28">
        <v>71915</v>
      </c>
      <c r="G6763" s="27" t="s">
        <v>8</v>
      </c>
      <c r="H6763" s="27" t="s">
        <v>1972</v>
      </c>
      <c r="I6763" s="27" t="s">
        <v>13</v>
      </c>
    </row>
    <row r="6764" spans="1:9" x14ac:dyDescent="0.3">
      <c r="A6764" s="26">
        <v>45291</v>
      </c>
      <c r="B6764" s="27" t="s">
        <v>126</v>
      </c>
      <c r="C6764" s="27" t="s">
        <v>15</v>
      </c>
      <c r="D6764" s="27" t="s">
        <v>19</v>
      </c>
      <c r="E6764" s="28">
        <v>140771</v>
      </c>
      <c r="F6764" s="28">
        <v>152905</v>
      </c>
      <c r="G6764" s="27" t="s">
        <v>17</v>
      </c>
      <c r="H6764" s="27" t="s">
        <v>2137</v>
      </c>
      <c r="I6764" s="27" t="s">
        <v>13</v>
      </c>
    </row>
    <row r="6765" spans="1:9" x14ac:dyDescent="0.3">
      <c r="A6765" s="26">
        <v>45291</v>
      </c>
      <c r="B6765" s="27" t="s">
        <v>126</v>
      </c>
      <c r="C6765" s="27" t="s">
        <v>14</v>
      </c>
      <c r="D6765" s="27" t="s">
        <v>19</v>
      </c>
      <c r="E6765" s="28">
        <v>148477</v>
      </c>
      <c r="F6765" s="28">
        <v>94385</v>
      </c>
      <c r="G6765" s="27" t="s">
        <v>17</v>
      </c>
      <c r="H6765" s="27" t="s">
        <v>2483</v>
      </c>
      <c r="I6765" s="27" t="s">
        <v>13</v>
      </c>
    </row>
    <row r="6766" spans="1:9" x14ac:dyDescent="0.3">
      <c r="A6766" s="26">
        <v>45291</v>
      </c>
      <c r="B6766" s="27" t="s">
        <v>126</v>
      </c>
      <c r="C6766" s="27" t="s">
        <v>14</v>
      </c>
      <c r="D6766" s="27" t="s">
        <v>16</v>
      </c>
      <c r="E6766" s="28">
        <v>88147</v>
      </c>
      <c r="F6766" s="28">
        <v>108341</v>
      </c>
      <c r="G6766" s="27" t="s">
        <v>22</v>
      </c>
      <c r="H6766" s="27" t="s">
        <v>2937</v>
      </c>
      <c r="I6766" s="27" t="s">
        <v>13</v>
      </c>
    </row>
    <row r="6767" spans="1:9" x14ac:dyDescent="0.3">
      <c r="A6767" s="26">
        <v>45291</v>
      </c>
      <c r="B6767" s="27" t="s">
        <v>126</v>
      </c>
      <c r="C6767" s="27" t="s">
        <v>32</v>
      </c>
      <c r="D6767" s="27" t="s">
        <v>19</v>
      </c>
      <c r="E6767" s="28">
        <v>63025</v>
      </c>
      <c r="F6767" s="28">
        <v>82277</v>
      </c>
      <c r="G6767" s="27" t="s">
        <v>11</v>
      </c>
      <c r="H6767" s="27" t="s">
        <v>3192</v>
      </c>
      <c r="I6767" s="27" t="s">
        <v>13</v>
      </c>
    </row>
    <row r="6768" spans="1:9" x14ac:dyDescent="0.3">
      <c r="A6768" s="26">
        <v>45291</v>
      </c>
      <c r="B6768" s="27" t="s">
        <v>126</v>
      </c>
      <c r="C6768" s="27" t="s">
        <v>93</v>
      </c>
      <c r="D6768" s="27" t="s">
        <v>7</v>
      </c>
      <c r="E6768" s="28">
        <v>94000</v>
      </c>
      <c r="F6768" s="28">
        <v>117400</v>
      </c>
      <c r="G6768" s="27" t="s">
        <v>17</v>
      </c>
      <c r="H6768" s="27" t="s">
        <v>4722</v>
      </c>
      <c r="I6768" s="27" t="s">
        <v>9</v>
      </c>
    </row>
    <row r="6769" spans="1:9" x14ac:dyDescent="0.3">
      <c r="A6769" s="26">
        <v>45291</v>
      </c>
      <c r="B6769" s="27" t="s">
        <v>126</v>
      </c>
      <c r="C6769" s="27" t="s">
        <v>6</v>
      </c>
      <c r="D6769" s="27" t="s">
        <v>21</v>
      </c>
      <c r="E6769" s="28">
        <v>325900</v>
      </c>
      <c r="F6769" s="28">
        <v>230600</v>
      </c>
      <c r="G6769" s="27" t="s">
        <v>22</v>
      </c>
      <c r="H6769" s="27" t="s">
        <v>4910</v>
      </c>
      <c r="I6769" s="27" t="s">
        <v>9</v>
      </c>
    </row>
    <row r="6770" spans="1:9" x14ac:dyDescent="0.3">
      <c r="A6770" s="26">
        <v>45291</v>
      </c>
      <c r="B6770" s="27" t="s">
        <v>126</v>
      </c>
      <c r="C6770" s="27" t="s">
        <v>93</v>
      </c>
      <c r="D6770" s="27" t="s">
        <v>16</v>
      </c>
      <c r="E6770" s="28">
        <v>50500</v>
      </c>
      <c r="F6770" s="28">
        <v>45900</v>
      </c>
      <c r="G6770" s="27" t="s">
        <v>11</v>
      </c>
      <c r="H6770" s="27" t="s">
        <v>5211</v>
      </c>
      <c r="I6770" s="27" t="s">
        <v>9</v>
      </c>
    </row>
    <row r="6771" spans="1:9" x14ac:dyDescent="0.3">
      <c r="A6771" s="26">
        <v>45291</v>
      </c>
      <c r="B6771" s="27" t="s">
        <v>126</v>
      </c>
      <c r="C6771" s="27" t="s">
        <v>6</v>
      </c>
      <c r="D6771" s="27" t="s">
        <v>16</v>
      </c>
      <c r="E6771" s="28">
        <v>140900</v>
      </c>
      <c r="F6771" s="28">
        <v>160400</v>
      </c>
      <c r="G6771" s="27" t="s">
        <v>11</v>
      </c>
      <c r="H6771" s="27" t="s">
        <v>5225</v>
      </c>
      <c r="I6771" s="27" t="s">
        <v>9</v>
      </c>
    </row>
    <row r="6772" spans="1:9" x14ac:dyDescent="0.3">
      <c r="A6772" s="26">
        <v>45291</v>
      </c>
      <c r="B6772" s="27" t="s">
        <v>126</v>
      </c>
      <c r="C6772" s="27" t="s">
        <v>93</v>
      </c>
      <c r="D6772" s="27" t="s">
        <v>16</v>
      </c>
      <c r="E6772" s="28">
        <v>100400</v>
      </c>
      <c r="F6772" s="28">
        <v>98300</v>
      </c>
      <c r="G6772" s="27" t="s">
        <v>11</v>
      </c>
      <c r="H6772" s="27" t="s">
        <v>5356</v>
      </c>
      <c r="I6772" s="27" t="s">
        <v>9</v>
      </c>
    </row>
    <row r="6773" spans="1:9" x14ac:dyDescent="0.3">
      <c r="A6773" s="26">
        <v>45291</v>
      </c>
      <c r="B6773" s="27" t="s">
        <v>126</v>
      </c>
      <c r="C6773" s="27" t="s">
        <v>93</v>
      </c>
      <c r="D6773" s="27" t="s">
        <v>19</v>
      </c>
      <c r="E6773" s="28">
        <v>77300</v>
      </c>
      <c r="F6773" s="28">
        <v>69000</v>
      </c>
      <c r="G6773" s="27" t="s">
        <v>22</v>
      </c>
      <c r="H6773" s="27" t="s">
        <v>5521</v>
      </c>
      <c r="I6773" s="27" t="s">
        <v>9</v>
      </c>
    </row>
    <row r="6774" spans="1:9" x14ac:dyDescent="0.3">
      <c r="A6774" s="26">
        <v>45291</v>
      </c>
      <c r="B6774" s="27" t="s">
        <v>126</v>
      </c>
      <c r="C6774" s="27" t="s">
        <v>93</v>
      </c>
      <c r="D6774" s="27" t="s">
        <v>19</v>
      </c>
      <c r="E6774" s="28">
        <v>204500</v>
      </c>
      <c r="F6774" s="28">
        <v>217200</v>
      </c>
      <c r="G6774" s="27" t="s">
        <v>17</v>
      </c>
      <c r="H6774" s="27" t="s">
        <v>5868</v>
      </c>
      <c r="I6774" s="27" t="s">
        <v>9</v>
      </c>
    </row>
    <row r="6775" spans="1:9" x14ac:dyDescent="0.3">
      <c r="A6775" s="26">
        <v>45291</v>
      </c>
      <c r="B6775" s="27" t="s">
        <v>126</v>
      </c>
      <c r="C6775" s="27" t="s">
        <v>6</v>
      </c>
      <c r="D6775" s="27" t="s">
        <v>16</v>
      </c>
      <c r="E6775" s="28">
        <v>114300</v>
      </c>
      <c r="F6775" s="28">
        <v>121900</v>
      </c>
      <c r="G6775" s="27" t="s">
        <v>17</v>
      </c>
      <c r="H6775" s="27" t="s">
        <v>6322</v>
      </c>
      <c r="I6775" s="27" t="s">
        <v>9</v>
      </c>
    </row>
    <row r="6776" spans="1:9" x14ac:dyDescent="0.3">
      <c r="A6776" s="26">
        <v>45291</v>
      </c>
      <c r="B6776" s="27" t="s">
        <v>126</v>
      </c>
      <c r="C6776" s="27" t="s">
        <v>93</v>
      </c>
      <c r="D6776" s="27" t="s">
        <v>19</v>
      </c>
      <c r="E6776" s="28">
        <v>57900</v>
      </c>
      <c r="F6776" s="28">
        <v>70100</v>
      </c>
      <c r="G6776" s="27" t="s">
        <v>11</v>
      </c>
      <c r="H6776" s="27" t="s">
        <v>6577</v>
      </c>
      <c r="I6776" s="27"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Dashboard with slicers</vt:lpstr>
      <vt:lpstr>Dashboard</vt:lpstr>
      <vt:lpstr>Pivot Tables</vt:lpstr>
      <vt:lpstr>Clean Ledger Data</vt:lpstr>
      <vt:lpstr>actualex</vt:lpstr>
      <vt:lpstr>actualin</vt:lpstr>
      <vt:lpstr>budgetex</vt:lpstr>
      <vt:lpstr>budgetin</vt:lpstr>
      <vt:lpstr>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dchew99@student.ubc.ca</cp:lastModifiedBy>
  <dcterms:created xsi:type="dcterms:W3CDTF">2026-09-07T09:27:34Z</dcterms:created>
  <dcterms:modified xsi:type="dcterms:W3CDTF">2026-09-28T15:46:12Z</dcterms:modified>
</cp:coreProperties>
</file>